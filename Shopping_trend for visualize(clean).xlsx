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an\Documents\TNB\Protoge DA workshop\Capstone Project\"/>
    </mc:Choice>
  </mc:AlternateContent>
  <xr:revisionPtr revIDLastSave="0" documentId="13_ncr:1_{9171CDE7-A8F0-4424-947F-4361B1C881B1}" xr6:coauthVersionLast="47" xr6:coauthVersionMax="47" xr10:uidLastSave="{00000000-0000-0000-0000-000000000000}"/>
  <bookViews>
    <workbookView xWindow="-120" yWindow="-120" windowWidth="20730" windowHeight="11160" xr2:uid="{6527BC9B-67B5-4BB9-B171-18E90DF8132C}"/>
  </bookViews>
  <sheets>
    <sheet name="Shopping Trend visual" sheetId="3" r:id="rId1"/>
    <sheet name="table scor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3" l="1"/>
  <c r="Z2" i="3"/>
  <c r="C3" i="3" a="1"/>
  <c r="C3" i="3"/>
  <c r="C4" i="3" a="1"/>
  <c r="C4" i="3"/>
  <c r="C5" i="3" a="1"/>
  <c r="C5" i="3"/>
  <c r="C6" i="3" a="1"/>
  <c r="C6" i="3"/>
  <c r="C7" i="3" a="1"/>
  <c r="C7" i="3"/>
  <c r="C8" i="3" a="1"/>
  <c r="C8" i="3"/>
  <c r="C9" i="3" a="1"/>
  <c r="C9" i="3"/>
  <c r="C10" i="3" a="1"/>
  <c r="C10" i="3"/>
  <c r="C11" i="3" a="1"/>
  <c r="C11" i="3"/>
  <c r="C12" i="3" a="1"/>
  <c r="C12" i="3"/>
  <c r="C13" i="3" a="1"/>
  <c r="C13" i="3"/>
  <c r="C14" i="3" a="1"/>
  <c r="C14" i="3"/>
  <c r="C15" i="3" a="1"/>
  <c r="C15" i="3"/>
  <c r="C16" i="3" a="1"/>
  <c r="C16" i="3"/>
  <c r="C17" i="3" a="1"/>
  <c r="C17" i="3"/>
  <c r="C18" i="3" a="1"/>
  <c r="C18" i="3"/>
  <c r="C19" i="3" a="1"/>
  <c r="C19" i="3"/>
  <c r="C20" i="3" a="1"/>
  <c r="C20" i="3"/>
  <c r="C21" i="3" a="1"/>
  <c r="C21" i="3"/>
  <c r="C22" i="3" a="1"/>
  <c r="C22" i="3"/>
  <c r="C23" i="3" a="1"/>
  <c r="C23" i="3"/>
  <c r="C24" i="3" a="1"/>
  <c r="C24" i="3"/>
  <c r="C25" i="3" a="1"/>
  <c r="C25" i="3"/>
  <c r="C26" i="3" a="1"/>
  <c r="C26" i="3"/>
  <c r="C27" i="3" a="1"/>
  <c r="C27" i="3"/>
  <c r="C28" i="3" a="1"/>
  <c r="C28" i="3"/>
  <c r="C29" i="3" a="1"/>
  <c r="C29" i="3"/>
  <c r="C30" i="3" a="1"/>
  <c r="C30" i="3"/>
  <c r="C31" i="3" a="1"/>
  <c r="C31" i="3"/>
  <c r="C32" i="3" a="1"/>
  <c r="C32" i="3"/>
  <c r="C33" i="3" a="1"/>
  <c r="C33" i="3"/>
  <c r="C34" i="3" a="1"/>
  <c r="C34" i="3"/>
  <c r="C35" i="3" a="1"/>
  <c r="C35" i="3"/>
  <c r="C36" i="3" a="1"/>
  <c r="C36" i="3"/>
  <c r="C37" i="3" a="1"/>
  <c r="C37" i="3"/>
  <c r="C38" i="3" a="1"/>
  <c r="C38" i="3"/>
  <c r="C39" i="3" a="1"/>
  <c r="C39" i="3"/>
  <c r="C40" i="3" a="1"/>
  <c r="C40" i="3"/>
  <c r="C41" i="3" a="1"/>
  <c r="C41" i="3"/>
  <c r="C42" i="3" a="1"/>
  <c r="C42" i="3"/>
  <c r="C43" i="3" a="1"/>
  <c r="C43" i="3"/>
  <c r="C44" i="3" a="1"/>
  <c r="C44" i="3"/>
  <c r="C45" i="3" a="1"/>
  <c r="C45" i="3"/>
  <c r="C46" i="3" a="1"/>
  <c r="C46" i="3"/>
  <c r="C47" i="3" a="1"/>
  <c r="C47" i="3"/>
  <c r="C48" i="3" a="1"/>
  <c r="C48" i="3"/>
  <c r="C49" i="3" a="1"/>
  <c r="C49" i="3"/>
  <c r="C50" i="3" a="1"/>
  <c r="C50" i="3"/>
  <c r="C51" i="3" a="1"/>
  <c r="C51" i="3"/>
  <c r="C52" i="3" a="1"/>
  <c r="C52" i="3"/>
  <c r="C53" i="3" a="1"/>
  <c r="C53" i="3"/>
  <c r="C54" i="3" a="1"/>
  <c r="C54" i="3"/>
  <c r="C55" i="3" a="1"/>
  <c r="C55" i="3"/>
  <c r="C56" i="3" a="1"/>
  <c r="C56" i="3"/>
  <c r="C57" i="3" a="1"/>
  <c r="C57" i="3"/>
  <c r="C58" i="3" a="1"/>
  <c r="C58" i="3"/>
  <c r="C59" i="3" a="1"/>
  <c r="C59" i="3"/>
  <c r="C60" i="3" a="1"/>
  <c r="C60" i="3"/>
  <c r="C61" i="3" a="1"/>
  <c r="C61" i="3"/>
  <c r="C62" i="3" a="1"/>
  <c r="C62" i="3"/>
  <c r="C63" i="3" a="1"/>
  <c r="C63" i="3"/>
  <c r="C64" i="3" a="1"/>
  <c r="C64" i="3"/>
  <c r="C65" i="3" a="1"/>
  <c r="C65" i="3"/>
  <c r="C66" i="3" a="1"/>
  <c r="C66" i="3"/>
  <c r="C67" i="3" a="1"/>
  <c r="C67" i="3"/>
  <c r="C68" i="3" a="1"/>
  <c r="C68" i="3"/>
  <c r="C69" i="3" a="1"/>
  <c r="C69" i="3"/>
  <c r="C70" i="3" a="1"/>
  <c r="C70" i="3"/>
  <c r="C71" i="3" a="1"/>
  <c r="C71" i="3"/>
  <c r="C72" i="3" a="1"/>
  <c r="C72" i="3"/>
  <c r="C73" i="3" a="1"/>
  <c r="C73" i="3"/>
  <c r="C74" i="3" a="1"/>
  <c r="C74" i="3"/>
  <c r="C75" i="3" a="1"/>
  <c r="C75" i="3"/>
  <c r="C76" i="3" a="1"/>
  <c r="C76" i="3"/>
  <c r="C77" i="3" a="1"/>
  <c r="C77" i="3"/>
  <c r="C78" i="3" a="1"/>
  <c r="C78" i="3"/>
  <c r="C79" i="3" a="1"/>
  <c r="C79" i="3"/>
  <c r="C80" i="3" a="1"/>
  <c r="C80" i="3"/>
  <c r="C81" i="3" a="1"/>
  <c r="C81" i="3"/>
  <c r="C82" i="3" a="1"/>
  <c r="C82" i="3"/>
  <c r="C83" i="3" a="1"/>
  <c r="C83" i="3"/>
  <c r="C84" i="3" a="1"/>
  <c r="C84" i="3"/>
  <c r="C85" i="3" a="1"/>
  <c r="C85" i="3"/>
  <c r="C86" i="3" a="1"/>
  <c r="C86" i="3"/>
  <c r="C87" i="3" a="1"/>
  <c r="C87" i="3"/>
  <c r="C88" i="3" a="1"/>
  <c r="C88" i="3"/>
  <c r="C89" i="3" a="1"/>
  <c r="C89" i="3"/>
  <c r="C90" i="3" a="1"/>
  <c r="C90" i="3"/>
  <c r="C91" i="3" a="1"/>
  <c r="C91" i="3"/>
  <c r="C92" i="3" a="1"/>
  <c r="C92" i="3"/>
  <c r="C93" i="3" a="1"/>
  <c r="C93" i="3"/>
  <c r="C94" i="3" a="1"/>
  <c r="C94" i="3"/>
  <c r="C95" i="3" a="1"/>
  <c r="C95" i="3"/>
  <c r="C96" i="3" a="1"/>
  <c r="C96" i="3"/>
  <c r="C97" i="3" a="1"/>
  <c r="C97" i="3"/>
  <c r="C98" i="3" a="1"/>
  <c r="C98" i="3"/>
  <c r="C99" i="3" a="1"/>
  <c r="C99" i="3"/>
  <c r="C100" i="3" a="1"/>
  <c r="C100" i="3"/>
  <c r="C101" i="3" a="1"/>
  <c r="C101" i="3"/>
  <c r="C102" i="3" a="1"/>
  <c r="C102" i="3"/>
  <c r="C103" i="3" a="1"/>
  <c r="C103" i="3"/>
  <c r="C104" i="3" a="1"/>
  <c r="C104" i="3"/>
  <c r="C105" i="3" a="1"/>
  <c r="C105" i="3"/>
  <c r="C106" i="3" a="1"/>
  <c r="C106" i="3"/>
  <c r="C107" i="3" a="1"/>
  <c r="C107" i="3"/>
  <c r="C108" i="3" a="1"/>
  <c r="C108" i="3"/>
  <c r="C109" i="3" a="1"/>
  <c r="C109" i="3"/>
  <c r="C110" i="3" a="1"/>
  <c r="C110" i="3"/>
  <c r="C111" i="3" a="1"/>
  <c r="C111" i="3"/>
  <c r="C112" i="3" a="1"/>
  <c r="C112" i="3"/>
  <c r="C113" i="3" a="1"/>
  <c r="C113" i="3"/>
  <c r="C114" i="3" a="1"/>
  <c r="C114" i="3"/>
  <c r="C115" i="3" a="1"/>
  <c r="C115" i="3"/>
  <c r="C116" i="3" a="1"/>
  <c r="C116" i="3"/>
  <c r="C117" i="3" a="1"/>
  <c r="C117" i="3"/>
  <c r="C118" i="3" a="1"/>
  <c r="C118" i="3"/>
  <c r="C119" i="3" a="1"/>
  <c r="C119" i="3"/>
  <c r="C120" i="3" a="1"/>
  <c r="C120" i="3"/>
  <c r="C121" i="3" a="1"/>
  <c r="C121" i="3"/>
  <c r="C122" i="3" a="1"/>
  <c r="C122" i="3"/>
  <c r="C123" i="3" a="1"/>
  <c r="C123" i="3"/>
  <c r="C124" i="3" a="1"/>
  <c r="C124" i="3"/>
  <c r="C125" i="3" a="1"/>
  <c r="C125" i="3"/>
  <c r="C126" i="3" a="1"/>
  <c r="C126" i="3"/>
  <c r="C127" i="3" a="1"/>
  <c r="C127" i="3"/>
  <c r="C128" i="3" a="1"/>
  <c r="C128" i="3"/>
  <c r="C129" i="3" a="1"/>
  <c r="C129" i="3"/>
  <c r="C130" i="3" a="1"/>
  <c r="C130" i="3"/>
  <c r="C131" i="3" a="1"/>
  <c r="C131" i="3"/>
  <c r="C132" i="3" a="1"/>
  <c r="C132" i="3"/>
  <c r="C133" i="3" a="1"/>
  <c r="C133" i="3"/>
  <c r="C134" i="3" a="1"/>
  <c r="C134" i="3"/>
  <c r="C135" i="3" a="1"/>
  <c r="C135" i="3"/>
  <c r="C136" i="3" a="1"/>
  <c r="C136" i="3"/>
  <c r="C137" i="3" a="1"/>
  <c r="C137" i="3"/>
  <c r="C138" i="3" a="1"/>
  <c r="C138" i="3"/>
  <c r="C139" i="3" a="1"/>
  <c r="C139" i="3"/>
  <c r="C140" i="3" a="1"/>
  <c r="C140" i="3"/>
  <c r="C141" i="3" a="1"/>
  <c r="C141" i="3"/>
  <c r="C142" i="3" a="1"/>
  <c r="C142" i="3"/>
  <c r="C143" i="3" a="1"/>
  <c r="C143" i="3"/>
  <c r="C144" i="3" a="1"/>
  <c r="C144" i="3"/>
  <c r="C145" i="3" a="1"/>
  <c r="C145" i="3"/>
  <c r="C146" i="3" a="1"/>
  <c r="C146" i="3"/>
  <c r="C147" i="3" a="1"/>
  <c r="C147" i="3"/>
  <c r="C148" i="3" a="1"/>
  <c r="C148" i="3"/>
  <c r="C149" i="3" a="1"/>
  <c r="C149" i="3"/>
  <c r="C150" i="3" a="1"/>
  <c r="C150" i="3"/>
  <c r="C151" i="3" a="1"/>
  <c r="C151" i="3"/>
  <c r="C152" i="3" a="1"/>
  <c r="C152" i="3"/>
  <c r="C153" i="3" a="1"/>
  <c r="C153" i="3"/>
  <c r="C154" i="3" a="1"/>
  <c r="C154" i="3"/>
  <c r="C155" i="3" a="1"/>
  <c r="C155" i="3"/>
  <c r="C156" i="3" a="1"/>
  <c r="C156" i="3"/>
  <c r="C157" i="3" a="1"/>
  <c r="C157" i="3"/>
  <c r="C158" i="3" a="1"/>
  <c r="C158" i="3"/>
  <c r="C159" i="3" a="1"/>
  <c r="C159" i="3"/>
  <c r="C160" i="3" a="1"/>
  <c r="C160" i="3"/>
  <c r="C161" i="3" a="1"/>
  <c r="C161" i="3"/>
  <c r="C162" i="3" a="1"/>
  <c r="C162" i="3"/>
  <c r="C163" i="3" a="1"/>
  <c r="C163" i="3"/>
  <c r="C164" i="3" a="1"/>
  <c r="C164" i="3"/>
  <c r="C165" i="3" a="1"/>
  <c r="C165" i="3"/>
  <c r="C166" i="3" a="1"/>
  <c r="C166" i="3"/>
  <c r="C167" i="3" a="1"/>
  <c r="C167" i="3"/>
  <c r="C168" i="3" a="1"/>
  <c r="C168" i="3"/>
  <c r="C169" i="3" a="1"/>
  <c r="C169" i="3"/>
  <c r="C170" i="3" a="1"/>
  <c r="C170" i="3"/>
  <c r="C171" i="3" a="1"/>
  <c r="C171" i="3"/>
  <c r="C172" i="3" a="1"/>
  <c r="C172" i="3"/>
  <c r="C173" i="3" a="1"/>
  <c r="C173" i="3"/>
  <c r="C174" i="3" a="1"/>
  <c r="C174" i="3"/>
  <c r="C175" i="3" a="1"/>
  <c r="C175" i="3"/>
  <c r="C176" i="3" a="1"/>
  <c r="C176" i="3"/>
  <c r="C177" i="3" a="1"/>
  <c r="C177" i="3"/>
  <c r="C178" i="3" a="1"/>
  <c r="C178" i="3"/>
  <c r="C179" i="3" a="1"/>
  <c r="C179" i="3"/>
  <c r="C180" i="3" a="1"/>
  <c r="C180" i="3"/>
  <c r="C181" i="3" a="1"/>
  <c r="C181" i="3"/>
  <c r="C182" i="3" a="1"/>
  <c r="C182" i="3"/>
  <c r="C183" i="3" a="1"/>
  <c r="C183" i="3"/>
  <c r="C184" i="3" a="1"/>
  <c r="C184" i="3"/>
  <c r="C185" i="3" a="1"/>
  <c r="C185" i="3"/>
  <c r="C186" i="3" a="1"/>
  <c r="C186" i="3"/>
  <c r="C187" i="3" a="1"/>
  <c r="C187" i="3"/>
  <c r="C188" i="3" a="1"/>
  <c r="C188" i="3"/>
  <c r="C189" i="3" a="1"/>
  <c r="C189" i="3"/>
  <c r="C190" i="3" a="1"/>
  <c r="C190" i="3"/>
  <c r="C191" i="3" a="1"/>
  <c r="C191" i="3"/>
  <c r="C192" i="3" a="1"/>
  <c r="C192" i="3"/>
  <c r="C193" i="3" a="1"/>
  <c r="C193" i="3"/>
  <c r="C194" i="3" a="1"/>
  <c r="C194" i="3"/>
  <c r="C195" i="3" a="1"/>
  <c r="C195" i="3"/>
  <c r="C196" i="3" a="1"/>
  <c r="C196" i="3"/>
  <c r="C197" i="3" a="1"/>
  <c r="C197" i="3"/>
  <c r="C198" i="3" a="1"/>
  <c r="C198" i="3"/>
  <c r="C199" i="3" a="1"/>
  <c r="C199" i="3"/>
  <c r="C200" i="3" a="1"/>
  <c r="C200" i="3"/>
  <c r="C201" i="3" a="1"/>
  <c r="C201" i="3"/>
  <c r="C202" i="3" a="1"/>
  <c r="C202" i="3"/>
  <c r="C203" i="3" a="1"/>
  <c r="C203" i="3"/>
  <c r="C204" i="3" a="1"/>
  <c r="C204" i="3"/>
  <c r="C205" i="3" a="1"/>
  <c r="C205" i="3"/>
  <c r="C206" i="3" a="1"/>
  <c r="C206" i="3"/>
  <c r="C207" i="3" a="1"/>
  <c r="C207" i="3"/>
  <c r="C208" i="3" a="1"/>
  <c r="C208" i="3"/>
  <c r="C209" i="3" a="1"/>
  <c r="C209" i="3"/>
  <c r="C210" i="3" a="1"/>
  <c r="C210" i="3"/>
  <c r="C211" i="3" a="1"/>
  <c r="C211" i="3"/>
  <c r="C212" i="3" a="1"/>
  <c r="C212" i="3"/>
  <c r="C213" i="3" a="1"/>
  <c r="C213" i="3"/>
  <c r="C214" i="3" a="1"/>
  <c r="C214" i="3"/>
  <c r="C215" i="3" a="1"/>
  <c r="C215" i="3"/>
  <c r="C216" i="3" a="1"/>
  <c r="C216" i="3"/>
  <c r="C217" i="3" a="1"/>
  <c r="C217" i="3"/>
  <c r="C218" i="3" a="1"/>
  <c r="C218" i="3"/>
  <c r="C219" i="3" a="1"/>
  <c r="C219" i="3"/>
  <c r="C220" i="3" a="1"/>
  <c r="C220" i="3"/>
  <c r="C221" i="3" a="1"/>
  <c r="C221" i="3"/>
  <c r="C222" i="3" a="1"/>
  <c r="C222" i="3"/>
  <c r="C223" i="3" a="1"/>
  <c r="C223" i="3"/>
  <c r="C224" i="3" a="1"/>
  <c r="C224" i="3"/>
  <c r="C225" i="3" a="1"/>
  <c r="C225" i="3"/>
  <c r="C226" i="3" a="1"/>
  <c r="C226" i="3"/>
  <c r="C227" i="3" a="1"/>
  <c r="C227" i="3"/>
  <c r="C228" i="3" a="1"/>
  <c r="C228" i="3"/>
  <c r="C229" i="3" a="1"/>
  <c r="C229" i="3"/>
  <c r="C230" i="3" a="1"/>
  <c r="C230" i="3"/>
  <c r="C231" i="3" a="1"/>
  <c r="C231" i="3"/>
  <c r="C232" i="3" a="1"/>
  <c r="C232" i="3"/>
  <c r="C233" i="3" a="1"/>
  <c r="C233" i="3"/>
  <c r="C234" i="3" a="1"/>
  <c r="C234" i="3"/>
  <c r="C235" i="3" a="1"/>
  <c r="C235" i="3"/>
  <c r="C236" i="3" a="1"/>
  <c r="C236" i="3"/>
  <c r="C237" i="3" a="1"/>
  <c r="C237" i="3"/>
  <c r="C238" i="3" a="1"/>
  <c r="C238" i="3"/>
  <c r="C239" i="3" a="1"/>
  <c r="C239" i="3"/>
  <c r="C240" i="3" a="1"/>
  <c r="C240" i="3"/>
  <c r="C241" i="3" a="1"/>
  <c r="C241" i="3"/>
  <c r="C242" i="3" a="1"/>
  <c r="C242" i="3"/>
  <c r="C243" i="3" a="1"/>
  <c r="C243" i="3"/>
  <c r="C244" i="3" a="1"/>
  <c r="C244" i="3"/>
  <c r="C245" i="3" a="1"/>
  <c r="C245" i="3"/>
  <c r="C246" i="3" a="1"/>
  <c r="C246" i="3"/>
  <c r="C247" i="3" a="1"/>
  <c r="C247" i="3"/>
  <c r="C248" i="3" a="1"/>
  <c r="C248" i="3"/>
  <c r="C249" i="3" a="1"/>
  <c r="C249" i="3"/>
  <c r="C250" i="3" a="1"/>
  <c r="C250" i="3"/>
  <c r="C251" i="3" a="1"/>
  <c r="C251" i="3"/>
  <c r="C252" i="3" a="1"/>
  <c r="C252" i="3"/>
  <c r="C253" i="3" a="1"/>
  <c r="C253" i="3"/>
  <c r="C254" i="3" a="1"/>
  <c r="C254" i="3"/>
  <c r="C255" i="3" a="1"/>
  <c r="C255" i="3"/>
  <c r="C256" i="3" a="1"/>
  <c r="C256" i="3"/>
  <c r="C257" i="3" a="1"/>
  <c r="C257" i="3"/>
  <c r="C258" i="3" a="1"/>
  <c r="C258" i="3"/>
  <c r="C259" i="3" a="1"/>
  <c r="C259" i="3"/>
  <c r="C260" i="3" a="1"/>
  <c r="C260" i="3"/>
  <c r="C261" i="3" a="1"/>
  <c r="C261" i="3"/>
  <c r="C262" i="3" a="1"/>
  <c r="C262" i="3"/>
  <c r="C263" i="3" a="1"/>
  <c r="C263" i="3"/>
  <c r="C264" i="3" a="1"/>
  <c r="C264" i="3"/>
  <c r="C265" i="3" a="1"/>
  <c r="C265" i="3"/>
  <c r="C266" i="3" a="1"/>
  <c r="C266" i="3"/>
  <c r="C267" i="3" a="1"/>
  <c r="C267" i="3"/>
  <c r="C268" i="3" a="1"/>
  <c r="C268" i="3"/>
  <c r="C269" i="3" a="1"/>
  <c r="C269" i="3"/>
  <c r="C270" i="3" a="1"/>
  <c r="C270" i="3"/>
  <c r="C271" i="3" a="1"/>
  <c r="C271" i="3"/>
  <c r="C272" i="3" a="1"/>
  <c r="C272" i="3"/>
  <c r="C273" i="3" a="1"/>
  <c r="C273" i="3"/>
  <c r="C274" i="3" a="1"/>
  <c r="C274" i="3"/>
  <c r="C275" i="3" a="1"/>
  <c r="C275" i="3"/>
  <c r="C276" i="3" a="1"/>
  <c r="C276" i="3"/>
  <c r="C277" i="3" a="1"/>
  <c r="C277" i="3"/>
  <c r="C278" i="3" a="1"/>
  <c r="C278" i="3"/>
  <c r="C279" i="3" a="1"/>
  <c r="C279" i="3"/>
  <c r="C280" i="3" a="1"/>
  <c r="C280" i="3"/>
  <c r="C281" i="3" a="1"/>
  <c r="C281" i="3"/>
  <c r="C282" i="3" a="1"/>
  <c r="C282" i="3"/>
  <c r="C283" i="3" a="1"/>
  <c r="C283" i="3"/>
  <c r="C284" i="3" a="1"/>
  <c r="C284" i="3"/>
  <c r="C285" i="3" a="1"/>
  <c r="C285" i="3"/>
  <c r="C286" i="3" a="1"/>
  <c r="C286" i="3"/>
  <c r="C287" i="3" a="1"/>
  <c r="C287" i="3"/>
  <c r="C288" i="3" a="1"/>
  <c r="C288" i="3"/>
  <c r="C289" i="3" a="1"/>
  <c r="C289" i="3"/>
  <c r="C290" i="3" a="1"/>
  <c r="C290" i="3"/>
  <c r="C291" i="3" a="1"/>
  <c r="C291" i="3"/>
  <c r="C292" i="3" a="1"/>
  <c r="C292" i="3"/>
  <c r="C293" i="3" a="1"/>
  <c r="C293" i="3"/>
  <c r="C294" i="3" a="1"/>
  <c r="C294" i="3"/>
  <c r="C295" i="3" a="1"/>
  <c r="C295" i="3"/>
  <c r="C296" i="3" a="1"/>
  <c r="C296" i="3"/>
  <c r="C297" i="3" a="1"/>
  <c r="C297" i="3"/>
  <c r="C298" i="3" a="1"/>
  <c r="C298" i="3"/>
  <c r="C299" i="3" a="1"/>
  <c r="C299" i="3"/>
  <c r="C300" i="3" a="1"/>
  <c r="C300" i="3"/>
  <c r="C301" i="3" a="1"/>
  <c r="C301" i="3"/>
  <c r="C302" i="3" a="1"/>
  <c r="C302" i="3"/>
  <c r="C303" i="3" a="1"/>
  <c r="C303" i="3"/>
  <c r="C304" i="3" a="1"/>
  <c r="C304" i="3"/>
  <c r="C305" i="3" a="1"/>
  <c r="C305" i="3"/>
  <c r="C306" i="3" a="1"/>
  <c r="C306" i="3"/>
  <c r="C307" i="3" a="1"/>
  <c r="C307" i="3"/>
  <c r="C308" i="3" a="1"/>
  <c r="C308" i="3"/>
  <c r="C309" i="3" a="1"/>
  <c r="C309" i="3"/>
  <c r="C310" i="3" a="1"/>
  <c r="C310" i="3"/>
  <c r="C311" i="3" a="1"/>
  <c r="C311" i="3"/>
  <c r="C312" i="3" a="1"/>
  <c r="C312" i="3"/>
  <c r="C313" i="3" a="1"/>
  <c r="C313" i="3"/>
  <c r="C314" i="3" a="1"/>
  <c r="C314" i="3"/>
  <c r="C315" i="3" a="1"/>
  <c r="C315" i="3"/>
  <c r="C316" i="3" a="1"/>
  <c r="C316" i="3"/>
  <c r="C317" i="3" a="1"/>
  <c r="C317" i="3"/>
  <c r="C318" i="3" a="1"/>
  <c r="C318" i="3"/>
  <c r="C319" i="3" a="1"/>
  <c r="C319" i="3"/>
  <c r="C320" i="3" a="1"/>
  <c r="C320" i="3"/>
  <c r="C321" i="3" a="1"/>
  <c r="C321" i="3"/>
  <c r="C322" i="3" a="1"/>
  <c r="C322" i="3"/>
  <c r="C323" i="3" a="1"/>
  <c r="C323" i="3"/>
  <c r="C324" i="3" a="1"/>
  <c r="C324" i="3"/>
  <c r="C325" i="3" a="1"/>
  <c r="C325" i="3"/>
  <c r="C326" i="3" a="1"/>
  <c r="C326" i="3"/>
  <c r="C327" i="3" a="1"/>
  <c r="C327" i="3"/>
  <c r="C328" i="3" a="1"/>
  <c r="C328" i="3"/>
  <c r="C329" i="3" a="1"/>
  <c r="C329" i="3"/>
  <c r="C330" i="3" a="1"/>
  <c r="C330" i="3"/>
  <c r="C331" i="3" a="1"/>
  <c r="C331" i="3"/>
  <c r="C332" i="3" a="1"/>
  <c r="C332" i="3"/>
  <c r="C333" i="3" a="1"/>
  <c r="C333" i="3"/>
  <c r="C334" i="3" a="1"/>
  <c r="C334" i="3"/>
  <c r="C335" i="3" a="1"/>
  <c r="C335" i="3"/>
  <c r="C336" i="3" a="1"/>
  <c r="C336" i="3"/>
  <c r="C337" i="3" a="1"/>
  <c r="C337" i="3"/>
  <c r="C338" i="3" a="1"/>
  <c r="C338" i="3"/>
  <c r="C339" i="3" a="1"/>
  <c r="C339" i="3"/>
  <c r="C340" i="3" a="1"/>
  <c r="C340" i="3"/>
  <c r="C341" i="3" a="1"/>
  <c r="C341" i="3"/>
  <c r="C342" i="3" a="1"/>
  <c r="C342" i="3"/>
  <c r="C343" i="3" a="1"/>
  <c r="C343" i="3"/>
  <c r="C344" i="3" a="1"/>
  <c r="C344" i="3"/>
  <c r="C345" i="3" a="1"/>
  <c r="C345" i="3"/>
  <c r="C346" i="3" a="1"/>
  <c r="C346" i="3"/>
  <c r="C347" i="3" a="1"/>
  <c r="C347" i="3"/>
  <c r="C348" i="3" a="1"/>
  <c r="C348" i="3"/>
  <c r="C349" i="3" a="1"/>
  <c r="C349" i="3"/>
  <c r="C350" i="3" a="1"/>
  <c r="C350" i="3"/>
  <c r="C351" i="3" a="1"/>
  <c r="C351" i="3"/>
  <c r="C352" i="3" a="1"/>
  <c r="C352" i="3"/>
  <c r="C353" i="3" a="1"/>
  <c r="C353" i="3"/>
  <c r="C354" i="3" a="1"/>
  <c r="C354" i="3"/>
  <c r="C355" i="3" a="1"/>
  <c r="C355" i="3"/>
  <c r="C356" i="3" a="1"/>
  <c r="C356" i="3"/>
  <c r="C357" i="3" a="1"/>
  <c r="C357" i="3"/>
  <c r="C358" i="3" a="1"/>
  <c r="C358" i="3"/>
  <c r="C359" i="3" a="1"/>
  <c r="C359" i="3"/>
  <c r="C360" i="3" a="1"/>
  <c r="C360" i="3"/>
  <c r="C361" i="3" a="1"/>
  <c r="C361" i="3"/>
  <c r="C362" i="3" a="1"/>
  <c r="C362" i="3"/>
  <c r="C363" i="3" a="1"/>
  <c r="C363" i="3"/>
  <c r="C364" i="3" a="1"/>
  <c r="C364" i="3"/>
  <c r="C365" i="3" a="1"/>
  <c r="C365" i="3"/>
  <c r="C366" i="3" a="1"/>
  <c r="C366" i="3"/>
  <c r="C367" i="3" a="1"/>
  <c r="C367" i="3"/>
  <c r="C368" i="3" a="1"/>
  <c r="C368" i="3"/>
  <c r="C369" i="3" a="1"/>
  <c r="C369" i="3"/>
  <c r="C370" i="3" a="1"/>
  <c r="C370" i="3"/>
  <c r="C371" i="3" a="1"/>
  <c r="C371" i="3"/>
  <c r="C372" i="3" a="1"/>
  <c r="C372" i="3"/>
  <c r="C373" i="3" a="1"/>
  <c r="C373" i="3"/>
  <c r="C374" i="3" a="1"/>
  <c r="C374" i="3"/>
  <c r="C375" i="3" a="1"/>
  <c r="C375" i="3"/>
  <c r="C376" i="3" a="1"/>
  <c r="C376" i="3"/>
  <c r="C377" i="3" a="1"/>
  <c r="C377" i="3"/>
  <c r="C378" i="3" a="1"/>
  <c r="C378" i="3"/>
  <c r="C379" i="3" a="1"/>
  <c r="C379" i="3"/>
  <c r="C380" i="3" a="1"/>
  <c r="C380" i="3"/>
  <c r="C381" i="3" a="1"/>
  <c r="C381" i="3"/>
  <c r="C382" i="3" a="1"/>
  <c r="C382" i="3"/>
  <c r="C383" i="3" a="1"/>
  <c r="C383" i="3"/>
  <c r="C384" i="3" a="1"/>
  <c r="C384" i="3"/>
  <c r="C385" i="3" a="1"/>
  <c r="C385" i="3"/>
  <c r="C386" i="3" a="1"/>
  <c r="C386" i="3"/>
  <c r="C387" i="3" a="1"/>
  <c r="C387" i="3"/>
  <c r="C388" i="3" a="1"/>
  <c r="C388" i="3"/>
  <c r="C389" i="3" a="1"/>
  <c r="C389" i="3"/>
  <c r="C390" i="3" a="1"/>
  <c r="C390" i="3"/>
  <c r="C391" i="3" a="1"/>
  <c r="C391" i="3"/>
  <c r="C392" i="3" a="1"/>
  <c r="C392" i="3"/>
  <c r="C393" i="3" a="1"/>
  <c r="C393" i="3"/>
  <c r="C394" i="3" a="1"/>
  <c r="C394" i="3"/>
  <c r="C395" i="3" a="1"/>
  <c r="C395" i="3"/>
  <c r="C396" i="3" a="1"/>
  <c r="C396" i="3"/>
  <c r="C397" i="3" a="1"/>
  <c r="C397" i="3"/>
  <c r="C398" i="3" a="1"/>
  <c r="C398" i="3"/>
  <c r="C399" i="3" a="1"/>
  <c r="C399" i="3"/>
  <c r="C400" i="3" a="1"/>
  <c r="C400" i="3"/>
  <c r="C401" i="3" a="1"/>
  <c r="C401" i="3"/>
  <c r="C402" i="3" a="1"/>
  <c r="C402" i="3"/>
  <c r="C403" i="3" a="1"/>
  <c r="C403" i="3"/>
  <c r="C404" i="3" a="1"/>
  <c r="C404" i="3"/>
  <c r="C405" i="3" a="1"/>
  <c r="C405" i="3"/>
  <c r="C406" i="3" a="1"/>
  <c r="C406" i="3"/>
  <c r="C407" i="3" a="1"/>
  <c r="C407" i="3"/>
  <c r="C408" i="3" a="1"/>
  <c r="C408" i="3"/>
  <c r="C409" i="3" a="1"/>
  <c r="C409" i="3"/>
  <c r="C410" i="3" a="1"/>
  <c r="C410" i="3"/>
  <c r="C411" i="3" a="1"/>
  <c r="C411" i="3"/>
  <c r="C412" i="3" a="1"/>
  <c r="C412" i="3"/>
  <c r="C413" i="3" a="1"/>
  <c r="C413" i="3"/>
  <c r="C414" i="3" a="1"/>
  <c r="C414" i="3"/>
  <c r="C415" i="3" a="1"/>
  <c r="C415" i="3"/>
  <c r="C416" i="3" a="1"/>
  <c r="C416" i="3"/>
  <c r="C417" i="3" a="1"/>
  <c r="C417" i="3"/>
  <c r="C418" i="3" a="1"/>
  <c r="C418" i="3"/>
  <c r="C419" i="3" a="1"/>
  <c r="C419" i="3"/>
  <c r="C420" i="3" a="1"/>
  <c r="C420" i="3"/>
  <c r="C421" i="3" a="1"/>
  <c r="C421" i="3"/>
  <c r="C422" i="3" a="1"/>
  <c r="C422" i="3"/>
  <c r="C423" i="3" a="1"/>
  <c r="C423" i="3"/>
  <c r="C424" i="3" a="1"/>
  <c r="C424" i="3"/>
  <c r="C425" i="3" a="1"/>
  <c r="C425" i="3"/>
  <c r="C426" i="3" a="1"/>
  <c r="C426" i="3"/>
  <c r="C427" i="3" a="1"/>
  <c r="C427" i="3"/>
  <c r="C428" i="3" a="1"/>
  <c r="C428" i="3"/>
  <c r="C429" i="3" a="1"/>
  <c r="C429" i="3"/>
  <c r="C430" i="3" a="1"/>
  <c r="C430" i="3"/>
  <c r="C431" i="3" a="1"/>
  <c r="C431" i="3"/>
  <c r="C432" i="3" a="1"/>
  <c r="C432" i="3"/>
  <c r="C433" i="3" a="1"/>
  <c r="C433" i="3"/>
  <c r="C434" i="3" a="1"/>
  <c r="C434" i="3"/>
  <c r="C435" i="3" a="1"/>
  <c r="C435" i="3"/>
  <c r="C436" i="3" a="1"/>
  <c r="C436" i="3"/>
  <c r="C437" i="3" a="1"/>
  <c r="C437" i="3"/>
  <c r="C438" i="3" a="1"/>
  <c r="C438" i="3"/>
  <c r="C439" i="3" a="1"/>
  <c r="C439" i="3"/>
  <c r="C440" i="3" a="1"/>
  <c r="C440" i="3"/>
  <c r="C441" i="3" a="1"/>
  <c r="C441" i="3"/>
  <c r="C442" i="3" a="1"/>
  <c r="C442" i="3"/>
  <c r="C443" i="3" a="1"/>
  <c r="C443" i="3"/>
  <c r="C444" i="3" a="1"/>
  <c r="C444" i="3"/>
  <c r="C445" i="3" a="1"/>
  <c r="C445" i="3"/>
  <c r="C446" i="3" a="1"/>
  <c r="C446" i="3"/>
  <c r="C447" i="3" a="1"/>
  <c r="C447" i="3"/>
  <c r="C448" i="3" a="1"/>
  <c r="C448" i="3"/>
  <c r="C449" i="3" a="1"/>
  <c r="C449" i="3"/>
  <c r="C450" i="3" a="1"/>
  <c r="C450" i="3"/>
  <c r="C451" i="3" a="1"/>
  <c r="C451" i="3"/>
  <c r="C452" i="3" a="1"/>
  <c r="C452" i="3"/>
  <c r="C453" i="3" a="1"/>
  <c r="C453" i="3"/>
  <c r="C454" i="3" a="1"/>
  <c r="C454" i="3"/>
  <c r="C455" i="3" a="1"/>
  <c r="C455" i="3"/>
  <c r="C456" i="3" a="1"/>
  <c r="C456" i="3"/>
  <c r="C457" i="3" a="1"/>
  <c r="C457" i="3"/>
  <c r="C458" i="3" a="1"/>
  <c r="C458" i="3"/>
  <c r="C459" i="3" a="1"/>
  <c r="C459" i="3"/>
  <c r="C460" i="3" a="1"/>
  <c r="C460" i="3"/>
  <c r="C461" i="3" a="1"/>
  <c r="C461" i="3"/>
  <c r="C462" i="3" a="1"/>
  <c r="C462" i="3"/>
  <c r="C463" i="3" a="1"/>
  <c r="C463" i="3"/>
  <c r="C464" i="3" a="1"/>
  <c r="C464" i="3"/>
  <c r="C465" i="3" a="1"/>
  <c r="C465" i="3"/>
  <c r="C466" i="3" a="1"/>
  <c r="C466" i="3"/>
  <c r="C467" i="3" a="1"/>
  <c r="C467" i="3"/>
  <c r="C468" i="3" a="1"/>
  <c r="C468" i="3"/>
  <c r="C469" i="3" a="1"/>
  <c r="C469" i="3"/>
  <c r="C470" i="3" a="1"/>
  <c r="C470" i="3"/>
  <c r="C471" i="3" a="1"/>
  <c r="C471" i="3"/>
  <c r="C472" i="3" a="1"/>
  <c r="C472" i="3"/>
  <c r="C473" i="3" a="1"/>
  <c r="C473" i="3"/>
  <c r="C474" i="3" a="1"/>
  <c r="C474" i="3"/>
  <c r="C475" i="3" a="1"/>
  <c r="C475" i="3"/>
  <c r="C476" i="3" a="1"/>
  <c r="C476" i="3"/>
  <c r="C477" i="3" a="1"/>
  <c r="C477" i="3"/>
  <c r="C478" i="3" a="1"/>
  <c r="C478" i="3"/>
  <c r="C479" i="3" a="1"/>
  <c r="C479" i="3"/>
  <c r="C480" i="3" a="1"/>
  <c r="C480" i="3"/>
  <c r="C481" i="3" a="1"/>
  <c r="C481" i="3"/>
  <c r="C482" i="3" a="1"/>
  <c r="C482" i="3"/>
  <c r="C483" i="3" a="1"/>
  <c r="C483" i="3"/>
  <c r="C484" i="3" a="1"/>
  <c r="C484" i="3"/>
  <c r="C485" i="3" a="1"/>
  <c r="C485" i="3"/>
  <c r="C486" i="3" a="1"/>
  <c r="C486" i="3"/>
  <c r="C487" i="3" a="1"/>
  <c r="C487" i="3"/>
  <c r="C488" i="3" a="1"/>
  <c r="C488" i="3"/>
  <c r="C489" i="3" a="1"/>
  <c r="C489" i="3"/>
  <c r="C490" i="3" a="1"/>
  <c r="C490" i="3"/>
  <c r="C491" i="3" a="1"/>
  <c r="C491" i="3"/>
  <c r="C492" i="3" a="1"/>
  <c r="C492" i="3"/>
  <c r="C493" i="3" a="1"/>
  <c r="C493" i="3"/>
  <c r="C494" i="3" a="1"/>
  <c r="C494" i="3"/>
  <c r="C495" i="3" a="1"/>
  <c r="C495" i="3"/>
  <c r="C496" i="3" a="1"/>
  <c r="C496" i="3"/>
  <c r="C497" i="3" a="1"/>
  <c r="C497" i="3"/>
  <c r="C498" i="3" a="1"/>
  <c r="C498" i="3"/>
  <c r="C499" i="3" a="1"/>
  <c r="C499" i="3"/>
  <c r="C500" i="3" a="1"/>
  <c r="C500" i="3"/>
  <c r="C501" i="3" a="1"/>
  <c r="C501" i="3"/>
  <c r="C502" i="3" a="1"/>
  <c r="C502" i="3"/>
  <c r="C503" i="3" a="1"/>
  <c r="C503" i="3"/>
  <c r="C504" i="3" a="1"/>
  <c r="C504" i="3"/>
  <c r="C505" i="3" a="1"/>
  <c r="C505" i="3"/>
  <c r="C506" i="3" a="1"/>
  <c r="C506" i="3"/>
  <c r="C507" i="3" a="1"/>
  <c r="C507" i="3"/>
  <c r="C508" i="3" a="1"/>
  <c r="C508" i="3"/>
  <c r="C509" i="3" a="1"/>
  <c r="C509" i="3"/>
  <c r="C510" i="3" a="1"/>
  <c r="C510" i="3"/>
  <c r="C511" i="3" a="1"/>
  <c r="C511" i="3"/>
  <c r="C512" i="3" a="1"/>
  <c r="C512" i="3"/>
  <c r="C513" i="3" a="1"/>
  <c r="C513" i="3"/>
  <c r="C514" i="3" a="1"/>
  <c r="C514" i="3"/>
  <c r="C515" i="3" a="1"/>
  <c r="C515" i="3"/>
  <c r="C516" i="3" a="1"/>
  <c r="C516" i="3"/>
  <c r="C517" i="3" a="1"/>
  <c r="C517" i="3"/>
  <c r="C518" i="3" a="1"/>
  <c r="C518" i="3"/>
  <c r="C519" i="3" a="1"/>
  <c r="C519" i="3"/>
  <c r="C520" i="3" a="1"/>
  <c r="C520" i="3"/>
  <c r="C521" i="3" a="1"/>
  <c r="C521" i="3"/>
  <c r="C522" i="3" a="1"/>
  <c r="C522" i="3"/>
  <c r="C523" i="3" a="1"/>
  <c r="C523" i="3"/>
  <c r="C524" i="3" a="1"/>
  <c r="C524" i="3"/>
  <c r="C525" i="3" a="1"/>
  <c r="C525" i="3"/>
  <c r="C526" i="3" a="1"/>
  <c r="C526" i="3"/>
  <c r="C527" i="3" a="1"/>
  <c r="C527" i="3"/>
  <c r="C528" i="3" a="1"/>
  <c r="C528" i="3"/>
  <c r="C529" i="3" a="1"/>
  <c r="C529" i="3"/>
  <c r="C530" i="3" a="1"/>
  <c r="C530" i="3"/>
  <c r="C531" i="3" a="1"/>
  <c r="C531" i="3"/>
  <c r="C532" i="3" a="1"/>
  <c r="C532" i="3"/>
  <c r="C533" i="3" a="1"/>
  <c r="C533" i="3"/>
  <c r="C534" i="3" a="1"/>
  <c r="C534" i="3"/>
  <c r="C535" i="3" a="1"/>
  <c r="C535" i="3"/>
  <c r="C536" i="3" a="1"/>
  <c r="C536" i="3"/>
  <c r="C537" i="3" a="1"/>
  <c r="C537" i="3"/>
  <c r="C538" i="3" a="1"/>
  <c r="C538" i="3"/>
  <c r="C539" i="3" a="1"/>
  <c r="C539" i="3"/>
  <c r="C540" i="3" a="1"/>
  <c r="C540" i="3"/>
  <c r="C541" i="3" a="1"/>
  <c r="C541" i="3"/>
  <c r="C542" i="3" a="1"/>
  <c r="C542" i="3"/>
  <c r="C543" i="3" a="1"/>
  <c r="C543" i="3"/>
  <c r="C544" i="3" a="1"/>
  <c r="C544" i="3"/>
  <c r="C545" i="3" a="1"/>
  <c r="C545" i="3"/>
  <c r="C546" i="3" a="1"/>
  <c r="C546" i="3"/>
  <c r="C547" i="3" a="1"/>
  <c r="C547" i="3"/>
  <c r="C548" i="3" a="1"/>
  <c r="C548" i="3"/>
  <c r="C549" i="3" a="1"/>
  <c r="C549" i="3"/>
  <c r="C550" i="3" a="1"/>
  <c r="C550" i="3"/>
  <c r="C551" i="3" a="1"/>
  <c r="C551" i="3"/>
  <c r="C552" i="3" a="1"/>
  <c r="C552" i="3"/>
  <c r="C553" i="3" a="1"/>
  <c r="C553" i="3"/>
  <c r="C554" i="3" a="1"/>
  <c r="C554" i="3"/>
  <c r="C555" i="3" a="1"/>
  <c r="C555" i="3"/>
  <c r="C556" i="3" a="1"/>
  <c r="C556" i="3"/>
  <c r="C557" i="3" a="1"/>
  <c r="C557" i="3"/>
  <c r="C558" i="3" a="1"/>
  <c r="C558" i="3"/>
  <c r="C559" i="3" a="1"/>
  <c r="C559" i="3"/>
  <c r="C560" i="3" a="1"/>
  <c r="C560" i="3"/>
  <c r="C561" i="3" a="1"/>
  <c r="C561" i="3"/>
  <c r="C562" i="3" a="1"/>
  <c r="C562" i="3"/>
  <c r="C563" i="3" a="1"/>
  <c r="C563" i="3"/>
  <c r="C564" i="3" a="1"/>
  <c r="C564" i="3"/>
  <c r="C565" i="3" a="1"/>
  <c r="C565" i="3"/>
  <c r="C566" i="3" a="1"/>
  <c r="C566" i="3"/>
  <c r="C567" i="3" a="1"/>
  <c r="C567" i="3"/>
  <c r="C568" i="3" a="1"/>
  <c r="C568" i="3"/>
  <c r="C569" i="3" a="1"/>
  <c r="C569" i="3"/>
  <c r="C570" i="3" a="1"/>
  <c r="C570" i="3"/>
  <c r="C571" i="3" a="1"/>
  <c r="C571" i="3"/>
  <c r="C572" i="3" a="1"/>
  <c r="C572" i="3"/>
  <c r="C573" i="3" a="1"/>
  <c r="C573" i="3"/>
  <c r="C574" i="3" a="1"/>
  <c r="C574" i="3"/>
  <c r="C575" i="3" a="1"/>
  <c r="C575" i="3"/>
  <c r="C576" i="3" a="1"/>
  <c r="C576" i="3"/>
  <c r="C577" i="3" a="1"/>
  <c r="C577" i="3"/>
  <c r="C578" i="3" a="1"/>
  <c r="C578" i="3"/>
  <c r="C579" i="3" a="1"/>
  <c r="C579" i="3"/>
  <c r="C580" i="3" a="1"/>
  <c r="C580" i="3"/>
  <c r="C581" i="3" a="1"/>
  <c r="C581" i="3"/>
  <c r="C582" i="3" a="1"/>
  <c r="C582" i="3"/>
  <c r="C583" i="3" a="1"/>
  <c r="C583" i="3"/>
  <c r="C584" i="3" a="1"/>
  <c r="C584" i="3"/>
  <c r="C585" i="3" a="1"/>
  <c r="C585" i="3"/>
  <c r="C586" i="3" a="1"/>
  <c r="C586" i="3"/>
  <c r="C587" i="3" a="1"/>
  <c r="C587" i="3"/>
  <c r="C588" i="3" a="1"/>
  <c r="C588" i="3"/>
  <c r="C589" i="3" a="1"/>
  <c r="C589" i="3"/>
  <c r="C590" i="3" a="1"/>
  <c r="C590" i="3"/>
  <c r="C591" i="3" a="1"/>
  <c r="C591" i="3"/>
  <c r="C592" i="3" a="1"/>
  <c r="C592" i="3"/>
  <c r="C593" i="3" a="1"/>
  <c r="C593" i="3"/>
  <c r="C594" i="3" a="1"/>
  <c r="C594" i="3"/>
  <c r="C595" i="3" a="1"/>
  <c r="C595" i="3"/>
  <c r="C596" i="3" a="1"/>
  <c r="C596" i="3"/>
  <c r="C597" i="3" a="1"/>
  <c r="C597" i="3"/>
  <c r="C598" i="3" a="1"/>
  <c r="C598" i="3"/>
  <c r="C599" i="3" a="1"/>
  <c r="C599" i="3"/>
  <c r="C600" i="3" a="1"/>
  <c r="C600" i="3"/>
  <c r="C601" i="3" a="1"/>
  <c r="C601" i="3"/>
  <c r="C602" i="3" a="1"/>
  <c r="C602" i="3"/>
  <c r="C603" i="3" a="1"/>
  <c r="C603" i="3"/>
  <c r="C604" i="3" a="1"/>
  <c r="C604" i="3"/>
  <c r="C605" i="3" a="1"/>
  <c r="C605" i="3"/>
  <c r="C606" i="3" a="1"/>
  <c r="C606" i="3"/>
  <c r="C607" i="3" a="1"/>
  <c r="C607" i="3"/>
  <c r="C608" i="3" a="1"/>
  <c r="C608" i="3"/>
  <c r="C609" i="3" a="1"/>
  <c r="C609" i="3"/>
  <c r="C610" i="3" a="1"/>
  <c r="C610" i="3"/>
  <c r="C611" i="3" a="1"/>
  <c r="C611" i="3"/>
  <c r="C612" i="3" a="1"/>
  <c r="C612" i="3"/>
  <c r="C613" i="3" a="1"/>
  <c r="C613" i="3"/>
  <c r="C614" i="3" a="1"/>
  <c r="C614" i="3"/>
  <c r="C615" i="3" a="1"/>
  <c r="C615" i="3"/>
  <c r="C616" i="3" a="1"/>
  <c r="C616" i="3"/>
  <c r="C617" i="3" a="1"/>
  <c r="C617" i="3"/>
  <c r="C618" i="3" a="1"/>
  <c r="C618" i="3"/>
  <c r="C619" i="3" a="1"/>
  <c r="C619" i="3"/>
  <c r="C620" i="3" a="1"/>
  <c r="C620" i="3"/>
  <c r="C621" i="3" a="1"/>
  <c r="C621" i="3"/>
  <c r="C622" i="3" a="1"/>
  <c r="C622" i="3"/>
  <c r="C623" i="3" a="1"/>
  <c r="C623" i="3"/>
  <c r="C624" i="3" a="1"/>
  <c r="C624" i="3"/>
  <c r="C625" i="3" a="1"/>
  <c r="C625" i="3"/>
  <c r="C626" i="3" a="1"/>
  <c r="C626" i="3"/>
  <c r="C627" i="3" a="1"/>
  <c r="C627" i="3"/>
  <c r="C628" i="3" a="1"/>
  <c r="C628" i="3"/>
  <c r="C629" i="3" a="1"/>
  <c r="C629" i="3"/>
  <c r="C630" i="3" a="1"/>
  <c r="C630" i="3"/>
  <c r="C631" i="3" a="1"/>
  <c r="C631" i="3"/>
  <c r="C632" i="3" a="1"/>
  <c r="C632" i="3"/>
  <c r="C633" i="3" a="1"/>
  <c r="C633" i="3"/>
  <c r="C634" i="3" a="1"/>
  <c r="C634" i="3"/>
  <c r="C635" i="3" a="1"/>
  <c r="C635" i="3"/>
  <c r="C636" i="3" a="1"/>
  <c r="C636" i="3"/>
  <c r="C637" i="3" a="1"/>
  <c r="C637" i="3"/>
  <c r="C638" i="3" a="1"/>
  <c r="C638" i="3"/>
  <c r="C639" i="3" a="1"/>
  <c r="C639" i="3"/>
  <c r="C640" i="3" a="1"/>
  <c r="C640" i="3"/>
  <c r="C641" i="3" a="1"/>
  <c r="C641" i="3"/>
  <c r="C642" i="3" a="1"/>
  <c r="C642" i="3"/>
  <c r="C643" i="3" a="1"/>
  <c r="C643" i="3"/>
  <c r="C644" i="3" a="1"/>
  <c r="C644" i="3"/>
  <c r="C645" i="3" a="1"/>
  <c r="C645" i="3"/>
  <c r="C646" i="3" a="1"/>
  <c r="C646" i="3"/>
  <c r="C647" i="3" a="1"/>
  <c r="C647" i="3"/>
  <c r="C648" i="3" a="1"/>
  <c r="C648" i="3"/>
  <c r="C649" i="3" a="1"/>
  <c r="C649" i="3"/>
  <c r="C650" i="3" a="1"/>
  <c r="C650" i="3"/>
  <c r="C651" i="3" a="1"/>
  <c r="C651" i="3"/>
  <c r="C652" i="3" a="1"/>
  <c r="C652" i="3"/>
  <c r="C653" i="3" a="1"/>
  <c r="C653" i="3"/>
  <c r="C654" i="3" a="1"/>
  <c r="C654" i="3"/>
  <c r="C655" i="3" a="1"/>
  <c r="C655" i="3"/>
  <c r="C656" i="3" a="1"/>
  <c r="C656" i="3"/>
  <c r="C657" i="3" a="1"/>
  <c r="C657" i="3"/>
  <c r="C658" i="3" a="1"/>
  <c r="C658" i="3"/>
  <c r="C659" i="3" a="1"/>
  <c r="C659" i="3"/>
  <c r="C660" i="3" a="1"/>
  <c r="C660" i="3"/>
  <c r="C661" i="3" a="1"/>
  <c r="C661" i="3"/>
  <c r="C662" i="3" a="1"/>
  <c r="C662" i="3"/>
  <c r="C663" i="3" a="1"/>
  <c r="C663" i="3"/>
  <c r="C664" i="3" a="1"/>
  <c r="C664" i="3"/>
  <c r="C665" i="3" a="1"/>
  <c r="C665" i="3"/>
  <c r="C666" i="3" a="1"/>
  <c r="C666" i="3"/>
  <c r="C667" i="3" a="1"/>
  <c r="C667" i="3"/>
  <c r="C668" i="3" a="1"/>
  <c r="C668" i="3"/>
  <c r="C669" i="3" a="1"/>
  <c r="C669" i="3"/>
  <c r="C670" i="3" a="1"/>
  <c r="C670" i="3"/>
  <c r="C671" i="3" a="1"/>
  <c r="C671" i="3"/>
  <c r="C672" i="3" a="1"/>
  <c r="C672" i="3"/>
  <c r="C673" i="3" a="1"/>
  <c r="C673" i="3"/>
  <c r="C674" i="3" a="1"/>
  <c r="C674" i="3"/>
  <c r="C675" i="3" a="1"/>
  <c r="C675" i="3"/>
  <c r="C676" i="3" a="1"/>
  <c r="C676" i="3"/>
  <c r="C677" i="3" a="1"/>
  <c r="C677" i="3"/>
  <c r="C678" i="3" a="1"/>
  <c r="C678" i="3"/>
  <c r="C679" i="3" a="1"/>
  <c r="C679" i="3"/>
  <c r="C680" i="3" a="1"/>
  <c r="C680" i="3"/>
  <c r="C681" i="3" a="1"/>
  <c r="C681" i="3"/>
  <c r="C682" i="3" a="1"/>
  <c r="C682" i="3"/>
  <c r="C683" i="3" a="1"/>
  <c r="C683" i="3"/>
  <c r="C684" i="3" a="1"/>
  <c r="C684" i="3"/>
  <c r="C685" i="3" a="1"/>
  <c r="C685" i="3"/>
  <c r="C686" i="3" a="1"/>
  <c r="C686" i="3"/>
  <c r="C687" i="3" a="1"/>
  <c r="C687" i="3"/>
  <c r="C688" i="3" a="1"/>
  <c r="C688" i="3"/>
  <c r="C689" i="3" a="1"/>
  <c r="C689" i="3"/>
  <c r="C690" i="3" a="1"/>
  <c r="C690" i="3"/>
  <c r="C691" i="3" a="1"/>
  <c r="C691" i="3"/>
  <c r="C692" i="3" a="1"/>
  <c r="C692" i="3"/>
  <c r="C693" i="3" a="1"/>
  <c r="C693" i="3"/>
  <c r="C694" i="3" a="1"/>
  <c r="C694" i="3"/>
  <c r="C695" i="3" a="1"/>
  <c r="C695" i="3"/>
  <c r="C696" i="3" a="1"/>
  <c r="C696" i="3"/>
  <c r="C697" i="3" a="1"/>
  <c r="C697" i="3"/>
  <c r="C698" i="3" a="1"/>
  <c r="C698" i="3"/>
  <c r="C699" i="3" a="1"/>
  <c r="C699" i="3"/>
  <c r="C700" i="3" a="1"/>
  <c r="C700" i="3"/>
  <c r="C701" i="3" a="1"/>
  <c r="C701" i="3"/>
  <c r="C702" i="3" a="1"/>
  <c r="C702" i="3"/>
  <c r="C703" i="3" a="1"/>
  <c r="C703" i="3"/>
  <c r="C704" i="3" a="1"/>
  <c r="C704" i="3"/>
  <c r="C705" i="3" a="1"/>
  <c r="C705" i="3"/>
  <c r="C706" i="3" a="1"/>
  <c r="C706" i="3"/>
  <c r="C707" i="3" a="1"/>
  <c r="C707" i="3"/>
  <c r="C708" i="3" a="1"/>
  <c r="C708" i="3"/>
  <c r="C709" i="3" a="1"/>
  <c r="C709" i="3"/>
  <c r="C710" i="3" a="1"/>
  <c r="C710" i="3"/>
  <c r="C711" i="3" a="1"/>
  <c r="C711" i="3"/>
  <c r="C712" i="3" a="1"/>
  <c r="C712" i="3"/>
  <c r="C713" i="3" a="1"/>
  <c r="C713" i="3"/>
  <c r="C714" i="3" a="1"/>
  <c r="C714" i="3"/>
  <c r="C715" i="3" a="1"/>
  <c r="C715" i="3"/>
  <c r="C716" i="3" a="1"/>
  <c r="C716" i="3"/>
  <c r="C717" i="3" a="1"/>
  <c r="C717" i="3"/>
  <c r="C718" i="3" a="1"/>
  <c r="C718" i="3"/>
  <c r="C719" i="3" a="1"/>
  <c r="C719" i="3"/>
  <c r="C720" i="3" a="1"/>
  <c r="C720" i="3"/>
  <c r="C721" i="3" a="1"/>
  <c r="C721" i="3"/>
  <c r="C722" i="3" a="1"/>
  <c r="C722" i="3"/>
  <c r="C723" i="3" a="1"/>
  <c r="C723" i="3"/>
  <c r="C724" i="3" a="1"/>
  <c r="C724" i="3"/>
  <c r="C725" i="3" a="1"/>
  <c r="C725" i="3"/>
  <c r="C726" i="3" a="1"/>
  <c r="C726" i="3"/>
  <c r="C727" i="3" a="1"/>
  <c r="C727" i="3"/>
  <c r="C728" i="3" a="1"/>
  <c r="C728" i="3"/>
  <c r="C729" i="3" a="1"/>
  <c r="C729" i="3"/>
  <c r="C730" i="3" a="1"/>
  <c r="C730" i="3"/>
  <c r="C731" i="3" a="1"/>
  <c r="C731" i="3"/>
  <c r="C732" i="3" a="1"/>
  <c r="C732" i="3"/>
  <c r="C733" i="3" a="1"/>
  <c r="C733" i="3"/>
  <c r="C734" i="3" a="1"/>
  <c r="C734" i="3"/>
  <c r="C735" i="3" a="1"/>
  <c r="C735" i="3"/>
  <c r="C736" i="3" a="1"/>
  <c r="C736" i="3"/>
  <c r="C737" i="3" a="1"/>
  <c r="C737" i="3"/>
  <c r="C738" i="3" a="1"/>
  <c r="C738" i="3"/>
  <c r="C739" i="3" a="1"/>
  <c r="C739" i="3"/>
  <c r="C740" i="3" a="1"/>
  <c r="C740" i="3"/>
  <c r="C741" i="3" a="1"/>
  <c r="C741" i="3"/>
  <c r="C742" i="3" a="1"/>
  <c r="C742" i="3"/>
  <c r="C743" i="3" a="1"/>
  <c r="C743" i="3"/>
  <c r="C744" i="3" a="1"/>
  <c r="C744" i="3"/>
  <c r="C745" i="3" a="1"/>
  <c r="C745" i="3"/>
  <c r="C746" i="3" a="1"/>
  <c r="C746" i="3"/>
  <c r="C747" i="3" a="1"/>
  <c r="C747" i="3"/>
  <c r="C748" i="3" a="1"/>
  <c r="C748" i="3"/>
  <c r="C749" i="3" a="1"/>
  <c r="C749" i="3"/>
  <c r="C750" i="3" a="1"/>
  <c r="C750" i="3"/>
  <c r="C751" i="3" a="1"/>
  <c r="C751" i="3"/>
  <c r="C752" i="3" a="1"/>
  <c r="C752" i="3"/>
  <c r="C753" i="3" a="1"/>
  <c r="C753" i="3"/>
  <c r="C754" i="3" a="1"/>
  <c r="C754" i="3"/>
  <c r="C755" i="3" a="1"/>
  <c r="C755" i="3"/>
  <c r="C756" i="3" a="1"/>
  <c r="C756" i="3"/>
  <c r="C757" i="3" a="1"/>
  <c r="C757" i="3"/>
  <c r="C758" i="3" a="1"/>
  <c r="C758" i="3"/>
  <c r="C759" i="3" a="1"/>
  <c r="C759" i="3"/>
  <c r="C760" i="3" a="1"/>
  <c r="C760" i="3"/>
  <c r="C761" i="3" a="1"/>
  <c r="C761" i="3"/>
  <c r="C762" i="3" a="1"/>
  <c r="C762" i="3"/>
  <c r="C763" i="3" a="1"/>
  <c r="C763" i="3"/>
  <c r="C764" i="3" a="1"/>
  <c r="C764" i="3"/>
  <c r="C765" i="3" a="1"/>
  <c r="C765" i="3"/>
  <c r="C766" i="3" a="1"/>
  <c r="C766" i="3"/>
  <c r="C767" i="3" a="1"/>
  <c r="C767" i="3"/>
  <c r="C768" i="3" a="1"/>
  <c r="C768" i="3"/>
  <c r="C769" i="3" a="1"/>
  <c r="C769" i="3"/>
  <c r="C770" i="3" a="1"/>
  <c r="C770" i="3"/>
  <c r="C771" i="3" a="1"/>
  <c r="C771" i="3"/>
  <c r="C772" i="3" a="1"/>
  <c r="C772" i="3"/>
  <c r="C773" i="3" a="1"/>
  <c r="C773" i="3"/>
  <c r="C774" i="3" a="1"/>
  <c r="C774" i="3"/>
  <c r="C775" i="3" a="1"/>
  <c r="C775" i="3"/>
  <c r="C776" i="3" a="1"/>
  <c r="C776" i="3"/>
  <c r="C777" i="3" a="1"/>
  <c r="C777" i="3"/>
  <c r="C778" i="3" a="1"/>
  <c r="C778" i="3"/>
  <c r="C779" i="3" a="1"/>
  <c r="C779" i="3"/>
  <c r="C780" i="3" a="1"/>
  <c r="C780" i="3"/>
  <c r="C781" i="3" a="1"/>
  <c r="C781" i="3"/>
  <c r="C782" i="3" a="1"/>
  <c r="C782" i="3"/>
  <c r="C783" i="3" a="1"/>
  <c r="C783" i="3"/>
  <c r="C784" i="3" a="1"/>
  <c r="C784" i="3"/>
  <c r="C785" i="3" a="1"/>
  <c r="C785" i="3"/>
  <c r="C786" i="3" a="1"/>
  <c r="C786" i="3"/>
  <c r="C787" i="3" a="1"/>
  <c r="C787" i="3"/>
  <c r="C788" i="3" a="1"/>
  <c r="C788" i="3"/>
  <c r="C789" i="3" a="1"/>
  <c r="C789" i="3"/>
  <c r="C790" i="3" a="1"/>
  <c r="C790" i="3"/>
  <c r="C791" i="3" a="1"/>
  <c r="C791" i="3"/>
  <c r="C792" i="3" a="1"/>
  <c r="C792" i="3"/>
  <c r="C793" i="3" a="1"/>
  <c r="C793" i="3"/>
  <c r="C794" i="3" a="1"/>
  <c r="C794" i="3"/>
  <c r="C795" i="3" a="1"/>
  <c r="C795" i="3"/>
  <c r="C796" i="3" a="1"/>
  <c r="C796" i="3"/>
  <c r="C797" i="3" a="1"/>
  <c r="C797" i="3"/>
  <c r="C798" i="3" a="1"/>
  <c r="C798" i="3"/>
  <c r="C799" i="3" a="1"/>
  <c r="C799" i="3"/>
  <c r="C800" i="3" a="1"/>
  <c r="C800" i="3"/>
  <c r="C801" i="3" a="1"/>
  <c r="C801" i="3"/>
  <c r="C802" i="3" a="1"/>
  <c r="C802" i="3"/>
  <c r="C803" i="3" a="1"/>
  <c r="C803" i="3"/>
  <c r="C804" i="3" a="1"/>
  <c r="C804" i="3"/>
  <c r="C805" i="3" a="1"/>
  <c r="C805" i="3"/>
  <c r="C806" i="3" a="1"/>
  <c r="C806" i="3"/>
  <c r="C807" i="3" a="1"/>
  <c r="C807" i="3"/>
  <c r="C808" i="3" a="1"/>
  <c r="C808" i="3"/>
  <c r="C809" i="3" a="1"/>
  <c r="C809" i="3"/>
  <c r="C810" i="3" a="1"/>
  <c r="C810" i="3"/>
  <c r="C811" i="3" a="1"/>
  <c r="C811" i="3"/>
  <c r="C812" i="3" a="1"/>
  <c r="C812" i="3"/>
  <c r="C813" i="3" a="1"/>
  <c r="C813" i="3"/>
  <c r="C814" i="3" a="1"/>
  <c r="C814" i="3"/>
  <c r="C815" i="3" a="1"/>
  <c r="C815" i="3"/>
  <c r="C816" i="3" a="1"/>
  <c r="C816" i="3"/>
  <c r="C817" i="3" a="1"/>
  <c r="C817" i="3"/>
  <c r="C818" i="3" a="1"/>
  <c r="C818" i="3"/>
  <c r="C819" i="3" a="1"/>
  <c r="C819" i="3"/>
  <c r="C820" i="3" a="1"/>
  <c r="C820" i="3"/>
  <c r="C821" i="3" a="1"/>
  <c r="C821" i="3"/>
  <c r="C822" i="3" a="1"/>
  <c r="C822" i="3"/>
  <c r="C823" i="3" a="1"/>
  <c r="C823" i="3"/>
  <c r="C824" i="3" a="1"/>
  <c r="C824" i="3"/>
  <c r="C825" i="3" a="1"/>
  <c r="C825" i="3"/>
  <c r="C826" i="3" a="1"/>
  <c r="C826" i="3"/>
  <c r="C827" i="3" a="1"/>
  <c r="C827" i="3"/>
  <c r="C828" i="3" a="1"/>
  <c r="C828" i="3"/>
  <c r="C829" i="3" a="1"/>
  <c r="C829" i="3"/>
  <c r="C830" i="3" a="1"/>
  <c r="C830" i="3"/>
  <c r="C831" i="3" a="1"/>
  <c r="C831" i="3"/>
  <c r="C832" i="3" a="1"/>
  <c r="C832" i="3"/>
  <c r="C833" i="3" a="1"/>
  <c r="C833" i="3"/>
  <c r="C834" i="3" a="1"/>
  <c r="C834" i="3"/>
  <c r="C835" i="3" a="1"/>
  <c r="C835" i="3"/>
  <c r="C836" i="3" a="1"/>
  <c r="C836" i="3"/>
  <c r="C837" i="3" a="1"/>
  <c r="C837" i="3"/>
  <c r="C838" i="3" a="1"/>
  <c r="C838" i="3"/>
  <c r="C839" i="3" a="1"/>
  <c r="C839" i="3"/>
  <c r="C840" i="3" a="1"/>
  <c r="C840" i="3"/>
  <c r="C841" i="3" a="1"/>
  <c r="C841" i="3"/>
  <c r="C842" i="3" a="1"/>
  <c r="C842" i="3"/>
  <c r="C843" i="3" a="1"/>
  <c r="C843" i="3"/>
  <c r="C844" i="3" a="1"/>
  <c r="C844" i="3"/>
  <c r="C845" i="3" a="1"/>
  <c r="C845" i="3"/>
  <c r="C846" i="3" a="1"/>
  <c r="C846" i="3"/>
  <c r="C847" i="3" a="1"/>
  <c r="C847" i="3"/>
  <c r="C848" i="3" a="1"/>
  <c r="C848" i="3"/>
  <c r="C849" i="3" a="1"/>
  <c r="C849" i="3"/>
  <c r="C850" i="3" a="1"/>
  <c r="C850" i="3"/>
  <c r="C851" i="3" a="1"/>
  <c r="C851" i="3"/>
  <c r="C852" i="3" a="1"/>
  <c r="C852" i="3"/>
  <c r="C853" i="3" a="1"/>
  <c r="C853" i="3"/>
  <c r="C854" i="3" a="1"/>
  <c r="C854" i="3"/>
  <c r="C855" i="3" a="1"/>
  <c r="C855" i="3"/>
  <c r="C856" i="3" a="1"/>
  <c r="C856" i="3"/>
  <c r="C857" i="3" a="1"/>
  <c r="C857" i="3"/>
  <c r="C858" i="3" a="1"/>
  <c r="C858" i="3"/>
  <c r="C859" i="3" a="1"/>
  <c r="C859" i="3"/>
  <c r="C860" i="3" a="1"/>
  <c r="C860" i="3"/>
  <c r="C861" i="3" a="1"/>
  <c r="C861" i="3"/>
  <c r="C862" i="3" a="1"/>
  <c r="C862" i="3"/>
  <c r="C863" i="3" a="1"/>
  <c r="C863" i="3"/>
  <c r="C864" i="3" a="1"/>
  <c r="C864" i="3"/>
  <c r="C865" i="3" a="1"/>
  <c r="C865" i="3"/>
  <c r="C866" i="3" a="1"/>
  <c r="C866" i="3"/>
  <c r="C867" i="3" a="1"/>
  <c r="C867" i="3"/>
  <c r="C868" i="3" a="1"/>
  <c r="C868" i="3"/>
  <c r="C869" i="3" a="1"/>
  <c r="C869" i="3"/>
  <c r="C870" i="3" a="1"/>
  <c r="C870" i="3"/>
  <c r="C871" i="3" a="1"/>
  <c r="C871" i="3"/>
  <c r="C872" i="3" a="1"/>
  <c r="C872" i="3"/>
  <c r="C873" i="3" a="1"/>
  <c r="C873" i="3"/>
  <c r="C874" i="3" a="1"/>
  <c r="C874" i="3"/>
  <c r="C875" i="3" a="1"/>
  <c r="C875" i="3"/>
  <c r="C876" i="3" a="1"/>
  <c r="C876" i="3"/>
  <c r="C877" i="3" a="1"/>
  <c r="C877" i="3"/>
  <c r="C878" i="3" a="1"/>
  <c r="C878" i="3"/>
  <c r="C879" i="3" a="1"/>
  <c r="C879" i="3"/>
  <c r="C880" i="3" a="1"/>
  <c r="C880" i="3"/>
  <c r="C881" i="3" a="1"/>
  <c r="C881" i="3"/>
  <c r="C882" i="3" a="1"/>
  <c r="C882" i="3"/>
  <c r="C883" i="3" a="1"/>
  <c r="C883" i="3"/>
  <c r="C884" i="3" a="1"/>
  <c r="C884" i="3"/>
  <c r="C885" i="3" a="1"/>
  <c r="C885" i="3"/>
  <c r="C886" i="3" a="1"/>
  <c r="C886" i="3"/>
  <c r="C887" i="3" a="1"/>
  <c r="C887" i="3"/>
  <c r="C888" i="3" a="1"/>
  <c r="C888" i="3"/>
  <c r="C889" i="3" a="1"/>
  <c r="C889" i="3"/>
  <c r="C890" i="3" a="1"/>
  <c r="C890" i="3"/>
  <c r="C891" i="3" a="1"/>
  <c r="C891" i="3"/>
  <c r="C892" i="3" a="1"/>
  <c r="C892" i="3"/>
  <c r="C893" i="3" a="1"/>
  <c r="C893" i="3"/>
  <c r="C894" i="3" a="1"/>
  <c r="C894" i="3"/>
  <c r="C895" i="3" a="1"/>
  <c r="C895" i="3"/>
  <c r="C896" i="3" a="1"/>
  <c r="C896" i="3"/>
  <c r="C897" i="3" a="1"/>
  <c r="C897" i="3"/>
  <c r="C898" i="3" a="1"/>
  <c r="C898" i="3"/>
  <c r="C899" i="3" a="1"/>
  <c r="C899" i="3"/>
  <c r="C900" i="3" a="1"/>
  <c r="C900" i="3"/>
  <c r="C901" i="3" a="1"/>
  <c r="C901" i="3"/>
  <c r="C902" i="3" a="1"/>
  <c r="C902" i="3"/>
  <c r="C903" i="3" a="1"/>
  <c r="C903" i="3"/>
  <c r="C904" i="3" a="1"/>
  <c r="C904" i="3"/>
  <c r="C905" i="3" a="1"/>
  <c r="C905" i="3"/>
  <c r="C906" i="3" a="1"/>
  <c r="C906" i="3"/>
  <c r="C907" i="3" a="1"/>
  <c r="C907" i="3"/>
  <c r="C908" i="3" a="1"/>
  <c r="C908" i="3"/>
  <c r="C909" i="3" a="1"/>
  <c r="C909" i="3"/>
  <c r="C910" i="3" a="1"/>
  <c r="C910" i="3"/>
  <c r="C911" i="3" a="1"/>
  <c r="C911" i="3"/>
  <c r="C912" i="3" a="1"/>
  <c r="C912" i="3"/>
  <c r="C913" i="3" a="1"/>
  <c r="C913" i="3"/>
  <c r="C914" i="3" a="1"/>
  <c r="C914" i="3"/>
  <c r="C915" i="3" a="1"/>
  <c r="C915" i="3"/>
  <c r="C916" i="3" a="1"/>
  <c r="C916" i="3"/>
  <c r="C917" i="3" a="1"/>
  <c r="C917" i="3"/>
  <c r="C918" i="3" a="1"/>
  <c r="C918" i="3"/>
  <c r="C919" i="3" a="1"/>
  <c r="C919" i="3"/>
  <c r="C920" i="3" a="1"/>
  <c r="C920" i="3"/>
  <c r="C921" i="3" a="1"/>
  <c r="C921" i="3"/>
  <c r="C922" i="3" a="1"/>
  <c r="C922" i="3"/>
  <c r="C923" i="3" a="1"/>
  <c r="C923" i="3"/>
  <c r="C924" i="3" a="1"/>
  <c r="C924" i="3"/>
  <c r="C925" i="3" a="1"/>
  <c r="C925" i="3"/>
  <c r="C926" i="3" a="1"/>
  <c r="C926" i="3"/>
  <c r="C927" i="3" a="1"/>
  <c r="C927" i="3"/>
  <c r="C928" i="3" a="1"/>
  <c r="C928" i="3"/>
  <c r="C929" i="3" a="1"/>
  <c r="C929" i="3"/>
  <c r="C930" i="3" a="1"/>
  <c r="C930" i="3"/>
  <c r="C931" i="3" a="1"/>
  <c r="C931" i="3"/>
  <c r="C932" i="3" a="1"/>
  <c r="C932" i="3"/>
  <c r="C933" i="3" a="1"/>
  <c r="C933" i="3"/>
  <c r="C934" i="3" a="1"/>
  <c r="C934" i="3"/>
  <c r="C935" i="3" a="1"/>
  <c r="C935" i="3"/>
  <c r="C936" i="3" a="1"/>
  <c r="C936" i="3"/>
  <c r="C937" i="3" a="1"/>
  <c r="C937" i="3"/>
  <c r="C938" i="3" a="1"/>
  <c r="C938" i="3"/>
  <c r="C939" i="3" a="1"/>
  <c r="C939" i="3"/>
  <c r="C940" i="3" a="1"/>
  <c r="C940" i="3"/>
  <c r="C941" i="3" a="1"/>
  <c r="C941" i="3"/>
  <c r="C942" i="3" a="1"/>
  <c r="C942" i="3"/>
  <c r="C943" i="3" a="1"/>
  <c r="C943" i="3"/>
  <c r="C944" i="3" a="1"/>
  <c r="C944" i="3"/>
  <c r="C945" i="3" a="1"/>
  <c r="C945" i="3"/>
  <c r="C946" i="3" a="1"/>
  <c r="C946" i="3"/>
  <c r="C947" i="3" a="1"/>
  <c r="C947" i="3"/>
  <c r="C948" i="3" a="1"/>
  <c r="C948" i="3"/>
  <c r="C949" i="3" a="1"/>
  <c r="C949" i="3"/>
  <c r="C950" i="3" a="1"/>
  <c r="C950" i="3"/>
  <c r="C951" i="3" a="1"/>
  <c r="C951" i="3"/>
  <c r="C952" i="3" a="1"/>
  <c r="C952" i="3"/>
  <c r="C953" i="3" a="1"/>
  <c r="C953" i="3"/>
  <c r="C954" i="3" a="1"/>
  <c r="C954" i="3"/>
  <c r="C955" i="3" a="1"/>
  <c r="C955" i="3"/>
  <c r="C956" i="3" a="1"/>
  <c r="C956" i="3"/>
  <c r="C957" i="3" a="1"/>
  <c r="C957" i="3"/>
  <c r="C958" i="3" a="1"/>
  <c r="C958" i="3"/>
  <c r="C959" i="3" a="1"/>
  <c r="C959" i="3"/>
  <c r="C960" i="3" a="1"/>
  <c r="C960" i="3"/>
  <c r="C961" i="3" a="1"/>
  <c r="C961" i="3"/>
  <c r="C962" i="3" a="1"/>
  <c r="C962" i="3"/>
  <c r="C963" i="3" a="1"/>
  <c r="C963" i="3"/>
  <c r="C964" i="3" a="1"/>
  <c r="C964" i="3"/>
  <c r="C965" i="3" a="1"/>
  <c r="C965" i="3"/>
  <c r="C966" i="3" a="1"/>
  <c r="C966" i="3"/>
  <c r="C967" i="3" a="1"/>
  <c r="C967" i="3"/>
  <c r="C968" i="3" a="1"/>
  <c r="C968" i="3"/>
  <c r="C969" i="3" a="1"/>
  <c r="C969" i="3"/>
  <c r="C970" i="3" a="1"/>
  <c r="C970" i="3"/>
  <c r="C971" i="3" a="1"/>
  <c r="C971" i="3"/>
  <c r="C972" i="3" a="1"/>
  <c r="C972" i="3"/>
  <c r="C973" i="3" a="1"/>
  <c r="C973" i="3"/>
  <c r="C974" i="3" a="1"/>
  <c r="C974" i="3"/>
  <c r="C975" i="3" a="1"/>
  <c r="C975" i="3"/>
  <c r="C976" i="3" a="1"/>
  <c r="C976" i="3"/>
  <c r="C977" i="3" a="1"/>
  <c r="C977" i="3"/>
  <c r="C978" i="3" a="1"/>
  <c r="C978" i="3"/>
  <c r="C979" i="3" a="1"/>
  <c r="C979" i="3"/>
  <c r="C980" i="3" a="1"/>
  <c r="C980" i="3"/>
  <c r="C981" i="3" a="1"/>
  <c r="C981" i="3"/>
  <c r="C982" i="3" a="1"/>
  <c r="C982" i="3"/>
  <c r="C983" i="3" a="1"/>
  <c r="C983" i="3"/>
  <c r="C984" i="3" a="1"/>
  <c r="C984" i="3"/>
  <c r="C985" i="3" a="1"/>
  <c r="C985" i="3"/>
  <c r="C986" i="3" a="1"/>
  <c r="C986" i="3"/>
  <c r="C987" i="3" a="1"/>
  <c r="C987" i="3"/>
  <c r="C988" i="3" a="1"/>
  <c r="C988" i="3"/>
  <c r="C989" i="3" a="1"/>
  <c r="C989" i="3"/>
  <c r="C990" i="3" a="1"/>
  <c r="C990" i="3"/>
  <c r="C991" i="3" a="1"/>
  <c r="C991" i="3"/>
  <c r="C992" i="3" a="1"/>
  <c r="C992" i="3"/>
  <c r="C993" i="3" a="1"/>
  <c r="C993" i="3"/>
  <c r="C994" i="3" a="1"/>
  <c r="C994" i="3"/>
  <c r="C995" i="3" a="1"/>
  <c r="C995" i="3"/>
  <c r="C996" i="3" a="1"/>
  <c r="C996" i="3"/>
  <c r="C997" i="3" a="1"/>
  <c r="C997" i="3"/>
  <c r="C998" i="3" a="1"/>
  <c r="C998" i="3"/>
  <c r="C999" i="3" a="1"/>
  <c r="C999" i="3"/>
  <c r="C1000" i="3" a="1"/>
  <c r="C1000" i="3"/>
  <c r="C1001" i="3" a="1"/>
  <c r="C1001" i="3"/>
  <c r="C1002" i="3" a="1"/>
  <c r="C1002" i="3"/>
  <c r="C1003" i="3" a="1"/>
  <c r="C1003" i="3"/>
  <c r="C1004" i="3" a="1"/>
  <c r="C1004" i="3"/>
  <c r="C1005" i="3" a="1"/>
  <c r="C1005" i="3"/>
  <c r="C1006" i="3" a="1"/>
  <c r="C1006" i="3"/>
  <c r="C1007" i="3" a="1"/>
  <c r="C1007" i="3"/>
  <c r="C1008" i="3" a="1"/>
  <c r="C1008" i="3"/>
  <c r="C1009" i="3" a="1"/>
  <c r="C1009" i="3"/>
  <c r="C1010" i="3" a="1"/>
  <c r="C1010" i="3"/>
  <c r="C1011" i="3" a="1"/>
  <c r="C1011" i="3"/>
  <c r="C1012" i="3" a="1"/>
  <c r="C1012" i="3"/>
  <c r="C1013" i="3" a="1"/>
  <c r="C1013" i="3"/>
  <c r="C1014" i="3" a="1"/>
  <c r="C1014" i="3"/>
  <c r="C1015" i="3" a="1"/>
  <c r="C1015" i="3"/>
  <c r="C1016" i="3" a="1"/>
  <c r="C1016" i="3"/>
  <c r="C1017" i="3" a="1"/>
  <c r="C1017" i="3"/>
  <c r="C1018" i="3" a="1"/>
  <c r="C1018" i="3"/>
  <c r="C1019" i="3" a="1"/>
  <c r="C1019" i="3"/>
  <c r="C1020" i="3" a="1"/>
  <c r="C1020" i="3"/>
  <c r="C1021" i="3" a="1"/>
  <c r="C1021" i="3"/>
  <c r="C1022" i="3" a="1"/>
  <c r="C1022" i="3"/>
  <c r="C1023" i="3" a="1"/>
  <c r="C1023" i="3"/>
  <c r="C1024" i="3" a="1"/>
  <c r="C1024" i="3"/>
  <c r="C1025" i="3" a="1"/>
  <c r="C1025" i="3"/>
  <c r="C1026" i="3" a="1"/>
  <c r="C1026" i="3"/>
  <c r="C1027" i="3" a="1"/>
  <c r="C1027" i="3"/>
  <c r="C1028" i="3" a="1"/>
  <c r="C1028" i="3"/>
  <c r="C1029" i="3" a="1"/>
  <c r="C1029" i="3"/>
  <c r="C1030" i="3" a="1"/>
  <c r="C1030" i="3"/>
  <c r="C1031" i="3" a="1"/>
  <c r="C1031" i="3"/>
  <c r="C1032" i="3" a="1"/>
  <c r="C1032" i="3"/>
  <c r="C1033" i="3" a="1"/>
  <c r="C1033" i="3"/>
  <c r="C1034" i="3" a="1"/>
  <c r="C1034" i="3"/>
  <c r="C1035" i="3" a="1"/>
  <c r="C1035" i="3"/>
  <c r="C1036" i="3" a="1"/>
  <c r="C1036" i="3"/>
  <c r="C1037" i="3" a="1"/>
  <c r="C1037" i="3"/>
  <c r="C1038" i="3" a="1"/>
  <c r="C1038" i="3"/>
  <c r="C1039" i="3" a="1"/>
  <c r="C1039" i="3"/>
  <c r="C1040" i="3" a="1"/>
  <c r="C1040" i="3"/>
  <c r="C1041" i="3" a="1"/>
  <c r="C1041" i="3"/>
  <c r="C1042" i="3" a="1"/>
  <c r="C1042" i="3"/>
  <c r="C1043" i="3" a="1"/>
  <c r="C1043" i="3"/>
  <c r="C1044" i="3" a="1"/>
  <c r="C1044" i="3"/>
  <c r="C1045" i="3" a="1"/>
  <c r="C1045" i="3"/>
  <c r="C1046" i="3" a="1"/>
  <c r="C1046" i="3"/>
  <c r="C1047" i="3" a="1"/>
  <c r="C1047" i="3"/>
  <c r="C1048" i="3" a="1"/>
  <c r="C1048" i="3"/>
  <c r="C1049" i="3" a="1"/>
  <c r="C1049" i="3"/>
  <c r="C1050" i="3" a="1"/>
  <c r="C1050" i="3"/>
  <c r="C1051" i="3" a="1"/>
  <c r="C1051" i="3"/>
  <c r="C1052" i="3" a="1"/>
  <c r="C1052" i="3"/>
  <c r="C1053" i="3" a="1"/>
  <c r="C1053" i="3"/>
  <c r="C1054" i="3" a="1"/>
  <c r="C1054" i="3"/>
  <c r="C1055" i="3" a="1"/>
  <c r="C1055" i="3"/>
  <c r="C1056" i="3" a="1"/>
  <c r="C1056" i="3"/>
  <c r="C1057" i="3" a="1"/>
  <c r="C1057" i="3"/>
  <c r="C1058" i="3" a="1"/>
  <c r="C1058" i="3"/>
  <c r="C1059" i="3" a="1"/>
  <c r="C1059" i="3"/>
  <c r="C1060" i="3" a="1"/>
  <c r="C1060" i="3"/>
  <c r="C1061" i="3" a="1"/>
  <c r="C1061" i="3"/>
  <c r="C1062" i="3" a="1"/>
  <c r="C1062" i="3"/>
  <c r="C1063" i="3" a="1"/>
  <c r="C1063" i="3"/>
  <c r="C1064" i="3" a="1"/>
  <c r="C1064" i="3"/>
  <c r="C1065" i="3" a="1"/>
  <c r="C1065" i="3"/>
  <c r="C1066" i="3" a="1"/>
  <c r="C1066" i="3"/>
  <c r="C1067" i="3" a="1"/>
  <c r="C1067" i="3"/>
  <c r="C1068" i="3" a="1"/>
  <c r="C1068" i="3"/>
  <c r="C1069" i="3" a="1"/>
  <c r="C1069" i="3"/>
  <c r="C1070" i="3" a="1"/>
  <c r="C1070" i="3"/>
  <c r="C1071" i="3" a="1"/>
  <c r="C1071" i="3"/>
  <c r="C1072" i="3" a="1"/>
  <c r="C1072" i="3"/>
  <c r="C1073" i="3" a="1"/>
  <c r="C1073" i="3"/>
  <c r="C1074" i="3" a="1"/>
  <c r="C1074" i="3"/>
  <c r="C1075" i="3" a="1"/>
  <c r="C1075" i="3"/>
  <c r="C1076" i="3" a="1"/>
  <c r="C1076" i="3"/>
  <c r="C1077" i="3" a="1"/>
  <c r="C1077" i="3"/>
  <c r="C1078" i="3" a="1"/>
  <c r="C1078" i="3"/>
  <c r="C1079" i="3" a="1"/>
  <c r="C1079" i="3"/>
  <c r="C1080" i="3" a="1"/>
  <c r="C1080" i="3"/>
  <c r="C1081" i="3" a="1"/>
  <c r="C1081" i="3"/>
  <c r="C1082" i="3" a="1"/>
  <c r="C1082" i="3"/>
  <c r="C1083" i="3" a="1"/>
  <c r="C1083" i="3"/>
  <c r="C1084" i="3" a="1"/>
  <c r="C1084" i="3"/>
  <c r="C1085" i="3" a="1"/>
  <c r="C1085" i="3"/>
  <c r="C1086" i="3" a="1"/>
  <c r="C1086" i="3"/>
  <c r="C1087" i="3" a="1"/>
  <c r="C1087" i="3"/>
  <c r="C1088" i="3" a="1"/>
  <c r="C1088" i="3"/>
  <c r="C1089" i="3" a="1"/>
  <c r="C1089" i="3"/>
  <c r="C1090" i="3" a="1"/>
  <c r="C1090" i="3"/>
  <c r="C1091" i="3" a="1"/>
  <c r="C1091" i="3"/>
  <c r="C1092" i="3" a="1"/>
  <c r="C1092" i="3"/>
  <c r="C1093" i="3" a="1"/>
  <c r="C1093" i="3"/>
  <c r="C1094" i="3" a="1"/>
  <c r="C1094" i="3"/>
  <c r="C1095" i="3" a="1"/>
  <c r="C1095" i="3"/>
  <c r="C1096" i="3" a="1"/>
  <c r="C1096" i="3"/>
  <c r="C1097" i="3" a="1"/>
  <c r="C1097" i="3"/>
  <c r="C1098" i="3" a="1"/>
  <c r="C1098" i="3"/>
  <c r="C1099" i="3" a="1"/>
  <c r="C1099" i="3"/>
  <c r="C1100" i="3" a="1"/>
  <c r="C1100" i="3"/>
  <c r="C1101" i="3" a="1"/>
  <c r="C1101" i="3"/>
  <c r="C1102" i="3" a="1"/>
  <c r="C1102" i="3"/>
  <c r="C1103" i="3" a="1"/>
  <c r="C1103" i="3"/>
  <c r="C1104" i="3" a="1"/>
  <c r="C1104" i="3"/>
  <c r="C1105" i="3" a="1"/>
  <c r="C1105" i="3"/>
  <c r="C1106" i="3" a="1"/>
  <c r="C1106" i="3"/>
  <c r="C1107" i="3" a="1"/>
  <c r="C1107" i="3"/>
  <c r="C1108" i="3" a="1"/>
  <c r="C1108" i="3"/>
  <c r="C1109" i="3" a="1"/>
  <c r="C1109" i="3"/>
  <c r="C1110" i="3" a="1"/>
  <c r="C1110" i="3"/>
  <c r="C1111" i="3" a="1"/>
  <c r="C1111" i="3"/>
  <c r="C1112" i="3" a="1"/>
  <c r="C1112" i="3"/>
  <c r="C1113" i="3" a="1"/>
  <c r="C1113" i="3"/>
  <c r="C1114" i="3" a="1"/>
  <c r="C1114" i="3"/>
  <c r="C1115" i="3" a="1"/>
  <c r="C1115" i="3"/>
  <c r="C1116" i="3" a="1"/>
  <c r="C1116" i="3"/>
  <c r="C1117" i="3" a="1"/>
  <c r="C1117" i="3"/>
  <c r="C1118" i="3" a="1"/>
  <c r="C1118" i="3"/>
  <c r="C1119" i="3" a="1"/>
  <c r="C1119" i="3"/>
  <c r="C1120" i="3" a="1"/>
  <c r="C1120" i="3"/>
  <c r="C1121" i="3" a="1"/>
  <c r="C1121" i="3"/>
  <c r="C1122" i="3" a="1"/>
  <c r="C1122" i="3"/>
  <c r="C1123" i="3" a="1"/>
  <c r="C1123" i="3"/>
  <c r="C1124" i="3" a="1"/>
  <c r="C1124" i="3"/>
  <c r="C1125" i="3" a="1"/>
  <c r="C1125" i="3"/>
  <c r="C1126" i="3" a="1"/>
  <c r="C1126" i="3"/>
  <c r="C1127" i="3" a="1"/>
  <c r="C1127" i="3"/>
  <c r="C1128" i="3" a="1"/>
  <c r="C1128" i="3"/>
  <c r="C1129" i="3" a="1"/>
  <c r="C1129" i="3"/>
  <c r="C1130" i="3" a="1"/>
  <c r="C1130" i="3"/>
  <c r="C1131" i="3" a="1"/>
  <c r="C1131" i="3"/>
  <c r="C1132" i="3" a="1"/>
  <c r="C1132" i="3"/>
  <c r="C1133" i="3" a="1"/>
  <c r="C1133" i="3"/>
  <c r="C1134" i="3" a="1"/>
  <c r="C1134" i="3"/>
  <c r="C1135" i="3" a="1"/>
  <c r="C1135" i="3"/>
  <c r="C1136" i="3" a="1"/>
  <c r="C1136" i="3"/>
  <c r="C1137" i="3" a="1"/>
  <c r="C1137" i="3"/>
  <c r="C1138" i="3" a="1"/>
  <c r="C1138" i="3"/>
  <c r="C1139" i="3" a="1"/>
  <c r="C1139" i="3"/>
  <c r="C1140" i="3" a="1"/>
  <c r="C1140" i="3"/>
  <c r="C1141" i="3" a="1"/>
  <c r="C1141" i="3"/>
  <c r="C1142" i="3" a="1"/>
  <c r="C1142" i="3"/>
  <c r="C1143" i="3" a="1"/>
  <c r="C1143" i="3"/>
  <c r="C1144" i="3" a="1"/>
  <c r="C1144" i="3"/>
  <c r="C1145" i="3" a="1"/>
  <c r="C1145" i="3"/>
  <c r="C1146" i="3" a="1"/>
  <c r="C1146" i="3"/>
  <c r="C1147" i="3" a="1"/>
  <c r="C1147" i="3"/>
  <c r="C1148" i="3" a="1"/>
  <c r="C1148" i="3"/>
  <c r="C1149" i="3" a="1"/>
  <c r="C1149" i="3"/>
  <c r="C1150" i="3" a="1"/>
  <c r="C1150" i="3"/>
  <c r="C1151" i="3" a="1"/>
  <c r="C1151" i="3"/>
  <c r="C1152" i="3" a="1"/>
  <c r="C1152" i="3"/>
  <c r="C1153" i="3" a="1"/>
  <c r="C1153" i="3"/>
  <c r="C1154" i="3" a="1"/>
  <c r="C1154" i="3"/>
  <c r="C1155" i="3" a="1"/>
  <c r="C1155" i="3"/>
  <c r="C1156" i="3" a="1"/>
  <c r="C1156" i="3"/>
  <c r="C1157" i="3" a="1"/>
  <c r="C1157" i="3"/>
  <c r="C1158" i="3" a="1"/>
  <c r="C1158" i="3"/>
  <c r="C1159" i="3" a="1"/>
  <c r="C1159" i="3"/>
  <c r="C1160" i="3" a="1"/>
  <c r="C1160" i="3"/>
  <c r="C1161" i="3" a="1"/>
  <c r="C1161" i="3"/>
  <c r="C1162" i="3" a="1"/>
  <c r="C1162" i="3"/>
  <c r="C1163" i="3" a="1"/>
  <c r="C1163" i="3"/>
  <c r="C1164" i="3" a="1"/>
  <c r="C1164" i="3"/>
  <c r="C1165" i="3" a="1"/>
  <c r="C1165" i="3"/>
  <c r="C1166" i="3" a="1"/>
  <c r="C1166" i="3"/>
  <c r="C1167" i="3" a="1"/>
  <c r="C1167" i="3"/>
  <c r="C1168" i="3" a="1"/>
  <c r="C1168" i="3"/>
  <c r="C1169" i="3" a="1"/>
  <c r="C1169" i="3"/>
  <c r="C1170" i="3" a="1"/>
  <c r="C1170" i="3"/>
  <c r="C1171" i="3" a="1"/>
  <c r="C1171" i="3"/>
  <c r="C1172" i="3" a="1"/>
  <c r="C1172" i="3"/>
  <c r="C1173" i="3" a="1"/>
  <c r="C1173" i="3"/>
  <c r="C1174" i="3" a="1"/>
  <c r="C1174" i="3"/>
  <c r="C1175" i="3" a="1"/>
  <c r="C1175" i="3"/>
  <c r="C1176" i="3" a="1"/>
  <c r="C1176" i="3"/>
  <c r="C1177" i="3" a="1"/>
  <c r="C1177" i="3"/>
  <c r="C1178" i="3" a="1"/>
  <c r="C1178" i="3"/>
  <c r="C1179" i="3" a="1"/>
  <c r="C1179" i="3"/>
  <c r="C1180" i="3" a="1"/>
  <c r="C1180" i="3"/>
  <c r="C1181" i="3" a="1"/>
  <c r="C1181" i="3"/>
  <c r="C1182" i="3" a="1"/>
  <c r="C1182" i="3"/>
  <c r="C1183" i="3" a="1"/>
  <c r="C1183" i="3"/>
  <c r="C1184" i="3" a="1"/>
  <c r="C1184" i="3"/>
  <c r="C1185" i="3" a="1"/>
  <c r="C1185" i="3"/>
  <c r="C1186" i="3" a="1"/>
  <c r="C1186" i="3"/>
  <c r="C1187" i="3" a="1"/>
  <c r="C1187" i="3"/>
  <c r="C1188" i="3" a="1"/>
  <c r="C1188" i="3"/>
  <c r="C1189" i="3" a="1"/>
  <c r="C1189" i="3"/>
  <c r="C1190" i="3" a="1"/>
  <c r="C1190" i="3"/>
  <c r="C1191" i="3" a="1"/>
  <c r="C1191" i="3"/>
  <c r="C1192" i="3" a="1"/>
  <c r="C1192" i="3"/>
  <c r="C1193" i="3" a="1"/>
  <c r="C1193" i="3"/>
  <c r="C1194" i="3" a="1"/>
  <c r="C1194" i="3"/>
  <c r="C1195" i="3" a="1"/>
  <c r="C1195" i="3"/>
  <c r="C1196" i="3" a="1"/>
  <c r="C1196" i="3"/>
  <c r="C1197" i="3" a="1"/>
  <c r="C1197" i="3"/>
  <c r="C1198" i="3" a="1"/>
  <c r="C1198" i="3"/>
  <c r="C1199" i="3" a="1"/>
  <c r="C1199" i="3"/>
  <c r="C1200" i="3" a="1"/>
  <c r="C1200" i="3"/>
  <c r="C1201" i="3" a="1"/>
  <c r="C1201" i="3"/>
  <c r="C1202" i="3" a="1"/>
  <c r="C1202" i="3"/>
  <c r="C1203" i="3" a="1"/>
  <c r="C1203" i="3"/>
  <c r="C1204" i="3" a="1"/>
  <c r="C1204" i="3"/>
  <c r="C1205" i="3" a="1"/>
  <c r="C1205" i="3"/>
  <c r="C1206" i="3" a="1"/>
  <c r="C1206" i="3"/>
  <c r="C1207" i="3" a="1"/>
  <c r="C1207" i="3"/>
  <c r="C1208" i="3" a="1"/>
  <c r="C1208" i="3"/>
  <c r="C1209" i="3" a="1"/>
  <c r="C1209" i="3"/>
  <c r="C1210" i="3" a="1"/>
  <c r="C1210" i="3"/>
  <c r="C1211" i="3" a="1"/>
  <c r="C1211" i="3"/>
  <c r="C1212" i="3" a="1"/>
  <c r="C1212" i="3"/>
  <c r="C1213" i="3" a="1"/>
  <c r="C1213" i="3"/>
  <c r="C1214" i="3" a="1"/>
  <c r="C1214" i="3"/>
  <c r="C1215" i="3" a="1"/>
  <c r="C1215" i="3"/>
  <c r="C1216" i="3" a="1"/>
  <c r="C1216" i="3"/>
  <c r="C1217" i="3" a="1"/>
  <c r="C1217" i="3"/>
  <c r="C1218" i="3" a="1"/>
  <c r="C1218" i="3"/>
  <c r="C1219" i="3" a="1"/>
  <c r="C1219" i="3"/>
  <c r="C1220" i="3" a="1"/>
  <c r="C1220" i="3"/>
  <c r="C1221" i="3" a="1"/>
  <c r="C1221" i="3"/>
  <c r="C1222" i="3" a="1"/>
  <c r="C1222" i="3"/>
  <c r="C1223" i="3" a="1"/>
  <c r="C1223" i="3"/>
  <c r="C1224" i="3" a="1"/>
  <c r="C1224" i="3"/>
  <c r="C1225" i="3" a="1"/>
  <c r="C1225" i="3"/>
  <c r="C1226" i="3" a="1"/>
  <c r="C1226" i="3"/>
  <c r="C1227" i="3" a="1"/>
  <c r="C1227" i="3"/>
  <c r="C1228" i="3" a="1"/>
  <c r="C1228" i="3"/>
  <c r="C1229" i="3" a="1"/>
  <c r="C1229" i="3"/>
  <c r="C1230" i="3" a="1"/>
  <c r="C1230" i="3"/>
  <c r="C1231" i="3" a="1"/>
  <c r="C1231" i="3"/>
  <c r="C1232" i="3" a="1"/>
  <c r="C1232" i="3"/>
  <c r="C1233" i="3" a="1"/>
  <c r="C1233" i="3"/>
  <c r="C1234" i="3" a="1"/>
  <c r="C1234" i="3"/>
  <c r="C1235" i="3" a="1"/>
  <c r="C1235" i="3"/>
  <c r="C1236" i="3" a="1"/>
  <c r="C1236" i="3"/>
  <c r="C1237" i="3" a="1"/>
  <c r="C1237" i="3"/>
  <c r="C1238" i="3" a="1"/>
  <c r="C1238" i="3"/>
  <c r="C1239" i="3" a="1"/>
  <c r="C1239" i="3"/>
  <c r="C1240" i="3" a="1"/>
  <c r="C1240" i="3"/>
  <c r="C1241" i="3" a="1"/>
  <c r="C1241" i="3"/>
  <c r="C1242" i="3" a="1"/>
  <c r="C1242" i="3"/>
  <c r="C1243" i="3" a="1"/>
  <c r="C1243" i="3"/>
  <c r="C1244" i="3" a="1"/>
  <c r="C1244" i="3"/>
  <c r="C1245" i="3" a="1"/>
  <c r="C1245" i="3"/>
  <c r="C1246" i="3" a="1"/>
  <c r="C1246" i="3"/>
  <c r="C1247" i="3" a="1"/>
  <c r="C1247" i="3"/>
  <c r="C1248" i="3" a="1"/>
  <c r="C1248" i="3"/>
  <c r="C1249" i="3" a="1"/>
  <c r="C1249" i="3"/>
  <c r="C1250" i="3" a="1"/>
  <c r="C1250" i="3"/>
  <c r="C1251" i="3" a="1"/>
  <c r="C1251" i="3"/>
  <c r="C1252" i="3" a="1"/>
  <c r="C1252" i="3"/>
  <c r="C1253" i="3" a="1"/>
  <c r="C1253" i="3"/>
  <c r="C1254" i="3" a="1"/>
  <c r="C1254" i="3"/>
  <c r="C1255" i="3" a="1"/>
  <c r="C1255" i="3"/>
  <c r="C1256" i="3" a="1"/>
  <c r="C1256" i="3"/>
  <c r="C1257" i="3" a="1"/>
  <c r="C1257" i="3"/>
  <c r="C1258" i="3" a="1"/>
  <c r="C1258" i="3"/>
  <c r="C1259" i="3" a="1"/>
  <c r="C1259" i="3"/>
  <c r="C1260" i="3" a="1"/>
  <c r="C1260" i="3"/>
  <c r="C1261" i="3" a="1"/>
  <c r="C1261" i="3"/>
  <c r="C1262" i="3" a="1"/>
  <c r="C1262" i="3"/>
  <c r="C1263" i="3" a="1"/>
  <c r="C1263" i="3"/>
  <c r="C1264" i="3" a="1"/>
  <c r="C1264" i="3"/>
  <c r="C1265" i="3" a="1"/>
  <c r="C1265" i="3"/>
  <c r="C1266" i="3" a="1"/>
  <c r="C1266" i="3"/>
  <c r="C1267" i="3" a="1"/>
  <c r="C1267" i="3"/>
  <c r="C1268" i="3" a="1"/>
  <c r="C1268" i="3"/>
  <c r="C1269" i="3" a="1"/>
  <c r="C1269" i="3"/>
  <c r="C1270" i="3" a="1"/>
  <c r="C1270" i="3"/>
  <c r="C1271" i="3" a="1"/>
  <c r="C1271" i="3"/>
  <c r="C1272" i="3" a="1"/>
  <c r="C1272" i="3"/>
  <c r="C1273" i="3" a="1"/>
  <c r="C1273" i="3"/>
  <c r="C1274" i="3" a="1"/>
  <c r="C1274" i="3"/>
  <c r="C1275" i="3" a="1"/>
  <c r="C1275" i="3"/>
  <c r="C1276" i="3" a="1"/>
  <c r="C1276" i="3"/>
  <c r="C1277" i="3" a="1"/>
  <c r="C1277" i="3"/>
  <c r="C1278" i="3" a="1"/>
  <c r="C1278" i="3"/>
  <c r="C1279" i="3" a="1"/>
  <c r="C1279" i="3"/>
  <c r="C1280" i="3" a="1"/>
  <c r="C1280" i="3"/>
  <c r="C1281" i="3" a="1"/>
  <c r="C1281" i="3"/>
  <c r="C1282" i="3" a="1"/>
  <c r="C1282" i="3"/>
  <c r="C1283" i="3" a="1"/>
  <c r="C1283" i="3"/>
  <c r="C1284" i="3" a="1"/>
  <c r="C1284" i="3"/>
  <c r="C1285" i="3" a="1"/>
  <c r="C1285" i="3"/>
  <c r="C1286" i="3" a="1"/>
  <c r="C1286" i="3"/>
  <c r="C1287" i="3" a="1"/>
  <c r="C1287" i="3"/>
  <c r="C1288" i="3" a="1"/>
  <c r="C1288" i="3"/>
  <c r="C1289" i="3" a="1"/>
  <c r="C1289" i="3"/>
  <c r="C1290" i="3" a="1"/>
  <c r="C1290" i="3"/>
  <c r="C1291" i="3" a="1"/>
  <c r="C1291" i="3"/>
  <c r="C1292" i="3" a="1"/>
  <c r="C1292" i="3"/>
  <c r="C1293" i="3" a="1"/>
  <c r="C1293" i="3"/>
  <c r="C1294" i="3" a="1"/>
  <c r="C1294" i="3"/>
  <c r="C1295" i="3" a="1"/>
  <c r="C1295" i="3"/>
  <c r="C1296" i="3" a="1"/>
  <c r="C1296" i="3"/>
  <c r="C1297" i="3" a="1"/>
  <c r="C1297" i="3"/>
  <c r="C1298" i="3" a="1"/>
  <c r="C1298" i="3"/>
  <c r="C1299" i="3" a="1"/>
  <c r="C1299" i="3"/>
  <c r="C1300" i="3" a="1"/>
  <c r="C1300" i="3"/>
  <c r="C1301" i="3" a="1"/>
  <c r="C1301" i="3"/>
  <c r="C1302" i="3" a="1"/>
  <c r="C1302" i="3"/>
  <c r="C1303" i="3" a="1"/>
  <c r="C1303" i="3"/>
  <c r="C1304" i="3" a="1"/>
  <c r="C1304" i="3"/>
  <c r="C1305" i="3" a="1"/>
  <c r="C1305" i="3"/>
  <c r="C1306" i="3" a="1"/>
  <c r="C1306" i="3"/>
  <c r="C1307" i="3" a="1"/>
  <c r="C1307" i="3"/>
  <c r="C1308" i="3" a="1"/>
  <c r="C1308" i="3"/>
  <c r="C1309" i="3" a="1"/>
  <c r="C1309" i="3"/>
  <c r="C1310" i="3" a="1"/>
  <c r="C1310" i="3"/>
  <c r="C1311" i="3" a="1"/>
  <c r="C1311" i="3"/>
  <c r="C1312" i="3" a="1"/>
  <c r="C1312" i="3"/>
  <c r="C1313" i="3" a="1"/>
  <c r="C1313" i="3"/>
  <c r="C1314" i="3" a="1"/>
  <c r="C1314" i="3"/>
  <c r="C1315" i="3" a="1"/>
  <c r="C1315" i="3"/>
  <c r="C1316" i="3" a="1"/>
  <c r="C1316" i="3"/>
  <c r="C1317" i="3" a="1"/>
  <c r="C1317" i="3"/>
  <c r="C1318" i="3" a="1"/>
  <c r="C1318" i="3"/>
  <c r="C1319" i="3" a="1"/>
  <c r="C1319" i="3"/>
  <c r="C1320" i="3" a="1"/>
  <c r="C1320" i="3"/>
  <c r="C1321" i="3" a="1"/>
  <c r="C1321" i="3"/>
  <c r="C1322" i="3" a="1"/>
  <c r="C1322" i="3"/>
  <c r="C1323" i="3" a="1"/>
  <c r="C1323" i="3"/>
  <c r="C1324" i="3" a="1"/>
  <c r="C1324" i="3"/>
  <c r="C1325" i="3" a="1"/>
  <c r="C1325" i="3"/>
  <c r="C1326" i="3" a="1"/>
  <c r="C1326" i="3"/>
  <c r="C1327" i="3" a="1"/>
  <c r="C1327" i="3"/>
  <c r="C1328" i="3" a="1"/>
  <c r="C1328" i="3"/>
  <c r="C1329" i="3" a="1"/>
  <c r="C1329" i="3"/>
  <c r="C1330" i="3" a="1"/>
  <c r="C1330" i="3"/>
  <c r="C1331" i="3" a="1"/>
  <c r="C1331" i="3"/>
  <c r="C1332" i="3" a="1"/>
  <c r="C1332" i="3"/>
  <c r="C1333" i="3" a="1"/>
  <c r="C1333" i="3"/>
  <c r="C1334" i="3" a="1"/>
  <c r="C1334" i="3"/>
  <c r="C1335" i="3" a="1"/>
  <c r="C1335" i="3"/>
  <c r="C1336" i="3" a="1"/>
  <c r="C1336" i="3"/>
  <c r="C1337" i="3" a="1"/>
  <c r="C1337" i="3"/>
  <c r="C1338" i="3" a="1"/>
  <c r="C1338" i="3"/>
  <c r="C1339" i="3" a="1"/>
  <c r="C1339" i="3"/>
  <c r="C1340" i="3" a="1"/>
  <c r="C1340" i="3"/>
  <c r="C1341" i="3" a="1"/>
  <c r="C1341" i="3"/>
  <c r="C1342" i="3" a="1"/>
  <c r="C1342" i="3"/>
  <c r="C1343" i="3" a="1"/>
  <c r="C1343" i="3"/>
  <c r="C1344" i="3" a="1"/>
  <c r="C1344" i="3"/>
  <c r="C1345" i="3" a="1"/>
  <c r="C1345" i="3"/>
  <c r="C1346" i="3" a="1"/>
  <c r="C1346" i="3"/>
  <c r="C1347" i="3" a="1"/>
  <c r="C1347" i="3"/>
  <c r="C1348" i="3" a="1"/>
  <c r="C1348" i="3"/>
  <c r="C1349" i="3" a="1"/>
  <c r="C1349" i="3"/>
  <c r="C1350" i="3" a="1"/>
  <c r="C1350" i="3"/>
  <c r="C1351" i="3" a="1"/>
  <c r="C1351" i="3"/>
  <c r="C1352" i="3" a="1"/>
  <c r="C1352" i="3"/>
  <c r="C1353" i="3" a="1"/>
  <c r="C1353" i="3"/>
  <c r="C1354" i="3" a="1"/>
  <c r="C1354" i="3"/>
  <c r="C1355" i="3" a="1"/>
  <c r="C1355" i="3"/>
  <c r="C1356" i="3" a="1"/>
  <c r="C1356" i="3"/>
  <c r="C1357" i="3" a="1"/>
  <c r="C1357" i="3"/>
  <c r="C1358" i="3" a="1"/>
  <c r="C1358" i="3"/>
  <c r="C1359" i="3" a="1"/>
  <c r="C1359" i="3"/>
  <c r="C1360" i="3" a="1"/>
  <c r="C1360" i="3"/>
  <c r="C1361" i="3" a="1"/>
  <c r="C1361" i="3"/>
  <c r="C1362" i="3" a="1"/>
  <c r="C1362" i="3"/>
  <c r="C1363" i="3" a="1"/>
  <c r="C1363" i="3"/>
  <c r="C1364" i="3" a="1"/>
  <c r="C1364" i="3"/>
  <c r="C1365" i="3" a="1"/>
  <c r="C1365" i="3"/>
  <c r="C1366" i="3" a="1"/>
  <c r="C1366" i="3"/>
  <c r="C1367" i="3" a="1"/>
  <c r="C1367" i="3"/>
  <c r="C1368" i="3" a="1"/>
  <c r="C1368" i="3"/>
  <c r="C1369" i="3" a="1"/>
  <c r="C1369" i="3"/>
  <c r="C1370" i="3" a="1"/>
  <c r="C1370" i="3"/>
  <c r="C1371" i="3" a="1"/>
  <c r="C1371" i="3"/>
  <c r="C1372" i="3" a="1"/>
  <c r="C1372" i="3"/>
  <c r="C1373" i="3" a="1"/>
  <c r="C1373" i="3"/>
  <c r="C1374" i="3" a="1"/>
  <c r="C1374" i="3"/>
  <c r="C1375" i="3" a="1"/>
  <c r="C1375" i="3"/>
  <c r="C1376" i="3" a="1"/>
  <c r="C1376" i="3"/>
  <c r="C1377" i="3" a="1"/>
  <c r="C1377" i="3"/>
  <c r="C1378" i="3" a="1"/>
  <c r="C1378" i="3"/>
  <c r="C1379" i="3" a="1"/>
  <c r="C1379" i="3"/>
  <c r="C1380" i="3" a="1"/>
  <c r="C1380" i="3"/>
  <c r="C1381" i="3" a="1"/>
  <c r="C1381" i="3"/>
  <c r="C1382" i="3" a="1"/>
  <c r="C1382" i="3"/>
  <c r="C1383" i="3" a="1"/>
  <c r="C1383" i="3"/>
  <c r="C1384" i="3" a="1"/>
  <c r="C1384" i="3"/>
  <c r="C1385" i="3" a="1"/>
  <c r="C1385" i="3"/>
  <c r="C1386" i="3" a="1"/>
  <c r="C1386" i="3"/>
  <c r="C1387" i="3" a="1"/>
  <c r="C1387" i="3"/>
  <c r="C1388" i="3" a="1"/>
  <c r="C1388" i="3"/>
  <c r="C1389" i="3" a="1"/>
  <c r="C1389" i="3"/>
  <c r="C1390" i="3" a="1"/>
  <c r="C1390" i="3"/>
  <c r="C1391" i="3" a="1"/>
  <c r="C1391" i="3"/>
  <c r="C1392" i="3" a="1"/>
  <c r="C1392" i="3"/>
  <c r="C1393" i="3" a="1"/>
  <c r="C1393" i="3"/>
  <c r="C1394" i="3" a="1"/>
  <c r="C1394" i="3"/>
  <c r="C1395" i="3" a="1"/>
  <c r="C1395" i="3"/>
  <c r="C1396" i="3" a="1"/>
  <c r="C1396" i="3"/>
  <c r="C1397" i="3" a="1"/>
  <c r="C1397" i="3"/>
  <c r="C1398" i="3" a="1"/>
  <c r="C1398" i="3"/>
  <c r="C1399" i="3" a="1"/>
  <c r="C1399" i="3"/>
  <c r="C1400" i="3" a="1"/>
  <c r="C1400" i="3"/>
  <c r="C1401" i="3" a="1"/>
  <c r="C1401" i="3"/>
  <c r="C1402" i="3" a="1"/>
  <c r="C1402" i="3"/>
  <c r="C1403" i="3" a="1"/>
  <c r="C1403" i="3"/>
  <c r="C1404" i="3" a="1"/>
  <c r="C1404" i="3"/>
  <c r="C1405" i="3" a="1"/>
  <c r="C1405" i="3"/>
  <c r="C1406" i="3" a="1"/>
  <c r="C1406" i="3"/>
  <c r="C1407" i="3" a="1"/>
  <c r="C1407" i="3"/>
  <c r="C1408" i="3" a="1"/>
  <c r="C1408" i="3"/>
  <c r="C1409" i="3" a="1"/>
  <c r="C1409" i="3"/>
  <c r="C1410" i="3" a="1"/>
  <c r="C1410" i="3"/>
  <c r="C1411" i="3" a="1"/>
  <c r="C1411" i="3"/>
  <c r="C1412" i="3" a="1"/>
  <c r="C1412" i="3"/>
  <c r="C1413" i="3" a="1"/>
  <c r="C1413" i="3"/>
  <c r="C1414" i="3" a="1"/>
  <c r="C1414" i="3"/>
  <c r="C1415" i="3" a="1"/>
  <c r="C1415" i="3"/>
  <c r="C1416" i="3" a="1"/>
  <c r="C1416" i="3"/>
  <c r="C1417" i="3" a="1"/>
  <c r="C1417" i="3"/>
  <c r="C1418" i="3" a="1"/>
  <c r="C1418" i="3"/>
  <c r="C1419" i="3" a="1"/>
  <c r="C1419" i="3"/>
  <c r="C1420" i="3" a="1"/>
  <c r="C1420" i="3"/>
  <c r="C1421" i="3" a="1"/>
  <c r="C1421" i="3"/>
  <c r="C1422" i="3" a="1"/>
  <c r="C1422" i="3"/>
  <c r="C1423" i="3" a="1"/>
  <c r="C1423" i="3"/>
  <c r="C1424" i="3" a="1"/>
  <c r="C1424" i="3"/>
  <c r="C1425" i="3" a="1"/>
  <c r="C1425" i="3"/>
  <c r="C1426" i="3" a="1"/>
  <c r="C1426" i="3"/>
  <c r="C1427" i="3" a="1"/>
  <c r="C1427" i="3"/>
  <c r="C1428" i="3" a="1"/>
  <c r="C1428" i="3"/>
  <c r="C1429" i="3" a="1"/>
  <c r="C1429" i="3"/>
  <c r="C1430" i="3" a="1"/>
  <c r="C1430" i="3"/>
  <c r="C1431" i="3" a="1"/>
  <c r="C1431" i="3"/>
  <c r="C1432" i="3" a="1"/>
  <c r="C1432" i="3"/>
  <c r="C1433" i="3" a="1"/>
  <c r="C1433" i="3"/>
  <c r="C1434" i="3" a="1"/>
  <c r="C1434" i="3"/>
  <c r="C1435" i="3" a="1"/>
  <c r="C1435" i="3"/>
  <c r="C1436" i="3" a="1"/>
  <c r="C1436" i="3"/>
  <c r="C1437" i="3" a="1"/>
  <c r="C1437" i="3"/>
  <c r="C1438" i="3" a="1"/>
  <c r="C1438" i="3"/>
  <c r="C1439" i="3" a="1"/>
  <c r="C1439" i="3"/>
  <c r="C1440" i="3" a="1"/>
  <c r="C1440" i="3"/>
  <c r="C1441" i="3" a="1"/>
  <c r="C1441" i="3"/>
  <c r="C1442" i="3" a="1"/>
  <c r="C1442" i="3"/>
  <c r="C1443" i="3" a="1"/>
  <c r="C1443" i="3"/>
  <c r="C1444" i="3" a="1"/>
  <c r="C1444" i="3"/>
  <c r="C1445" i="3" a="1"/>
  <c r="C1445" i="3"/>
  <c r="C1446" i="3" a="1"/>
  <c r="C1446" i="3"/>
  <c r="C1447" i="3" a="1"/>
  <c r="C1447" i="3"/>
  <c r="C1448" i="3" a="1"/>
  <c r="C1448" i="3"/>
  <c r="C1449" i="3" a="1"/>
  <c r="C1449" i="3"/>
  <c r="C1450" i="3" a="1"/>
  <c r="C1450" i="3"/>
  <c r="C1451" i="3" a="1"/>
  <c r="C1451" i="3"/>
  <c r="C1452" i="3" a="1"/>
  <c r="C1452" i="3"/>
  <c r="C1453" i="3" a="1"/>
  <c r="C1453" i="3"/>
  <c r="C1454" i="3" a="1"/>
  <c r="C1454" i="3"/>
  <c r="C1455" i="3" a="1"/>
  <c r="C1455" i="3"/>
  <c r="C1456" i="3" a="1"/>
  <c r="C1456" i="3"/>
  <c r="C1457" i="3" a="1"/>
  <c r="C1457" i="3"/>
  <c r="C1458" i="3" a="1"/>
  <c r="C1458" i="3"/>
  <c r="C1459" i="3" a="1"/>
  <c r="C1459" i="3"/>
  <c r="C1460" i="3" a="1"/>
  <c r="C1460" i="3"/>
  <c r="C1461" i="3" a="1"/>
  <c r="C1461" i="3"/>
  <c r="C1462" i="3" a="1"/>
  <c r="C1462" i="3"/>
  <c r="C1463" i="3" a="1"/>
  <c r="C1463" i="3"/>
  <c r="C1464" i="3" a="1"/>
  <c r="C1464" i="3"/>
  <c r="C1465" i="3" a="1"/>
  <c r="C1465" i="3"/>
  <c r="C1466" i="3" a="1"/>
  <c r="C1466" i="3"/>
  <c r="C1467" i="3" a="1"/>
  <c r="C1467" i="3"/>
  <c r="C1468" i="3" a="1"/>
  <c r="C1468" i="3"/>
  <c r="C1469" i="3" a="1"/>
  <c r="C1469" i="3"/>
  <c r="C1470" i="3" a="1"/>
  <c r="C1470" i="3"/>
  <c r="C1471" i="3" a="1"/>
  <c r="C1471" i="3"/>
  <c r="C1472" i="3" a="1"/>
  <c r="C1472" i="3"/>
  <c r="C1473" i="3" a="1"/>
  <c r="C1473" i="3"/>
  <c r="C1474" i="3" a="1"/>
  <c r="C1474" i="3"/>
  <c r="C1475" i="3" a="1"/>
  <c r="C1475" i="3"/>
  <c r="C1476" i="3" a="1"/>
  <c r="C1476" i="3"/>
  <c r="C1477" i="3" a="1"/>
  <c r="C1477" i="3"/>
  <c r="C1478" i="3" a="1"/>
  <c r="C1478" i="3"/>
  <c r="C1479" i="3" a="1"/>
  <c r="C1479" i="3"/>
  <c r="C1480" i="3" a="1"/>
  <c r="C1480" i="3"/>
  <c r="C1481" i="3" a="1"/>
  <c r="C1481" i="3"/>
  <c r="C1482" i="3" a="1"/>
  <c r="C1482" i="3"/>
  <c r="C1483" i="3" a="1"/>
  <c r="C1483" i="3"/>
  <c r="C1484" i="3" a="1"/>
  <c r="C1484" i="3"/>
  <c r="C1485" i="3" a="1"/>
  <c r="C1485" i="3"/>
  <c r="C1486" i="3" a="1"/>
  <c r="C1486" i="3"/>
  <c r="C1487" i="3" a="1"/>
  <c r="C1487" i="3"/>
  <c r="C1488" i="3" a="1"/>
  <c r="C1488" i="3"/>
  <c r="C1489" i="3" a="1"/>
  <c r="C1489" i="3"/>
  <c r="C1490" i="3" a="1"/>
  <c r="C1490" i="3"/>
  <c r="C1491" i="3" a="1"/>
  <c r="C1491" i="3"/>
  <c r="C1492" i="3" a="1"/>
  <c r="C1492" i="3"/>
  <c r="C1493" i="3" a="1"/>
  <c r="C1493" i="3"/>
  <c r="C1494" i="3" a="1"/>
  <c r="C1494" i="3"/>
  <c r="C1495" i="3" a="1"/>
  <c r="C1495" i="3"/>
  <c r="C1496" i="3" a="1"/>
  <c r="C1496" i="3"/>
  <c r="C1497" i="3" a="1"/>
  <c r="C1497" i="3"/>
  <c r="C1498" i="3" a="1"/>
  <c r="C1498" i="3"/>
  <c r="C1499" i="3" a="1"/>
  <c r="C1499" i="3"/>
  <c r="C1500" i="3" a="1"/>
  <c r="C1500" i="3"/>
  <c r="C1501" i="3" a="1"/>
  <c r="C1501" i="3"/>
  <c r="C1502" i="3" a="1"/>
  <c r="C1502" i="3"/>
  <c r="C1503" i="3" a="1"/>
  <c r="C1503" i="3"/>
  <c r="C1504" i="3" a="1"/>
  <c r="C1504" i="3"/>
  <c r="C1505" i="3" a="1"/>
  <c r="C1505" i="3"/>
  <c r="C1506" i="3" a="1"/>
  <c r="C1506" i="3"/>
  <c r="C1507" i="3" a="1"/>
  <c r="C1507" i="3"/>
  <c r="C1508" i="3" a="1"/>
  <c r="C1508" i="3"/>
  <c r="C1509" i="3" a="1"/>
  <c r="C1509" i="3"/>
  <c r="C1510" i="3" a="1"/>
  <c r="C1510" i="3"/>
  <c r="C1511" i="3" a="1"/>
  <c r="C1511" i="3"/>
  <c r="C1512" i="3" a="1"/>
  <c r="C1512" i="3"/>
  <c r="C1513" i="3" a="1"/>
  <c r="C1513" i="3"/>
  <c r="C1514" i="3" a="1"/>
  <c r="C1514" i="3"/>
  <c r="C1515" i="3" a="1"/>
  <c r="C1515" i="3"/>
  <c r="C1516" i="3" a="1"/>
  <c r="C1516" i="3"/>
  <c r="C1517" i="3" a="1"/>
  <c r="C1517" i="3"/>
  <c r="C1518" i="3" a="1"/>
  <c r="C1518" i="3"/>
  <c r="C1519" i="3" a="1"/>
  <c r="C1519" i="3"/>
  <c r="C1520" i="3" a="1"/>
  <c r="C1520" i="3"/>
  <c r="C1521" i="3" a="1"/>
  <c r="C1521" i="3"/>
  <c r="C1522" i="3" a="1"/>
  <c r="C1522" i="3"/>
  <c r="C1523" i="3" a="1"/>
  <c r="C1523" i="3"/>
  <c r="C1524" i="3" a="1"/>
  <c r="C1524" i="3"/>
  <c r="C1525" i="3" a="1"/>
  <c r="C1525" i="3"/>
  <c r="C1526" i="3" a="1"/>
  <c r="C1526" i="3"/>
  <c r="C1527" i="3" a="1"/>
  <c r="C1527" i="3"/>
  <c r="C1528" i="3" a="1"/>
  <c r="C1528" i="3"/>
  <c r="C1529" i="3" a="1"/>
  <c r="C1529" i="3"/>
  <c r="C1530" i="3" a="1"/>
  <c r="C1530" i="3"/>
  <c r="C1531" i="3" a="1"/>
  <c r="C1531" i="3"/>
  <c r="C1532" i="3" a="1"/>
  <c r="C1532" i="3"/>
  <c r="C1533" i="3" a="1"/>
  <c r="C1533" i="3"/>
  <c r="C1534" i="3" a="1"/>
  <c r="C1534" i="3"/>
  <c r="C1535" i="3" a="1"/>
  <c r="C1535" i="3"/>
  <c r="C1536" i="3" a="1"/>
  <c r="C1536" i="3"/>
  <c r="C1537" i="3" a="1"/>
  <c r="C1537" i="3"/>
  <c r="C1538" i="3" a="1"/>
  <c r="C1538" i="3"/>
  <c r="C1539" i="3" a="1"/>
  <c r="C1539" i="3"/>
  <c r="C1540" i="3" a="1"/>
  <c r="C1540" i="3"/>
  <c r="C1541" i="3" a="1"/>
  <c r="C1541" i="3"/>
  <c r="C1542" i="3" a="1"/>
  <c r="C1542" i="3"/>
  <c r="C1543" i="3" a="1"/>
  <c r="C1543" i="3"/>
  <c r="C1544" i="3" a="1"/>
  <c r="C1544" i="3"/>
  <c r="C1545" i="3" a="1"/>
  <c r="C1545" i="3"/>
  <c r="C1546" i="3" a="1"/>
  <c r="C1546" i="3"/>
  <c r="C1547" i="3" a="1"/>
  <c r="C1547" i="3"/>
  <c r="C1548" i="3" a="1"/>
  <c r="C1548" i="3"/>
  <c r="C1549" i="3" a="1"/>
  <c r="C1549" i="3"/>
  <c r="C1550" i="3" a="1"/>
  <c r="C1550" i="3"/>
  <c r="C1551" i="3" a="1"/>
  <c r="C1551" i="3"/>
  <c r="C1552" i="3" a="1"/>
  <c r="C1552" i="3"/>
  <c r="C1553" i="3" a="1"/>
  <c r="C1553" i="3"/>
  <c r="C1554" i="3" a="1"/>
  <c r="C1554" i="3"/>
  <c r="C1555" i="3" a="1"/>
  <c r="C1555" i="3"/>
  <c r="C1556" i="3" a="1"/>
  <c r="C1556" i="3"/>
  <c r="C1557" i="3" a="1"/>
  <c r="C1557" i="3"/>
  <c r="C1558" i="3" a="1"/>
  <c r="C1558" i="3"/>
  <c r="C1559" i="3" a="1"/>
  <c r="C1559" i="3"/>
  <c r="C1560" i="3" a="1"/>
  <c r="C1560" i="3"/>
  <c r="C1561" i="3" a="1"/>
  <c r="C1561" i="3"/>
  <c r="C1562" i="3" a="1"/>
  <c r="C1562" i="3"/>
  <c r="C1563" i="3" a="1"/>
  <c r="C1563" i="3"/>
  <c r="C1564" i="3" a="1"/>
  <c r="C1564" i="3"/>
  <c r="C1565" i="3" a="1"/>
  <c r="C1565" i="3"/>
  <c r="C1566" i="3" a="1"/>
  <c r="C1566" i="3"/>
  <c r="C1567" i="3" a="1"/>
  <c r="C1567" i="3"/>
  <c r="C1568" i="3" a="1"/>
  <c r="C1568" i="3"/>
  <c r="C1569" i="3" a="1"/>
  <c r="C1569" i="3"/>
  <c r="C1570" i="3" a="1"/>
  <c r="C1570" i="3"/>
  <c r="C1571" i="3" a="1"/>
  <c r="C1571" i="3"/>
  <c r="C1572" i="3" a="1"/>
  <c r="C1572" i="3"/>
  <c r="C1573" i="3" a="1"/>
  <c r="C1573" i="3"/>
  <c r="C1574" i="3" a="1"/>
  <c r="C1574" i="3"/>
  <c r="C1575" i="3" a="1"/>
  <c r="C1575" i="3"/>
  <c r="C1576" i="3" a="1"/>
  <c r="C1576" i="3"/>
  <c r="C1577" i="3" a="1"/>
  <c r="C1577" i="3"/>
  <c r="C1578" i="3" a="1"/>
  <c r="C1578" i="3"/>
  <c r="C1579" i="3" a="1"/>
  <c r="C1579" i="3"/>
  <c r="C1580" i="3" a="1"/>
  <c r="C1580" i="3"/>
  <c r="C1581" i="3" a="1"/>
  <c r="C1581" i="3"/>
  <c r="C1582" i="3" a="1"/>
  <c r="C1582" i="3"/>
  <c r="C1583" i="3" a="1"/>
  <c r="C1583" i="3"/>
  <c r="C1584" i="3" a="1"/>
  <c r="C1584" i="3"/>
  <c r="C1585" i="3" a="1"/>
  <c r="C1585" i="3"/>
  <c r="C1586" i="3" a="1"/>
  <c r="C1586" i="3"/>
  <c r="C1587" i="3" a="1"/>
  <c r="C1587" i="3"/>
  <c r="C1588" i="3" a="1"/>
  <c r="C1588" i="3"/>
  <c r="C1589" i="3" a="1"/>
  <c r="C1589" i="3"/>
  <c r="C1590" i="3" a="1"/>
  <c r="C1590" i="3"/>
  <c r="C1591" i="3" a="1"/>
  <c r="C1591" i="3"/>
  <c r="C1592" i="3" a="1"/>
  <c r="C1592" i="3"/>
  <c r="C1593" i="3" a="1"/>
  <c r="C1593" i="3"/>
  <c r="C1594" i="3" a="1"/>
  <c r="C1594" i="3"/>
  <c r="C1595" i="3" a="1"/>
  <c r="C1595" i="3"/>
  <c r="C1596" i="3" a="1"/>
  <c r="C1596" i="3"/>
  <c r="C1597" i="3" a="1"/>
  <c r="C1597" i="3"/>
  <c r="C1598" i="3" a="1"/>
  <c r="C1598" i="3"/>
  <c r="C1599" i="3" a="1"/>
  <c r="C1599" i="3"/>
  <c r="C1600" i="3" a="1"/>
  <c r="C1600" i="3"/>
  <c r="C1601" i="3" a="1"/>
  <c r="C1601" i="3"/>
  <c r="C1602" i="3" a="1"/>
  <c r="C1602" i="3"/>
  <c r="C1603" i="3" a="1"/>
  <c r="C1603" i="3"/>
  <c r="C1604" i="3" a="1"/>
  <c r="C1604" i="3"/>
  <c r="C1605" i="3" a="1"/>
  <c r="C1605" i="3"/>
  <c r="C1606" i="3" a="1"/>
  <c r="C1606" i="3"/>
  <c r="C1607" i="3" a="1"/>
  <c r="C1607" i="3"/>
  <c r="C1608" i="3" a="1"/>
  <c r="C1608" i="3"/>
  <c r="C1609" i="3" a="1"/>
  <c r="C1609" i="3"/>
  <c r="C1610" i="3" a="1"/>
  <c r="C1610" i="3"/>
  <c r="C1611" i="3" a="1"/>
  <c r="C1611" i="3"/>
  <c r="C1612" i="3" a="1"/>
  <c r="C1612" i="3"/>
  <c r="C1613" i="3" a="1"/>
  <c r="C1613" i="3"/>
  <c r="C1614" i="3" a="1"/>
  <c r="C1614" i="3"/>
  <c r="C1615" i="3" a="1"/>
  <c r="C1615" i="3"/>
  <c r="C1616" i="3" a="1"/>
  <c r="C1616" i="3"/>
  <c r="C1617" i="3" a="1"/>
  <c r="C1617" i="3"/>
  <c r="C1618" i="3" a="1"/>
  <c r="C1618" i="3"/>
  <c r="C1619" i="3" a="1"/>
  <c r="C1619" i="3"/>
  <c r="C1620" i="3" a="1"/>
  <c r="C1620" i="3"/>
  <c r="C1621" i="3" a="1"/>
  <c r="C1621" i="3"/>
  <c r="C1622" i="3" a="1"/>
  <c r="C1622" i="3"/>
  <c r="C1623" i="3" a="1"/>
  <c r="C1623" i="3"/>
  <c r="C1624" i="3" a="1"/>
  <c r="C1624" i="3"/>
  <c r="C1625" i="3" a="1"/>
  <c r="C1625" i="3"/>
  <c r="C1626" i="3" a="1"/>
  <c r="C1626" i="3"/>
  <c r="C1627" i="3" a="1"/>
  <c r="C1627" i="3"/>
  <c r="C1628" i="3" a="1"/>
  <c r="C1628" i="3"/>
  <c r="C1629" i="3" a="1"/>
  <c r="C1629" i="3"/>
  <c r="C1630" i="3" a="1"/>
  <c r="C1630" i="3"/>
  <c r="C1631" i="3" a="1"/>
  <c r="C1631" i="3"/>
  <c r="C1632" i="3" a="1"/>
  <c r="C1632" i="3"/>
  <c r="C1633" i="3" a="1"/>
  <c r="C1633" i="3"/>
  <c r="C1634" i="3" a="1"/>
  <c r="C1634" i="3"/>
  <c r="C1635" i="3" a="1"/>
  <c r="C1635" i="3"/>
  <c r="C1636" i="3" a="1"/>
  <c r="C1636" i="3"/>
  <c r="C1637" i="3" a="1"/>
  <c r="C1637" i="3"/>
  <c r="C1638" i="3" a="1"/>
  <c r="C1638" i="3"/>
  <c r="C1639" i="3" a="1"/>
  <c r="C1639" i="3"/>
  <c r="C1640" i="3" a="1"/>
  <c r="C1640" i="3"/>
  <c r="C1641" i="3" a="1"/>
  <c r="C1641" i="3"/>
  <c r="C1642" i="3" a="1"/>
  <c r="C1642" i="3"/>
  <c r="C1643" i="3" a="1"/>
  <c r="C1643" i="3"/>
  <c r="C1644" i="3" a="1"/>
  <c r="C1644" i="3"/>
  <c r="C1645" i="3" a="1"/>
  <c r="C1645" i="3"/>
  <c r="C1646" i="3" a="1"/>
  <c r="C1646" i="3"/>
  <c r="C1647" i="3" a="1"/>
  <c r="C1647" i="3"/>
  <c r="C1648" i="3" a="1"/>
  <c r="C1648" i="3"/>
  <c r="C1649" i="3" a="1"/>
  <c r="C1649" i="3"/>
  <c r="C1650" i="3" a="1"/>
  <c r="C1650" i="3"/>
  <c r="C1651" i="3" a="1"/>
  <c r="C1651" i="3"/>
  <c r="C1652" i="3" a="1"/>
  <c r="C1652" i="3"/>
  <c r="C1653" i="3" a="1"/>
  <c r="C1653" i="3"/>
  <c r="C1654" i="3" a="1"/>
  <c r="C1654" i="3"/>
  <c r="C1655" i="3" a="1"/>
  <c r="C1655" i="3"/>
  <c r="C1656" i="3" a="1"/>
  <c r="C1656" i="3"/>
  <c r="C1657" i="3" a="1"/>
  <c r="C1657" i="3"/>
  <c r="C1658" i="3" a="1"/>
  <c r="C1658" i="3"/>
  <c r="C1659" i="3" a="1"/>
  <c r="C1659" i="3"/>
  <c r="C1660" i="3" a="1"/>
  <c r="C1660" i="3"/>
  <c r="C1661" i="3" a="1"/>
  <c r="C1661" i="3"/>
  <c r="C1662" i="3" a="1"/>
  <c r="C1662" i="3"/>
  <c r="C1663" i="3" a="1"/>
  <c r="C1663" i="3"/>
  <c r="C1664" i="3" a="1"/>
  <c r="C1664" i="3"/>
  <c r="C1665" i="3" a="1"/>
  <c r="C1665" i="3"/>
  <c r="C1666" i="3" a="1"/>
  <c r="C1666" i="3"/>
  <c r="C1667" i="3" a="1"/>
  <c r="C1667" i="3"/>
  <c r="C1668" i="3" a="1"/>
  <c r="C1668" i="3"/>
  <c r="C1669" i="3" a="1"/>
  <c r="C1669" i="3"/>
  <c r="C1670" i="3" a="1"/>
  <c r="C1670" i="3"/>
  <c r="C1671" i="3" a="1"/>
  <c r="C1671" i="3"/>
  <c r="C1672" i="3" a="1"/>
  <c r="C1672" i="3"/>
  <c r="C1673" i="3" a="1"/>
  <c r="C1673" i="3"/>
  <c r="C1674" i="3" a="1"/>
  <c r="C1674" i="3"/>
  <c r="C1675" i="3" a="1"/>
  <c r="C1675" i="3"/>
  <c r="C1676" i="3" a="1"/>
  <c r="C1676" i="3"/>
  <c r="C1677" i="3" a="1"/>
  <c r="C1677" i="3"/>
  <c r="C1678" i="3" a="1"/>
  <c r="C1678" i="3"/>
  <c r="C1679" i="3" a="1"/>
  <c r="C1679" i="3"/>
  <c r="C1680" i="3" a="1"/>
  <c r="C1680" i="3"/>
  <c r="C1681" i="3" a="1"/>
  <c r="C1681" i="3"/>
  <c r="C1682" i="3" a="1"/>
  <c r="C1682" i="3"/>
  <c r="C1683" i="3" a="1"/>
  <c r="C1683" i="3"/>
  <c r="C1684" i="3" a="1"/>
  <c r="C1684" i="3"/>
  <c r="C1685" i="3" a="1"/>
  <c r="C1685" i="3"/>
  <c r="C1686" i="3" a="1"/>
  <c r="C1686" i="3"/>
  <c r="C1687" i="3" a="1"/>
  <c r="C1687" i="3"/>
  <c r="C1688" i="3" a="1"/>
  <c r="C1688" i="3"/>
  <c r="C1689" i="3" a="1"/>
  <c r="C1689" i="3"/>
  <c r="C1690" i="3" a="1"/>
  <c r="C1690" i="3"/>
  <c r="C1691" i="3" a="1"/>
  <c r="C1691" i="3"/>
  <c r="C1692" i="3" a="1"/>
  <c r="C1692" i="3"/>
  <c r="C1693" i="3" a="1"/>
  <c r="C1693" i="3"/>
  <c r="C1694" i="3" a="1"/>
  <c r="C1694" i="3"/>
  <c r="C1695" i="3" a="1"/>
  <c r="C1695" i="3"/>
  <c r="C1696" i="3" a="1"/>
  <c r="C1696" i="3"/>
  <c r="C1697" i="3" a="1"/>
  <c r="C1697" i="3"/>
  <c r="C1698" i="3" a="1"/>
  <c r="C1698" i="3"/>
  <c r="C1699" i="3" a="1"/>
  <c r="C1699" i="3"/>
  <c r="C1700" i="3" a="1"/>
  <c r="C1700" i="3"/>
  <c r="C1701" i="3" a="1"/>
  <c r="C1701" i="3"/>
  <c r="C1702" i="3" a="1"/>
  <c r="C1702" i="3"/>
  <c r="C1703" i="3" a="1"/>
  <c r="C1703" i="3"/>
  <c r="C1704" i="3" a="1"/>
  <c r="C1704" i="3"/>
  <c r="C1705" i="3" a="1"/>
  <c r="C1705" i="3"/>
  <c r="C1706" i="3" a="1"/>
  <c r="C1706" i="3"/>
  <c r="C1707" i="3" a="1"/>
  <c r="C1707" i="3"/>
  <c r="C1708" i="3" a="1"/>
  <c r="C1708" i="3"/>
  <c r="C1709" i="3" a="1"/>
  <c r="C1709" i="3"/>
  <c r="C1710" i="3" a="1"/>
  <c r="C1710" i="3"/>
  <c r="C1711" i="3" a="1"/>
  <c r="C1711" i="3"/>
  <c r="C1712" i="3" a="1"/>
  <c r="C1712" i="3"/>
  <c r="C1713" i="3" a="1"/>
  <c r="C1713" i="3"/>
  <c r="C1714" i="3" a="1"/>
  <c r="C1714" i="3"/>
  <c r="C1715" i="3" a="1"/>
  <c r="C1715" i="3"/>
  <c r="C1716" i="3" a="1"/>
  <c r="C1716" i="3"/>
  <c r="C1717" i="3" a="1"/>
  <c r="C1717" i="3"/>
  <c r="C1718" i="3" a="1"/>
  <c r="C1718" i="3"/>
  <c r="C1719" i="3" a="1"/>
  <c r="C1719" i="3"/>
  <c r="C1720" i="3" a="1"/>
  <c r="C1720" i="3"/>
  <c r="C1721" i="3" a="1"/>
  <c r="C1721" i="3"/>
  <c r="C1722" i="3" a="1"/>
  <c r="C1722" i="3"/>
  <c r="C1723" i="3" a="1"/>
  <c r="C1723" i="3"/>
  <c r="C1724" i="3" a="1"/>
  <c r="C1724" i="3"/>
  <c r="C1725" i="3" a="1"/>
  <c r="C1725" i="3"/>
  <c r="C1726" i="3" a="1"/>
  <c r="C1726" i="3"/>
  <c r="C1727" i="3" a="1"/>
  <c r="C1727" i="3"/>
  <c r="C1728" i="3" a="1"/>
  <c r="C1728" i="3"/>
  <c r="C1729" i="3" a="1"/>
  <c r="C1729" i="3"/>
  <c r="C1730" i="3" a="1"/>
  <c r="C1730" i="3"/>
  <c r="C1731" i="3" a="1"/>
  <c r="C1731" i="3"/>
  <c r="C1732" i="3" a="1"/>
  <c r="C1732" i="3"/>
  <c r="C1733" i="3" a="1"/>
  <c r="C1733" i="3"/>
  <c r="C1734" i="3" a="1"/>
  <c r="C1734" i="3"/>
  <c r="C1735" i="3" a="1"/>
  <c r="C1735" i="3"/>
  <c r="C1736" i="3" a="1"/>
  <c r="C1736" i="3"/>
  <c r="C1737" i="3" a="1"/>
  <c r="C1737" i="3"/>
  <c r="C1738" i="3" a="1"/>
  <c r="C1738" i="3"/>
  <c r="C1739" i="3" a="1"/>
  <c r="C1739" i="3"/>
  <c r="C1740" i="3" a="1"/>
  <c r="C1740" i="3"/>
  <c r="C1741" i="3" a="1"/>
  <c r="C1741" i="3"/>
  <c r="C1742" i="3" a="1"/>
  <c r="C1742" i="3"/>
  <c r="C1743" i="3" a="1"/>
  <c r="C1743" i="3"/>
  <c r="C1744" i="3" a="1"/>
  <c r="C1744" i="3"/>
  <c r="C1745" i="3" a="1"/>
  <c r="C1745" i="3"/>
  <c r="C1746" i="3" a="1"/>
  <c r="C1746" i="3"/>
  <c r="C1747" i="3" a="1"/>
  <c r="C1747" i="3"/>
  <c r="C1748" i="3" a="1"/>
  <c r="C1748" i="3"/>
  <c r="C1749" i="3" a="1"/>
  <c r="C1749" i="3"/>
  <c r="C1750" i="3" a="1"/>
  <c r="C1750" i="3"/>
  <c r="C1751" i="3" a="1"/>
  <c r="C1751" i="3"/>
  <c r="C1752" i="3" a="1"/>
  <c r="C1752" i="3"/>
  <c r="C1753" i="3" a="1"/>
  <c r="C1753" i="3"/>
  <c r="C1754" i="3" a="1"/>
  <c r="C1754" i="3"/>
  <c r="C1755" i="3" a="1"/>
  <c r="C1755" i="3"/>
  <c r="C1756" i="3" a="1"/>
  <c r="C1756" i="3"/>
  <c r="C1757" i="3" a="1"/>
  <c r="C1757" i="3"/>
  <c r="C1758" i="3" a="1"/>
  <c r="C1758" i="3"/>
  <c r="C1759" i="3" a="1"/>
  <c r="C1759" i="3"/>
  <c r="C1760" i="3" a="1"/>
  <c r="C1760" i="3"/>
  <c r="C1761" i="3" a="1"/>
  <c r="C1761" i="3"/>
  <c r="C1762" i="3" a="1"/>
  <c r="C1762" i="3"/>
  <c r="C1763" i="3" a="1"/>
  <c r="C1763" i="3"/>
  <c r="C1764" i="3" a="1"/>
  <c r="C1764" i="3"/>
  <c r="C1765" i="3" a="1"/>
  <c r="C1765" i="3"/>
  <c r="C1766" i="3" a="1"/>
  <c r="C1766" i="3"/>
  <c r="C1767" i="3" a="1"/>
  <c r="C1767" i="3"/>
  <c r="C1768" i="3" a="1"/>
  <c r="C1768" i="3"/>
  <c r="C1769" i="3" a="1"/>
  <c r="C1769" i="3"/>
  <c r="C1770" i="3" a="1"/>
  <c r="C1770" i="3"/>
  <c r="C1771" i="3" a="1"/>
  <c r="C1771" i="3"/>
  <c r="C1772" i="3" a="1"/>
  <c r="C1772" i="3"/>
  <c r="C1773" i="3" a="1"/>
  <c r="C1773" i="3"/>
  <c r="C1774" i="3" a="1"/>
  <c r="C1774" i="3"/>
  <c r="C1775" i="3" a="1"/>
  <c r="C1775" i="3"/>
  <c r="C1776" i="3" a="1"/>
  <c r="C1776" i="3"/>
  <c r="C1777" i="3" a="1"/>
  <c r="C1777" i="3"/>
  <c r="C1778" i="3" a="1"/>
  <c r="C1778" i="3"/>
  <c r="C1779" i="3" a="1"/>
  <c r="C1779" i="3"/>
  <c r="C1780" i="3" a="1"/>
  <c r="C1780" i="3"/>
  <c r="C1781" i="3" a="1"/>
  <c r="C1781" i="3"/>
  <c r="C1782" i="3" a="1"/>
  <c r="C1782" i="3"/>
  <c r="C1783" i="3" a="1"/>
  <c r="C1783" i="3"/>
  <c r="C1784" i="3" a="1"/>
  <c r="C1784" i="3"/>
  <c r="C1785" i="3" a="1"/>
  <c r="C1785" i="3"/>
  <c r="C1786" i="3" a="1"/>
  <c r="C1786" i="3"/>
  <c r="C1787" i="3" a="1"/>
  <c r="C1787" i="3"/>
  <c r="C1788" i="3" a="1"/>
  <c r="C1788" i="3"/>
  <c r="C1789" i="3" a="1"/>
  <c r="C1789" i="3"/>
  <c r="C1790" i="3" a="1"/>
  <c r="C1790" i="3"/>
  <c r="C1791" i="3" a="1"/>
  <c r="C1791" i="3"/>
  <c r="C1792" i="3" a="1"/>
  <c r="C1792" i="3"/>
  <c r="C1793" i="3" a="1"/>
  <c r="C1793" i="3"/>
  <c r="C1794" i="3" a="1"/>
  <c r="C1794" i="3"/>
  <c r="C1795" i="3" a="1"/>
  <c r="C1795" i="3"/>
  <c r="C1796" i="3" a="1"/>
  <c r="C1796" i="3"/>
  <c r="C1797" i="3" a="1"/>
  <c r="C1797" i="3"/>
  <c r="C1798" i="3" a="1"/>
  <c r="C1798" i="3"/>
  <c r="C1799" i="3" a="1"/>
  <c r="C1799" i="3"/>
  <c r="C1800" i="3" a="1"/>
  <c r="C1800" i="3"/>
  <c r="C1801" i="3" a="1"/>
  <c r="C1801" i="3"/>
  <c r="C1802" i="3" a="1"/>
  <c r="C1802" i="3"/>
  <c r="C1803" i="3" a="1"/>
  <c r="C1803" i="3"/>
  <c r="C1804" i="3" a="1"/>
  <c r="C1804" i="3"/>
  <c r="C1805" i="3" a="1"/>
  <c r="C1805" i="3"/>
  <c r="C1806" i="3" a="1"/>
  <c r="C1806" i="3"/>
  <c r="C1807" i="3" a="1"/>
  <c r="C1807" i="3"/>
  <c r="C1808" i="3" a="1"/>
  <c r="C1808" i="3"/>
  <c r="C1809" i="3" a="1"/>
  <c r="C1809" i="3"/>
  <c r="C1810" i="3" a="1"/>
  <c r="C1810" i="3"/>
  <c r="C1811" i="3" a="1"/>
  <c r="C1811" i="3"/>
  <c r="C1812" i="3" a="1"/>
  <c r="C1812" i="3"/>
  <c r="C1813" i="3" a="1"/>
  <c r="C1813" i="3"/>
  <c r="C1814" i="3" a="1"/>
  <c r="C1814" i="3"/>
  <c r="C1815" i="3" a="1"/>
  <c r="C1815" i="3"/>
  <c r="C1816" i="3" a="1"/>
  <c r="C1816" i="3"/>
  <c r="C1817" i="3" a="1"/>
  <c r="C1817" i="3"/>
  <c r="C1818" i="3" a="1"/>
  <c r="C1818" i="3"/>
  <c r="C1819" i="3" a="1"/>
  <c r="C1819" i="3"/>
  <c r="C1820" i="3" a="1"/>
  <c r="C1820" i="3"/>
  <c r="C1821" i="3" a="1"/>
  <c r="C1821" i="3"/>
  <c r="C1822" i="3" a="1"/>
  <c r="C1822" i="3"/>
  <c r="C1823" i="3" a="1"/>
  <c r="C1823" i="3"/>
  <c r="C1824" i="3" a="1"/>
  <c r="C1824" i="3"/>
  <c r="C1825" i="3" a="1"/>
  <c r="C1825" i="3"/>
  <c r="C1826" i="3" a="1"/>
  <c r="C1826" i="3"/>
  <c r="C1827" i="3" a="1"/>
  <c r="C1827" i="3"/>
  <c r="C1828" i="3" a="1"/>
  <c r="C1828" i="3"/>
  <c r="C1829" i="3" a="1"/>
  <c r="C1829" i="3"/>
  <c r="C1830" i="3" a="1"/>
  <c r="C1830" i="3"/>
  <c r="C1831" i="3" a="1"/>
  <c r="C1831" i="3"/>
  <c r="C1832" i="3" a="1"/>
  <c r="C1832" i="3"/>
  <c r="C1833" i="3" a="1"/>
  <c r="C1833" i="3"/>
  <c r="C1834" i="3" a="1"/>
  <c r="C1834" i="3"/>
  <c r="C1835" i="3" a="1"/>
  <c r="C1835" i="3"/>
  <c r="C1836" i="3" a="1"/>
  <c r="C1836" i="3"/>
  <c r="C1837" i="3" a="1"/>
  <c r="C1837" i="3"/>
  <c r="C1838" i="3" a="1"/>
  <c r="C1838" i="3"/>
  <c r="C1839" i="3" a="1"/>
  <c r="C1839" i="3"/>
  <c r="C1840" i="3" a="1"/>
  <c r="C1840" i="3"/>
  <c r="C1841" i="3" a="1"/>
  <c r="C1841" i="3"/>
  <c r="C1842" i="3" a="1"/>
  <c r="C1842" i="3"/>
  <c r="C1843" i="3" a="1"/>
  <c r="C1843" i="3"/>
  <c r="C1844" i="3" a="1"/>
  <c r="C1844" i="3"/>
  <c r="C1845" i="3" a="1"/>
  <c r="C1845" i="3"/>
  <c r="C1846" i="3" a="1"/>
  <c r="C1846" i="3"/>
  <c r="C1847" i="3" a="1"/>
  <c r="C1847" i="3"/>
  <c r="C1848" i="3" a="1"/>
  <c r="C1848" i="3"/>
  <c r="C1849" i="3" a="1"/>
  <c r="C1849" i="3"/>
  <c r="C1850" i="3" a="1"/>
  <c r="C1850" i="3"/>
  <c r="C1851" i="3" a="1"/>
  <c r="C1851" i="3"/>
  <c r="C1852" i="3" a="1"/>
  <c r="C1852" i="3"/>
  <c r="C1853" i="3" a="1"/>
  <c r="C1853" i="3"/>
  <c r="C1854" i="3" a="1"/>
  <c r="C1854" i="3"/>
  <c r="C1855" i="3" a="1"/>
  <c r="C1855" i="3"/>
  <c r="C1856" i="3" a="1"/>
  <c r="C1856" i="3"/>
  <c r="C1857" i="3" a="1"/>
  <c r="C1857" i="3"/>
  <c r="C1858" i="3" a="1"/>
  <c r="C1858" i="3"/>
  <c r="C1859" i="3" a="1"/>
  <c r="C1859" i="3"/>
  <c r="C1860" i="3" a="1"/>
  <c r="C1860" i="3"/>
  <c r="C1861" i="3" a="1"/>
  <c r="C1861" i="3"/>
  <c r="C1862" i="3" a="1"/>
  <c r="C1862" i="3"/>
  <c r="C1863" i="3" a="1"/>
  <c r="C1863" i="3"/>
  <c r="C1864" i="3" a="1"/>
  <c r="C1864" i="3"/>
  <c r="C1865" i="3" a="1"/>
  <c r="C1865" i="3"/>
  <c r="C1866" i="3" a="1"/>
  <c r="C1866" i="3"/>
  <c r="C1867" i="3" a="1"/>
  <c r="C1867" i="3"/>
  <c r="C1868" i="3" a="1"/>
  <c r="C1868" i="3"/>
  <c r="C1869" i="3" a="1"/>
  <c r="C1869" i="3"/>
  <c r="C1870" i="3" a="1"/>
  <c r="C1870" i="3"/>
  <c r="C1871" i="3" a="1"/>
  <c r="C1871" i="3"/>
  <c r="C1872" i="3" a="1"/>
  <c r="C1872" i="3"/>
  <c r="C1873" i="3" a="1"/>
  <c r="C1873" i="3"/>
  <c r="C1874" i="3" a="1"/>
  <c r="C1874" i="3"/>
  <c r="C1875" i="3" a="1"/>
  <c r="C1875" i="3"/>
  <c r="C1876" i="3" a="1"/>
  <c r="C1876" i="3"/>
  <c r="C1877" i="3" a="1"/>
  <c r="C1877" i="3"/>
  <c r="C1878" i="3" a="1"/>
  <c r="C1878" i="3"/>
  <c r="C1879" i="3" a="1"/>
  <c r="C1879" i="3"/>
  <c r="C1880" i="3" a="1"/>
  <c r="C1880" i="3"/>
  <c r="C1881" i="3" a="1"/>
  <c r="C1881" i="3"/>
  <c r="C1882" i="3" a="1"/>
  <c r="C1882" i="3"/>
  <c r="C1883" i="3" a="1"/>
  <c r="C1883" i="3"/>
  <c r="C1884" i="3" a="1"/>
  <c r="C1884" i="3"/>
  <c r="C1885" i="3" a="1"/>
  <c r="C1885" i="3"/>
  <c r="C1886" i="3" a="1"/>
  <c r="C1886" i="3"/>
  <c r="C1887" i="3" a="1"/>
  <c r="C1887" i="3"/>
  <c r="C1888" i="3" a="1"/>
  <c r="C1888" i="3"/>
  <c r="C1889" i="3" a="1"/>
  <c r="C1889" i="3"/>
  <c r="C1890" i="3" a="1"/>
  <c r="C1890" i="3"/>
  <c r="C1891" i="3" a="1"/>
  <c r="C1891" i="3"/>
  <c r="C1892" i="3" a="1"/>
  <c r="C1892" i="3"/>
  <c r="C1893" i="3" a="1"/>
  <c r="C1893" i="3"/>
  <c r="C1894" i="3" a="1"/>
  <c r="C1894" i="3"/>
  <c r="C1895" i="3" a="1"/>
  <c r="C1895" i="3"/>
  <c r="C1896" i="3" a="1"/>
  <c r="C1896" i="3"/>
  <c r="C1897" i="3" a="1"/>
  <c r="C1897" i="3"/>
  <c r="C1898" i="3" a="1"/>
  <c r="C1898" i="3"/>
  <c r="C1899" i="3" a="1"/>
  <c r="C1899" i="3"/>
  <c r="C1900" i="3" a="1"/>
  <c r="C1900" i="3"/>
  <c r="C1901" i="3" a="1"/>
  <c r="C1901" i="3"/>
  <c r="C1902" i="3" a="1"/>
  <c r="C1902" i="3"/>
  <c r="C1903" i="3" a="1"/>
  <c r="C1903" i="3"/>
  <c r="C1904" i="3" a="1"/>
  <c r="C1904" i="3"/>
  <c r="C1905" i="3" a="1"/>
  <c r="C1905" i="3"/>
  <c r="C1906" i="3" a="1"/>
  <c r="C1906" i="3"/>
  <c r="C1907" i="3" a="1"/>
  <c r="C1907" i="3"/>
  <c r="C1908" i="3" a="1"/>
  <c r="C1908" i="3"/>
  <c r="C1909" i="3" a="1"/>
  <c r="C1909" i="3"/>
  <c r="C1910" i="3" a="1"/>
  <c r="C1910" i="3"/>
  <c r="C1911" i="3" a="1"/>
  <c r="C1911" i="3"/>
  <c r="C1912" i="3" a="1"/>
  <c r="C1912" i="3"/>
  <c r="C1913" i="3" a="1"/>
  <c r="C1913" i="3"/>
  <c r="C1914" i="3" a="1"/>
  <c r="C1914" i="3"/>
  <c r="C1915" i="3" a="1"/>
  <c r="C1915" i="3"/>
  <c r="C1916" i="3" a="1"/>
  <c r="C1916" i="3"/>
  <c r="C1917" i="3" a="1"/>
  <c r="C1917" i="3"/>
  <c r="C1918" i="3" a="1"/>
  <c r="C1918" i="3"/>
  <c r="C1919" i="3" a="1"/>
  <c r="C1919" i="3"/>
  <c r="C1920" i="3" a="1"/>
  <c r="C1920" i="3"/>
  <c r="C1921" i="3" a="1"/>
  <c r="C1921" i="3"/>
  <c r="C1922" i="3" a="1"/>
  <c r="C1922" i="3"/>
  <c r="C1923" i="3" a="1"/>
  <c r="C1923" i="3"/>
  <c r="C1924" i="3" a="1"/>
  <c r="C1924" i="3"/>
  <c r="C1925" i="3" a="1"/>
  <c r="C1925" i="3"/>
  <c r="C1926" i="3" a="1"/>
  <c r="C1926" i="3"/>
  <c r="C1927" i="3" a="1"/>
  <c r="C1927" i="3"/>
  <c r="C1928" i="3" a="1"/>
  <c r="C1928" i="3"/>
  <c r="C1929" i="3" a="1"/>
  <c r="C1929" i="3"/>
  <c r="C1930" i="3" a="1"/>
  <c r="C1930" i="3"/>
  <c r="C1931" i="3" a="1"/>
  <c r="C1931" i="3"/>
  <c r="C1932" i="3" a="1"/>
  <c r="C1932" i="3"/>
  <c r="C1933" i="3" a="1"/>
  <c r="C1933" i="3"/>
  <c r="C1934" i="3" a="1"/>
  <c r="C1934" i="3"/>
  <c r="C1935" i="3" a="1"/>
  <c r="C1935" i="3"/>
  <c r="C1936" i="3" a="1"/>
  <c r="C1936" i="3"/>
  <c r="C1937" i="3" a="1"/>
  <c r="C1937" i="3"/>
  <c r="C1938" i="3" a="1"/>
  <c r="C1938" i="3"/>
  <c r="C1939" i="3" a="1"/>
  <c r="C1939" i="3"/>
  <c r="C1940" i="3" a="1"/>
  <c r="C1940" i="3"/>
  <c r="C1941" i="3" a="1"/>
  <c r="C1941" i="3"/>
  <c r="C1942" i="3" a="1"/>
  <c r="C1942" i="3"/>
  <c r="C1943" i="3" a="1"/>
  <c r="C1943" i="3"/>
  <c r="C1944" i="3" a="1"/>
  <c r="C1944" i="3"/>
  <c r="C1945" i="3" a="1"/>
  <c r="C1945" i="3"/>
  <c r="C1946" i="3" a="1"/>
  <c r="C1946" i="3"/>
  <c r="C1947" i="3" a="1"/>
  <c r="C1947" i="3"/>
  <c r="C1948" i="3" a="1"/>
  <c r="C1948" i="3"/>
  <c r="C1949" i="3" a="1"/>
  <c r="C1949" i="3"/>
  <c r="C1950" i="3" a="1"/>
  <c r="C1950" i="3"/>
  <c r="C1951" i="3" a="1"/>
  <c r="C1951" i="3"/>
  <c r="C1952" i="3" a="1"/>
  <c r="C1952" i="3"/>
  <c r="C1953" i="3" a="1"/>
  <c r="C1953" i="3"/>
  <c r="C1954" i="3" a="1"/>
  <c r="C1954" i="3"/>
  <c r="C1955" i="3" a="1"/>
  <c r="C1955" i="3"/>
  <c r="C1956" i="3" a="1"/>
  <c r="C1956" i="3"/>
  <c r="C1957" i="3" a="1"/>
  <c r="C1957" i="3"/>
  <c r="C1958" i="3" a="1"/>
  <c r="C1958" i="3"/>
  <c r="C1959" i="3" a="1"/>
  <c r="C1959" i="3"/>
  <c r="C1960" i="3" a="1"/>
  <c r="C1960" i="3"/>
  <c r="C1961" i="3" a="1"/>
  <c r="C1961" i="3"/>
  <c r="C1962" i="3" a="1"/>
  <c r="C1962" i="3"/>
  <c r="C1963" i="3" a="1"/>
  <c r="C1963" i="3"/>
  <c r="C1964" i="3" a="1"/>
  <c r="C1964" i="3"/>
  <c r="C1965" i="3" a="1"/>
  <c r="C1965" i="3"/>
  <c r="C1966" i="3" a="1"/>
  <c r="C1966" i="3"/>
  <c r="C1967" i="3" a="1"/>
  <c r="C1967" i="3"/>
  <c r="C1968" i="3" a="1"/>
  <c r="C1968" i="3"/>
  <c r="C1969" i="3" a="1"/>
  <c r="C1969" i="3"/>
  <c r="C1970" i="3" a="1"/>
  <c r="C1970" i="3"/>
  <c r="C1971" i="3" a="1"/>
  <c r="C1971" i="3"/>
  <c r="C1972" i="3" a="1"/>
  <c r="C1972" i="3"/>
  <c r="C1973" i="3" a="1"/>
  <c r="C1973" i="3"/>
  <c r="C1974" i="3" a="1"/>
  <c r="C1974" i="3"/>
  <c r="C1975" i="3" a="1"/>
  <c r="C1975" i="3"/>
  <c r="C1976" i="3" a="1"/>
  <c r="C1976" i="3"/>
  <c r="C1977" i="3" a="1"/>
  <c r="C1977" i="3"/>
  <c r="C1978" i="3" a="1"/>
  <c r="C1978" i="3"/>
  <c r="C1979" i="3" a="1"/>
  <c r="C1979" i="3"/>
  <c r="C1980" i="3" a="1"/>
  <c r="C1980" i="3"/>
  <c r="C1981" i="3" a="1"/>
  <c r="C1981" i="3"/>
  <c r="C1982" i="3" a="1"/>
  <c r="C1982" i="3"/>
  <c r="C1983" i="3" a="1"/>
  <c r="C1983" i="3"/>
  <c r="C1984" i="3" a="1"/>
  <c r="C1984" i="3"/>
  <c r="C1985" i="3" a="1"/>
  <c r="C1985" i="3"/>
  <c r="C1986" i="3" a="1"/>
  <c r="C1986" i="3"/>
  <c r="C1987" i="3" a="1"/>
  <c r="C1987" i="3"/>
  <c r="C1988" i="3" a="1"/>
  <c r="C1988" i="3"/>
  <c r="C1989" i="3" a="1"/>
  <c r="C1989" i="3"/>
  <c r="C1990" i="3" a="1"/>
  <c r="C1990" i="3"/>
  <c r="C1991" i="3" a="1"/>
  <c r="C1991" i="3"/>
  <c r="C1992" i="3" a="1"/>
  <c r="C1992" i="3"/>
  <c r="C1993" i="3" a="1"/>
  <c r="C1993" i="3"/>
  <c r="C1994" i="3" a="1"/>
  <c r="C1994" i="3"/>
  <c r="C1995" i="3" a="1"/>
  <c r="C1995" i="3"/>
  <c r="C1996" i="3" a="1"/>
  <c r="C1996" i="3"/>
  <c r="C1997" i="3" a="1"/>
  <c r="C1997" i="3"/>
  <c r="C1998" i="3" a="1"/>
  <c r="C1998" i="3"/>
  <c r="C1999" i="3" a="1"/>
  <c r="C1999" i="3"/>
  <c r="C2000" i="3" a="1"/>
  <c r="C2000" i="3"/>
  <c r="C2001" i="3" a="1"/>
  <c r="C2001" i="3"/>
  <c r="C2002" i="3" a="1"/>
  <c r="C2002" i="3"/>
  <c r="C2003" i="3" a="1"/>
  <c r="C2003" i="3"/>
  <c r="C2004" i="3" a="1"/>
  <c r="C2004" i="3"/>
  <c r="C2005" i="3" a="1"/>
  <c r="C2005" i="3"/>
  <c r="C2006" i="3" a="1"/>
  <c r="C2006" i="3"/>
  <c r="C2007" i="3" a="1"/>
  <c r="C2007" i="3"/>
  <c r="C2008" i="3" a="1"/>
  <c r="C2008" i="3"/>
  <c r="C2009" i="3" a="1"/>
  <c r="C2009" i="3"/>
  <c r="C2010" i="3" a="1"/>
  <c r="C2010" i="3"/>
  <c r="C2011" i="3" a="1"/>
  <c r="C2011" i="3"/>
  <c r="C2012" i="3" a="1"/>
  <c r="C2012" i="3"/>
  <c r="C2013" i="3" a="1"/>
  <c r="C2013" i="3"/>
  <c r="C2014" i="3" a="1"/>
  <c r="C2014" i="3"/>
  <c r="C2015" i="3" a="1"/>
  <c r="C2015" i="3"/>
  <c r="C2016" i="3" a="1"/>
  <c r="C2016" i="3"/>
  <c r="C2017" i="3" a="1"/>
  <c r="C2017" i="3"/>
  <c r="C2018" i="3" a="1"/>
  <c r="C2018" i="3"/>
  <c r="C2019" i="3" a="1"/>
  <c r="C2019" i="3"/>
  <c r="C2020" i="3" a="1"/>
  <c r="C2020" i="3"/>
  <c r="C2021" i="3" a="1"/>
  <c r="C2021" i="3"/>
  <c r="C2022" i="3" a="1"/>
  <c r="C2022" i="3"/>
  <c r="C2023" i="3" a="1"/>
  <c r="C2023" i="3"/>
  <c r="C2024" i="3" a="1"/>
  <c r="C2024" i="3"/>
  <c r="C2025" i="3" a="1"/>
  <c r="C2025" i="3"/>
  <c r="C2026" i="3" a="1"/>
  <c r="C2026" i="3"/>
  <c r="C2027" i="3" a="1"/>
  <c r="C2027" i="3"/>
  <c r="C2028" i="3" a="1"/>
  <c r="C2028" i="3"/>
  <c r="C2029" i="3" a="1"/>
  <c r="C2029" i="3"/>
  <c r="C2030" i="3" a="1"/>
  <c r="C2030" i="3"/>
  <c r="C2031" i="3" a="1"/>
  <c r="C2031" i="3"/>
  <c r="C2032" i="3" a="1"/>
  <c r="C2032" i="3"/>
  <c r="C2033" i="3" a="1"/>
  <c r="C2033" i="3"/>
  <c r="C2034" i="3" a="1"/>
  <c r="C2034" i="3"/>
  <c r="C2035" i="3" a="1"/>
  <c r="C2035" i="3"/>
  <c r="C2036" i="3" a="1"/>
  <c r="C2036" i="3"/>
  <c r="C2037" i="3" a="1"/>
  <c r="C2037" i="3"/>
  <c r="C2038" i="3" a="1"/>
  <c r="C2038" i="3"/>
  <c r="C2039" i="3" a="1"/>
  <c r="C2039" i="3"/>
  <c r="C2040" i="3" a="1"/>
  <c r="C2040" i="3"/>
  <c r="C2041" i="3" a="1"/>
  <c r="C2041" i="3"/>
  <c r="C2042" i="3" a="1"/>
  <c r="C2042" i="3"/>
  <c r="C2043" i="3" a="1"/>
  <c r="C2043" i="3"/>
  <c r="C2044" i="3" a="1"/>
  <c r="C2044" i="3"/>
  <c r="C2045" i="3" a="1"/>
  <c r="C2045" i="3"/>
  <c r="C2046" i="3" a="1"/>
  <c r="C2046" i="3"/>
  <c r="C2047" i="3" a="1"/>
  <c r="C2047" i="3"/>
  <c r="C2048" i="3" a="1"/>
  <c r="C2048" i="3"/>
  <c r="C2049" i="3" a="1"/>
  <c r="C2049" i="3"/>
  <c r="C2050" i="3" a="1"/>
  <c r="C2050" i="3"/>
  <c r="C2051" i="3" a="1"/>
  <c r="C2051" i="3"/>
  <c r="C2052" i="3" a="1"/>
  <c r="C2052" i="3"/>
  <c r="C2053" i="3" a="1"/>
  <c r="C2053" i="3"/>
  <c r="C2054" i="3" a="1"/>
  <c r="C2054" i="3"/>
  <c r="C2055" i="3" a="1"/>
  <c r="C2055" i="3"/>
  <c r="C2056" i="3" a="1"/>
  <c r="C2056" i="3"/>
  <c r="C2057" i="3" a="1"/>
  <c r="C2057" i="3"/>
  <c r="C2058" i="3" a="1"/>
  <c r="C2058" i="3"/>
  <c r="C2059" i="3" a="1"/>
  <c r="C2059" i="3"/>
  <c r="C2060" i="3" a="1"/>
  <c r="C2060" i="3"/>
  <c r="C2061" i="3" a="1"/>
  <c r="C2061" i="3"/>
  <c r="C2062" i="3" a="1"/>
  <c r="C2062" i="3"/>
  <c r="C2063" i="3" a="1"/>
  <c r="C2063" i="3"/>
  <c r="C2064" i="3" a="1"/>
  <c r="C2064" i="3"/>
  <c r="C2065" i="3" a="1"/>
  <c r="C2065" i="3"/>
  <c r="C2066" i="3" a="1"/>
  <c r="C2066" i="3"/>
  <c r="C2067" i="3" a="1"/>
  <c r="C2067" i="3"/>
  <c r="C2068" i="3" a="1"/>
  <c r="C2068" i="3"/>
  <c r="C2069" i="3" a="1"/>
  <c r="C2069" i="3"/>
  <c r="C2070" i="3" a="1"/>
  <c r="C2070" i="3"/>
  <c r="C2071" i="3" a="1"/>
  <c r="C2071" i="3"/>
  <c r="C2072" i="3" a="1"/>
  <c r="C2072" i="3"/>
  <c r="C2073" i="3" a="1"/>
  <c r="C2073" i="3"/>
  <c r="C2074" i="3" a="1"/>
  <c r="C2074" i="3"/>
  <c r="C2075" i="3" a="1"/>
  <c r="C2075" i="3"/>
  <c r="C2076" i="3" a="1"/>
  <c r="C2076" i="3"/>
  <c r="C2077" i="3" a="1"/>
  <c r="C2077" i="3"/>
  <c r="C2078" i="3" a="1"/>
  <c r="C2078" i="3"/>
  <c r="C2079" i="3" a="1"/>
  <c r="C2079" i="3"/>
  <c r="C2080" i="3" a="1"/>
  <c r="C2080" i="3"/>
  <c r="C2081" i="3" a="1"/>
  <c r="C2081" i="3"/>
  <c r="C2082" i="3" a="1"/>
  <c r="C2082" i="3"/>
  <c r="C2083" i="3" a="1"/>
  <c r="C2083" i="3"/>
  <c r="C2084" i="3" a="1"/>
  <c r="C2084" i="3"/>
  <c r="C2085" i="3" a="1"/>
  <c r="C2085" i="3"/>
  <c r="C2086" i="3" a="1"/>
  <c r="C2086" i="3"/>
  <c r="C2087" i="3" a="1"/>
  <c r="C2087" i="3"/>
  <c r="C2088" i="3" a="1"/>
  <c r="C2088" i="3"/>
  <c r="C2089" i="3" a="1"/>
  <c r="C2089" i="3"/>
  <c r="C2090" i="3" a="1"/>
  <c r="C2090" i="3"/>
  <c r="C2091" i="3" a="1"/>
  <c r="C2091" i="3"/>
  <c r="C2092" i="3" a="1"/>
  <c r="C2092" i="3"/>
  <c r="C2093" i="3" a="1"/>
  <c r="C2093" i="3"/>
  <c r="C2094" i="3" a="1"/>
  <c r="C2094" i="3"/>
  <c r="C2095" i="3" a="1"/>
  <c r="C2095" i="3"/>
  <c r="C2096" i="3" a="1"/>
  <c r="C2096" i="3"/>
  <c r="C2097" i="3" a="1"/>
  <c r="C2097" i="3"/>
  <c r="C2098" i="3" a="1"/>
  <c r="C2098" i="3"/>
  <c r="C2099" i="3" a="1"/>
  <c r="C2099" i="3"/>
  <c r="C2100" i="3" a="1"/>
  <c r="C2100" i="3"/>
  <c r="C2101" i="3" a="1"/>
  <c r="C2101" i="3"/>
  <c r="C2102" i="3" a="1"/>
  <c r="C2102" i="3"/>
  <c r="C2103" i="3" a="1"/>
  <c r="C2103" i="3"/>
  <c r="C2104" i="3" a="1"/>
  <c r="C2104" i="3"/>
  <c r="C2105" i="3" a="1"/>
  <c r="C2105" i="3"/>
  <c r="C2106" i="3" a="1"/>
  <c r="C2106" i="3"/>
  <c r="C2107" i="3" a="1"/>
  <c r="C2107" i="3"/>
  <c r="C2108" i="3" a="1"/>
  <c r="C2108" i="3"/>
  <c r="C2109" i="3" a="1"/>
  <c r="C2109" i="3"/>
  <c r="C2110" i="3" a="1"/>
  <c r="C2110" i="3"/>
  <c r="C2111" i="3" a="1"/>
  <c r="C2111" i="3"/>
  <c r="C2112" i="3" a="1"/>
  <c r="C2112" i="3"/>
  <c r="C2113" i="3" a="1"/>
  <c r="C2113" i="3"/>
  <c r="C2114" i="3" a="1"/>
  <c r="C2114" i="3"/>
  <c r="C2115" i="3" a="1"/>
  <c r="C2115" i="3"/>
  <c r="C2116" i="3" a="1"/>
  <c r="C2116" i="3"/>
  <c r="C2117" i="3" a="1"/>
  <c r="C2117" i="3"/>
  <c r="C2118" i="3" a="1"/>
  <c r="C2118" i="3"/>
  <c r="C2119" i="3" a="1"/>
  <c r="C2119" i="3"/>
  <c r="C2120" i="3" a="1"/>
  <c r="C2120" i="3"/>
  <c r="C2121" i="3" a="1"/>
  <c r="C2121" i="3"/>
  <c r="C2122" i="3" a="1"/>
  <c r="C2122" i="3"/>
  <c r="C2123" i="3" a="1"/>
  <c r="C2123" i="3"/>
  <c r="C2124" i="3" a="1"/>
  <c r="C2124" i="3"/>
  <c r="C2125" i="3" a="1"/>
  <c r="C2125" i="3"/>
  <c r="C2126" i="3" a="1"/>
  <c r="C2126" i="3"/>
  <c r="C2127" i="3" a="1"/>
  <c r="C2127" i="3"/>
  <c r="C2128" i="3" a="1"/>
  <c r="C2128" i="3"/>
  <c r="C2129" i="3" a="1"/>
  <c r="C2129" i="3"/>
  <c r="C2130" i="3" a="1"/>
  <c r="C2130" i="3"/>
  <c r="C2131" i="3" a="1"/>
  <c r="C2131" i="3"/>
  <c r="C2132" i="3" a="1"/>
  <c r="C2132" i="3"/>
  <c r="C2133" i="3" a="1"/>
  <c r="C2133" i="3"/>
  <c r="C2134" i="3" a="1"/>
  <c r="C2134" i="3"/>
  <c r="C2135" i="3" a="1"/>
  <c r="C2135" i="3"/>
  <c r="C2136" i="3" a="1"/>
  <c r="C2136" i="3"/>
  <c r="C2137" i="3" a="1"/>
  <c r="C2137" i="3"/>
  <c r="C2138" i="3" a="1"/>
  <c r="C2138" i="3"/>
  <c r="C2139" i="3" a="1"/>
  <c r="C2139" i="3"/>
  <c r="C2140" i="3" a="1"/>
  <c r="C2140" i="3"/>
  <c r="C2141" i="3" a="1"/>
  <c r="C2141" i="3"/>
  <c r="C2142" i="3" a="1"/>
  <c r="C2142" i="3"/>
  <c r="C2143" i="3" a="1"/>
  <c r="C2143" i="3"/>
  <c r="C2144" i="3" a="1"/>
  <c r="C2144" i="3"/>
  <c r="C2145" i="3" a="1"/>
  <c r="C2145" i="3"/>
  <c r="C2146" i="3" a="1"/>
  <c r="C2146" i="3"/>
  <c r="C2147" i="3" a="1"/>
  <c r="C2147" i="3"/>
  <c r="C2148" i="3" a="1"/>
  <c r="C2148" i="3"/>
  <c r="C2149" i="3" a="1"/>
  <c r="C2149" i="3"/>
  <c r="C2150" i="3" a="1"/>
  <c r="C2150" i="3"/>
  <c r="C2151" i="3" a="1"/>
  <c r="C2151" i="3"/>
  <c r="C2152" i="3" a="1"/>
  <c r="C2152" i="3"/>
  <c r="C2153" i="3" a="1"/>
  <c r="C2153" i="3"/>
  <c r="C2154" i="3" a="1"/>
  <c r="C2154" i="3"/>
  <c r="C2155" i="3" a="1"/>
  <c r="C2155" i="3"/>
  <c r="C2156" i="3" a="1"/>
  <c r="C2156" i="3"/>
  <c r="C2157" i="3" a="1"/>
  <c r="C2157" i="3"/>
  <c r="C2158" i="3" a="1"/>
  <c r="C2158" i="3"/>
  <c r="C2159" i="3" a="1"/>
  <c r="C2159" i="3"/>
  <c r="C2160" i="3" a="1"/>
  <c r="C2160" i="3"/>
  <c r="C2161" i="3" a="1"/>
  <c r="C2161" i="3"/>
  <c r="C2162" i="3" a="1"/>
  <c r="C2162" i="3"/>
  <c r="C2163" i="3" a="1"/>
  <c r="C2163" i="3"/>
  <c r="C2164" i="3" a="1"/>
  <c r="C2164" i="3"/>
  <c r="C2165" i="3" a="1"/>
  <c r="C2165" i="3"/>
  <c r="C2166" i="3" a="1"/>
  <c r="C2166" i="3"/>
  <c r="C2167" i="3" a="1"/>
  <c r="C2167" i="3"/>
  <c r="C2168" i="3" a="1"/>
  <c r="C2168" i="3"/>
  <c r="C2169" i="3" a="1"/>
  <c r="C2169" i="3"/>
  <c r="C2170" i="3" a="1"/>
  <c r="C2170" i="3"/>
  <c r="C2171" i="3" a="1"/>
  <c r="C2171" i="3"/>
  <c r="C2172" i="3" a="1"/>
  <c r="C2172" i="3"/>
  <c r="C2173" i="3" a="1"/>
  <c r="C2173" i="3"/>
  <c r="C2174" i="3" a="1"/>
  <c r="C2174" i="3"/>
  <c r="C2175" i="3" a="1"/>
  <c r="C2175" i="3"/>
  <c r="C2176" i="3" a="1"/>
  <c r="C2176" i="3"/>
  <c r="C2177" i="3" a="1"/>
  <c r="C2177" i="3"/>
  <c r="C2178" i="3" a="1"/>
  <c r="C2178" i="3"/>
  <c r="C2179" i="3" a="1"/>
  <c r="C2179" i="3"/>
  <c r="C2180" i="3" a="1"/>
  <c r="C2180" i="3"/>
  <c r="C2181" i="3" a="1"/>
  <c r="C2181" i="3"/>
  <c r="C2182" i="3" a="1"/>
  <c r="C2182" i="3"/>
  <c r="C2183" i="3" a="1"/>
  <c r="C2183" i="3"/>
  <c r="C2184" i="3" a="1"/>
  <c r="C2184" i="3"/>
  <c r="C2185" i="3" a="1"/>
  <c r="C2185" i="3"/>
  <c r="C2186" i="3" a="1"/>
  <c r="C2186" i="3"/>
  <c r="C2187" i="3" a="1"/>
  <c r="C2187" i="3"/>
  <c r="C2188" i="3" a="1"/>
  <c r="C2188" i="3"/>
  <c r="C2189" i="3" a="1"/>
  <c r="C2189" i="3"/>
  <c r="C2190" i="3" a="1"/>
  <c r="C2190" i="3"/>
  <c r="C2191" i="3" a="1"/>
  <c r="C2191" i="3"/>
  <c r="C2192" i="3" a="1"/>
  <c r="C2192" i="3"/>
  <c r="C2193" i="3" a="1"/>
  <c r="C2193" i="3"/>
  <c r="C2194" i="3" a="1"/>
  <c r="C2194" i="3"/>
  <c r="C2195" i="3" a="1"/>
  <c r="C2195" i="3"/>
  <c r="C2196" i="3" a="1"/>
  <c r="C2196" i="3"/>
  <c r="C2197" i="3" a="1"/>
  <c r="C2197" i="3"/>
  <c r="C2198" i="3" a="1"/>
  <c r="C2198" i="3"/>
  <c r="C2199" i="3" a="1"/>
  <c r="C2199" i="3"/>
  <c r="C2200" i="3" a="1"/>
  <c r="C2200" i="3"/>
  <c r="C2201" i="3" a="1"/>
  <c r="C2201" i="3"/>
  <c r="C2202" i="3" a="1"/>
  <c r="C2202" i="3"/>
  <c r="C2203" i="3" a="1"/>
  <c r="C2203" i="3"/>
  <c r="C2204" i="3" a="1"/>
  <c r="C2204" i="3"/>
  <c r="C2205" i="3" a="1"/>
  <c r="C2205" i="3"/>
  <c r="C2206" i="3" a="1"/>
  <c r="C2206" i="3"/>
  <c r="C2207" i="3" a="1"/>
  <c r="C2207" i="3"/>
  <c r="C2208" i="3" a="1"/>
  <c r="C2208" i="3"/>
  <c r="C2209" i="3" a="1"/>
  <c r="C2209" i="3"/>
  <c r="C2210" i="3" a="1"/>
  <c r="C2210" i="3"/>
  <c r="C2211" i="3" a="1"/>
  <c r="C2211" i="3"/>
  <c r="C2212" i="3" a="1"/>
  <c r="C2212" i="3"/>
  <c r="C2213" i="3" a="1"/>
  <c r="C2213" i="3"/>
  <c r="C2214" i="3" a="1"/>
  <c r="C2214" i="3"/>
  <c r="C2215" i="3" a="1"/>
  <c r="C2215" i="3"/>
  <c r="C2216" i="3" a="1"/>
  <c r="C2216" i="3"/>
  <c r="C2217" i="3" a="1"/>
  <c r="C2217" i="3"/>
  <c r="C2218" i="3" a="1"/>
  <c r="C2218" i="3"/>
  <c r="C2219" i="3" a="1"/>
  <c r="C2219" i="3"/>
  <c r="C2220" i="3" a="1"/>
  <c r="C2220" i="3"/>
  <c r="C2221" i="3" a="1"/>
  <c r="C2221" i="3"/>
  <c r="C2222" i="3" a="1"/>
  <c r="C2222" i="3"/>
  <c r="C2223" i="3" a="1"/>
  <c r="C2223" i="3"/>
  <c r="C2224" i="3" a="1"/>
  <c r="C2224" i="3"/>
  <c r="C2225" i="3" a="1"/>
  <c r="C2225" i="3"/>
  <c r="C2226" i="3" a="1"/>
  <c r="C2226" i="3"/>
  <c r="C2227" i="3" a="1"/>
  <c r="C2227" i="3"/>
  <c r="C2228" i="3" a="1"/>
  <c r="C2228" i="3"/>
  <c r="C2229" i="3" a="1"/>
  <c r="C2229" i="3"/>
  <c r="C2230" i="3" a="1"/>
  <c r="C2230" i="3"/>
  <c r="C2231" i="3" a="1"/>
  <c r="C2231" i="3"/>
  <c r="C2232" i="3" a="1"/>
  <c r="C2232" i="3"/>
  <c r="C2233" i="3" a="1"/>
  <c r="C2233" i="3"/>
  <c r="C2234" i="3" a="1"/>
  <c r="C2234" i="3"/>
  <c r="C2235" i="3" a="1"/>
  <c r="C2235" i="3"/>
  <c r="C2236" i="3" a="1"/>
  <c r="C2236" i="3"/>
  <c r="C2237" i="3" a="1"/>
  <c r="C2237" i="3"/>
  <c r="C2238" i="3" a="1"/>
  <c r="C2238" i="3"/>
  <c r="C2239" i="3" a="1"/>
  <c r="C2239" i="3"/>
  <c r="C2240" i="3" a="1"/>
  <c r="C2240" i="3"/>
  <c r="C2241" i="3" a="1"/>
  <c r="C2241" i="3"/>
  <c r="C2242" i="3" a="1"/>
  <c r="C2242" i="3"/>
  <c r="C2243" i="3" a="1"/>
  <c r="C2243" i="3"/>
  <c r="C2244" i="3" a="1"/>
  <c r="C2244" i="3"/>
  <c r="C2245" i="3" a="1"/>
  <c r="C2245" i="3"/>
  <c r="C2246" i="3" a="1"/>
  <c r="C2246" i="3"/>
  <c r="C2247" i="3" a="1"/>
  <c r="C2247" i="3"/>
  <c r="C2248" i="3" a="1"/>
  <c r="C2248" i="3"/>
  <c r="C2249" i="3" a="1"/>
  <c r="C2249" i="3"/>
  <c r="C2250" i="3" a="1"/>
  <c r="C2250" i="3"/>
  <c r="C2251" i="3" a="1"/>
  <c r="C2251" i="3"/>
  <c r="C2252" i="3" a="1"/>
  <c r="C2252" i="3"/>
  <c r="C2253" i="3" a="1"/>
  <c r="C2253" i="3"/>
  <c r="C2254" i="3" a="1"/>
  <c r="C2254" i="3"/>
  <c r="C2255" i="3" a="1"/>
  <c r="C2255" i="3"/>
  <c r="C2256" i="3" a="1"/>
  <c r="C2256" i="3"/>
  <c r="C2257" i="3" a="1"/>
  <c r="C2257" i="3"/>
  <c r="C2258" i="3" a="1"/>
  <c r="C2258" i="3"/>
  <c r="C2259" i="3" a="1"/>
  <c r="C2259" i="3"/>
  <c r="C2260" i="3" a="1"/>
  <c r="C2260" i="3"/>
  <c r="C2261" i="3" a="1"/>
  <c r="C2261" i="3"/>
  <c r="C2262" i="3" a="1"/>
  <c r="C2262" i="3"/>
  <c r="C2263" i="3" a="1"/>
  <c r="C2263" i="3"/>
  <c r="C2264" i="3" a="1"/>
  <c r="C2264" i="3"/>
  <c r="C2265" i="3" a="1"/>
  <c r="C2265" i="3"/>
  <c r="C2266" i="3" a="1"/>
  <c r="C2266" i="3"/>
  <c r="C2267" i="3" a="1"/>
  <c r="C2267" i="3"/>
  <c r="C2268" i="3" a="1"/>
  <c r="C2268" i="3"/>
  <c r="C2269" i="3" a="1"/>
  <c r="C2269" i="3"/>
  <c r="C2270" i="3" a="1"/>
  <c r="C2270" i="3"/>
  <c r="C2271" i="3" a="1"/>
  <c r="C2271" i="3"/>
  <c r="C2272" i="3" a="1"/>
  <c r="C2272" i="3"/>
  <c r="C2273" i="3" a="1"/>
  <c r="C2273" i="3"/>
  <c r="C2274" i="3" a="1"/>
  <c r="C2274" i="3"/>
  <c r="C2275" i="3" a="1"/>
  <c r="C2275" i="3"/>
  <c r="C2276" i="3" a="1"/>
  <c r="C2276" i="3"/>
  <c r="C2277" i="3" a="1"/>
  <c r="C2277" i="3"/>
  <c r="C2278" i="3" a="1"/>
  <c r="C2278" i="3"/>
  <c r="C2279" i="3" a="1"/>
  <c r="C2279" i="3"/>
  <c r="C2280" i="3" a="1"/>
  <c r="C2280" i="3"/>
  <c r="C2281" i="3" a="1"/>
  <c r="C2281" i="3"/>
  <c r="C2282" i="3" a="1"/>
  <c r="C2282" i="3"/>
  <c r="C2283" i="3" a="1"/>
  <c r="C2283" i="3"/>
  <c r="C2284" i="3" a="1"/>
  <c r="C2284" i="3"/>
  <c r="C2285" i="3" a="1"/>
  <c r="C2285" i="3"/>
  <c r="C2286" i="3" a="1"/>
  <c r="C2286" i="3"/>
  <c r="C2287" i="3" a="1"/>
  <c r="C2287" i="3"/>
  <c r="C2288" i="3" a="1"/>
  <c r="C2288" i="3"/>
  <c r="C2289" i="3" a="1"/>
  <c r="C2289" i="3"/>
  <c r="C2290" i="3" a="1"/>
  <c r="C2290" i="3"/>
  <c r="C2291" i="3" a="1"/>
  <c r="C2291" i="3"/>
  <c r="C2292" i="3" a="1"/>
  <c r="C2292" i="3"/>
  <c r="C2293" i="3" a="1"/>
  <c r="C2293" i="3"/>
  <c r="C2294" i="3" a="1"/>
  <c r="C2294" i="3"/>
  <c r="C2295" i="3" a="1"/>
  <c r="C2295" i="3"/>
  <c r="C2296" i="3" a="1"/>
  <c r="C2296" i="3"/>
  <c r="C2297" i="3" a="1"/>
  <c r="C2297" i="3"/>
  <c r="C2298" i="3" a="1"/>
  <c r="C2298" i="3"/>
  <c r="C2299" i="3" a="1"/>
  <c r="C2299" i="3"/>
  <c r="C2300" i="3" a="1"/>
  <c r="C2300" i="3"/>
  <c r="C2301" i="3" a="1"/>
  <c r="C2301" i="3"/>
  <c r="C2302" i="3" a="1"/>
  <c r="C2302" i="3"/>
  <c r="C2303" i="3" a="1"/>
  <c r="C2303" i="3"/>
  <c r="C2304" i="3" a="1"/>
  <c r="C2304" i="3"/>
  <c r="C2305" i="3" a="1"/>
  <c r="C2305" i="3"/>
  <c r="C2306" i="3" a="1"/>
  <c r="C2306" i="3"/>
  <c r="C2307" i="3" a="1"/>
  <c r="C2307" i="3"/>
  <c r="C2308" i="3" a="1"/>
  <c r="C2308" i="3"/>
  <c r="C2309" i="3" a="1"/>
  <c r="C2309" i="3"/>
  <c r="C2310" i="3" a="1"/>
  <c r="C2310" i="3"/>
  <c r="C2311" i="3" a="1"/>
  <c r="C2311" i="3"/>
  <c r="C2312" i="3" a="1"/>
  <c r="C2312" i="3"/>
  <c r="C2313" i="3" a="1"/>
  <c r="C2313" i="3"/>
  <c r="C2314" i="3" a="1"/>
  <c r="C2314" i="3"/>
  <c r="C2315" i="3" a="1"/>
  <c r="C2315" i="3"/>
  <c r="C2316" i="3" a="1"/>
  <c r="C2316" i="3"/>
  <c r="C2317" i="3" a="1"/>
  <c r="C2317" i="3"/>
  <c r="C2318" i="3" a="1"/>
  <c r="C2318" i="3"/>
  <c r="C2319" i="3" a="1"/>
  <c r="C2319" i="3"/>
  <c r="C2320" i="3" a="1"/>
  <c r="C2320" i="3"/>
  <c r="C2321" i="3" a="1"/>
  <c r="C2321" i="3"/>
  <c r="C2322" i="3" a="1"/>
  <c r="C2322" i="3"/>
  <c r="C2323" i="3" a="1"/>
  <c r="C2323" i="3"/>
  <c r="C2324" i="3" a="1"/>
  <c r="C2324" i="3"/>
  <c r="C2325" i="3" a="1"/>
  <c r="C2325" i="3"/>
  <c r="C2326" i="3" a="1"/>
  <c r="C2326" i="3"/>
  <c r="C2327" i="3" a="1"/>
  <c r="C2327" i="3"/>
  <c r="C2328" i="3" a="1"/>
  <c r="C2328" i="3"/>
  <c r="C2329" i="3" a="1"/>
  <c r="C2329" i="3"/>
  <c r="C2330" i="3" a="1"/>
  <c r="C2330" i="3"/>
  <c r="C2331" i="3" a="1"/>
  <c r="C2331" i="3"/>
  <c r="C2332" i="3" a="1"/>
  <c r="C2332" i="3"/>
  <c r="C2333" i="3" a="1"/>
  <c r="C2333" i="3"/>
  <c r="C2334" i="3" a="1"/>
  <c r="C2334" i="3"/>
  <c r="C2335" i="3" a="1"/>
  <c r="C2335" i="3"/>
  <c r="C2336" i="3" a="1"/>
  <c r="C2336" i="3"/>
  <c r="C2337" i="3" a="1"/>
  <c r="C2337" i="3"/>
  <c r="C2338" i="3" a="1"/>
  <c r="C2338" i="3"/>
  <c r="C2339" i="3" a="1"/>
  <c r="C2339" i="3"/>
  <c r="C2340" i="3" a="1"/>
  <c r="C2340" i="3"/>
  <c r="C2341" i="3" a="1"/>
  <c r="C2341" i="3"/>
  <c r="C2342" i="3" a="1"/>
  <c r="C2342" i="3"/>
  <c r="C2343" i="3" a="1"/>
  <c r="C2343" i="3"/>
  <c r="C2344" i="3" a="1"/>
  <c r="C2344" i="3"/>
  <c r="C2345" i="3" a="1"/>
  <c r="C2345" i="3"/>
  <c r="C2346" i="3" a="1"/>
  <c r="C2346" i="3"/>
  <c r="C2347" i="3" a="1"/>
  <c r="C2347" i="3"/>
  <c r="C2348" i="3" a="1"/>
  <c r="C2348" i="3"/>
  <c r="C2349" i="3" a="1"/>
  <c r="C2349" i="3"/>
  <c r="C2350" i="3" a="1"/>
  <c r="C2350" i="3"/>
  <c r="C2351" i="3" a="1"/>
  <c r="C2351" i="3"/>
  <c r="C2352" i="3" a="1"/>
  <c r="C2352" i="3"/>
  <c r="C2353" i="3" a="1"/>
  <c r="C2353" i="3"/>
  <c r="C2354" i="3" a="1"/>
  <c r="C2354" i="3"/>
  <c r="C2355" i="3" a="1"/>
  <c r="C2355" i="3"/>
  <c r="C2356" i="3" a="1"/>
  <c r="C2356" i="3"/>
  <c r="C2357" i="3" a="1"/>
  <c r="C2357" i="3"/>
  <c r="C2358" i="3" a="1"/>
  <c r="C2358" i="3"/>
  <c r="C2359" i="3" a="1"/>
  <c r="C2359" i="3"/>
  <c r="C2360" i="3" a="1"/>
  <c r="C2360" i="3"/>
  <c r="C2361" i="3" a="1"/>
  <c r="C2361" i="3"/>
  <c r="C2362" i="3" a="1"/>
  <c r="C2362" i="3"/>
  <c r="C2363" i="3" a="1"/>
  <c r="C2363" i="3"/>
  <c r="C2364" i="3" a="1"/>
  <c r="C2364" i="3"/>
  <c r="C2365" i="3" a="1"/>
  <c r="C2365" i="3"/>
  <c r="C2366" i="3" a="1"/>
  <c r="C2366" i="3"/>
  <c r="C2367" i="3" a="1"/>
  <c r="C2367" i="3"/>
  <c r="C2368" i="3" a="1"/>
  <c r="C2368" i="3"/>
  <c r="C2369" i="3" a="1"/>
  <c r="C2369" i="3"/>
  <c r="C2370" i="3" a="1"/>
  <c r="C2370" i="3"/>
  <c r="C2371" i="3" a="1"/>
  <c r="C2371" i="3"/>
  <c r="C2372" i="3" a="1"/>
  <c r="C2372" i="3"/>
  <c r="C2373" i="3" a="1"/>
  <c r="C2373" i="3"/>
  <c r="C2374" i="3" a="1"/>
  <c r="C2374" i="3"/>
  <c r="C2375" i="3" a="1"/>
  <c r="C2375" i="3"/>
  <c r="C2376" i="3" a="1"/>
  <c r="C2376" i="3"/>
  <c r="C2377" i="3" a="1"/>
  <c r="C2377" i="3"/>
  <c r="C2378" i="3" a="1"/>
  <c r="C2378" i="3"/>
  <c r="C2379" i="3" a="1"/>
  <c r="C2379" i="3"/>
  <c r="C2380" i="3" a="1"/>
  <c r="C2380" i="3"/>
  <c r="C2381" i="3" a="1"/>
  <c r="C2381" i="3"/>
  <c r="C2382" i="3" a="1"/>
  <c r="C2382" i="3"/>
  <c r="C2383" i="3" a="1"/>
  <c r="C2383" i="3"/>
  <c r="C2384" i="3" a="1"/>
  <c r="C2384" i="3"/>
  <c r="C2385" i="3" a="1"/>
  <c r="C2385" i="3"/>
  <c r="C2386" i="3" a="1"/>
  <c r="C2386" i="3"/>
  <c r="C2387" i="3" a="1"/>
  <c r="C2387" i="3"/>
  <c r="C2388" i="3" a="1"/>
  <c r="C2388" i="3"/>
  <c r="C2389" i="3" a="1"/>
  <c r="C2389" i="3"/>
  <c r="C2390" i="3" a="1"/>
  <c r="C2390" i="3"/>
  <c r="C2391" i="3" a="1"/>
  <c r="C2391" i="3"/>
  <c r="C2392" i="3" a="1"/>
  <c r="C2392" i="3"/>
  <c r="C2393" i="3" a="1"/>
  <c r="C2393" i="3"/>
  <c r="C2394" i="3" a="1"/>
  <c r="C2394" i="3"/>
  <c r="C2395" i="3" a="1"/>
  <c r="C2395" i="3"/>
  <c r="C2396" i="3" a="1"/>
  <c r="C2396" i="3"/>
  <c r="C2397" i="3" a="1"/>
  <c r="C2397" i="3"/>
  <c r="C2398" i="3" a="1"/>
  <c r="C2398" i="3"/>
  <c r="C2399" i="3" a="1"/>
  <c r="C2399" i="3"/>
  <c r="C2400" i="3" a="1"/>
  <c r="C2400" i="3"/>
  <c r="C2401" i="3" a="1"/>
  <c r="C2401" i="3"/>
  <c r="C2402" i="3" a="1"/>
  <c r="C2402" i="3"/>
  <c r="C2403" i="3" a="1"/>
  <c r="C2403" i="3"/>
  <c r="C2404" i="3" a="1"/>
  <c r="C2404" i="3"/>
  <c r="C2405" i="3" a="1"/>
  <c r="C2405" i="3"/>
  <c r="C2406" i="3" a="1"/>
  <c r="C2406" i="3"/>
  <c r="C2407" i="3" a="1"/>
  <c r="C2407" i="3"/>
  <c r="C2408" i="3" a="1"/>
  <c r="C2408" i="3"/>
  <c r="C2409" i="3" a="1"/>
  <c r="C2409" i="3"/>
  <c r="C2410" i="3" a="1"/>
  <c r="C2410" i="3"/>
  <c r="C2411" i="3" a="1"/>
  <c r="C2411" i="3"/>
  <c r="C2412" i="3" a="1"/>
  <c r="C2412" i="3"/>
  <c r="C2413" i="3" a="1"/>
  <c r="C2413" i="3"/>
  <c r="C2414" i="3" a="1"/>
  <c r="C2414" i="3"/>
  <c r="C2415" i="3" a="1"/>
  <c r="C2415" i="3"/>
  <c r="C2416" i="3" a="1"/>
  <c r="C2416" i="3"/>
  <c r="C2417" i="3" a="1"/>
  <c r="C2417" i="3"/>
  <c r="C2418" i="3" a="1"/>
  <c r="C2418" i="3"/>
  <c r="C2419" i="3" a="1"/>
  <c r="C2419" i="3"/>
  <c r="C2420" i="3" a="1"/>
  <c r="C2420" i="3"/>
  <c r="C2421" i="3" a="1"/>
  <c r="C2421" i="3"/>
  <c r="C2422" i="3" a="1"/>
  <c r="C2422" i="3"/>
  <c r="C2423" i="3" a="1"/>
  <c r="C2423" i="3"/>
  <c r="C2424" i="3" a="1"/>
  <c r="C2424" i="3"/>
  <c r="C2425" i="3" a="1"/>
  <c r="C2425" i="3"/>
  <c r="C2426" i="3" a="1"/>
  <c r="C2426" i="3"/>
  <c r="C2427" i="3" a="1"/>
  <c r="C2427" i="3"/>
  <c r="C2428" i="3" a="1"/>
  <c r="C2428" i="3"/>
  <c r="C2429" i="3" a="1"/>
  <c r="C2429" i="3"/>
  <c r="C2430" i="3" a="1"/>
  <c r="C2430" i="3"/>
  <c r="C2431" i="3" a="1"/>
  <c r="C2431" i="3"/>
  <c r="C2432" i="3" a="1"/>
  <c r="C2432" i="3"/>
  <c r="C2433" i="3" a="1"/>
  <c r="C2433" i="3"/>
  <c r="C2434" i="3" a="1"/>
  <c r="C2434" i="3"/>
  <c r="C2435" i="3" a="1"/>
  <c r="C2435" i="3"/>
  <c r="C2436" i="3" a="1"/>
  <c r="C2436" i="3"/>
  <c r="C2437" i="3" a="1"/>
  <c r="C2437" i="3"/>
  <c r="C2438" i="3" a="1"/>
  <c r="C2438" i="3"/>
  <c r="C2439" i="3" a="1"/>
  <c r="C2439" i="3"/>
  <c r="C2440" i="3" a="1"/>
  <c r="C2440" i="3"/>
  <c r="C2441" i="3" a="1"/>
  <c r="C2441" i="3"/>
  <c r="C2442" i="3" a="1"/>
  <c r="C2442" i="3"/>
  <c r="C2443" i="3" a="1"/>
  <c r="C2443" i="3"/>
  <c r="C2444" i="3" a="1"/>
  <c r="C2444" i="3"/>
  <c r="C2445" i="3" a="1"/>
  <c r="C2445" i="3"/>
  <c r="C2446" i="3" a="1"/>
  <c r="C2446" i="3"/>
  <c r="C2447" i="3" a="1"/>
  <c r="C2447" i="3"/>
  <c r="C2448" i="3" a="1"/>
  <c r="C2448" i="3"/>
  <c r="C2449" i="3" a="1"/>
  <c r="C2449" i="3"/>
  <c r="C2450" i="3" a="1"/>
  <c r="C2450" i="3"/>
  <c r="C2451" i="3" a="1"/>
  <c r="C2451" i="3"/>
  <c r="C2452" i="3" a="1"/>
  <c r="C2452" i="3"/>
  <c r="C2453" i="3" a="1"/>
  <c r="C2453" i="3"/>
  <c r="C2454" i="3" a="1"/>
  <c r="C2454" i="3"/>
  <c r="C2455" i="3" a="1"/>
  <c r="C2455" i="3"/>
  <c r="C2456" i="3" a="1"/>
  <c r="C2456" i="3"/>
  <c r="C2457" i="3" a="1"/>
  <c r="C2457" i="3"/>
  <c r="C2458" i="3" a="1"/>
  <c r="C2458" i="3"/>
  <c r="C2459" i="3" a="1"/>
  <c r="C2459" i="3"/>
  <c r="C2460" i="3" a="1"/>
  <c r="C2460" i="3"/>
  <c r="C2461" i="3" a="1"/>
  <c r="C2461" i="3"/>
  <c r="C2462" i="3" a="1"/>
  <c r="C2462" i="3"/>
  <c r="C2463" i="3" a="1"/>
  <c r="C2463" i="3"/>
  <c r="C2464" i="3" a="1"/>
  <c r="C2464" i="3"/>
  <c r="C2465" i="3" a="1"/>
  <c r="C2465" i="3"/>
  <c r="C2466" i="3" a="1"/>
  <c r="C2466" i="3"/>
  <c r="C2467" i="3" a="1"/>
  <c r="C2467" i="3"/>
  <c r="C2468" i="3" a="1"/>
  <c r="C2468" i="3"/>
  <c r="C2469" i="3" a="1"/>
  <c r="C2469" i="3"/>
  <c r="C2470" i="3" a="1"/>
  <c r="C2470" i="3"/>
  <c r="C2471" i="3" a="1"/>
  <c r="C2471" i="3"/>
  <c r="C2472" i="3" a="1"/>
  <c r="C2472" i="3"/>
  <c r="C2473" i="3" a="1"/>
  <c r="C2473" i="3"/>
  <c r="C2474" i="3" a="1"/>
  <c r="C2474" i="3"/>
  <c r="C2475" i="3" a="1"/>
  <c r="C2475" i="3"/>
  <c r="C2476" i="3" a="1"/>
  <c r="C2476" i="3"/>
  <c r="C2477" i="3" a="1"/>
  <c r="C2477" i="3"/>
  <c r="C2478" i="3" a="1"/>
  <c r="C2478" i="3"/>
  <c r="C2479" i="3" a="1"/>
  <c r="C2479" i="3"/>
  <c r="C2480" i="3" a="1"/>
  <c r="C2480" i="3"/>
  <c r="C2481" i="3" a="1"/>
  <c r="C2481" i="3"/>
  <c r="C2482" i="3" a="1"/>
  <c r="C2482" i="3"/>
  <c r="C2483" i="3" a="1"/>
  <c r="C2483" i="3"/>
  <c r="C2484" i="3" a="1"/>
  <c r="C2484" i="3"/>
  <c r="C2485" i="3" a="1"/>
  <c r="C2485" i="3"/>
  <c r="C2486" i="3" a="1"/>
  <c r="C2486" i="3"/>
  <c r="C2487" i="3" a="1"/>
  <c r="C2487" i="3"/>
  <c r="C2488" i="3" a="1"/>
  <c r="C2488" i="3"/>
  <c r="C2489" i="3" a="1"/>
  <c r="C2489" i="3"/>
  <c r="C2490" i="3" a="1"/>
  <c r="C2490" i="3"/>
  <c r="C2491" i="3" a="1"/>
  <c r="C2491" i="3"/>
  <c r="C2492" i="3" a="1"/>
  <c r="C2492" i="3"/>
  <c r="C2493" i="3" a="1"/>
  <c r="C2493" i="3"/>
  <c r="C2494" i="3" a="1"/>
  <c r="C2494" i="3"/>
  <c r="C2495" i="3" a="1"/>
  <c r="C2495" i="3"/>
  <c r="C2496" i="3" a="1"/>
  <c r="C2496" i="3"/>
  <c r="C2497" i="3" a="1"/>
  <c r="C2497" i="3"/>
  <c r="C2498" i="3" a="1"/>
  <c r="C2498" i="3"/>
  <c r="C2499" i="3" a="1"/>
  <c r="C2499" i="3"/>
  <c r="C2500" i="3" a="1"/>
  <c r="C2500" i="3"/>
  <c r="C2501" i="3" a="1"/>
  <c r="C2501" i="3"/>
  <c r="C2502" i="3" a="1"/>
  <c r="C2502" i="3"/>
  <c r="C2503" i="3" a="1"/>
  <c r="C2503" i="3"/>
  <c r="C2504" i="3" a="1"/>
  <c r="C2504" i="3"/>
  <c r="C2505" i="3" a="1"/>
  <c r="C2505" i="3"/>
  <c r="C2506" i="3" a="1"/>
  <c r="C2506" i="3"/>
  <c r="C2507" i="3" a="1"/>
  <c r="C2507" i="3"/>
  <c r="C2508" i="3" a="1"/>
  <c r="C2508" i="3"/>
  <c r="C2509" i="3" a="1"/>
  <c r="C2509" i="3"/>
  <c r="C2510" i="3" a="1"/>
  <c r="C2510" i="3"/>
  <c r="C2511" i="3" a="1"/>
  <c r="C2511" i="3"/>
  <c r="C2512" i="3" a="1"/>
  <c r="C2512" i="3"/>
  <c r="C2513" i="3" a="1"/>
  <c r="C2513" i="3"/>
  <c r="C2514" i="3" a="1"/>
  <c r="C2514" i="3"/>
  <c r="C2515" i="3" a="1"/>
  <c r="C2515" i="3"/>
  <c r="C2516" i="3" a="1"/>
  <c r="C2516" i="3"/>
  <c r="C2517" i="3" a="1"/>
  <c r="C2517" i="3"/>
  <c r="C2518" i="3" a="1"/>
  <c r="C2518" i="3"/>
  <c r="C2519" i="3" a="1"/>
  <c r="C2519" i="3"/>
  <c r="C2520" i="3" a="1"/>
  <c r="C2520" i="3"/>
  <c r="C2521" i="3" a="1"/>
  <c r="C2521" i="3"/>
  <c r="C2522" i="3" a="1"/>
  <c r="C2522" i="3"/>
  <c r="C2523" i="3" a="1"/>
  <c r="C2523" i="3"/>
  <c r="C2524" i="3" a="1"/>
  <c r="C2524" i="3"/>
  <c r="C2525" i="3" a="1"/>
  <c r="C2525" i="3"/>
  <c r="C2526" i="3" a="1"/>
  <c r="C2526" i="3"/>
  <c r="C2527" i="3" a="1"/>
  <c r="C2527" i="3"/>
  <c r="C2528" i="3" a="1"/>
  <c r="C2528" i="3"/>
  <c r="C2529" i="3" a="1"/>
  <c r="C2529" i="3"/>
  <c r="C2530" i="3" a="1"/>
  <c r="C2530" i="3"/>
  <c r="C2531" i="3" a="1"/>
  <c r="C2531" i="3"/>
  <c r="C2532" i="3" a="1"/>
  <c r="C2532" i="3"/>
  <c r="C2533" i="3" a="1"/>
  <c r="C2533" i="3"/>
  <c r="C2534" i="3" a="1"/>
  <c r="C2534" i="3"/>
  <c r="C2535" i="3" a="1"/>
  <c r="C2535" i="3"/>
  <c r="C2536" i="3" a="1"/>
  <c r="C2536" i="3"/>
  <c r="C2537" i="3" a="1"/>
  <c r="C2537" i="3"/>
  <c r="C2538" i="3" a="1"/>
  <c r="C2538" i="3"/>
  <c r="C2539" i="3" a="1"/>
  <c r="C2539" i="3"/>
  <c r="C2540" i="3" a="1"/>
  <c r="C2540" i="3"/>
  <c r="C2541" i="3" a="1"/>
  <c r="C2541" i="3"/>
  <c r="C2542" i="3" a="1"/>
  <c r="C2542" i="3"/>
  <c r="C2543" i="3" a="1"/>
  <c r="C2543" i="3"/>
  <c r="C2544" i="3" a="1"/>
  <c r="C2544" i="3"/>
  <c r="C2545" i="3" a="1"/>
  <c r="C2545" i="3"/>
  <c r="C2546" i="3" a="1"/>
  <c r="C2546" i="3"/>
  <c r="C2547" i="3" a="1"/>
  <c r="C2547" i="3"/>
  <c r="C2548" i="3" a="1"/>
  <c r="C2548" i="3"/>
  <c r="C2549" i="3" a="1"/>
  <c r="C2549" i="3"/>
  <c r="C2550" i="3" a="1"/>
  <c r="C2550" i="3"/>
  <c r="C2551" i="3" a="1"/>
  <c r="C2551" i="3"/>
  <c r="C2552" i="3" a="1"/>
  <c r="C2552" i="3"/>
  <c r="C2553" i="3" a="1"/>
  <c r="C2553" i="3"/>
  <c r="C2554" i="3" a="1"/>
  <c r="C2554" i="3"/>
  <c r="C2555" i="3" a="1"/>
  <c r="C2555" i="3"/>
  <c r="C2556" i="3" a="1"/>
  <c r="C2556" i="3"/>
  <c r="C2557" i="3" a="1"/>
  <c r="C2557" i="3"/>
  <c r="C2558" i="3" a="1"/>
  <c r="C2558" i="3"/>
  <c r="C2559" i="3" a="1"/>
  <c r="C2559" i="3"/>
  <c r="C2560" i="3" a="1"/>
  <c r="C2560" i="3"/>
  <c r="C2561" i="3" a="1"/>
  <c r="C2561" i="3"/>
  <c r="C2562" i="3" a="1"/>
  <c r="C2562" i="3"/>
  <c r="C2563" i="3" a="1"/>
  <c r="C2563" i="3"/>
  <c r="C2564" i="3" a="1"/>
  <c r="C2564" i="3"/>
  <c r="C2565" i="3" a="1"/>
  <c r="C2565" i="3"/>
  <c r="C2566" i="3" a="1"/>
  <c r="C2566" i="3"/>
  <c r="C2567" i="3" a="1"/>
  <c r="C2567" i="3"/>
  <c r="C2568" i="3" a="1"/>
  <c r="C2568" i="3"/>
  <c r="C2569" i="3" a="1"/>
  <c r="C2569" i="3"/>
  <c r="C2570" i="3" a="1"/>
  <c r="C2570" i="3"/>
  <c r="C2571" i="3" a="1"/>
  <c r="C2571" i="3"/>
  <c r="C2572" i="3" a="1"/>
  <c r="C2572" i="3"/>
  <c r="C2573" i="3" a="1"/>
  <c r="C2573" i="3"/>
  <c r="C2574" i="3" a="1"/>
  <c r="C2574" i="3"/>
  <c r="C2575" i="3" a="1"/>
  <c r="C2575" i="3"/>
  <c r="C2576" i="3" a="1"/>
  <c r="C2576" i="3"/>
  <c r="C2577" i="3" a="1"/>
  <c r="C2577" i="3"/>
  <c r="C2578" i="3" a="1"/>
  <c r="C2578" i="3"/>
  <c r="C2579" i="3" a="1"/>
  <c r="C2579" i="3"/>
  <c r="C2580" i="3" a="1"/>
  <c r="C2580" i="3"/>
  <c r="C2581" i="3" a="1"/>
  <c r="C2581" i="3"/>
  <c r="C2582" i="3" a="1"/>
  <c r="C2582" i="3"/>
  <c r="C2583" i="3" a="1"/>
  <c r="C2583" i="3"/>
  <c r="C2584" i="3" a="1"/>
  <c r="C2584" i="3"/>
  <c r="C2585" i="3" a="1"/>
  <c r="C2585" i="3"/>
  <c r="C2586" i="3" a="1"/>
  <c r="C2586" i="3"/>
  <c r="C2587" i="3" a="1"/>
  <c r="C2587" i="3"/>
  <c r="C2588" i="3" a="1"/>
  <c r="C2588" i="3"/>
  <c r="C2589" i="3" a="1"/>
  <c r="C2589" i="3"/>
  <c r="C2590" i="3" a="1"/>
  <c r="C2590" i="3"/>
  <c r="C2591" i="3" a="1"/>
  <c r="C2591" i="3"/>
  <c r="C2592" i="3" a="1"/>
  <c r="C2592" i="3"/>
  <c r="C2593" i="3" a="1"/>
  <c r="C2593" i="3"/>
  <c r="C2594" i="3" a="1"/>
  <c r="C2594" i="3"/>
  <c r="C2595" i="3" a="1"/>
  <c r="C2595" i="3"/>
  <c r="C2596" i="3" a="1"/>
  <c r="C2596" i="3"/>
  <c r="C2597" i="3" a="1"/>
  <c r="C2597" i="3"/>
  <c r="C2598" i="3" a="1"/>
  <c r="C2598" i="3"/>
  <c r="C2599" i="3" a="1"/>
  <c r="C2599" i="3"/>
  <c r="C2600" i="3" a="1"/>
  <c r="C2600" i="3"/>
  <c r="C2601" i="3" a="1"/>
  <c r="C2601" i="3"/>
  <c r="C2602" i="3" a="1"/>
  <c r="C2602" i="3"/>
  <c r="C2603" i="3" a="1"/>
  <c r="C2603" i="3"/>
  <c r="C2604" i="3" a="1"/>
  <c r="C2604" i="3"/>
  <c r="C2605" i="3" a="1"/>
  <c r="C2605" i="3"/>
  <c r="C2606" i="3" a="1"/>
  <c r="C2606" i="3"/>
  <c r="C2607" i="3" a="1"/>
  <c r="C2607" i="3"/>
  <c r="C2608" i="3" a="1"/>
  <c r="C2608" i="3"/>
  <c r="C2609" i="3" a="1"/>
  <c r="C2609" i="3"/>
  <c r="C2610" i="3" a="1"/>
  <c r="C2610" i="3"/>
  <c r="C2611" i="3" a="1"/>
  <c r="C2611" i="3"/>
  <c r="C2612" i="3" a="1"/>
  <c r="C2612" i="3"/>
  <c r="C2613" i="3" a="1"/>
  <c r="C2613" i="3"/>
  <c r="C2614" i="3" a="1"/>
  <c r="C2614" i="3"/>
  <c r="C2615" i="3" a="1"/>
  <c r="C2615" i="3"/>
  <c r="C2616" i="3" a="1"/>
  <c r="C2616" i="3"/>
  <c r="C2617" i="3" a="1"/>
  <c r="C2617" i="3"/>
  <c r="C2618" i="3" a="1"/>
  <c r="C2618" i="3"/>
  <c r="C2619" i="3" a="1"/>
  <c r="C2619" i="3"/>
  <c r="C2620" i="3" a="1"/>
  <c r="C2620" i="3"/>
  <c r="C2621" i="3" a="1"/>
  <c r="C2621" i="3"/>
  <c r="C2622" i="3" a="1"/>
  <c r="C2622" i="3"/>
  <c r="C2623" i="3" a="1"/>
  <c r="C2623" i="3"/>
  <c r="C2624" i="3" a="1"/>
  <c r="C2624" i="3"/>
  <c r="C2625" i="3" a="1"/>
  <c r="C2625" i="3"/>
  <c r="C2626" i="3" a="1"/>
  <c r="C2626" i="3"/>
  <c r="C2627" i="3" a="1"/>
  <c r="C2627" i="3"/>
  <c r="C2628" i="3" a="1"/>
  <c r="C2628" i="3"/>
  <c r="C2629" i="3" a="1"/>
  <c r="C2629" i="3"/>
  <c r="C2630" i="3" a="1"/>
  <c r="C2630" i="3"/>
  <c r="C2631" i="3" a="1"/>
  <c r="C2631" i="3"/>
  <c r="C2632" i="3" a="1"/>
  <c r="C2632" i="3"/>
  <c r="C2633" i="3" a="1"/>
  <c r="C2633" i="3"/>
  <c r="C2634" i="3" a="1"/>
  <c r="C2634" i="3"/>
  <c r="C2635" i="3" a="1"/>
  <c r="C2635" i="3"/>
  <c r="C2636" i="3" a="1"/>
  <c r="C2636" i="3"/>
  <c r="C2637" i="3" a="1"/>
  <c r="C2637" i="3"/>
  <c r="C2638" i="3" a="1"/>
  <c r="C2638" i="3"/>
  <c r="C2639" i="3" a="1"/>
  <c r="C2639" i="3"/>
  <c r="C2640" i="3" a="1"/>
  <c r="C2640" i="3"/>
  <c r="C2641" i="3" a="1"/>
  <c r="C2641" i="3"/>
  <c r="C2642" i="3" a="1"/>
  <c r="C2642" i="3"/>
  <c r="C2643" i="3" a="1"/>
  <c r="C2643" i="3"/>
  <c r="C2644" i="3" a="1"/>
  <c r="C2644" i="3"/>
  <c r="C2645" i="3" a="1"/>
  <c r="C2645" i="3"/>
  <c r="C2646" i="3" a="1"/>
  <c r="C2646" i="3"/>
  <c r="C2647" i="3" a="1"/>
  <c r="C2647" i="3"/>
  <c r="C2648" i="3" a="1"/>
  <c r="C2648" i="3"/>
  <c r="C2649" i="3" a="1"/>
  <c r="C2649" i="3"/>
  <c r="C2650" i="3" a="1"/>
  <c r="C2650" i="3"/>
  <c r="C2651" i="3" a="1"/>
  <c r="C2651" i="3"/>
  <c r="C2652" i="3" a="1"/>
  <c r="C2652" i="3"/>
  <c r="C2653" i="3" a="1"/>
  <c r="C2653" i="3"/>
  <c r="C2654" i="3" a="1"/>
  <c r="C2654" i="3"/>
  <c r="C2655" i="3" a="1"/>
  <c r="C2655" i="3"/>
  <c r="C2656" i="3" a="1"/>
  <c r="C2656" i="3"/>
  <c r="C2657" i="3" a="1"/>
  <c r="C2657" i="3"/>
  <c r="C2658" i="3" a="1"/>
  <c r="C2658" i="3"/>
  <c r="C2659" i="3" a="1"/>
  <c r="C2659" i="3"/>
  <c r="C2660" i="3" a="1"/>
  <c r="C2660" i="3"/>
  <c r="C2661" i="3" a="1"/>
  <c r="C2661" i="3"/>
  <c r="C2662" i="3" a="1"/>
  <c r="C2662" i="3"/>
  <c r="C2663" i="3" a="1"/>
  <c r="C2663" i="3"/>
  <c r="C2664" i="3" a="1"/>
  <c r="C2664" i="3"/>
  <c r="C2665" i="3" a="1"/>
  <c r="C2665" i="3"/>
  <c r="C2666" i="3" a="1"/>
  <c r="C2666" i="3"/>
  <c r="C2667" i="3" a="1"/>
  <c r="C2667" i="3"/>
  <c r="C2668" i="3" a="1"/>
  <c r="C2668" i="3"/>
  <c r="C2669" i="3" a="1"/>
  <c r="C2669" i="3"/>
  <c r="C2670" i="3" a="1"/>
  <c r="C2670" i="3"/>
  <c r="C2671" i="3" a="1"/>
  <c r="C2671" i="3"/>
  <c r="C2672" i="3" a="1"/>
  <c r="C2672" i="3"/>
  <c r="C2673" i="3" a="1"/>
  <c r="C2673" i="3"/>
  <c r="C2674" i="3" a="1"/>
  <c r="C2674" i="3"/>
  <c r="C2675" i="3" a="1"/>
  <c r="C2675" i="3"/>
  <c r="C2676" i="3" a="1"/>
  <c r="C2676" i="3"/>
  <c r="C2677" i="3" a="1"/>
  <c r="C2677" i="3"/>
  <c r="C2678" i="3" a="1"/>
  <c r="C2678" i="3"/>
  <c r="C2679" i="3" a="1"/>
  <c r="C2679" i="3"/>
  <c r="C2680" i="3" a="1"/>
  <c r="C2680" i="3"/>
  <c r="C2681" i="3" a="1"/>
  <c r="C2681" i="3"/>
  <c r="C2682" i="3" a="1"/>
  <c r="C2682" i="3"/>
  <c r="C2683" i="3" a="1"/>
  <c r="C2683" i="3"/>
  <c r="C2684" i="3" a="1"/>
  <c r="C2684" i="3"/>
  <c r="C2685" i="3" a="1"/>
  <c r="C2685" i="3"/>
  <c r="C2686" i="3" a="1"/>
  <c r="C2686" i="3"/>
  <c r="C2687" i="3" a="1"/>
  <c r="C2687" i="3"/>
  <c r="C2688" i="3" a="1"/>
  <c r="C2688" i="3"/>
  <c r="C2689" i="3" a="1"/>
  <c r="C2689" i="3"/>
  <c r="C2690" i="3" a="1"/>
  <c r="C2690" i="3"/>
  <c r="C2691" i="3" a="1"/>
  <c r="C2691" i="3"/>
  <c r="C2692" i="3" a="1"/>
  <c r="C2692" i="3"/>
  <c r="C2693" i="3" a="1"/>
  <c r="C2693" i="3"/>
  <c r="C2694" i="3" a="1"/>
  <c r="C2694" i="3"/>
  <c r="C2695" i="3" a="1"/>
  <c r="C2695" i="3"/>
  <c r="C2696" i="3" a="1"/>
  <c r="C2696" i="3"/>
  <c r="C2697" i="3" a="1"/>
  <c r="C2697" i="3"/>
  <c r="C2698" i="3" a="1"/>
  <c r="C2698" i="3"/>
  <c r="C2699" i="3" a="1"/>
  <c r="C2699" i="3"/>
  <c r="C2700" i="3" a="1"/>
  <c r="C2700" i="3"/>
  <c r="C2701" i="3" a="1"/>
  <c r="C2701" i="3"/>
  <c r="C2702" i="3" a="1"/>
  <c r="C2702" i="3"/>
  <c r="C2703" i="3" a="1"/>
  <c r="C2703" i="3"/>
  <c r="C2704" i="3" a="1"/>
  <c r="C2704" i="3"/>
  <c r="C2705" i="3" a="1"/>
  <c r="C2705" i="3"/>
  <c r="C2706" i="3" a="1"/>
  <c r="C2706" i="3"/>
  <c r="C2707" i="3" a="1"/>
  <c r="C2707" i="3"/>
  <c r="C2708" i="3" a="1"/>
  <c r="C2708" i="3"/>
  <c r="C2709" i="3" a="1"/>
  <c r="C2709" i="3"/>
  <c r="C2710" i="3" a="1"/>
  <c r="C2710" i="3"/>
  <c r="C2711" i="3" a="1"/>
  <c r="C2711" i="3"/>
  <c r="C2712" i="3" a="1"/>
  <c r="C2712" i="3"/>
  <c r="C2713" i="3" a="1"/>
  <c r="C2713" i="3"/>
  <c r="C2714" i="3" a="1"/>
  <c r="C2714" i="3"/>
  <c r="C2715" i="3" a="1"/>
  <c r="C2715" i="3"/>
  <c r="C2716" i="3" a="1"/>
  <c r="C2716" i="3"/>
  <c r="C2717" i="3" a="1"/>
  <c r="C2717" i="3"/>
  <c r="C2718" i="3" a="1"/>
  <c r="C2718" i="3"/>
  <c r="C2719" i="3" a="1"/>
  <c r="C2719" i="3"/>
  <c r="C2720" i="3" a="1"/>
  <c r="C2720" i="3"/>
  <c r="C2721" i="3" a="1"/>
  <c r="C2721" i="3"/>
  <c r="C2722" i="3" a="1"/>
  <c r="C2722" i="3"/>
  <c r="C2723" i="3" a="1"/>
  <c r="C2723" i="3"/>
  <c r="C2724" i="3" a="1"/>
  <c r="C2724" i="3"/>
  <c r="C2725" i="3" a="1"/>
  <c r="C2725" i="3"/>
  <c r="C2726" i="3" a="1"/>
  <c r="C2726" i="3"/>
  <c r="C2727" i="3" a="1"/>
  <c r="C2727" i="3"/>
  <c r="C2728" i="3" a="1"/>
  <c r="C2728" i="3"/>
  <c r="C2729" i="3" a="1"/>
  <c r="C2729" i="3"/>
  <c r="C2730" i="3" a="1"/>
  <c r="C2730" i="3"/>
  <c r="C2731" i="3" a="1"/>
  <c r="C2731" i="3"/>
  <c r="C2732" i="3" a="1"/>
  <c r="C2732" i="3"/>
  <c r="C2733" i="3" a="1"/>
  <c r="C2733" i="3"/>
  <c r="C2734" i="3" a="1"/>
  <c r="C2734" i="3"/>
  <c r="C2735" i="3" a="1"/>
  <c r="C2735" i="3"/>
  <c r="C2736" i="3" a="1"/>
  <c r="C2736" i="3"/>
  <c r="C2737" i="3" a="1"/>
  <c r="C2737" i="3"/>
  <c r="C2738" i="3" a="1"/>
  <c r="C2738" i="3"/>
  <c r="C2739" i="3" a="1"/>
  <c r="C2739" i="3"/>
  <c r="C2740" i="3" a="1"/>
  <c r="C2740" i="3"/>
  <c r="C2741" i="3" a="1"/>
  <c r="C2741" i="3"/>
  <c r="C2742" i="3" a="1"/>
  <c r="C2742" i="3"/>
  <c r="C2743" i="3" a="1"/>
  <c r="C2743" i="3"/>
  <c r="C2744" i="3" a="1"/>
  <c r="C2744" i="3"/>
  <c r="C2745" i="3" a="1"/>
  <c r="C2745" i="3"/>
  <c r="C2746" i="3" a="1"/>
  <c r="C2746" i="3"/>
  <c r="C2747" i="3" a="1"/>
  <c r="C2747" i="3"/>
  <c r="C2748" i="3" a="1"/>
  <c r="C2748" i="3"/>
  <c r="C2749" i="3" a="1"/>
  <c r="C2749" i="3"/>
  <c r="C2750" i="3" a="1"/>
  <c r="C2750" i="3"/>
  <c r="C2751" i="3" a="1"/>
  <c r="C2751" i="3"/>
  <c r="C2752" i="3" a="1"/>
  <c r="C2752" i="3"/>
  <c r="C2753" i="3" a="1"/>
  <c r="C2753" i="3"/>
  <c r="C2754" i="3" a="1"/>
  <c r="C2754" i="3"/>
  <c r="C2755" i="3" a="1"/>
  <c r="C2755" i="3"/>
  <c r="C2756" i="3" a="1"/>
  <c r="C2756" i="3"/>
  <c r="C2757" i="3" a="1"/>
  <c r="C2757" i="3"/>
  <c r="C2758" i="3" a="1"/>
  <c r="C2758" i="3"/>
  <c r="C2759" i="3" a="1"/>
  <c r="C2759" i="3"/>
  <c r="C2760" i="3" a="1"/>
  <c r="C2760" i="3"/>
  <c r="C2761" i="3" a="1"/>
  <c r="C2761" i="3"/>
  <c r="C2762" i="3" a="1"/>
  <c r="C2762" i="3"/>
  <c r="C2763" i="3" a="1"/>
  <c r="C2763" i="3"/>
  <c r="C2764" i="3" a="1"/>
  <c r="C2764" i="3"/>
  <c r="C2765" i="3" a="1"/>
  <c r="C2765" i="3"/>
  <c r="C2766" i="3" a="1"/>
  <c r="C2766" i="3"/>
  <c r="C2767" i="3" a="1"/>
  <c r="C2767" i="3"/>
  <c r="C2768" i="3" a="1"/>
  <c r="C2768" i="3"/>
  <c r="C2769" i="3" a="1"/>
  <c r="C2769" i="3"/>
  <c r="C2770" i="3" a="1"/>
  <c r="C2770" i="3"/>
  <c r="C2771" i="3" a="1"/>
  <c r="C2771" i="3"/>
  <c r="C2772" i="3" a="1"/>
  <c r="C2772" i="3"/>
  <c r="C2773" i="3" a="1"/>
  <c r="C2773" i="3"/>
  <c r="C2774" i="3" a="1"/>
  <c r="C2774" i="3"/>
  <c r="C2775" i="3" a="1"/>
  <c r="C2775" i="3"/>
  <c r="C2776" i="3" a="1"/>
  <c r="C2776" i="3"/>
  <c r="C2777" i="3" a="1"/>
  <c r="C2777" i="3"/>
  <c r="C2778" i="3" a="1"/>
  <c r="C2778" i="3"/>
  <c r="C2779" i="3" a="1"/>
  <c r="C2779" i="3"/>
  <c r="C2780" i="3" a="1"/>
  <c r="C2780" i="3"/>
  <c r="C2781" i="3" a="1"/>
  <c r="C2781" i="3"/>
  <c r="C2782" i="3" a="1"/>
  <c r="C2782" i="3"/>
  <c r="C2783" i="3" a="1"/>
  <c r="C2783" i="3"/>
  <c r="C2784" i="3" a="1"/>
  <c r="C2784" i="3"/>
  <c r="C2785" i="3" a="1"/>
  <c r="C2785" i="3"/>
  <c r="C2786" i="3" a="1"/>
  <c r="C2786" i="3"/>
  <c r="C2787" i="3" a="1"/>
  <c r="C2787" i="3"/>
  <c r="C2788" i="3" a="1"/>
  <c r="C2788" i="3"/>
  <c r="C2789" i="3" a="1"/>
  <c r="C2789" i="3"/>
  <c r="C2790" i="3" a="1"/>
  <c r="C2790" i="3"/>
  <c r="C2791" i="3" a="1"/>
  <c r="C2791" i="3"/>
  <c r="C2792" i="3" a="1"/>
  <c r="C2792" i="3"/>
  <c r="C2793" i="3" a="1"/>
  <c r="C2793" i="3"/>
  <c r="C2794" i="3" a="1"/>
  <c r="C2794" i="3"/>
  <c r="C2795" i="3" a="1"/>
  <c r="C2795" i="3"/>
  <c r="C2796" i="3" a="1"/>
  <c r="C2796" i="3"/>
  <c r="C2797" i="3" a="1"/>
  <c r="C2797" i="3"/>
  <c r="C2798" i="3" a="1"/>
  <c r="C2798" i="3"/>
  <c r="C2799" i="3" a="1"/>
  <c r="C2799" i="3"/>
  <c r="C2800" i="3" a="1"/>
  <c r="C2800" i="3"/>
  <c r="C2801" i="3" a="1"/>
  <c r="C2801" i="3"/>
  <c r="C2802" i="3" a="1"/>
  <c r="C2802" i="3"/>
  <c r="C2803" i="3" a="1"/>
  <c r="C2803" i="3"/>
  <c r="C2804" i="3" a="1"/>
  <c r="C2804" i="3"/>
  <c r="C2805" i="3" a="1"/>
  <c r="C2805" i="3"/>
  <c r="C2806" i="3" a="1"/>
  <c r="C2806" i="3"/>
  <c r="C2807" i="3" a="1"/>
  <c r="C2807" i="3"/>
  <c r="C2808" i="3" a="1"/>
  <c r="C2808" i="3"/>
  <c r="C2809" i="3" a="1"/>
  <c r="C2809" i="3"/>
  <c r="C2810" i="3" a="1"/>
  <c r="C2810" i="3"/>
  <c r="C2811" i="3" a="1"/>
  <c r="C2811" i="3"/>
  <c r="C2812" i="3" a="1"/>
  <c r="C2812" i="3"/>
  <c r="C2813" i="3" a="1"/>
  <c r="C2813" i="3"/>
  <c r="C2814" i="3" a="1"/>
  <c r="C2814" i="3"/>
  <c r="C2815" i="3" a="1"/>
  <c r="C2815" i="3"/>
  <c r="C2816" i="3" a="1"/>
  <c r="C2816" i="3"/>
  <c r="C2817" i="3" a="1"/>
  <c r="C2817" i="3"/>
  <c r="C2818" i="3" a="1"/>
  <c r="C2818" i="3"/>
  <c r="C2819" i="3" a="1"/>
  <c r="C2819" i="3"/>
  <c r="C2820" i="3" a="1"/>
  <c r="C2820" i="3"/>
  <c r="C2821" i="3" a="1"/>
  <c r="C2821" i="3"/>
  <c r="C2822" i="3" a="1"/>
  <c r="C2822" i="3"/>
  <c r="C2823" i="3" a="1"/>
  <c r="C2823" i="3"/>
  <c r="C2824" i="3" a="1"/>
  <c r="C2824" i="3"/>
  <c r="C2825" i="3" a="1"/>
  <c r="C2825" i="3"/>
  <c r="C2826" i="3" a="1"/>
  <c r="C2826" i="3"/>
  <c r="C2827" i="3" a="1"/>
  <c r="C2827" i="3"/>
  <c r="C2828" i="3" a="1"/>
  <c r="C2828" i="3"/>
  <c r="C2829" i="3" a="1"/>
  <c r="C2829" i="3"/>
  <c r="C2830" i="3" a="1"/>
  <c r="C2830" i="3"/>
  <c r="C2831" i="3" a="1"/>
  <c r="C2831" i="3"/>
  <c r="C2832" i="3" a="1"/>
  <c r="C2832" i="3"/>
  <c r="C2833" i="3" a="1"/>
  <c r="C2833" i="3"/>
  <c r="C2834" i="3" a="1"/>
  <c r="C2834" i="3"/>
  <c r="C2835" i="3" a="1"/>
  <c r="C2835" i="3"/>
  <c r="C2836" i="3" a="1"/>
  <c r="C2836" i="3"/>
  <c r="C2837" i="3" a="1"/>
  <c r="C2837" i="3"/>
  <c r="C2838" i="3" a="1"/>
  <c r="C2838" i="3"/>
  <c r="C2839" i="3" a="1"/>
  <c r="C2839" i="3"/>
  <c r="C2840" i="3" a="1"/>
  <c r="C2840" i="3"/>
  <c r="C2841" i="3" a="1"/>
  <c r="C2841" i="3"/>
  <c r="C2842" i="3" a="1"/>
  <c r="C2842" i="3"/>
  <c r="C2843" i="3" a="1"/>
  <c r="C2843" i="3"/>
  <c r="C2844" i="3" a="1"/>
  <c r="C2844" i="3"/>
  <c r="C2845" i="3" a="1"/>
  <c r="C2845" i="3"/>
  <c r="C2846" i="3" a="1"/>
  <c r="C2846" i="3"/>
  <c r="C2847" i="3" a="1"/>
  <c r="C2847" i="3"/>
  <c r="C2848" i="3" a="1"/>
  <c r="C2848" i="3"/>
  <c r="C2849" i="3" a="1"/>
  <c r="C2849" i="3"/>
  <c r="C2850" i="3" a="1"/>
  <c r="C2850" i="3"/>
  <c r="C2851" i="3" a="1"/>
  <c r="C2851" i="3"/>
  <c r="C2852" i="3" a="1"/>
  <c r="C2852" i="3"/>
  <c r="C2853" i="3" a="1"/>
  <c r="C2853" i="3"/>
  <c r="C2854" i="3" a="1"/>
  <c r="C2854" i="3"/>
  <c r="C2855" i="3" a="1"/>
  <c r="C2855" i="3"/>
  <c r="C2856" i="3" a="1"/>
  <c r="C2856" i="3"/>
  <c r="C2857" i="3" a="1"/>
  <c r="C2857" i="3"/>
  <c r="C2858" i="3" a="1"/>
  <c r="C2858" i="3"/>
  <c r="C2859" i="3" a="1"/>
  <c r="C2859" i="3"/>
  <c r="C2860" i="3" a="1"/>
  <c r="C2860" i="3"/>
  <c r="C2861" i="3" a="1"/>
  <c r="C2861" i="3"/>
  <c r="C2862" i="3" a="1"/>
  <c r="C2862" i="3"/>
  <c r="C2863" i="3" a="1"/>
  <c r="C2863" i="3"/>
  <c r="C2864" i="3" a="1"/>
  <c r="C2864" i="3"/>
  <c r="C2865" i="3" a="1"/>
  <c r="C2865" i="3"/>
  <c r="C2866" i="3" a="1"/>
  <c r="C2866" i="3"/>
  <c r="C2867" i="3" a="1"/>
  <c r="C2867" i="3"/>
  <c r="C2868" i="3" a="1"/>
  <c r="C2868" i="3"/>
  <c r="C2869" i="3" a="1"/>
  <c r="C2869" i="3"/>
  <c r="C2870" i="3" a="1"/>
  <c r="C2870" i="3"/>
  <c r="C2871" i="3" a="1"/>
  <c r="C2871" i="3"/>
  <c r="C2872" i="3" a="1"/>
  <c r="C2872" i="3"/>
  <c r="C2873" i="3" a="1"/>
  <c r="C2873" i="3"/>
  <c r="C2874" i="3" a="1"/>
  <c r="C2874" i="3"/>
  <c r="C2875" i="3" a="1"/>
  <c r="C2875" i="3"/>
  <c r="C2876" i="3" a="1"/>
  <c r="C2876" i="3"/>
  <c r="C2877" i="3" a="1"/>
  <c r="C2877" i="3"/>
  <c r="C2878" i="3" a="1"/>
  <c r="C2878" i="3"/>
  <c r="C2879" i="3" a="1"/>
  <c r="C2879" i="3"/>
  <c r="C2880" i="3" a="1"/>
  <c r="C2880" i="3"/>
  <c r="C2881" i="3" a="1"/>
  <c r="C2881" i="3"/>
  <c r="C2882" i="3" a="1"/>
  <c r="C2882" i="3"/>
  <c r="C2883" i="3" a="1"/>
  <c r="C2883" i="3"/>
  <c r="C2884" i="3" a="1"/>
  <c r="C2884" i="3"/>
  <c r="C2885" i="3" a="1"/>
  <c r="C2885" i="3"/>
  <c r="C2886" i="3" a="1"/>
  <c r="C2886" i="3"/>
  <c r="C2887" i="3" a="1"/>
  <c r="C2887" i="3"/>
  <c r="C2888" i="3" a="1"/>
  <c r="C2888" i="3"/>
  <c r="C2889" i="3" a="1"/>
  <c r="C2889" i="3"/>
  <c r="C2890" i="3" a="1"/>
  <c r="C2890" i="3"/>
  <c r="C2891" i="3" a="1"/>
  <c r="C2891" i="3"/>
  <c r="C2892" i="3" a="1"/>
  <c r="C2892" i="3"/>
  <c r="C2893" i="3" a="1"/>
  <c r="C2893" i="3"/>
  <c r="C2894" i="3" a="1"/>
  <c r="C2894" i="3"/>
  <c r="C2895" i="3" a="1"/>
  <c r="C2895" i="3"/>
  <c r="C2896" i="3" a="1"/>
  <c r="C2896" i="3"/>
  <c r="C2897" i="3" a="1"/>
  <c r="C2897" i="3"/>
  <c r="C2898" i="3" a="1"/>
  <c r="C2898" i="3"/>
  <c r="C2899" i="3" a="1"/>
  <c r="C2899" i="3"/>
  <c r="C2900" i="3" a="1"/>
  <c r="C2900" i="3"/>
  <c r="C2901" i="3" a="1"/>
  <c r="C2901" i="3"/>
  <c r="C2902" i="3" a="1"/>
  <c r="C2902" i="3"/>
  <c r="C2903" i="3" a="1"/>
  <c r="C2903" i="3"/>
  <c r="C2904" i="3" a="1"/>
  <c r="C2904" i="3"/>
  <c r="C2905" i="3" a="1"/>
  <c r="C2905" i="3"/>
  <c r="C2906" i="3" a="1"/>
  <c r="C2906" i="3"/>
  <c r="C2907" i="3" a="1"/>
  <c r="C2907" i="3"/>
  <c r="C2908" i="3" a="1"/>
  <c r="C2908" i="3"/>
  <c r="C2909" i="3" a="1"/>
  <c r="C2909" i="3"/>
  <c r="C2910" i="3" a="1"/>
  <c r="C2910" i="3"/>
  <c r="C2911" i="3" a="1"/>
  <c r="C2911" i="3"/>
  <c r="C2912" i="3" a="1"/>
  <c r="C2912" i="3"/>
  <c r="C2913" i="3" a="1"/>
  <c r="C2913" i="3"/>
  <c r="C2914" i="3" a="1"/>
  <c r="C2914" i="3"/>
  <c r="C2915" i="3" a="1"/>
  <c r="C2915" i="3"/>
  <c r="C2916" i="3" a="1"/>
  <c r="C2916" i="3"/>
  <c r="C2917" i="3" a="1"/>
  <c r="C2917" i="3"/>
  <c r="C2918" i="3" a="1"/>
  <c r="C2918" i="3"/>
  <c r="C2919" i="3" a="1"/>
  <c r="C2919" i="3"/>
  <c r="C2920" i="3" a="1"/>
  <c r="C2920" i="3"/>
  <c r="C2921" i="3" a="1"/>
  <c r="C2921" i="3"/>
  <c r="C2922" i="3" a="1"/>
  <c r="C2922" i="3"/>
  <c r="C2923" i="3" a="1"/>
  <c r="C2923" i="3"/>
  <c r="C2924" i="3" a="1"/>
  <c r="C2924" i="3"/>
  <c r="C2925" i="3" a="1"/>
  <c r="C2925" i="3"/>
  <c r="C2926" i="3" a="1"/>
  <c r="C2926" i="3"/>
  <c r="C2927" i="3" a="1"/>
  <c r="C2927" i="3"/>
  <c r="C2928" i="3" a="1"/>
  <c r="C2928" i="3"/>
  <c r="C2929" i="3" a="1"/>
  <c r="C2929" i="3"/>
  <c r="C2930" i="3" a="1"/>
  <c r="C2930" i="3"/>
  <c r="C2931" i="3" a="1"/>
  <c r="C2931" i="3"/>
  <c r="C2932" i="3" a="1"/>
  <c r="C2932" i="3"/>
  <c r="C2933" i="3" a="1"/>
  <c r="C2933" i="3"/>
  <c r="C2934" i="3" a="1"/>
  <c r="C2934" i="3"/>
  <c r="C2935" i="3" a="1"/>
  <c r="C2935" i="3"/>
  <c r="C2936" i="3" a="1"/>
  <c r="C2936" i="3"/>
  <c r="C2937" i="3" a="1"/>
  <c r="C2937" i="3"/>
  <c r="C2938" i="3" a="1"/>
  <c r="C2938" i="3"/>
  <c r="C2939" i="3" a="1"/>
  <c r="C2939" i="3"/>
  <c r="C2940" i="3" a="1"/>
  <c r="C2940" i="3"/>
  <c r="C2941" i="3" a="1"/>
  <c r="C2941" i="3"/>
  <c r="C2942" i="3" a="1"/>
  <c r="C2942" i="3"/>
  <c r="C2943" i="3" a="1"/>
  <c r="C2943" i="3"/>
  <c r="C2944" i="3" a="1"/>
  <c r="C2944" i="3"/>
  <c r="C2945" i="3" a="1"/>
  <c r="C2945" i="3"/>
  <c r="C2946" i="3" a="1"/>
  <c r="C2946" i="3"/>
  <c r="C2947" i="3" a="1"/>
  <c r="C2947" i="3"/>
  <c r="C2948" i="3" a="1"/>
  <c r="C2948" i="3"/>
  <c r="C2949" i="3" a="1"/>
  <c r="C2949" i="3"/>
  <c r="C2950" i="3" a="1"/>
  <c r="C2950" i="3"/>
  <c r="C2951" i="3" a="1"/>
  <c r="C2951" i="3"/>
  <c r="C2952" i="3" a="1"/>
  <c r="C2952" i="3"/>
  <c r="C2953" i="3" a="1"/>
  <c r="C2953" i="3"/>
  <c r="C2954" i="3" a="1"/>
  <c r="C2954" i="3"/>
  <c r="C2955" i="3" a="1"/>
  <c r="C2955" i="3"/>
  <c r="C2956" i="3" a="1"/>
  <c r="C2956" i="3"/>
  <c r="C2957" i="3" a="1"/>
  <c r="C2957" i="3"/>
  <c r="C2958" i="3" a="1"/>
  <c r="C2958" i="3"/>
  <c r="C2959" i="3" a="1"/>
  <c r="C2959" i="3"/>
  <c r="C2960" i="3" a="1"/>
  <c r="C2960" i="3"/>
  <c r="C2961" i="3" a="1"/>
  <c r="C2961" i="3"/>
  <c r="C2962" i="3" a="1"/>
  <c r="C2962" i="3"/>
  <c r="C2963" i="3" a="1"/>
  <c r="C2963" i="3"/>
  <c r="C2964" i="3" a="1"/>
  <c r="C2964" i="3"/>
  <c r="C2965" i="3" a="1"/>
  <c r="C2965" i="3"/>
  <c r="C2966" i="3" a="1"/>
  <c r="C2966" i="3"/>
  <c r="C2967" i="3" a="1"/>
  <c r="C2967" i="3"/>
  <c r="C2968" i="3" a="1"/>
  <c r="C2968" i="3"/>
  <c r="C2969" i="3" a="1"/>
  <c r="C2969" i="3"/>
  <c r="C2970" i="3" a="1"/>
  <c r="C2970" i="3"/>
  <c r="C2971" i="3" a="1"/>
  <c r="C2971" i="3"/>
  <c r="C2972" i="3" a="1"/>
  <c r="C2972" i="3"/>
  <c r="C2973" i="3" a="1"/>
  <c r="C2973" i="3"/>
  <c r="C2974" i="3" a="1"/>
  <c r="C2974" i="3"/>
  <c r="C2975" i="3" a="1"/>
  <c r="C2975" i="3"/>
  <c r="C2976" i="3" a="1"/>
  <c r="C2976" i="3"/>
  <c r="C2977" i="3" a="1"/>
  <c r="C2977" i="3"/>
  <c r="C2978" i="3" a="1"/>
  <c r="C2978" i="3"/>
  <c r="C2979" i="3" a="1"/>
  <c r="C2979" i="3"/>
  <c r="C2980" i="3" a="1"/>
  <c r="C2980" i="3"/>
  <c r="C2981" i="3" a="1"/>
  <c r="C2981" i="3"/>
  <c r="C2982" i="3" a="1"/>
  <c r="C2982" i="3"/>
  <c r="C2983" i="3" a="1"/>
  <c r="C2983" i="3"/>
  <c r="C2984" i="3" a="1"/>
  <c r="C2984" i="3"/>
  <c r="C2985" i="3" a="1"/>
  <c r="C2985" i="3"/>
  <c r="C2986" i="3" a="1"/>
  <c r="C2986" i="3"/>
  <c r="C2987" i="3" a="1"/>
  <c r="C2987" i="3"/>
  <c r="C2988" i="3" a="1"/>
  <c r="C2988" i="3"/>
  <c r="C2989" i="3" a="1"/>
  <c r="C2989" i="3"/>
  <c r="C2990" i="3" a="1"/>
  <c r="C2990" i="3"/>
  <c r="C2991" i="3" a="1"/>
  <c r="C2991" i="3"/>
  <c r="C2992" i="3" a="1"/>
  <c r="C2992" i="3"/>
  <c r="C2993" i="3" a="1"/>
  <c r="C2993" i="3"/>
  <c r="C2994" i="3" a="1"/>
  <c r="C2994" i="3"/>
  <c r="C2995" i="3" a="1"/>
  <c r="C2995" i="3"/>
  <c r="C2996" i="3" a="1"/>
  <c r="C2996" i="3"/>
  <c r="C2997" i="3" a="1"/>
  <c r="C2997" i="3"/>
  <c r="C2998" i="3" a="1"/>
  <c r="C2998" i="3"/>
  <c r="C2999" i="3" a="1"/>
  <c r="C2999" i="3"/>
  <c r="C3000" i="3" a="1"/>
  <c r="C3000" i="3"/>
  <c r="C3001" i="3" a="1"/>
  <c r="C3001" i="3"/>
  <c r="C3002" i="3" a="1"/>
  <c r="C3002" i="3"/>
  <c r="C3003" i="3" a="1"/>
  <c r="C3003" i="3"/>
  <c r="C3004" i="3" a="1"/>
  <c r="C3004" i="3"/>
  <c r="C3005" i="3" a="1"/>
  <c r="C3005" i="3"/>
  <c r="C3006" i="3" a="1"/>
  <c r="C3006" i="3"/>
  <c r="C3007" i="3" a="1"/>
  <c r="C3007" i="3"/>
  <c r="C3008" i="3" a="1"/>
  <c r="C3008" i="3"/>
  <c r="C3009" i="3" a="1"/>
  <c r="C3009" i="3"/>
  <c r="C3010" i="3" a="1"/>
  <c r="C3010" i="3"/>
  <c r="C3011" i="3" a="1"/>
  <c r="C3011" i="3"/>
  <c r="C3012" i="3" a="1"/>
  <c r="C3012" i="3"/>
  <c r="C3013" i="3" a="1"/>
  <c r="C3013" i="3"/>
  <c r="C3014" i="3" a="1"/>
  <c r="C3014" i="3"/>
  <c r="C3015" i="3" a="1"/>
  <c r="C3015" i="3"/>
  <c r="C3016" i="3" a="1"/>
  <c r="C3016" i="3"/>
  <c r="C3017" i="3" a="1"/>
  <c r="C3017" i="3"/>
  <c r="C3018" i="3" a="1"/>
  <c r="C3018" i="3"/>
  <c r="C3019" i="3" a="1"/>
  <c r="C3019" i="3"/>
  <c r="C3020" i="3" a="1"/>
  <c r="C3020" i="3"/>
  <c r="C3021" i="3" a="1"/>
  <c r="C3021" i="3"/>
  <c r="C3022" i="3" a="1"/>
  <c r="C3022" i="3"/>
  <c r="C3023" i="3" a="1"/>
  <c r="C3023" i="3"/>
  <c r="C3024" i="3" a="1"/>
  <c r="C3024" i="3"/>
  <c r="C3025" i="3" a="1"/>
  <c r="C3025" i="3"/>
  <c r="C3026" i="3" a="1"/>
  <c r="C3026" i="3"/>
  <c r="C3027" i="3" a="1"/>
  <c r="C3027" i="3"/>
  <c r="C3028" i="3" a="1"/>
  <c r="C3028" i="3"/>
  <c r="C3029" i="3" a="1"/>
  <c r="C3029" i="3"/>
  <c r="C3030" i="3" a="1"/>
  <c r="C3030" i="3"/>
  <c r="C3031" i="3" a="1"/>
  <c r="C3031" i="3"/>
  <c r="C3032" i="3" a="1"/>
  <c r="C3032" i="3"/>
  <c r="C3033" i="3" a="1"/>
  <c r="C3033" i="3"/>
  <c r="C3034" i="3" a="1"/>
  <c r="C3034" i="3"/>
  <c r="C3035" i="3" a="1"/>
  <c r="C3035" i="3"/>
  <c r="C3036" i="3" a="1"/>
  <c r="C3036" i="3"/>
  <c r="C3037" i="3" a="1"/>
  <c r="C3037" i="3"/>
  <c r="C3038" i="3" a="1"/>
  <c r="C3038" i="3"/>
  <c r="C3039" i="3" a="1"/>
  <c r="C3039" i="3"/>
  <c r="C3040" i="3" a="1"/>
  <c r="C3040" i="3"/>
  <c r="C3041" i="3" a="1"/>
  <c r="C3041" i="3"/>
  <c r="C3042" i="3" a="1"/>
  <c r="C3042" i="3"/>
  <c r="C3043" i="3" a="1"/>
  <c r="C3043" i="3"/>
  <c r="C3044" i="3" a="1"/>
  <c r="C3044" i="3"/>
  <c r="C3045" i="3" a="1"/>
  <c r="C3045" i="3"/>
  <c r="C3046" i="3" a="1"/>
  <c r="C3046" i="3"/>
  <c r="C3047" i="3" a="1"/>
  <c r="C3047" i="3"/>
  <c r="C3048" i="3" a="1"/>
  <c r="C3048" i="3"/>
  <c r="C3049" i="3" a="1"/>
  <c r="C3049" i="3"/>
  <c r="C3050" i="3" a="1"/>
  <c r="C3050" i="3"/>
  <c r="C3051" i="3" a="1"/>
  <c r="C3051" i="3"/>
  <c r="C3052" i="3" a="1"/>
  <c r="C3052" i="3"/>
  <c r="C3053" i="3" a="1"/>
  <c r="C3053" i="3"/>
  <c r="C3054" i="3" a="1"/>
  <c r="C3054" i="3"/>
  <c r="C3055" i="3" a="1"/>
  <c r="C3055" i="3"/>
  <c r="C3056" i="3" a="1"/>
  <c r="C3056" i="3"/>
  <c r="C3057" i="3" a="1"/>
  <c r="C3057" i="3"/>
  <c r="C3058" i="3" a="1"/>
  <c r="C3058" i="3"/>
  <c r="C3059" i="3" a="1"/>
  <c r="C3059" i="3"/>
  <c r="C3060" i="3" a="1"/>
  <c r="C3060" i="3"/>
  <c r="C3061" i="3" a="1"/>
  <c r="C3061" i="3"/>
  <c r="C3062" i="3" a="1"/>
  <c r="C3062" i="3"/>
  <c r="C3063" i="3" a="1"/>
  <c r="C3063" i="3"/>
  <c r="C3064" i="3" a="1"/>
  <c r="C3064" i="3"/>
  <c r="C3065" i="3" a="1"/>
  <c r="C3065" i="3"/>
  <c r="C3066" i="3" a="1"/>
  <c r="C3066" i="3"/>
  <c r="C3067" i="3" a="1"/>
  <c r="C3067" i="3"/>
  <c r="C3068" i="3" a="1"/>
  <c r="C3068" i="3"/>
  <c r="C3069" i="3" a="1"/>
  <c r="C3069" i="3"/>
  <c r="C3070" i="3" a="1"/>
  <c r="C3070" i="3"/>
  <c r="C3071" i="3" a="1"/>
  <c r="C3071" i="3"/>
  <c r="C3072" i="3" a="1"/>
  <c r="C3072" i="3"/>
  <c r="C3073" i="3" a="1"/>
  <c r="C3073" i="3"/>
  <c r="C3074" i="3" a="1"/>
  <c r="C3074" i="3"/>
  <c r="C3075" i="3" a="1"/>
  <c r="C3075" i="3"/>
  <c r="C3076" i="3" a="1"/>
  <c r="C3076" i="3"/>
  <c r="C3077" i="3" a="1"/>
  <c r="C3077" i="3"/>
  <c r="C3078" i="3" a="1"/>
  <c r="C3078" i="3"/>
  <c r="C3079" i="3" a="1"/>
  <c r="C3079" i="3"/>
  <c r="C3080" i="3" a="1"/>
  <c r="C3080" i="3"/>
  <c r="C3081" i="3" a="1"/>
  <c r="C3081" i="3"/>
  <c r="C3082" i="3" a="1"/>
  <c r="C3082" i="3"/>
  <c r="C3083" i="3" a="1"/>
  <c r="C3083" i="3"/>
  <c r="C3084" i="3" a="1"/>
  <c r="C3084" i="3"/>
  <c r="C3085" i="3" a="1"/>
  <c r="C3085" i="3"/>
  <c r="C3086" i="3" a="1"/>
  <c r="C3086" i="3"/>
  <c r="C3087" i="3" a="1"/>
  <c r="C3087" i="3"/>
  <c r="C3088" i="3" a="1"/>
  <c r="C3088" i="3"/>
  <c r="C3089" i="3" a="1"/>
  <c r="C3089" i="3"/>
  <c r="C3090" i="3" a="1"/>
  <c r="C3090" i="3"/>
  <c r="C3091" i="3" a="1"/>
  <c r="C3091" i="3"/>
  <c r="C3092" i="3" a="1"/>
  <c r="C3092" i="3"/>
  <c r="C3093" i="3" a="1"/>
  <c r="C3093" i="3"/>
  <c r="C3094" i="3" a="1"/>
  <c r="C3094" i="3"/>
  <c r="C3095" i="3" a="1"/>
  <c r="C3095" i="3"/>
  <c r="C3096" i="3" a="1"/>
  <c r="C3096" i="3"/>
  <c r="C3097" i="3" a="1"/>
  <c r="C3097" i="3"/>
  <c r="C3098" i="3" a="1"/>
  <c r="C3098" i="3"/>
  <c r="C3099" i="3" a="1"/>
  <c r="C3099" i="3"/>
  <c r="C3100" i="3" a="1"/>
  <c r="C3100" i="3"/>
  <c r="C3101" i="3" a="1"/>
  <c r="C3101" i="3"/>
  <c r="C3102" i="3" a="1"/>
  <c r="C3102" i="3"/>
  <c r="C3103" i="3" a="1"/>
  <c r="C3103" i="3"/>
  <c r="C3104" i="3" a="1"/>
  <c r="C3104" i="3"/>
  <c r="C3105" i="3" a="1"/>
  <c r="C3105" i="3"/>
  <c r="C3106" i="3" a="1"/>
  <c r="C3106" i="3"/>
  <c r="C3107" i="3" a="1"/>
  <c r="C3107" i="3"/>
  <c r="C3108" i="3" a="1"/>
  <c r="C3108" i="3"/>
  <c r="C3109" i="3" a="1"/>
  <c r="C3109" i="3"/>
  <c r="C3110" i="3" a="1"/>
  <c r="C3110" i="3"/>
  <c r="C3111" i="3" a="1"/>
  <c r="C3111" i="3"/>
  <c r="C3112" i="3" a="1"/>
  <c r="C3112" i="3"/>
  <c r="C3113" i="3" a="1"/>
  <c r="C3113" i="3"/>
  <c r="C3114" i="3" a="1"/>
  <c r="C3114" i="3"/>
  <c r="C3115" i="3" a="1"/>
  <c r="C3115" i="3"/>
  <c r="C3116" i="3" a="1"/>
  <c r="C3116" i="3"/>
  <c r="C3117" i="3" a="1"/>
  <c r="C3117" i="3"/>
  <c r="C3118" i="3" a="1"/>
  <c r="C3118" i="3"/>
  <c r="C3119" i="3" a="1"/>
  <c r="C3119" i="3"/>
  <c r="C3120" i="3" a="1"/>
  <c r="C3120" i="3"/>
  <c r="C3121" i="3" a="1"/>
  <c r="C3121" i="3"/>
  <c r="C3122" i="3" a="1"/>
  <c r="C3122" i="3"/>
  <c r="C3123" i="3" a="1"/>
  <c r="C3123" i="3"/>
  <c r="C3124" i="3" a="1"/>
  <c r="C3124" i="3"/>
  <c r="C3125" i="3" a="1"/>
  <c r="C3125" i="3"/>
  <c r="C3126" i="3" a="1"/>
  <c r="C3126" i="3"/>
  <c r="C3127" i="3" a="1"/>
  <c r="C3127" i="3"/>
  <c r="C3128" i="3" a="1"/>
  <c r="C3128" i="3"/>
  <c r="C3129" i="3" a="1"/>
  <c r="C3129" i="3"/>
  <c r="C3130" i="3" a="1"/>
  <c r="C3130" i="3"/>
  <c r="C3131" i="3" a="1"/>
  <c r="C3131" i="3"/>
  <c r="C3132" i="3" a="1"/>
  <c r="C3132" i="3"/>
  <c r="C3133" i="3" a="1"/>
  <c r="C3133" i="3"/>
  <c r="C3134" i="3" a="1"/>
  <c r="C3134" i="3"/>
  <c r="C3135" i="3" a="1"/>
  <c r="C3135" i="3"/>
  <c r="C3136" i="3" a="1"/>
  <c r="C3136" i="3"/>
  <c r="C3137" i="3" a="1"/>
  <c r="C3137" i="3"/>
  <c r="C3138" i="3" a="1"/>
  <c r="C3138" i="3"/>
  <c r="C3139" i="3" a="1"/>
  <c r="C3139" i="3"/>
  <c r="C3140" i="3" a="1"/>
  <c r="C3140" i="3"/>
  <c r="C3141" i="3" a="1"/>
  <c r="C3141" i="3"/>
  <c r="C3142" i="3" a="1"/>
  <c r="C3142" i="3"/>
  <c r="C3143" i="3" a="1"/>
  <c r="C3143" i="3"/>
  <c r="C3144" i="3" a="1"/>
  <c r="C3144" i="3"/>
  <c r="C3145" i="3" a="1"/>
  <c r="C3145" i="3"/>
  <c r="C3146" i="3" a="1"/>
  <c r="C3146" i="3"/>
  <c r="C3147" i="3" a="1"/>
  <c r="C3147" i="3"/>
  <c r="C3148" i="3" a="1"/>
  <c r="C3148" i="3"/>
  <c r="C3149" i="3" a="1"/>
  <c r="C3149" i="3"/>
  <c r="C3150" i="3" a="1"/>
  <c r="C3150" i="3"/>
  <c r="C3151" i="3" a="1"/>
  <c r="C3151" i="3"/>
  <c r="C3152" i="3" a="1"/>
  <c r="C3152" i="3"/>
  <c r="C3153" i="3" a="1"/>
  <c r="C3153" i="3"/>
  <c r="C3154" i="3" a="1"/>
  <c r="C3154" i="3"/>
  <c r="C3155" i="3" a="1"/>
  <c r="C3155" i="3"/>
  <c r="C3156" i="3" a="1"/>
  <c r="C3156" i="3"/>
  <c r="C3157" i="3" a="1"/>
  <c r="C3157" i="3"/>
  <c r="C3158" i="3" a="1"/>
  <c r="C3158" i="3"/>
  <c r="C3159" i="3" a="1"/>
  <c r="C3159" i="3"/>
  <c r="C3160" i="3" a="1"/>
  <c r="C3160" i="3"/>
  <c r="C3161" i="3" a="1"/>
  <c r="C3161" i="3"/>
  <c r="C3162" i="3" a="1"/>
  <c r="C3162" i="3"/>
  <c r="C3163" i="3" a="1"/>
  <c r="C3163" i="3"/>
  <c r="C3164" i="3" a="1"/>
  <c r="C3164" i="3"/>
  <c r="C3165" i="3" a="1"/>
  <c r="C3165" i="3"/>
  <c r="C3166" i="3" a="1"/>
  <c r="C3166" i="3"/>
  <c r="C3167" i="3" a="1"/>
  <c r="C3167" i="3"/>
  <c r="C3168" i="3" a="1"/>
  <c r="C3168" i="3"/>
  <c r="C3169" i="3" a="1"/>
  <c r="C3169" i="3"/>
  <c r="C3170" i="3" a="1"/>
  <c r="C3170" i="3"/>
  <c r="C3171" i="3" a="1"/>
  <c r="C3171" i="3"/>
  <c r="C3172" i="3" a="1"/>
  <c r="C3172" i="3"/>
  <c r="C3173" i="3" a="1"/>
  <c r="C3173" i="3"/>
  <c r="C3174" i="3" a="1"/>
  <c r="C3174" i="3"/>
  <c r="C3175" i="3" a="1"/>
  <c r="C3175" i="3"/>
  <c r="C3176" i="3" a="1"/>
  <c r="C3176" i="3"/>
  <c r="C3177" i="3" a="1"/>
  <c r="C3177" i="3"/>
  <c r="C3178" i="3" a="1"/>
  <c r="C3178" i="3"/>
  <c r="C3179" i="3" a="1"/>
  <c r="C3179" i="3"/>
  <c r="C3180" i="3" a="1"/>
  <c r="C3180" i="3"/>
  <c r="C3181" i="3" a="1"/>
  <c r="C3181" i="3"/>
  <c r="C3182" i="3" a="1"/>
  <c r="C3182" i="3"/>
  <c r="C3183" i="3" a="1"/>
  <c r="C3183" i="3"/>
  <c r="C3184" i="3" a="1"/>
  <c r="C3184" i="3"/>
  <c r="C3185" i="3" a="1"/>
  <c r="C3185" i="3"/>
  <c r="C3186" i="3" a="1"/>
  <c r="C3186" i="3"/>
  <c r="C3187" i="3" a="1"/>
  <c r="C3187" i="3"/>
  <c r="C3188" i="3" a="1"/>
  <c r="C3188" i="3"/>
  <c r="C3189" i="3" a="1"/>
  <c r="C3189" i="3"/>
  <c r="C3190" i="3" a="1"/>
  <c r="C3190" i="3"/>
  <c r="C3191" i="3" a="1"/>
  <c r="C3191" i="3"/>
  <c r="C3192" i="3" a="1"/>
  <c r="C3192" i="3"/>
  <c r="C3193" i="3" a="1"/>
  <c r="C3193" i="3"/>
  <c r="C3194" i="3" a="1"/>
  <c r="C3194" i="3"/>
  <c r="C3195" i="3" a="1"/>
  <c r="C3195" i="3"/>
  <c r="C3196" i="3" a="1"/>
  <c r="C3196" i="3"/>
  <c r="C3197" i="3" a="1"/>
  <c r="C3197" i="3"/>
  <c r="C3198" i="3" a="1"/>
  <c r="C3198" i="3"/>
  <c r="C3199" i="3" a="1"/>
  <c r="C3199" i="3"/>
  <c r="C3200" i="3" a="1"/>
  <c r="C3200" i="3"/>
  <c r="C3201" i="3" a="1"/>
  <c r="C3201" i="3"/>
  <c r="C3202" i="3" a="1"/>
  <c r="C3202" i="3"/>
  <c r="C3203" i="3" a="1"/>
  <c r="C3203" i="3"/>
  <c r="C3204" i="3" a="1"/>
  <c r="C3204" i="3"/>
  <c r="C3205" i="3" a="1"/>
  <c r="C3205" i="3"/>
  <c r="C3206" i="3" a="1"/>
  <c r="C3206" i="3"/>
  <c r="C3207" i="3" a="1"/>
  <c r="C3207" i="3"/>
  <c r="C3208" i="3" a="1"/>
  <c r="C3208" i="3"/>
  <c r="C3209" i="3" a="1"/>
  <c r="C3209" i="3"/>
  <c r="C3210" i="3" a="1"/>
  <c r="C3210" i="3"/>
  <c r="C3211" i="3" a="1"/>
  <c r="C3211" i="3"/>
  <c r="C3212" i="3" a="1"/>
  <c r="C3212" i="3"/>
  <c r="C3213" i="3" a="1"/>
  <c r="C3213" i="3"/>
  <c r="C3214" i="3" a="1"/>
  <c r="C3214" i="3"/>
  <c r="C3215" i="3" a="1"/>
  <c r="C3215" i="3"/>
  <c r="C3216" i="3" a="1"/>
  <c r="C3216" i="3"/>
  <c r="C3217" i="3" a="1"/>
  <c r="C3217" i="3"/>
  <c r="C3218" i="3" a="1"/>
  <c r="C3218" i="3"/>
  <c r="C3219" i="3" a="1"/>
  <c r="C3219" i="3"/>
  <c r="C3220" i="3" a="1"/>
  <c r="C3220" i="3"/>
  <c r="C3221" i="3" a="1"/>
  <c r="C3221" i="3"/>
  <c r="C3222" i="3" a="1"/>
  <c r="C3222" i="3"/>
  <c r="C3223" i="3" a="1"/>
  <c r="C3223" i="3"/>
  <c r="C3224" i="3" a="1"/>
  <c r="C3224" i="3"/>
  <c r="C3225" i="3" a="1"/>
  <c r="C3225" i="3"/>
  <c r="C3226" i="3" a="1"/>
  <c r="C3226" i="3"/>
  <c r="C3227" i="3" a="1"/>
  <c r="C3227" i="3"/>
  <c r="C3228" i="3" a="1"/>
  <c r="C3228" i="3"/>
  <c r="C3229" i="3" a="1"/>
  <c r="C3229" i="3"/>
  <c r="C3230" i="3" a="1"/>
  <c r="C3230" i="3"/>
  <c r="C3231" i="3" a="1"/>
  <c r="C3231" i="3"/>
  <c r="C3232" i="3" a="1"/>
  <c r="C3232" i="3"/>
  <c r="C3233" i="3" a="1"/>
  <c r="C3233" i="3"/>
  <c r="C3234" i="3" a="1"/>
  <c r="C3234" i="3"/>
  <c r="C3235" i="3" a="1"/>
  <c r="C3235" i="3"/>
  <c r="C3236" i="3" a="1"/>
  <c r="C3236" i="3"/>
  <c r="C3237" i="3" a="1"/>
  <c r="C3237" i="3"/>
  <c r="C3238" i="3" a="1"/>
  <c r="C3238" i="3"/>
  <c r="C3239" i="3" a="1"/>
  <c r="C3239" i="3"/>
  <c r="C3240" i="3" a="1"/>
  <c r="C3240" i="3"/>
  <c r="C3241" i="3" a="1"/>
  <c r="C3241" i="3"/>
  <c r="C3242" i="3" a="1"/>
  <c r="C3242" i="3"/>
  <c r="C3243" i="3" a="1"/>
  <c r="C3243" i="3"/>
  <c r="C3244" i="3" a="1"/>
  <c r="C3244" i="3"/>
  <c r="C3245" i="3" a="1"/>
  <c r="C3245" i="3"/>
  <c r="C3246" i="3" a="1"/>
  <c r="C3246" i="3"/>
  <c r="C3247" i="3" a="1"/>
  <c r="C3247" i="3"/>
  <c r="C3248" i="3" a="1"/>
  <c r="C3248" i="3"/>
  <c r="C3249" i="3" a="1"/>
  <c r="C3249" i="3"/>
  <c r="C3250" i="3" a="1"/>
  <c r="C3250" i="3"/>
  <c r="C3251" i="3" a="1"/>
  <c r="C3251" i="3"/>
  <c r="C3252" i="3" a="1"/>
  <c r="C3252" i="3"/>
  <c r="C3253" i="3" a="1"/>
  <c r="C3253" i="3"/>
  <c r="C3254" i="3" a="1"/>
  <c r="C3254" i="3"/>
  <c r="C3255" i="3" a="1"/>
  <c r="C3255" i="3"/>
  <c r="C3256" i="3" a="1"/>
  <c r="C3256" i="3"/>
  <c r="C3257" i="3" a="1"/>
  <c r="C3257" i="3"/>
  <c r="C3258" i="3" a="1"/>
  <c r="C3258" i="3"/>
  <c r="C3259" i="3" a="1"/>
  <c r="C3259" i="3"/>
  <c r="C3260" i="3" a="1"/>
  <c r="C3260" i="3"/>
  <c r="C3261" i="3" a="1"/>
  <c r="C3261" i="3"/>
  <c r="C3262" i="3" a="1"/>
  <c r="C3262" i="3"/>
  <c r="C3263" i="3" a="1"/>
  <c r="C3263" i="3"/>
  <c r="C3264" i="3" a="1"/>
  <c r="C3264" i="3"/>
  <c r="C3265" i="3" a="1"/>
  <c r="C3265" i="3"/>
  <c r="C3266" i="3" a="1"/>
  <c r="C3266" i="3"/>
  <c r="C3267" i="3" a="1"/>
  <c r="C3267" i="3"/>
  <c r="C3268" i="3" a="1"/>
  <c r="C3268" i="3"/>
  <c r="C3269" i="3" a="1"/>
  <c r="C3269" i="3"/>
  <c r="C3270" i="3" a="1"/>
  <c r="C3270" i="3"/>
  <c r="C3271" i="3" a="1"/>
  <c r="C3271" i="3"/>
  <c r="C3272" i="3" a="1"/>
  <c r="C3272" i="3"/>
  <c r="C3273" i="3" a="1"/>
  <c r="C3273" i="3"/>
  <c r="C3274" i="3" a="1"/>
  <c r="C3274" i="3"/>
  <c r="C3275" i="3" a="1"/>
  <c r="C3275" i="3"/>
  <c r="C3276" i="3" a="1"/>
  <c r="C3276" i="3"/>
  <c r="C3277" i="3" a="1"/>
  <c r="C3277" i="3"/>
  <c r="C3278" i="3" a="1"/>
  <c r="C3278" i="3"/>
  <c r="C3279" i="3" a="1"/>
  <c r="C3279" i="3"/>
  <c r="C3280" i="3" a="1"/>
  <c r="C3280" i="3"/>
  <c r="C3281" i="3" a="1"/>
  <c r="C3281" i="3"/>
  <c r="C3282" i="3" a="1"/>
  <c r="C3282" i="3"/>
  <c r="C3283" i="3" a="1"/>
  <c r="C3283" i="3"/>
  <c r="C3284" i="3" a="1"/>
  <c r="C3284" i="3"/>
  <c r="C3285" i="3" a="1"/>
  <c r="C3285" i="3"/>
  <c r="C3286" i="3" a="1"/>
  <c r="C3286" i="3"/>
  <c r="C3287" i="3" a="1"/>
  <c r="C3287" i="3"/>
  <c r="C3288" i="3" a="1"/>
  <c r="C3288" i="3"/>
  <c r="C3289" i="3" a="1"/>
  <c r="C3289" i="3"/>
  <c r="C3290" i="3" a="1"/>
  <c r="C3290" i="3"/>
  <c r="C3291" i="3" a="1"/>
  <c r="C3291" i="3"/>
  <c r="C3292" i="3" a="1"/>
  <c r="C3292" i="3"/>
  <c r="C3293" i="3" a="1"/>
  <c r="C3293" i="3"/>
  <c r="C3294" i="3" a="1"/>
  <c r="C3294" i="3"/>
  <c r="C3295" i="3" a="1"/>
  <c r="C3295" i="3"/>
  <c r="C3296" i="3" a="1"/>
  <c r="C3296" i="3"/>
  <c r="C3297" i="3" a="1"/>
  <c r="C3297" i="3"/>
  <c r="C3298" i="3" a="1"/>
  <c r="C3298" i="3"/>
  <c r="C3299" i="3" a="1"/>
  <c r="C3299" i="3"/>
  <c r="C3300" i="3" a="1"/>
  <c r="C3300" i="3"/>
  <c r="C3301" i="3" a="1"/>
  <c r="C3301" i="3"/>
  <c r="C3302" i="3" a="1"/>
  <c r="C3302" i="3"/>
  <c r="C3303" i="3" a="1"/>
  <c r="C3303" i="3"/>
  <c r="C3304" i="3" a="1"/>
  <c r="C3304" i="3"/>
  <c r="C3305" i="3" a="1"/>
  <c r="C3305" i="3"/>
  <c r="C3306" i="3" a="1"/>
  <c r="C3306" i="3"/>
  <c r="C3307" i="3" a="1"/>
  <c r="C3307" i="3"/>
  <c r="C3308" i="3" a="1"/>
  <c r="C3308" i="3"/>
  <c r="C3309" i="3" a="1"/>
  <c r="C3309" i="3"/>
  <c r="C3310" i="3" a="1"/>
  <c r="C3310" i="3"/>
  <c r="C3311" i="3" a="1"/>
  <c r="C3311" i="3"/>
  <c r="C3312" i="3" a="1"/>
  <c r="C3312" i="3"/>
  <c r="C3313" i="3" a="1"/>
  <c r="C3313" i="3"/>
  <c r="C3314" i="3" a="1"/>
  <c r="C3314" i="3"/>
  <c r="C3315" i="3" a="1"/>
  <c r="C3315" i="3"/>
  <c r="C3316" i="3" a="1"/>
  <c r="C3316" i="3"/>
  <c r="C3317" i="3" a="1"/>
  <c r="C3317" i="3"/>
  <c r="C3318" i="3" a="1"/>
  <c r="C3318" i="3"/>
  <c r="C3319" i="3" a="1"/>
  <c r="C3319" i="3"/>
  <c r="C3320" i="3" a="1"/>
  <c r="C3320" i="3"/>
  <c r="C3321" i="3" a="1"/>
  <c r="C3321" i="3"/>
  <c r="C3322" i="3" a="1"/>
  <c r="C3322" i="3"/>
  <c r="C3323" i="3" a="1"/>
  <c r="C3323" i="3"/>
  <c r="C3324" i="3" a="1"/>
  <c r="C3324" i="3"/>
  <c r="C3325" i="3" a="1"/>
  <c r="C3325" i="3"/>
  <c r="C3326" i="3" a="1"/>
  <c r="C3326" i="3"/>
  <c r="C3327" i="3" a="1"/>
  <c r="C3327" i="3"/>
  <c r="C3328" i="3" a="1"/>
  <c r="C3328" i="3"/>
  <c r="C3329" i="3" a="1"/>
  <c r="C3329" i="3"/>
  <c r="C3330" i="3" a="1"/>
  <c r="C3330" i="3"/>
  <c r="C3331" i="3" a="1"/>
  <c r="C3331" i="3"/>
  <c r="C3332" i="3" a="1"/>
  <c r="C3332" i="3"/>
  <c r="C3333" i="3" a="1"/>
  <c r="C3333" i="3"/>
  <c r="C3334" i="3" a="1"/>
  <c r="C3334" i="3"/>
  <c r="C3335" i="3" a="1"/>
  <c r="C3335" i="3"/>
  <c r="C3336" i="3" a="1"/>
  <c r="C3336" i="3"/>
  <c r="C3337" i="3" a="1"/>
  <c r="C3337" i="3"/>
  <c r="C3338" i="3" a="1"/>
  <c r="C3338" i="3"/>
  <c r="C3339" i="3" a="1"/>
  <c r="C3339" i="3"/>
  <c r="C3340" i="3" a="1"/>
  <c r="C3340" i="3"/>
  <c r="C3341" i="3" a="1"/>
  <c r="C3341" i="3"/>
  <c r="C3342" i="3" a="1"/>
  <c r="C3342" i="3"/>
  <c r="C3343" i="3" a="1"/>
  <c r="C3343" i="3"/>
  <c r="C3344" i="3" a="1"/>
  <c r="C3344" i="3"/>
  <c r="C3345" i="3" a="1"/>
  <c r="C3345" i="3"/>
  <c r="C3346" i="3" a="1"/>
  <c r="C3346" i="3"/>
  <c r="C3347" i="3" a="1"/>
  <c r="C3347" i="3"/>
  <c r="C3348" i="3" a="1"/>
  <c r="C3348" i="3"/>
  <c r="C3349" i="3" a="1"/>
  <c r="C3349" i="3"/>
  <c r="C3350" i="3" a="1"/>
  <c r="C3350" i="3"/>
  <c r="C3351" i="3" a="1"/>
  <c r="C3351" i="3"/>
  <c r="C3352" i="3" a="1"/>
  <c r="C3352" i="3"/>
  <c r="C3353" i="3" a="1"/>
  <c r="C3353" i="3"/>
  <c r="C3354" i="3" a="1"/>
  <c r="C3354" i="3"/>
  <c r="C3355" i="3" a="1"/>
  <c r="C3355" i="3"/>
  <c r="C3356" i="3" a="1"/>
  <c r="C3356" i="3"/>
  <c r="C3357" i="3" a="1"/>
  <c r="C3357" i="3"/>
  <c r="C3358" i="3" a="1"/>
  <c r="C3358" i="3"/>
  <c r="C3359" i="3" a="1"/>
  <c r="C3359" i="3"/>
  <c r="C3360" i="3" a="1"/>
  <c r="C3360" i="3"/>
  <c r="C3361" i="3" a="1"/>
  <c r="C3361" i="3"/>
  <c r="C3362" i="3" a="1"/>
  <c r="C3362" i="3"/>
  <c r="C3363" i="3" a="1"/>
  <c r="C3363" i="3"/>
  <c r="C3364" i="3" a="1"/>
  <c r="C3364" i="3"/>
  <c r="C3365" i="3" a="1"/>
  <c r="C3365" i="3"/>
  <c r="C3366" i="3" a="1"/>
  <c r="C3366" i="3"/>
  <c r="C3367" i="3" a="1"/>
  <c r="C3367" i="3"/>
  <c r="C3368" i="3" a="1"/>
  <c r="C3368" i="3"/>
  <c r="C3369" i="3" a="1"/>
  <c r="C3369" i="3"/>
  <c r="C3370" i="3" a="1"/>
  <c r="C3370" i="3"/>
  <c r="C3371" i="3" a="1"/>
  <c r="C3371" i="3"/>
  <c r="C3372" i="3" a="1"/>
  <c r="C3372" i="3"/>
  <c r="C3373" i="3" a="1"/>
  <c r="C3373" i="3"/>
  <c r="C3374" i="3" a="1"/>
  <c r="C3374" i="3"/>
  <c r="C3375" i="3" a="1"/>
  <c r="C3375" i="3"/>
  <c r="C3376" i="3" a="1"/>
  <c r="C3376" i="3"/>
  <c r="C3377" i="3" a="1"/>
  <c r="C3377" i="3"/>
  <c r="C3378" i="3" a="1"/>
  <c r="C3378" i="3"/>
  <c r="C3379" i="3" a="1"/>
  <c r="C3379" i="3"/>
  <c r="C3380" i="3" a="1"/>
  <c r="C3380" i="3"/>
  <c r="C3381" i="3" a="1"/>
  <c r="C3381" i="3"/>
  <c r="C3382" i="3" a="1"/>
  <c r="C3382" i="3"/>
  <c r="C3383" i="3" a="1"/>
  <c r="C3383" i="3"/>
  <c r="C3384" i="3" a="1"/>
  <c r="C3384" i="3"/>
  <c r="C3385" i="3" a="1"/>
  <c r="C3385" i="3"/>
  <c r="C3386" i="3" a="1"/>
  <c r="C3386" i="3"/>
  <c r="C3387" i="3" a="1"/>
  <c r="C3387" i="3"/>
  <c r="C3388" i="3" a="1"/>
  <c r="C3388" i="3"/>
  <c r="C3389" i="3" a="1"/>
  <c r="C3389" i="3"/>
  <c r="C3390" i="3" a="1"/>
  <c r="C3390" i="3"/>
  <c r="C3391" i="3" a="1"/>
  <c r="C3391" i="3"/>
  <c r="C3392" i="3" a="1"/>
  <c r="C3392" i="3"/>
  <c r="C3393" i="3" a="1"/>
  <c r="C3393" i="3"/>
  <c r="C3394" i="3" a="1"/>
  <c r="C3394" i="3"/>
  <c r="C3395" i="3" a="1"/>
  <c r="C3395" i="3"/>
  <c r="C3396" i="3" a="1"/>
  <c r="C3396" i="3"/>
  <c r="C3397" i="3" a="1"/>
  <c r="C3397" i="3"/>
  <c r="C3398" i="3" a="1"/>
  <c r="C3398" i="3"/>
  <c r="C3399" i="3" a="1"/>
  <c r="C3399" i="3"/>
  <c r="C3400" i="3" a="1"/>
  <c r="C3400" i="3"/>
  <c r="C3401" i="3" a="1"/>
  <c r="C3401" i="3"/>
  <c r="C3402" i="3" a="1"/>
  <c r="C3402" i="3"/>
  <c r="C3403" i="3" a="1"/>
  <c r="C3403" i="3"/>
  <c r="C3404" i="3" a="1"/>
  <c r="C3404" i="3"/>
  <c r="C3405" i="3" a="1"/>
  <c r="C3405" i="3"/>
  <c r="C3406" i="3" a="1"/>
  <c r="C3406" i="3"/>
  <c r="C3407" i="3" a="1"/>
  <c r="C3407" i="3"/>
  <c r="C3408" i="3" a="1"/>
  <c r="C3408" i="3"/>
  <c r="C3409" i="3" a="1"/>
  <c r="C3409" i="3"/>
  <c r="C3410" i="3" a="1"/>
  <c r="C3410" i="3"/>
  <c r="C3411" i="3" a="1"/>
  <c r="C3411" i="3"/>
  <c r="C3412" i="3" a="1"/>
  <c r="C3412" i="3"/>
  <c r="C3413" i="3" a="1"/>
  <c r="C3413" i="3"/>
  <c r="C3414" i="3" a="1"/>
  <c r="C3414" i="3"/>
  <c r="C3415" i="3" a="1"/>
  <c r="C3415" i="3"/>
  <c r="C3416" i="3" a="1"/>
  <c r="C3416" i="3"/>
  <c r="C3417" i="3" a="1"/>
  <c r="C3417" i="3"/>
  <c r="C3418" i="3" a="1"/>
  <c r="C3418" i="3"/>
  <c r="C3419" i="3" a="1"/>
  <c r="C3419" i="3"/>
  <c r="C3420" i="3" a="1"/>
  <c r="C3420" i="3"/>
  <c r="C3421" i="3" a="1"/>
  <c r="C3421" i="3"/>
  <c r="C3422" i="3" a="1"/>
  <c r="C3422" i="3"/>
  <c r="C3423" i="3" a="1"/>
  <c r="C3423" i="3"/>
  <c r="C3424" i="3" a="1"/>
  <c r="C3424" i="3"/>
  <c r="C3425" i="3" a="1"/>
  <c r="C3425" i="3"/>
  <c r="C3426" i="3" a="1"/>
  <c r="C3426" i="3"/>
  <c r="C3427" i="3" a="1"/>
  <c r="C3427" i="3"/>
  <c r="C3428" i="3" a="1"/>
  <c r="C3428" i="3"/>
  <c r="C3429" i="3" a="1"/>
  <c r="C3429" i="3"/>
  <c r="C3430" i="3" a="1"/>
  <c r="C3430" i="3"/>
  <c r="C3431" i="3" a="1"/>
  <c r="C3431" i="3"/>
  <c r="C3432" i="3" a="1"/>
  <c r="C3432" i="3"/>
  <c r="C3433" i="3" a="1"/>
  <c r="C3433" i="3"/>
  <c r="C3434" i="3" a="1"/>
  <c r="C3434" i="3"/>
  <c r="C3435" i="3" a="1"/>
  <c r="C3435" i="3"/>
  <c r="C3436" i="3" a="1"/>
  <c r="C3436" i="3"/>
  <c r="C3437" i="3" a="1"/>
  <c r="C3437" i="3"/>
  <c r="C3438" i="3" a="1"/>
  <c r="C3438" i="3"/>
  <c r="C3439" i="3" a="1"/>
  <c r="C3439" i="3"/>
  <c r="C3440" i="3" a="1"/>
  <c r="C3440" i="3"/>
  <c r="C3441" i="3" a="1"/>
  <c r="C3441" i="3"/>
  <c r="C3442" i="3" a="1"/>
  <c r="C3442" i="3"/>
  <c r="C3443" i="3" a="1"/>
  <c r="C3443" i="3"/>
  <c r="C3444" i="3" a="1"/>
  <c r="C3444" i="3"/>
  <c r="C3445" i="3" a="1"/>
  <c r="C3445" i="3"/>
  <c r="C3446" i="3" a="1"/>
  <c r="C3446" i="3"/>
  <c r="C3447" i="3" a="1"/>
  <c r="C3447" i="3"/>
  <c r="C3448" i="3" a="1"/>
  <c r="C3448" i="3"/>
  <c r="C3449" i="3" a="1"/>
  <c r="C3449" i="3"/>
  <c r="C3450" i="3" a="1"/>
  <c r="C3450" i="3"/>
  <c r="C3451" i="3" a="1"/>
  <c r="C3451" i="3"/>
  <c r="C3452" i="3" a="1"/>
  <c r="C3452" i="3"/>
  <c r="C3453" i="3" a="1"/>
  <c r="C3453" i="3"/>
  <c r="C3454" i="3" a="1"/>
  <c r="C3454" i="3"/>
  <c r="C3455" i="3" a="1"/>
  <c r="C3455" i="3"/>
  <c r="C3456" i="3" a="1"/>
  <c r="C3456" i="3"/>
  <c r="C3457" i="3" a="1"/>
  <c r="C3457" i="3"/>
  <c r="C3458" i="3" a="1"/>
  <c r="C3458" i="3"/>
  <c r="C3459" i="3" a="1"/>
  <c r="C3459" i="3"/>
  <c r="C3460" i="3" a="1"/>
  <c r="C3460" i="3"/>
  <c r="C3461" i="3" a="1"/>
  <c r="C3461" i="3"/>
  <c r="C3462" i="3" a="1"/>
  <c r="C3462" i="3"/>
  <c r="C3463" i="3" a="1"/>
  <c r="C3463" i="3"/>
  <c r="C3464" i="3" a="1"/>
  <c r="C3464" i="3"/>
  <c r="C3465" i="3" a="1"/>
  <c r="C3465" i="3"/>
  <c r="C3466" i="3" a="1"/>
  <c r="C3466" i="3"/>
  <c r="C3467" i="3" a="1"/>
  <c r="C3467" i="3"/>
  <c r="C3468" i="3" a="1"/>
  <c r="C3468" i="3"/>
  <c r="C3469" i="3" a="1"/>
  <c r="C3469" i="3"/>
  <c r="C3470" i="3" a="1"/>
  <c r="C3470" i="3"/>
  <c r="C3471" i="3" a="1"/>
  <c r="C3471" i="3"/>
  <c r="C3472" i="3" a="1"/>
  <c r="C3472" i="3"/>
  <c r="C3473" i="3" a="1"/>
  <c r="C3473" i="3"/>
  <c r="C3474" i="3" a="1"/>
  <c r="C3474" i="3"/>
  <c r="C3475" i="3" a="1"/>
  <c r="C3475" i="3"/>
  <c r="C3476" i="3" a="1"/>
  <c r="C3476" i="3"/>
  <c r="C3477" i="3" a="1"/>
  <c r="C3477" i="3"/>
  <c r="C3478" i="3" a="1"/>
  <c r="C3478" i="3"/>
  <c r="C3479" i="3" a="1"/>
  <c r="C3479" i="3"/>
  <c r="C3480" i="3" a="1"/>
  <c r="C3480" i="3"/>
  <c r="C3481" i="3" a="1"/>
  <c r="C3481" i="3"/>
  <c r="C3482" i="3" a="1"/>
  <c r="C3482" i="3"/>
  <c r="C3483" i="3" a="1"/>
  <c r="C3483" i="3"/>
  <c r="C3484" i="3" a="1"/>
  <c r="C3484" i="3"/>
  <c r="C3485" i="3" a="1"/>
  <c r="C3485" i="3"/>
  <c r="C3486" i="3" a="1"/>
  <c r="C3486" i="3"/>
  <c r="C3487" i="3" a="1"/>
  <c r="C3487" i="3"/>
  <c r="C3488" i="3" a="1"/>
  <c r="C3488" i="3"/>
  <c r="C3489" i="3" a="1"/>
  <c r="C3489" i="3"/>
  <c r="C3490" i="3" a="1"/>
  <c r="C3490" i="3"/>
  <c r="C3491" i="3" a="1"/>
  <c r="C3491" i="3"/>
  <c r="C3492" i="3" a="1"/>
  <c r="C3492" i="3"/>
  <c r="C3493" i="3" a="1"/>
  <c r="C3493" i="3"/>
  <c r="C3494" i="3" a="1"/>
  <c r="C3494" i="3"/>
  <c r="C3495" i="3" a="1"/>
  <c r="C3495" i="3"/>
  <c r="C3496" i="3" a="1"/>
  <c r="C3496" i="3"/>
  <c r="C3497" i="3" a="1"/>
  <c r="C3497" i="3"/>
  <c r="C3498" i="3" a="1"/>
  <c r="C3498" i="3"/>
  <c r="C3499" i="3" a="1"/>
  <c r="C3499" i="3"/>
  <c r="C3500" i="3" a="1"/>
  <c r="C3500" i="3"/>
  <c r="C3501" i="3" a="1"/>
  <c r="C3501" i="3"/>
  <c r="C3502" i="3" a="1"/>
  <c r="C3502" i="3"/>
  <c r="C3503" i="3" a="1"/>
  <c r="C3503" i="3"/>
  <c r="C3504" i="3" a="1"/>
  <c r="C3504" i="3"/>
  <c r="C3505" i="3" a="1"/>
  <c r="C3505" i="3"/>
  <c r="C3506" i="3" a="1"/>
  <c r="C3506" i="3"/>
  <c r="C3507" i="3" a="1"/>
  <c r="C3507" i="3"/>
  <c r="C3508" i="3" a="1"/>
  <c r="C3508" i="3"/>
  <c r="C3509" i="3" a="1"/>
  <c r="C3509" i="3"/>
  <c r="C3510" i="3" a="1"/>
  <c r="C3510" i="3"/>
  <c r="C3511" i="3" a="1"/>
  <c r="C3511" i="3"/>
  <c r="C3512" i="3" a="1"/>
  <c r="C3512" i="3"/>
  <c r="C3513" i="3" a="1"/>
  <c r="C3513" i="3"/>
  <c r="C3514" i="3" a="1"/>
  <c r="C3514" i="3"/>
  <c r="C3515" i="3" a="1"/>
  <c r="C3515" i="3"/>
  <c r="C3516" i="3" a="1"/>
  <c r="C3516" i="3"/>
  <c r="C3517" i="3" a="1"/>
  <c r="C3517" i="3"/>
  <c r="C3518" i="3" a="1"/>
  <c r="C3518" i="3"/>
  <c r="C3519" i="3" a="1"/>
  <c r="C3519" i="3"/>
  <c r="C3520" i="3" a="1"/>
  <c r="C3520" i="3"/>
  <c r="C3521" i="3" a="1"/>
  <c r="C3521" i="3"/>
  <c r="C3522" i="3" a="1"/>
  <c r="C3522" i="3"/>
  <c r="C3523" i="3" a="1"/>
  <c r="C3523" i="3"/>
  <c r="C3524" i="3" a="1"/>
  <c r="C3524" i="3"/>
  <c r="C3525" i="3" a="1"/>
  <c r="C3525" i="3"/>
  <c r="C3526" i="3" a="1"/>
  <c r="C3526" i="3"/>
  <c r="C3527" i="3" a="1"/>
  <c r="C3527" i="3"/>
  <c r="C3528" i="3" a="1"/>
  <c r="C3528" i="3"/>
  <c r="C3529" i="3" a="1"/>
  <c r="C3529" i="3"/>
  <c r="C3530" i="3" a="1"/>
  <c r="C3530" i="3"/>
  <c r="C3531" i="3" a="1"/>
  <c r="C3531" i="3"/>
  <c r="C3532" i="3" a="1"/>
  <c r="C3532" i="3"/>
  <c r="C3533" i="3" a="1"/>
  <c r="C3533" i="3"/>
  <c r="C3534" i="3" a="1"/>
  <c r="C3534" i="3"/>
  <c r="C3535" i="3" a="1"/>
  <c r="C3535" i="3"/>
  <c r="C3536" i="3" a="1"/>
  <c r="C3536" i="3"/>
  <c r="C3537" i="3" a="1"/>
  <c r="C3537" i="3"/>
  <c r="C3538" i="3" a="1"/>
  <c r="C3538" i="3"/>
  <c r="C3539" i="3" a="1"/>
  <c r="C3539" i="3"/>
  <c r="C3540" i="3" a="1"/>
  <c r="C3540" i="3"/>
  <c r="C3541" i="3" a="1"/>
  <c r="C3541" i="3"/>
  <c r="C3542" i="3" a="1"/>
  <c r="C3542" i="3"/>
  <c r="C3543" i="3" a="1"/>
  <c r="C3543" i="3"/>
  <c r="C3544" i="3" a="1"/>
  <c r="C3544" i="3"/>
  <c r="C3545" i="3" a="1"/>
  <c r="C3545" i="3"/>
  <c r="C3546" i="3" a="1"/>
  <c r="C3546" i="3"/>
  <c r="C3547" i="3" a="1"/>
  <c r="C3547" i="3"/>
  <c r="C3548" i="3" a="1"/>
  <c r="C3548" i="3"/>
  <c r="C3549" i="3" a="1"/>
  <c r="C3549" i="3"/>
  <c r="C3550" i="3" a="1"/>
  <c r="C3550" i="3"/>
  <c r="C3551" i="3" a="1"/>
  <c r="C3551" i="3"/>
  <c r="C3552" i="3" a="1"/>
  <c r="C3552" i="3"/>
  <c r="C3553" i="3" a="1"/>
  <c r="C3553" i="3"/>
  <c r="C3554" i="3" a="1"/>
  <c r="C3554" i="3"/>
  <c r="C3555" i="3" a="1"/>
  <c r="C3555" i="3"/>
  <c r="C3556" i="3" a="1"/>
  <c r="C3556" i="3"/>
  <c r="C3557" i="3" a="1"/>
  <c r="C3557" i="3"/>
  <c r="C3558" i="3" a="1"/>
  <c r="C3558" i="3"/>
  <c r="C3559" i="3" a="1"/>
  <c r="C3559" i="3"/>
  <c r="C3560" i="3" a="1"/>
  <c r="C3560" i="3"/>
  <c r="C3561" i="3" a="1"/>
  <c r="C3561" i="3"/>
  <c r="C3562" i="3" a="1"/>
  <c r="C3562" i="3"/>
  <c r="C3563" i="3" a="1"/>
  <c r="C3563" i="3"/>
  <c r="C3564" i="3" a="1"/>
  <c r="C3564" i="3"/>
  <c r="C3565" i="3" a="1"/>
  <c r="C3565" i="3"/>
  <c r="C3566" i="3" a="1"/>
  <c r="C3566" i="3"/>
  <c r="C3567" i="3" a="1"/>
  <c r="C3567" i="3"/>
  <c r="C3568" i="3" a="1"/>
  <c r="C3568" i="3"/>
  <c r="C3569" i="3" a="1"/>
  <c r="C3569" i="3"/>
  <c r="C3570" i="3" a="1"/>
  <c r="C3570" i="3"/>
  <c r="C3571" i="3" a="1"/>
  <c r="C3571" i="3"/>
  <c r="C3572" i="3" a="1"/>
  <c r="C3572" i="3"/>
  <c r="C3573" i="3" a="1"/>
  <c r="C3573" i="3"/>
  <c r="C3574" i="3" a="1"/>
  <c r="C3574" i="3"/>
  <c r="C3575" i="3" a="1"/>
  <c r="C3575" i="3"/>
  <c r="C3576" i="3" a="1"/>
  <c r="C3576" i="3"/>
  <c r="C3577" i="3" a="1"/>
  <c r="C3577" i="3"/>
  <c r="C3578" i="3" a="1"/>
  <c r="C3578" i="3"/>
  <c r="C3579" i="3" a="1"/>
  <c r="C3579" i="3"/>
  <c r="C3580" i="3" a="1"/>
  <c r="C3580" i="3"/>
  <c r="C3581" i="3" a="1"/>
  <c r="C3581" i="3"/>
  <c r="C3582" i="3" a="1"/>
  <c r="C3582" i="3"/>
  <c r="C3583" i="3" a="1"/>
  <c r="C3583" i="3"/>
  <c r="C3584" i="3" a="1"/>
  <c r="C3584" i="3"/>
  <c r="C3585" i="3" a="1"/>
  <c r="C3585" i="3"/>
  <c r="C3586" i="3" a="1"/>
  <c r="C3586" i="3"/>
  <c r="C3587" i="3" a="1"/>
  <c r="C3587" i="3"/>
  <c r="C3588" i="3" a="1"/>
  <c r="C3588" i="3"/>
  <c r="C3589" i="3" a="1"/>
  <c r="C3589" i="3"/>
  <c r="C3590" i="3" a="1"/>
  <c r="C3590" i="3"/>
  <c r="C3591" i="3" a="1"/>
  <c r="C3591" i="3"/>
  <c r="C3592" i="3" a="1"/>
  <c r="C3592" i="3"/>
  <c r="C3593" i="3" a="1"/>
  <c r="C3593" i="3"/>
  <c r="C3594" i="3" a="1"/>
  <c r="C3594" i="3"/>
  <c r="C3595" i="3" a="1"/>
  <c r="C3595" i="3"/>
  <c r="C3596" i="3" a="1"/>
  <c r="C3596" i="3"/>
  <c r="C3597" i="3" a="1"/>
  <c r="C3597" i="3"/>
  <c r="C3598" i="3" a="1"/>
  <c r="C3598" i="3"/>
  <c r="C3599" i="3" a="1"/>
  <c r="C3599" i="3"/>
  <c r="C3600" i="3" a="1"/>
  <c r="C3600" i="3"/>
  <c r="C3601" i="3" a="1"/>
  <c r="C3601" i="3"/>
  <c r="C3602" i="3" a="1"/>
  <c r="C3602" i="3"/>
  <c r="C3603" i="3" a="1"/>
  <c r="C3603" i="3"/>
  <c r="C3604" i="3" a="1"/>
  <c r="C3604" i="3"/>
  <c r="C3605" i="3" a="1"/>
  <c r="C3605" i="3"/>
  <c r="C3606" i="3" a="1"/>
  <c r="C3606" i="3"/>
  <c r="C3607" i="3" a="1"/>
  <c r="C3607" i="3"/>
  <c r="C3608" i="3" a="1"/>
  <c r="C3608" i="3"/>
  <c r="C3609" i="3" a="1"/>
  <c r="C3609" i="3"/>
  <c r="C3610" i="3" a="1"/>
  <c r="C3610" i="3"/>
  <c r="C3611" i="3" a="1"/>
  <c r="C3611" i="3"/>
  <c r="C3612" i="3" a="1"/>
  <c r="C3612" i="3"/>
  <c r="C3613" i="3" a="1"/>
  <c r="C3613" i="3"/>
  <c r="C3614" i="3" a="1"/>
  <c r="C3614" i="3"/>
  <c r="C3615" i="3" a="1"/>
  <c r="C3615" i="3"/>
  <c r="C3616" i="3" a="1"/>
  <c r="C3616" i="3"/>
  <c r="C3617" i="3" a="1"/>
  <c r="C3617" i="3"/>
  <c r="C3618" i="3" a="1"/>
  <c r="C3618" i="3"/>
  <c r="C3619" i="3" a="1"/>
  <c r="C3619" i="3"/>
  <c r="C3620" i="3" a="1"/>
  <c r="C3620" i="3"/>
  <c r="C3621" i="3" a="1"/>
  <c r="C3621" i="3"/>
  <c r="C3622" i="3" a="1"/>
  <c r="C3622" i="3"/>
  <c r="C3623" i="3" a="1"/>
  <c r="C3623" i="3"/>
  <c r="C3624" i="3" a="1"/>
  <c r="C3624" i="3"/>
  <c r="C3625" i="3" a="1"/>
  <c r="C3625" i="3"/>
  <c r="C3626" i="3" a="1"/>
  <c r="C3626" i="3"/>
  <c r="C3627" i="3" a="1"/>
  <c r="C3627" i="3"/>
  <c r="C3628" i="3" a="1"/>
  <c r="C3628" i="3"/>
  <c r="C3629" i="3" a="1"/>
  <c r="C3629" i="3"/>
  <c r="C3630" i="3" a="1"/>
  <c r="C3630" i="3"/>
  <c r="C3631" i="3" a="1"/>
  <c r="C3631" i="3"/>
  <c r="C3632" i="3" a="1"/>
  <c r="C3632" i="3"/>
  <c r="C3633" i="3" a="1"/>
  <c r="C3633" i="3"/>
  <c r="C3634" i="3" a="1"/>
  <c r="C3634" i="3"/>
  <c r="C3635" i="3" a="1"/>
  <c r="C3635" i="3"/>
  <c r="C3636" i="3" a="1"/>
  <c r="C3636" i="3"/>
  <c r="C3637" i="3" a="1"/>
  <c r="C3637" i="3"/>
  <c r="C3638" i="3" a="1"/>
  <c r="C3638" i="3"/>
  <c r="C3639" i="3" a="1"/>
  <c r="C3639" i="3"/>
  <c r="C3640" i="3" a="1"/>
  <c r="C3640" i="3"/>
  <c r="C3641" i="3" a="1"/>
  <c r="C3641" i="3"/>
  <c r="C3642" i="3" a="1"/>
  <c r="C3642" i="3"/>
  <c r="C3643" i="3" a="1"/>
  <c r="C3643" i="3"/>
  <c r="C3644" i="3" a="1"/>
  <c r="C3644" i="3"/>
  <c r="C3645" i="3" a="1"/>
  <c r="C3645" i="3"/>
  <c r="C3646" i="3" a="1"/>
  <c r="C3646" i="3"/>
  <c r="C3647" i="3" a="1"/>
  <c r="C3647" i="3"/>
  <c r="C3648" i="3" a="1"/>
  <c r="C3648" i="3"/>
  <c r="C3649" i="3" a="1"/>
  <c r="C3649" i="3"/>
  <c r="C3650" i="3" a="1"/>
  <c r="C3650" i="3"/>
  <c r="C3651" i="3" a="1"/>
  <c r="C3651" i="3"/>
  <c r="C3652" i="3" a="1"/>
  <c r="C3652" i="3"/>
  <c r="C3653" i="3" a="1"/>
  <c r="C3653" i="3"/>
  <c r="C3654" i="3" a="1"/>
  <c r="C3654" i="3"/>
  <c r="C3655" i="3" a="1"/>
  <c r="C3655" i="3"/>
  <c r="C3656" i="3" a="1"/>
  <c r="C3656" i="3"/>
  <c r="C3657" i="3" a="1"/>
  <c r="C3657" i="3"/>
  <c r="C3658" i="3" a="1"/>
  <c r="C3658" i="3"/>
  <c r="C3659" i="3" a="1"/>
  <c r="C3659" i="3"/>
  <c r="C3660" i="3" a="1"/>
  <c r="C3660" i="3"/>
  <c r="C3661" i="3" a="1"/>
  <c r="C3661" i="3"/>
  <c r="C3662" i="3" a="1"/>
  <c r="C3662" i="3"/>
  <c r="C3663" i="3" a="1"/>
  <c r="C3663" i="3"/>
  <c r="C3664" i="3" a="1"/>
  <c r="C3664" i="3"/>
  <c r="C3665" i="3" a="1"/>
  <c r="C3665" i="3"/>
  <c r="C3666" i="3" a="1"/>
  <c r="C3666" i="3"/>
  <c r="C3667" i="3" a="1"/>
  <c r="C3667" i="3"/>
  <c r="C3668" i="3" a="1"/>
  <c r="C3668" i="3"/>
  <c r="C3669" i="3" a="1"/>
  <c r="C3669" i="3"/>
  <c r="C3670" i="3" a="1"/>
  <c r="C3670" i="3"/>
  <c r="C3671" i="3" a="1"/>
  <c r="C3671" i="3"/>
  <c r="C3672" i="3" a="1"/>
  <c r="C3672" i="3"/>
  <c r="C3673" i="3" a="1"/>
  <c r="C3673" i="3"/>
  <c r="C3674" i="3" a="1"/>
  <c r="C3674" i="3"/>
  <c r="C3675" i="3" a="1"/>
  <c r="C3675" i="3"/>
  <c r="C3676" i="3" a="1"/>
  <c r="C3676" i="3"/>
  <c r="C3677" i="3" a="1"/>
  <c r="C3677" i="3"/>
  <c r="C3678" i="3" a="1"/>
  <c r="C3678" i="3"/>
  <c r="C3679" i="3" a="1"/>
  <c r="C3679" i="3"/>
  <c r="C3680" i="3" a="1"/>
  <c r="C3680" i="3"/>
  <c r="C3681" i="3" a="1"/>
  <c r="C3681" i="3"/>
  <c r="C3682" i="3" a="1"/>
  <c r="C3682" i="3"/>
  <c r="C3683" i="3" a="1"/>
  <c r="C3683" i="3"/>
  <c r="C3684" i="3" a="1"/>
  <c r="C3684" i="3"/>
  <c r="C3685" i="3" a="1"/>
  <c r="C3685" i="3"/>
  <c r="C3686" i="3" a="1"/>
  <c r="C3686" i="3"/>
  <c r="C3687" i="3" a="1"/>
  <c r="C3687" i="3"/>
  <c r="C3688" i="3" a="1"/>
  <c r="C3688" i="3"/>
  <c r="C3689" i="3" a="1"/>
  <c r="C3689" i="3"/>
  <c r="C3690" i="3" a="1"/>
  <c r="C3690" i="3"/>
  <c r="C3691" i="3" a="1"/>
  <c r="C3691" i="3"/>
  <c r="C3692" i="3" a="1"/>
  <c r="C3692" i="3"/>
  <c r="C3693" i="3" a="1"/>
  <c r="C3693" i="3"/>
  <c r="C3694" i="3" a="1"/>
  <c r="C3694" i="3"/>
  <c r="C3695" i="3" a="1"/>
  <c r="C3695" i="3"/>
  <c r="C3696" i="3" a="1"/>
  <c r="C3696" i="3"/>
  <c r="C3697" i="3" a="1"/>
  <c r="C3697" i="3"/>
  <c r="C3698" i="3" a="1"/>
  <c r="C3698" i="3"/>
  <c r="C3699" i="3" a="1"/>
  <c r="C3699" i="3"/>
  <c r="C3700" i="3" a="1"/>
  <c r="C3700" i="3"/>
  <c r="C3701" i="3" a="1"/>
  <c r="C3701" i="3"/>
  <c r="C3702" i="3" a="1"/>
  <c r="C3702" i="3"/>
  <c r="C3703" i="3" a="1"/>
  <c r="C3703" i="3"/>
  <c r="C3704" i="3" a="1"/>
  <c r="C3704" i="3"/>
  <c r="C3705" i="3" a="1"/>
  <c r="C3705" i="3"/>
  <c r="C3706" i="3" a="1"/>
  <c r="C3706" i="3"/>
  <c r="C3707" i="3" a="1"/>
  <c r="C3707" i="3"/>
  <c r="C3708" i="3" a="1"/>
  <c r="C3708" i="3"/>
  <c r="C3709" i="3" a="1"/>
  <c r="C3709" i="3"/>
  <c r="C3710" i="3" a="1"/>
  <c r="C3710" i="3"/>
  <c r="C3711" i="3" a="1"/>
  <c r="C3711" i="3"/>
  <c r="C3712" i="3" a="1"/>
  <c r="C3712" i="3"/>
  <c r="C3713" i="3" a="1"/>
  <c r="C3713" i="3"/>
  <c r="C3714" i="3" a="1"/>
  <c r="C3714" i="3"/>
  <c r="C3715" i="3" a="1"/>
  <c r="C3715" i="3"/>
  <c r="C3716" i="3" a="1"/>
  <c r="C3716" i="3"/>
  <c r="C3717" i="3" a="1"/>
  <c r="C3717" i="3"/>
  <c r="C3718" i="3" a="1"/>
  <c r="C3718" i="3"/>
  <c r="C3719" i="3" a="1"/>
  <c r="C3719" i="3"/>
  <c r="C3720" i="3" a="1"/>
  <c r="C3720" i="3"/>
  <c r="C3721" i="3" a="1"/>
  <c r="C3721" i="3"/>
  <c r="C3722" i="3" a="1"/>
  <c r="C3722" i="3"/>
  <c r="C3723" i="3" a="1"/>
  <c r="C3723" i="3"/>
  <c r="C3724" i="3" a="1"/>
  <c r="C3724" i="3"/>
  <c r="C3725" i="3" a="1"/>
  <c r="C3725" i="3"/>
  <c r="C3726" i="3" a="1"/>
  <c r="C3726" i="3"/>
  <c r="C3727" i="3" a="1"/>
  <c r="C3727" i="3"/>
  <c r="C3728" i="3" a="1"/>
  <c r="C3728" i="3"/>
  <c r="C3729" i="3" a="1"/>
  <c r="C3729" i="3"/>
  <c r="C3730" i="3" a="1"/>
  <c r="C3730" i="3"/>
  <c r="C3731" i="3" a="1"/>
  <c r="C3731" i="3"/>
  <c r="C3732" i="3" a="1"/>
  <c r="C3732" i="3"/>
  <c r="C3733" i="3" a="1"/>
  <c r="C3733" i="3"/>
  <c r="C3734" i="3" a="1"/>
  <c r="C3734" i="3"/>
  <c r="C3735" i="3" a="1"/>
  <c r="C3735" i="3"/>
  <c r="C3736" i="3" a="1"/>
  <c r="C3736" i="3"/>
  <c r="C3737" i="3" a="1"/>
  <c r="C3737" i="3"/>
  <c r="C3738" i="3" a="1"/>
  <c r="C3738" i="3"/>
  <c r="C3739" i="3" a="1"/>
  <c r="C3739" i="3"/>
  <c r="C3740" i="3" a="1"/>
  <c r="C3740" i="3"/>
  <c r="C3741" i="3" a="1"/>
  <c r="C3741" i="3"/>
  <c r="C3742" i="3" a="1"/>
  <c r="C3742" i="3"/>
  <c r="C3743" i="3" a="1"/>
  <c r="C3743" i="3"/>
  <c r="C3744" i="3" a="1"/>
  <c r="C3744" i="3"/>
  <c r="C3745" i="3" a="1"/>
  <c r="C3745" i="3"/>
  <c r="C3746" i="3" a="1"/>
  <c r="C3746" i="3"/>
  <c r="C3747" i="3" a="1"/>
  <c r="C3747" i="3"/>
  <c r="C3748" i="3" a="1"/>
  <c r="C3748" i="3"/>
  <c r="C3749" i="3" a="1"/>
  <c r="C3749" i="3"/>
  <c r="C3750" i="3" a="1"/>
  <c r="C3750" i="3"/>
  <c r="C3751" i="3" a="1"/>
  <c r="C3751" i="3"/>
  <c r="C3752" i="3" a="1"/>
  <c r="C3752" i="3"/>
  <c r="C3753" i="3" a="1"/>
  <c r="C3753" i="3"/>
  <c r="C3754" i="3" a="1"/>
  <c r="C3754" i="3"/>
  <c r="C3755" i="3" a="1"/>
  <c r="C3755" i="3"/>
  <c r="C3756" i="3" a="1"/>
  <c r="C3756" i="3"/>
  <c r="C3757" i="3" a="1"/>
  <c r="C3757" i="3"/>
  <c r="C3758" i="3" a="1"/>
  <c r="C3758" i="3"/>
  <c r="C3759" i="3" a="1"/>
  <c r="C3759" i="3"/>
  <c r="C3760" i="3" a="1"/>
  <c r="C3760" i="3"/>
  <c r="C3761" i="3" a="1"/>
  <c r="C3761" i="3"/>
  <c r="C3762" i="3" a="1"/>
  <c r="C3762" i="3"/>
  <c r="C3763" i="3" a="1"/>
  <c r="C3763" i="3"/>
  <c r="C3764" i="3" a="1"/>
  <c r="C3764" i="3"/>
  <c r="C3765" i="3" a="1"/>
  <c r="C3765" i="3"/>
  <c r="C3766" i="3" a="1"/>
  <c r="C3766" i="3"/>
  <c r="C3767" i="3" a="1"/>
  <c r="C3767" i="3"/>
  <c r="C3768" i="3" a="1"/>
  <c r="C3768" i="3"/>
  <c r="C3769" i="3" a="1"/>
  <c r="C3769" i="3"/>
  <c r="C3770" i="3" a="1"/>
  <c r="C3770" i="3"/>
  <c r="C3771" i="3" a="1"/>
  <c r="C3771" i="3"/>
  <c r="C3772" i="3" a="1"/>
  <c r="C3772" i="3"/>
  <c r="C3773" i="3" a="1"/>
  <c r="C3773" i="3"/>
  <c r="C3774" i="3" a="1"/>
  <c r="C3774" i="3"/>
  <c r="C3775" i="3" a="1"/>
  <c r="C3775" i="3"/>
  <c r="C3776" i="3" a="1"/>
  <c r="C3776" i="3"/>
  <c r="C3777" i="3" a="1"/>
  <c r="C3777" i="3"/>
  <c r="C3778" i="3" a="1"/>
  <c r="C3778" i="3"/>
  <c r="C3779" i="3" a="1"/>
  <c r="C3779" i="3"/>
  <c r="C3780" i="3" a="1"/>
  <c r="C3780" i="3"/>
  <c r="C3781" i="3" a="1"/>
  <c r="C3781" i="3"/>
  <c r="C3782" i="3" a="1"/>
  <c r="C3782" i="3"/>
  <c r="C3783" i="3" a="1"/>
  <c r="C3783" i="3"/>
  <c r="C3784" i="3" a="1"/>
  <c r="C3784" i="3"/>
  <c r="C3785" i="3" a="1"/>
  <c r="C3785" i="3"/>
  <c r="C3786" i="3" a="1"/>
  <c r="C3786" i="3"/>
  <c r="C3787" i="3" a="1"/>
  <c r="C3787" i="3"/>
  <c r="C3788" i="3" a="1"/>
  <c r="C3788" i="3"/>
  <c r="C3789" i="3" a="1"/>
  <c r="C3789" i="3"/>
  <c r="C3790" i="3" a="1"/>
  <c r="C3790" i="3"/>
  <c r="C3791" i="3" a="1"/>
  <c r="C3791" i="3"/>
  <c r="C3792" i="3" a="1"/>
  <c r="C3792" i="3"/>
  <c r="C3793" i="3" a="1"/>
  <c r="C3793" i="3"/>
  <c r="C3794" i="3" a="1"/>
  <c r="C3794" i="3"/>
  <c r="C3795" i="3" a="1"/>
  <c r="C3795" i="3"/>
  <c r="C3796" i="3" a="1"/>
  <c r="C3796" i="3"/>
  <c r="C3797" i="3" a="1"/>
  <c r="C3797" i="3"/>
  <c r="C3798" i="3" a="1"/>
  <c r="C3798" i="3"/>
  <c r="C3799" i="3" a="1"/>
  <c r="C3799" i="3"/>
  <c r="C3800" i="3" a="1"/>
  <c r="C3800" i="3"/>
  <c r="C3801" i="3" a="1"/>
  <c r="C3801" i="3"/>
  <c r="C3802" i="3" a="1"/>
  <c r="C3802" i="3"/>
  <c r="C3803" i="3" a="1"/>
  <c r="C3803" i="3"/>
  <c r="C3804" i="3" a="1"/>
  <c r="C3804" i="3"/>
  <c r="C3805" i="3" a="1"/>
  <c r="C3805" i="3"/>
  <c r="C3806" i="3" a="1"/>
  <c r="C3806" i="3"/>
  <c r="C3807" i="3" a="1"/>
  <c r="C3807" i="3"/>
  <c r="C3808" i="3" a="1"/>
  <c r="C3808" i="3"/>
  <c r="C3809" i="3" a="1"/>
  <c r="C3809" i="3"/>
  <c r="C3810" i="3" a="1"/>
  <c r="C3810" i="3"/>
  <c r="C3811" i="3" a="1"/>
  <c r="C3811" i="3"/>
  <c r="C3812" i="3" a="1"/>
  <c r="C3812" i="3"/>
  <c r="C3813" i="3" a="1"/>
  <c r="C3813" i="3"/>
  <c r="C3814" i="3" a="1"/>
  <c r="C3814" i="3"/>
  <c r="C3815" i="3" a="1"/>
  <c r="C3815" i="3"/>
  <c r="C3816" i="3" a="1"/>
  <c r="C3816" i="3"/>
  <c r="C3817" i="3" a="1"/>
  <c r="C3817" i="3"/>
  <c r="C3818" i="3" a="1"/>
  <c r="C3818" i="3"/>
  <c r="C3819" i="3" a="1"/>
  <c r="C3819" i="3"/>
  <c r="C3820" i="3" a="1"/>
  <c r="C3820" i="3"/>
  <c r="C3821" i="3" a="1"/>
  <c r="C3821" i="3"/>
  <c r="C3822" i="3" a="1"/>
  <c r="C3822" i="3"/>
  <c r="C3823" i="3" a="1"/>
  <c r="C3823" i="3"/>
  <c r="C3824" i="3" a="1"/>
  <c r="C3824" i="3"/>
  <c r="C3825" i="3" a="1"/>
  <c r="C3825" i="3"/>
  <c r="C3826" i="3" a="1"/>
  <c r="C3826" i="3"/>
  <c r="C3827" i="3" a="1"/>
  <c r="C3827" i="3"/>
  <c r="C3828" i="3" a="1"/>
  <c r="C3828" i="3"/>
  <c r="C3829" i="3" a="1"/>
  <c r="C3829" i="3"/>
  <c r="C3830" i="3" a="1"/>
  <c r="C3830" i="3"/>
  <c r="C3831" i="3" a="1"/>
  <c r="C3831" i="3"/>
  <c r="C3832" i="3" a="1"/>
  <c r="C3832" i="3"/>
  <c r="C3833" i="3" a="1"/>
  <c r="C3833" i="3"/>
  <c r="C3834" i="3" a="1"/>
  <c r="C3834" i="3"/>
  <c r="C3835" i="3" a="1"/>
  <c r="C3835" i="3"/>
  <c r="C3836" i="3" a="1"/>
  <c r="C3836" i="3"/>
  <c r="C3837" i="3" a="1"/>
  <c r="C3837" i="3"/>
  <c r="C3838" i="3" a="1"/>
  <c r="C3838" i="3"/>
  <c r="C3839" i="3" a="1"/>
  <c r="C3839" i="3"/>
  <c r="C3840" i="3" a="1"/>
  <c r="C3840" i="3"/>
  <c r="C3841" i="3" a="1"/>
  <c r="C3841" i="3"/>
  <c r="C3842" i="3" a="1"/>
  <c r="C3842" i="3"/>
  <c r="C3843" i="3" a="1"/>
  <c r="C3843" i="3"/>
  <c r="C3844" i="3" a="1"/>
  <c r="C3844" i="3"/>
  <c r="C3845" i="3" a="1"/>
  <c r="C3845" i="3"/>
  <c r="C3846" i="3" a="1"/>
  <c r="C3846" i="3"/>
  <c r="C3847" i="3" a="1"/>
  <c r="C3847" i="3"/>
  <c r="C3848" i="3" a="1"/>
  <c r="C3848" i="3"/>
  <c r="C3849" i="3" a="1"/>
  <c r="C3849" i="3"/>
  <c r="C3850" i="3" a="1"/>
  <c r="C3850" i="3"/>
  <c r="C3851" i="3" a="1"/>
  <c r="C3851" i="3"/>
  <c r="C3852" i="3" a="1"/>
  <c r="C3852" i="3"/>
  <c r="C3853" i="3" a="1"/>
  <c r="C3853" i="3"/>
  <c r="C3854" i="3" a="1"/>
  <c r="C3854" i="3"/>
  <c r="C3855" i="3" a="1"/>
  <c r="C3855" i="3"/>
  <c r="C3856" i="3" a="1"/>
  <c r="C3856" i="3"/>
  <c r="C3857" i="3" a="1"/>
  <c r="C3857" i="3"/>
  <c r="C3858" i="3" a="1"/>
  <c r="C3858" i="3"/>
  <c r="C3859" i="3" a="1"/>
  <c r="C3859" i="3"/>
  <c r="C3860" i="3" a="1"/>
  <c r="C3860" i="3"/>
  <c r="C3861" i="3" a="1"/>
  <c r="C3861" i="3"/>
  <c r="C3862" i="3" a="1"/>
  <c r="C3862" i="3"/>
  <c r="C3863" i="3" a="1"/>
  <c r="C3863" i="3"/>
  <c r="C3864" i="3" a="1"/>
  <c r="C3864" i="3"/>
  <c r="C3865" i="3" a="1"/>
  <c r="C3865" i="3"/>
  <c r="C3866" i="3" a="1"/>
  <c r="C3866" i="3"/>
  <c r="C3867" i="3" a="1"/>
  <c r="C3867" i="3"/>
  <c r="C3868" i="3" a="1"/>
  <c r="C3868" i="3"/>
  <c r="C3869" i="3" a="1"/>
  <c r="C3869" i="3"/>
  <c r="C3870" i="3" a="1"/>
  <c r="C3870" i="3"/>
  <c r="C3871" i="3" a="1"/>
  <c r="C3871" i="3"/>
  <c r="C3872" i="3" a="1"/>
  <c r="C3872" i="3"/>
  <c r="C3873" i="3" a="1"/>
  <c r="C3873" i="3"/>
  <c r="C3874" i="3" a="1"/>
  <c r="C3874" i="3"/>
  <c r="C3875" i="3" a="1"/>
  <c r="C3875" i="3"/>
  <c r="C3876" i="3" a="1"/>
  <c r="C3876" i="3"/>
  <c r="C3877" i="3" a="1"/>
  <c r="C3877" i="3"/>
  <c r="C3878" i="3" a="1"/>
  <c r="C3878" i="3"/>
  <c r="C3879" i="3" a="1"/>
  <c r="C3879" i="3"/>
  <c r="C3880" i="3" a="1"/>
  <c r="C3880" i="3"/>
  <c r="C3881" i="3" a="1"/>
  <c r="C3881" i="3"/>
  <c r="C3882" i="3" a="1"/>
  <c r="C3882" i="3"/>
  <c r="C3883" i="3" a="1"/>
  <c r="C3883" i="3"/>
  <c r="C3884" i="3" a="1"/>
  <c r="C3884" i="3"/>
  <c r="C3885" i="3" a="1"/>
  <c r="C3885" i="3"/>
  <c r="C3886" i="3" a="1"/>
  <c r="C3886" i="3"/>
  <c r="C3887" i="3" a="1"/>
  <c r="C3887" i="3"/>
  <c r="C3888" i="3" a="1"/>
  <c r="C3888" i="3"/>
  <c r="C3889" i="3" a="1"/>
  <c r="C3889" i="3"/>
  <c r="C3890" i="3" a="1"/>
  <c r="C3890" i="3"/>
  <c r="C3891" i="3" a="1"/>
  <c r="C3891" i="3"/>
  <c r="C3892" i="3" a="1"/>
  <c r="C3892" i="3"/>
  <c r="C3893" i="3" a="1"/>
  <c r="C3893" i="3"/>
  <c r="C3894" i="3" a="1"/>
  <c r="C3894" i="3"/>
  <c r="C3895" i="3" a="1"/>
  <c r="C3895" i="3"/>
  <c r="C3896" i="3" a="1"/>
  <c r="C3896" i="3"/>
  <c r="C3897" i="3" a="1"/>
  <c r="C3897" i="3"/>
  <c r="C3898" i="3" a="1"/>
  <c r="C3898" i="3"/>
  <c r="C3899" i="3" a="1"/>
  <c r="C3899" i="3"/>
  <c r="C3900" i="3" a="1"/>
  <c r="C3900" i="3"/>
  <c r="C3901" i="3" a="1"/>
  <c r="C3901" i="3"/>
  <c r="C2" i="3" a="1"/>
  <c r="C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3002" i="3"/>
  <c r="T3003" i="3"/>
  <c r="T3004" i="3"/>
  <c r="T3005" i="3"/>
  <c r="T3006" i="3"/>
  <c r="T3007" i="3"/>
  <c r="T3008" i="3"/>
  <c r="T3009" i="3"/>
  <c r="T3010" i="3"/>
  <c r="T3011" i="3"/>
  <c r="T3012" i="3"/>
  <c r="T3013" i="3"/>
  <c r="T3014" i="3"/>
  <c r="T3015" i="3"/>
  <c r="T3016" i="3"/>
  <c r="T3017" i="3"/>
  <c r="T3018" i="3"/>
  <c r="T3019" i="3"/>
  <c r="T3020" i="3"/>
  <c r="T3021" i="3"/>
  <c r="T3022" i="3"/>
  <c r="T3023" i="3"/>
  <c r="T3024" i="3"/>
  <c r="T3025" i="3"/>
  <c r="T3026" i="3"/>
  <c r="T3027" i="3"/>
  <c r="T3028" i="3"/>
  <c r="T3029" i="3"/>
  <c r="T3030" i="3"/>
  <c r="T3031" i="3"/>
  <c r="T3032" i="3"/>
  <c r="T3033" i="3"/>
  <c r="T3034" i="3"/>
  <c r="T3035" i="3"/>
  <c r="T3036" i="3"/>
  <c r="T3037" i="3"/>
  <c r="T3038" i="3"/>
  <c r="T3039" i="3"/>
  <c r="T3040" i="3"/>
  <c r="T3041" i="3"/>
  <c r="T3042" i="3"/>
  <c r="T3043" i="3"/>
  <c r="T3044" i="3"/>
  <c r="T3045" i="3"/>
  <c r="T3046" i="3"/>
  <c r="T3047" i="3"/>
  <c r="T3048" i="3"/>
  <c r="T3049" i="3"/>
  <c r="T3050" i="3"/>
  <c r="T3051" i="3"/>
  <c r="T3052" i="3"/>
  <c r="T3053" i="3"/>
  <c r="T3054" i="3"/>
  <c r="T3055" i="3"/>
  <c r="T3056" i="3"/>
  <c r="T3057" i="3"/>
  <c r="T3058" i="3"/>
  <c r="T3059" i="3"/>
  <c r="T3060" i="3"/>
  <c r="T3061" i="3"/>
  <c r="T3062" i="3"/>
  <c r="T3063" i="3"/>
  <c r="T3064" i="3"/>
  <c r="T3065" i="3"/>
  <c r="T3066" i="3"/>
  <c r="T3067" i="3"/>
  <c r="T3068" i="3"/>
  <c r="T3069" i="3"/>
  <c r="T3070" i="3"/>
  <c r="T3071" i="3"/>
  <c r="T3072" i="3"/>
  <c r="T3073" i="3"/>
  <c r="T3074" i="3"/>
  <c r="T3075" i="3"/>
  <c r="T3076" i="3"/>
  <c r="T3077" i="3"/>
  <c r="T3078" i="3"/>
  <c r="T3079" i="3"/>
  <c r="T3080" i="3"/>
  <c r="T3081" i="3"/>
  <c r="T3082" i="3"/>
  <c r="T3083" i="3"/>
  <c r="T3084" i="3"/>
  <c r="T3085" i="3"/>
  <c r="T3086" i="3"/>
  <c r="T3087" i="3"/>
  <c r="T3088" i="3"/>
  <c r="T3089" i="3"/>
  <c r="T3090" i="3"/>
  <c r="T3091" i="3"/>
  <c r="T3092" i="3"/>
  <c r="T3093" i="3"/>
  <c r="T3094" i="3"/>
  <c r="T3095" i="3"/>
  <c r="T3096" i="3"/>
  <c r="T3097" i="3"/>
  <c r="T3098" i="3"/>
  <c r="T3099" i="3"/>
  <c r="T3100" i="3"/>
  <c r="T3101" i="3"/>
  <c r="T3102" i="3"/>
  <c r="T3103" i="3"/>
  <c r="T3104" i="3"/>
  <c r="T3105" i="3"/>
  <c r="T3106" i="3"/>
  <c r="T3107" i="3"/>
  <c r="T3108" i="3"/>
  <c r="T3109" i="3"/>
  <c r="T3110" i="3"/>
  <c r="T3111" i="3"/>
  <c r="T3112" i="3"/>
  <c r="T3113" i="3"/>
  <c r="T3114" i="3"/>
  <c r="T3115" i="3"/>
  <c r="T3116" i="3"/>
  <c r="T3117" i="3"/>
  <c r="T3118" i="3"/>
  <c r="T3119" i="3"/>
  <c r="T3120" i="3"/>
  <c r="T3121" i="3"/>
  <c r="T3122" i="3"/>
  <c r="T3123" i="3"/>
  <c r="T3124" i="3"/>
  <c r="T3125" i="3"/>
  <c r="T3126" i="3"/>
  <c r="T3127" i="3"/>
  <c r="T3128" i="3"/>
  <c r="T3129" i="3"/>
  <c r="T3130" i="3"/>
  <c r="T3131" i="3"/>
  <c r="T3132" i="3"/>
  <c r="T3133" i="3"/>
  <c r="T3134" i="3"/>
  <c r="T3135" i="3"/>
  <c r="T3136" i="3"/>
  <c r="T3137" i="3"/>
  <c r="T3138" i="3"/>
  <c r="T3139" i="3"/>
  <c r="T3140" i="3"/>
  <c r="T3141" i="3"/>
  <c r="T3142" i="3"/>
  <c r="T3143" i="3"/>
  <c r="T3144" i="3"/>
  <c r="T3145" i="3"/>
  <c r="T3146" i="3"/>
  <c r="T3147" i="3"/>
  <c r="T3148" i="3"/>
  <c r="T3149" i="3"/>
  <c r="T3150" i="3"/>
  <c r="T3151" i="3"/>
  <c r="T3152" i="3"/>
  <c r="T3153" i="3"/>
  <c r="T3154" i="3"/>
  <c r="T3155" i="3"/>
  <c r="T3156" i="3"/>
  <c r="T3157" i="3"/>
  <c r="T3158" i="3"/>
  <c r="T3159" i="3"/>
  <c r="T3160" i="3"/>
  <c r="T3161" i="3"/>
  <c r="T3162" i="3"/>
  <c r="T3163" i="3"/>
  <c r="T3164" i="3"/>
  <c r="T3165" i="3"/>
  <c r="T3166" i="3"/>
  <c r="T3167" i="3"/>
  <c r="T3168" i="3"/>
  <c r="T3169" i="3"/>
  <c r="T3170" i="3"/>
  <c r="T3171" i="3"/>
  <c r="T3172" i="3"/>
  <c r="T3173" i="3"/>
  <c r="T3174" i="3"/>
  <c r="T3175" i="3"/>
  <c r="T3176" i="3"/>
  <c r="T3177" i="3"/>
  <c r="T3178" i="3"/>
  <c r="T3179" i="3"/>
  <c r="T3180" i="3"/>
  <c r="T3181" i="3"/>
  <c r="T3182" i="3"/>
  <c r="T3183" i="3"/>
  <c r="T3184" i="3"/>
  <c r="T3185" i="3"/>
  <c r="T3186" i="3"/>
  <c r="T3187" i="3"/>
  <c r="T3188" i="3"/>
  <c r="T3189" i="3"/>
  <c r="T3190" i="3"/>
  <c r="T3191" i="3"/>
  <c r="T3192" i="3"/>
  <c r="T3193" i="3"/>
  <c r="T3194" i="3"/>
  <c r="T3195" i="3"/>
  <c r="T3196" i="3"/>
  <c r="T3197" i="3"/>
  <c r="T3198" i="3"/>
  <c r="T3199" i="3"/>
  <c r="T3200" i="3"/>
  <c r="T3201" i="3"/>
  <c r="T3202" i="3"/>
  <c r="T3203" i="3"/>
  <c r="T3204" i="3"/>
  <c r="T3205" i="3"/>
  <c r="T3206" i="3"/>
  <c r="T3207" i="3"/>
  <c r="T3208" i="3"/>
  <c r="T3209" i="3"/>
  <c r="T3210" i="3"/>
  <c r="T3211" i="3"/>
  <c r="T3212" i="3"/>
  <c r="T3213" i="3"/>
  <c r="T3214" i="3"/>
  <c r="T3215" i="3"/>
  <c r="T3216" i="3"/>
  <c r="T3217" i="3"/>
  <c r="T3218" i="3"/>
  <c r="T3219" i="3"/>
  <c r="T3220" i="3"/>
  <c r="T3221" i="3"/>
  <c r="T3222" i="3"/>
  <c r="T3223" i="3"/>
  <c r="T3224" i="3"/>
  <c r="T3225" i="3"/>
  <c r="T3226" i="3"/>
  <c r="T3227" i="3"/>
  <c r="T3228" i="3"/>
  <c r="T3229" i="3"/>
  <c r="T3230" i="3"/>
  <c r="T3231" i="3"/>
  <c r="T3232" i="3"/>
  <c r="T3233" i="3"/>
  <c r="T3234" i="3"/>
  <c r="T3235" i="3"/>
  <c r="T3236" i="3"/>
  <c r="T3237" i="3"/>
  <c r="T3238" i="3"/>
  <c r="T3239" i="3"/>
  <c r="T3240" i="3"/>
  <c r="T3241" i="3"/>
  <c r="T3242" i="3"/>
  <c r="T3243" i="3"/>
  <c r="T3244" i="3"/>
  <c r="T3245" i="3"/>
  <c r="T3246" i="3"/>
  <c r="T3247" i="3"/>
  <c r="T3248" i="3"/>
  <c r="T3249" i="3"/>
  <c r="T3250" i="3"/>
  <c r="T3251" i="3"/>
  <c r="T3252" i="3"/>
  <c r="T3253" i="3"/>
  <c r="T3254" i="3"/>
  <c r="T3255" i="3"/>
  <c r="T3256" i="3"/>
  <c r="T3257" i="3"/>
  <c r="T3258" i="3"/>
  <c r="T3259" i="3"/>
  <c r="T3260" i="3"/>
  <c r="T3261" i="3"/>
  <c r="T3262" i="3"/>
  <c r="T3263" i="3"/>
  <c r="T3264" i="3"/>
  <c r="T3265" i="3"/>
  <c r="T3266" i="3"/>
  <c r="T3267" i="3"/>
  <c r="T3268" i="3"/>
  <c r="T3269" i="3"/>
  <c r="T3270" i="3"/>
  <c r="T3271" i="3"/>
  <c r="T3272" i="3"/>
  <c r="T3273" i="3"/>
  <c r="T3274" i="3"/>
  <c r="T3275" i="3"/>
  <c r="T3276" i="3"/>
  <c r="T3277" i="3"/>
  <c r="T3278" i="3"/>
  <c r="T3279" i="3"/>
  <c r="T3280" i="3"/>
  <c r="T3281" i="3"/>
  <c r="T3282" i="3"/>
  <c r="T3283" i="3"/>
  <c r="T3284" i="3"/>
  <c r="T3285" i="3"/>
  <c r="T3286" i="3"/>
  <c r="T3287" i="3"/>
  <c r="T3288" i="3"/>
  <c r="T3289" i="3"/>
  <c r="T3290" i="3"/>
  <c r="T3291" i="3"/>
  <c r="T3292" i="3"/>
  <c r="T3293" i="3"/>
  <c r="T3294" i="3"/>
  <c r="T3295" i="3"/>
  <c r="T3296" i="3"/>
  <c r="T3297" i="3"/>
  <c r="T3298" i="3"/>
  <c r="T3299" i="3"/>
  <c r="T3300" i="3"/>
  <c r="T3301" i="3"/>
  <c r="T3302" i="3"/>
  <c r="T3303" i="3"/>
  <c r="T3304" i="3"/>
  <c r="T3305" i="3"/>
  <c r="T3306" i="3"/>
  <c r="T3307" i="3"/>
  <c r="T3308" i="3"/>
  <c r="T3309" i="3"/>
  <c r="T3310" i="3"/>
  <c r="T3311" i="3"/>
  <c r="T3312" i="3"/>
  <c r="T3313" i="3"/>
  <c r="T3314" i="3"/>
  <c r="T3315" i="3"/>
  <c r="T3316" i="3"/>
  <c r="T3317" i="3"/>
  <c r="T3318" i="3"/>
  <c r="T3319" i="3"/>
  <c r="T3320" i="3"/>
  <c r="T3321" i="3"/>
  <c r="T3322" i="3"/>
  <c r="T3323" i="3"/>
  <c r="T3324" i="3"/>
  <c r="T3325" i="3"/>
  <c r="T3326" i="3"/>
  <c r="T3327" i="3"/>
  <c r="T3328" i="3"/>
  <c r="T3329" i="3"/>
  <c r="T3330" i="3"/>
  <c r="T3331" i="3"/>
  <c r="T3332" i="3"/>
  <c r="T3333" i="3"/>
  <c r="T3334" i="3"/>
  <c r="T3335" i="3"/>
  <c r="T3336" i="3"/>
  <c r="T3337" i="3"/>
  <c r="T3338" i="3"/>
  <c r="T3339" i="3"/>
  <c r="T3340" i="3"/>
  <c r="T3341" i="3"/>
  <c r="T3342" i="3"/>
  <c r="T3343" i="3"/>
  <c r="T3344" i="3"/>
  <c r="T3345" i="3"/>
  <c r="T3346" i="3"/>
  <c r="T3347" i="3"/>
  <c r="T3348" i="3"/>
  <c r="T3349" i="3"/>
  <c r="T3350" i="3"/>
  <c r="T3351" i="3"/>
  <c r="T3352" i="3"/>
  <c r="T3353" i="3"/>
  <c r="T3354" i="3"/>
  <c r="T3355" i="3"/>
  <c r="T3356" i="3"/>
  <c r="T3357" i="3"/>
  <c r="T3358" i="3"/>
  <c r="T3359" i="3"/>
  <c r="T3360" i="3"/>
  <c r="T3361" i="3"/>
  <c r="T3362" i="3"/>
  <c r="T3363" i="3"/>
  <c r="T3364" i="3"/>
  <c r="T3365" i="3"/>
  <c r="T3366" i="3"/>
  <c r="T3367" i="3"/>
  <c r="T3368" i="3"/>
  <c r="T3369" i="3"/>
  <c r="T3370" i="3"/>
  <c r="T3371" i="3"/>
  <c r="T3372" i="3"/>
  <c r="T3373" i="3"/>
  <c r="T3374" i="3"/>
  <c r="T3375" i="3"/>
  <c r="T3376" i="3"/>
  <c r="T3377" i="3"/>
  <c r="T3378" i="3"/>
  <c r="T3379" i="3"/>
  <c r="T3380" i="3"/>
  <c r="T3381" i="3"/>
  <c r="T3382" i="3"/>
  <c r="T3383" i="3"/>
  <c r="T3384" i="3"/>
  <c r="T3385" i="3"/>
  <c r="T3386" i="3"/>
  <c r="T3387" i="3"/>
  <c r="T3388" i="3"/>
  <c r="T3389" i="3"/>
  <c r="T3390" i="3"/>
  <c r="T3391" i="3"/>
  <c r="T3392" i="3"/>
  <c r="T3393" i="3"/>
  <c r="T3394" i="3"/>
  <c r="T3395" i="3"/>
  <c r="T3396" i="3"/>
  <c r="T3397" i="3"/>
  <c r="T3398" i="3"/>
  <c r="T3399" i="3"/>
  <c r="T3400" i="3"/>
  <c r="T3401" i="3"/>
  <c r="T3402" i="3"/>
  <c r="T3403" i="3"/>
  <c r="T3404" i="3"/>
  <c r="T3405" i="3"/>
  <c r="T3406" i="3"/>
  <c r="T3407" i="3"/>
  <c r="T3408" i="3"/>
  <c r="T3409" i="3"/>
  <c r="T3410" i="3"/>
  <c r="T3411" i="3"/>
  <c r="T3412" i="3"/>
  <c r="T3413" i="3"/>
  <c r="T3414" i="3"/>
  <c r="T3415" i="3"/>
  <c r="T3416" i="3"/>
  <c r="T3417" i="3"/>
  <c r="T3418" i="3"/>
  <c r="T3419" i="3"/>
  <c r="T3420" i="3"/>
  <c r="T3421" i="3"/>
  <c r="T3422" i="3"/>
  <c r="T3423" i="3"/>
  <c r="T3424" i="3"/>
  <c r="T3425" i="3"/>
  <c r="T3426" i="3"/>
  <c r="T3427" i="3"/>
  <c r="T3428" i="3"/>
  <c r="T3429" i="3"/>
  <c r="T3430" i="3"/>
  <c r="T3431" i="3"/>
  <c r="T3432" i="3"/>
  <c r="T3433" i="3"/>
  <c r="T3434" i="3"/>
  <c r="T3435" i="3"/>
  <c r="T3436" i="3"/>
  <c r="T3437" i="3"/>
  <c r="T3438" i="3"/>
  <c r="T3439" i="3"/>
  <c r="T3440" i="3"/>
  <c r="T3441" i="3"/>
  <c r="T3442" i="3"/>
  <c r="T3443" i="3"/>
  <c r="T3444" i="3"/>
  <c r="T3445" i="3"/>
  <c r="T3446" i="3"/>
  <c r="T3447" i="3"/>
  <c r="T3448" i="3"/>
  <c r="T3449" i="3"/>
  <c r="T3450" i="3"/>
  <c r="T3451" i="3"/>
  <c r="T3452" i="3"/>
  <c r="T3453" i="3"/>
  <c r="T3454" i="3"/>
  <c r="T3455" i="3"/>
  <c r="T3456" i="3"/>
  <c r="T3457" i="3"/>
  <c r="T3458" i="3"/>
  <c r="T3459" i="3"/>
  <c r="T3460" i="3"/>
  <c r="T3461" i="3"/>
  <c r="T3462" i="3"/>
  <c r="T3463" i="3"/>
  <c r="T3464" i="3"/>
  <c r="T3465" i="3"/>
  <c r="T3466" i="3"/>
  <c r="T3467" i="3"/>
  <c r="T3468" i="3"/>
  <c r="T3469" i="3"/>
  <c r="T3470" i="3"/>
  <c r="T3471" i="3"/>
  <c r="T3472" i="3"/>
  <c r="T3473" i="3"/>
  <c r="T3474" i="3"/>
  <c r="T3475" i="3"/>
  <c r="T3476" i="3"/>
  <c r="T3477" i="3"/>
  <c r="T3478" i="3"/>
  <c r="T3479" i="3"/>
  <c r="T3480" i="3"/>
  <c r="T3481" i="3"/>
  <c r="T3482" i="3"/>
  <c r="T3483" i="3"/>
  <c r="T3484" i="3"/>
  <c r="T3485" i="3"/>
  <c r="T3486" i="3"/>
  <c r="T3487" i="3"/>
  <c r="T3488" i="3"/>
  <c r="T3489" i="3"/>
  <c r="T3490" i="3"/>
  <c r="T3491" i="3"/>
  <c r="T3492" i="3"/>
  <c r="T3493" i="3"/>
  <c r="T3494" i="3"/>
  <c r="T3495" i="3"/>
  <c r="T3496" i="3"/>
  <c r="T3497" i="3"/>
  <c r="T3498" i="3"/>
  <c r="T3499" i="3"/>
  <c r="T3500" i="3"/>
  <c r="T3501" i="3"/>
  <c r="T3502" i="3"/>
  <c r="T3503" i="3"/>
  <c r="T3504" i="3"/>
  <c r="T3505" i="3"/>
  <c r="T3506" i="3"/>
  <c r="T3507" i="3"/>
  <c r="T3508" i="3"/>
  <c r="T3509" i="3"/>
  <c r="T3510" i="3"/>
  <c r="T3511" i="3"/>
  <c r="T3512" i="3"/>
  <c r="T3513" i="3"/>
  <c r="T3514" i="3"/>
  <c r="T3515" i="3"/>
  <c r="T3516" i="3"/>
  <c r="T3517" i="3"/>
  <c r="T3518" i="3"/>
  <c r="T3519" i="3"/>
  <c r="T3520" i="3"/>
  <c r="T3521" i="3"/>
  <c r="T3522" i="3"/>
  <c r="T3523" i="3"/>
  <c r="T3524" i="3"/>
  <c r="T3525" i="3"/>
  <c r="T3526" i="3"/>
  <c r="T3527" i="3"/>
  <c r="T3528" i="3"/>
  <c r="T3529" i="3"/>
  <c r="T3530" i="3"/>
  <c r="T3531" i="3"/>
  <c r="T3532" i="3"/>
  <c r="T3533" i="3"/>
  <c r="T3534" i="3"/>
  <c r="T3535" i="3"/>
  <c r="T3536" i="3"/>
  <c r="T3537" i="3"/>
  <c r="T3538" i="3"/>
  <c r="T3539" i="3"/>
  <c r="T3540" i="3"/>
  <c r="T3541" i="3"/>
  <c r="T3542" i="3"/>
  <c r="T3543" i="3"/>
  <c r="T3544" i="3"/>
  <c r="T3545" i="3"/>
  <c r="T3546" i="3"/>
  <c r="T3547" i="3"/>
  <c r="T3548" i="3"/>
  <c r="T3549" i="3"/>
  <c r="T3550" i="3"/>
  <c r="T3551" i="3"/>
  <c r="T3552" i="3"/>
  <c r="T3553" i="3"/>
  <c r="T3554" i="3"/>
  <c r="T3555" i="3"/>
  <c r="T3556" i="3"/>
  <c r="T3557" i="3"/>
  <c r="T3558" i="3"/>
  <c r="T3559" i="3"/>
  <c r="T3560" i="3"/>
  <c r="T3561" i="3"/>
  <c r="T3562" i="3"/>
  <c r="T3563" i="3"/>
  <c r="T3564" i="3"/>
  <c r="T3565" i="3"/>
  <c r="T3566" i="3"/>
  <c r="T3567" i="3"/>
  <c r="T3568" i="3"/>
  <c r="T3569" i="3"/>
  <c r="T3570" i="3"/>
  <c r="T3571" i="3"/>
  <c r="T3572" i="3"/>
  <c r="T3573" i="3"/>
  <c r="T3574" i="3"/>
  <c r="T3575" i="3"/>
  <c r="T3576" i="3"/>
  <c r="T3577" i="3"/>
  <c r="T3578" i="3"/>
  <c r="T3579" i="3"/>
  <c r="T3580" i="3"/>
  <c r="T3581" i="3"/>
  <c r="T3582" i="3"/>
  <c r="T3583" i="3"/>
  <c r="T3584" i="3"/>
  <c r="T3585" i="3"/>
  <c r="T3586" i="3"/>
  <c r="T3587" i="3"/>
  <c r="T3588" i="3"/>
  <c r="T3589" i="3"/>
  <c r="T3590" i="3"/>
  <c r="T3591" i="3"/>
  <c r="T3592" i="3"/>
  <c r="T3593" i="3"/>
  <c r="T3594" i="3"/>
  <c r="T3595" i="3"/>
  <c r="T3596" i="3"/>
  <c r="T3597" i="3"/>
  <c r="T3598" i="3"/>
  <c r="T3599" i="3"/>
  <c r="T3600" i="3"/>
  <c r="T3601" i="3"/>
  <c r="T3602" i="3"/>
  <c r="T3603" i="3"/>
  <c r="T3604" i="3"/>
  <c r="T3605" i="3"/>
  <c r="T3606" i="3"/>
  <c r="T3607" i="3"/>
  <c r="T3608" i="3"/>
  <c r="T3609" i="3"/>
  <c r="T3610" i="3"/>
  <c r="T3611" i="3"/>
  <c r="T3612" i="3"/>
  <c r="T3613" i="3"/>
  <c r="T3614" i="3"/>
  <c r="T3615" i="3"/>
  <c r="T3616" i="3"/>
  <c r="T3617" i="3"/>
  <c r="T3618" i="3"/>
  <c r="T3619" i="3"/>
  <c r="T3620" i="3"/>
  <c r="T3621" i="3"/>
  <c r="T3622" i="3"/>
  <c r="T3623" i="3"/>
  <c r="T3624" i="3"/>
  <c r="T3625" i="3"/>
  <c r="T3626" i="3"/>
  <c r="T3627" i="3"/>
  <c r="T3628" i="3"/>
  <c r="T3629" i="3"/>
  <c r="T3630" i="3"/>
  <c r="T3631" i="3"/>
  <c r="T3632" i="3"/>
  <c r="T3633" i="3"/>
  <c r="T3634" i="3"/>
  <c r="T3635" i="3"/>
  <c r="T3636" i="3"/>
  <c r="T3637" i="3"/>
  <c r="T3638" i="3"/>
  <c r="T3639" i="3"/>
  <c r="T3640" i="3"/>
  <c r="T3641" i="3"/>
  <c r="T3642" i="3"/>
  <c r="T3643" i="3"/>
  <c r="T3644" i="3"/>
  <c r="T3645" i="3"/>
  <c r="T3646" i="3"/>
  <c r="T3647" i="3"/>
  <c r="T3648" i="3"/>
  <c r="T3649" i="3"/>
  <c r="T3650" i="3"/>
  <c r="T3651" i="3"/>
  <c r="T3652" i="3"/>
  <c r="T3653" i="3"/>
  <c r="T3654" i="3"/>
  <c r="T3655" i="3"/>
  <c r="T3656" i="3"/>
  <c r="T3657" i="3"/>
  <c r="T3658" i="3"/>
  <c r="T3659" i="3"/>
  <c r="T3660" i="3"/>
  <c r="T3661" i="3"/>
  <c r="T3662" i="3"/>
  <c r="T3663" i="3"/>
  <c r="T3664" i="3"/>
  <c r="T3665" i="3"/>
  <c r="T3666" i="3"/>
  <c r="T3667" i="3"/>
  <c r="T3668" i="3"/>
  <c r="T3669" i="3"/>
  <c r="T3670" i="3"/>
  <c r="T3671" i="3"/>
  <c r="T3672" i="3"/>
  <c r="T3673" i="3"/>
  <c r="T3674" i="3"/>
  <c r="T3675" i="3"/>
  <c r="T3676" i="3"/>
  <c r="T3677" i="3"/>
  <c r="T3678" i="3"/>
  <c r="T3679" i="3"/>
  <c r="T3680" i="3"/>
  <c r="T3681" i="3"/>
  <c r="T3682" i="3"/>
  <c r="T3683" i="3"/>
  <c r="T3684" i="3"/>
  <c r="T3685" i="3"/>
  <c r="T3686" i="3"/>
  <c r="T3687" i="3"/>
  <c r="T3688" i="3"/>
  <c r="T3689" i="3"/>
  <c r="T3690" i="3"/>
  <c r="T3691" i="3"/>
  <c r="T3692" i="3"/>
  <c r="T3693" i="3"/>
  <c r="T3694" i="3"/>
  <c r="T3695" i="3"/>
  <c r="T3696" i="3"/>
  <c r="T3697" i="3"/>
  <c r="T3698" i="3"/>
  <c r="T3699" i="3"/>
  <c r="T3700" i="3"/>
  <c r="T3701" i="3"/>
  <c r="T3702" i="3"/>
  <c r="T3703" i="3"/>
  <c r="T3704" i="3"/>
  <c r="T3705" i="3"/>
  <c r="T3706" i="3"/>
  <c r="T3707" i="3"/>
  <c r="T3708" i="3"/>
  <c r="T3709" i="3"/>
  <c r="T3710" i="3"/>
  <c r="T3711" i="3"/>
  <c r="T3712" i="3"/>
  <c r="T3713" i="3"/>
  <c r="T3714" i="3"/>
  <c r="T3715" i="3"/>
  <c r="T3716" i="3"/>
  <c r="T3717" i="3"/>
  <c r="T3718" i="3"/>
  <c r="T3719" i="3"/>
  <c r="T3720" i="3"/>
  <c r="T3721" i="3"/>
  <c r="T3722" i="3"/>
  <c r="T3723" i="3"/>
  <c r="T3724" i="3"/>
  <c r="T3725" i="3"/>
  <c r="T3726" i="3"/>
  <c r="T3727" i="3"/>
  <c r="T3728" i="3"/>
  <c r="T3729" i="3"/>
  <c r="T3730" i="3"/>
  <c r="T3731" i="3"/>
  <c r="T3732" i="3"/>
  <c r="T3733" i="3"/>
  <c r="T3734" i="3"/>
  <c r="T3735" i="3"/>
  <c r="T3736" i="3"/>
  <c r="T3737" i="3"/>
  <c r="T3738" i="3"/>
  <c r="T3739" i="3"/>
  <c r="T3740" i="3"/>
  <c r="T3741" i="3"/>
  <c r="T3742" i="3"/>
  <c r="T3743" i="3"/>
  <c r="T3744" i="3"/>
  <c r="T3745" i="3"/>
  <c r="T3746" i="3"/>
  <c r="T3747" i="3"/>
  <c r="T3748" i="3"/>
  <c r="T3749" i="3"/>
  <c r="T3750" i="3"/>
  <c r="T3751" i="3"/>
  <c r="T3752" i="3"/>
  <c r="T3753" i="3"/>
  <c r="T3754" i="3"/>
  <c r="T3755" i="3"/>
  <c r="T3756" i="3"/>
  <c r="T3757" i="3"/>
  <c r="T3758" i="3"/>
  <c r="T3759" i="3"/>
  <c r="T3760" i="3"/>
  <c r="T3761" i="3"/>
  <c r="T3762" i="3"/>
  <c r="T3763" i="3"/>
  <c r="T3764" i="3"/>
  <c r="T3765" i="3"/>
  <c r="T3766" i="3"/>
  <c r="T3767" i="3"/>
  <c r="T3768" i="3"/>
  <c r="T3769" i="3"/>
  <c r="T3770" i="3"/>
  <c r="T3771" i="3"/>
  <c r="T3772" i="3"/>
  <c r="T3773" i="3"/>
  <c r="T3774" i="3"/>
  <c r="T3775" i="3"/>
  <c r="T3776" i="3"/>
  <c r="T3777" i="3"/>
  <c r="T3778" i="3"/>
  <c r="T3779" i="3"/>
  <c r="T3780" i="3"/>
  <c r="T3781" i="3"/>
  <c r="T3782" i="3"/>
  <c r="T3783" i="3"/>
  <c r="T3784" i="3"/>
  <c r="T3785" i="3"/>
  <c r="T3786" i="3"/>
  <c r="T3787" i="3"/>
  <c r="T3788" i="3"/>
  <c r="T3789" i="3"/>
  <c r="T3790" i="3"/>
  <c r="T3791" i="3"/>
  <c r="T3792" i="3"/>
  <c r="T3793" i="3"/>
  <c r="T3794" i="3"/>
  <c r="T3795" i="3"/>
  <c r="T3796" i="3"/>
  <c r="T3797" i="3"/>
  <c r="T3798" i="3"/>
  <c r="T3799" i="3"/>
  <c r="T3800" i="3"/>
  <c r="T3801" i="3"/>
  <c r="T3802" i="3"/>
  <c r="T3803" i="3"/>
  <c r="T3804" i="3"/>
  <c r="T3805" i="3"/>
  <c r="T3806" i="3"/>
  <c r="T3807" i="3"/>
  <c r="T3808" i="3"/>
  <c r="T3809" i="3"/>
  <c r="T3810" i="3"/>
  <c r="T3811" i="3"/>
  <c r="T3812" i="3"/>
  <c r="T3813" i="3"/>
  <c r="T3814" i="3"/>
  <c r="T3815" i="3"/>
  <c r="T3816" i="3"/>
  <c r="T3817" i="3"/>
  <c r="T3818" i="3"/>
  <c r="T3819" i="3"/>
  <c r="T3820" i="3"/>
  <c r="T3821" i="3"/>
  <c r="T3822" i="3"/>
  <c r="T3823" i="3"/>
  <c r="T3824" i="3"/>
  <c r="T3825" i="3"/>
  <c r="T3826" i="3"/>
  <c r="T3827" i="3"/>
  <c r="T3828" i="3"/>
  <c r="T3829" i="3"/>
  <c r="T3830" i="3"/>
  <c r="T3831" i="3"/>
  <c r="T3832" i="3"/>
  <c r="T3833" i="3"/>
  <c r="T3834" i="3"/>
  <c r="T3835" i="3"/>
  <c r="T3836" i="3"/>
  <c r="T3837" i="3"/>
  <c r="T3838" i="3"/>
  <c r="T3839" i="3"/>
  <c r="T3840" i="3"/>
  <c r="T3841" i="3"/>
  <c r="T3842" i="3"/>
  <c r="T3843" i="3"/>
  <c r="T3844" i="3"/>
  <c r="T3845" i="3"/>
  <c r="T3846" i="3"/>
  <c r="T3847" i="3"/>
  <c r="T3848" i="3"/>
  <c r="T3849" i="3"/>
  <c r="T3850" i="3"/>
  <c r="T3851" i="3"/>
  <c r="T3852" i="3"/>
  <c r="T3853" i="3"/>
  <c r="T3854" i="3"/>
  <c r="T3855" i="3"/>
  <c r="T3856" i="3"/>
  <c r="T3857" i="3"/>
  <c r="T3858" i="3"/>
  <c r="T3859" i="3"/>
  <c r="T3860" i="3"/>
  <c r="T3861" i="3"/>
  <c r="T3862" i="3"/>
  <c r="T3863" i="3"/>
  <c r="T3864" i="3"/>
  <c r="T3865" i="3"/>
  <c r="T3866" i="3"/>
  <c r="T3867" i="3"/>
  <c r="T3868" i="3"/>
  <c r="T3869" i="3"/>
  <c r="T3870" i="3"/>
  <c r="T3871" i="3"/>
  <c r="T3872" i="3"/>
  <c r="T3873" i="3"/>
  <c r="T3874" i="3"/>
  <c r="T3875" i="3"/>
  <c r="T3876" i="3"/>
  <c r="T3877" i="3"/>
  <c r="T3878" i="3"/>
  <c r="T3879" i="3"/>
  <c r="T3880" i="3"/>
  <c r="T3881" i="3"/>
  <c r="T3882" i="3"/>
  <c r="T3883" i="3"/>
  <c r="T3884" i="3"/>
  <c r="T3885" i="3"/>
  <c r="T3886" i="3"/>
  <c r="T3887" i="3"/>
  <c r="T3888" i="3"/>
  <c r="T3889" i="3"/>
  <c r="T3890" i="3"/>
  <c r="T3891" i="3"/>
  <c r="T3892" i="3"/>
  <c r="T3893" i="3"/>
  <c r="T3894" i="3"/>
  <c r="T3895" i="3"/>
  <c r="T3896" i="3"/>
  <c r="T3897" i="3"/>
  <c r="T3898" i="3"/>
  <c r="T3899" i="3"/>
  <c r="T3900" i="3"/>
  <c r="T3901" i="3"/>
  <c r="T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2576" i="3"/>
  <c r="U2577" i="3"/>
  <c r="U2578" i="3"/>
  <c r="U2579" i="3"/>
  <c r="U2580" i="3"/>
  <c r="U2581" i="3"/>
  <c r="U2582" i="3"/>
  <c r="U2583" i="3"/>
  <c r="U2584" i="3"/>
  <c r="U2585" i="3"/>
  <c r="U2586" i="3"/>
  <c r="U2587" i="3"/>
  <c r="U2588" i="3"/>
  <c r="U2589" i="3"/>
  <c r="U2590" i="3"/>
  <c r="U2591" i="3"/>
  <c r="U2592" i="3"/>
  <c r="U2593" i="3"/>
  <c r="U2594" i="3"/>
  <c r="U2595" i="3"/>
  <c r="U2596" i="3"/>
  <c r="U2597" i="3"/>
  <c r="U2598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U2619" i="3"/>
  <c r="U2620" i="3"/>
  <c r="U2621" i="3"/>
  <c r="U2622" i="3"/>
  <c r="U2623" i="3"/>
  <c r="U2624" i="3"/>
  <c r="U2625" i="3"/>
  <c r="U2626" i="3"/>
  <c r="U2627" i="3"/>
  <c r="U2628" i="3"/>
  <c r="U2629" i="3"/>
  <c r="U2630" i="3"/>
  <c r="U2631" i="3"/>
  <c r="U2632" i="3"/>
  <c r="U2633" i="3"/>
  <c r="U2634" i="3"/>
  <c r="U2635" i="3"/>
  <c r="U2636" i="3"/>
  <c r="U2637" i="3"/>
  <c r="U2638" i="3"/>
  <c r="U2639" i="3"/>
  <c r="U2640" i="3"/>
  <c r="U2641" i="3"/>
  <c r="U2642" i="3"/>
  <c r="U2643" i="3"/>
  <c r="U2644" i="3"/>
  <c r="U2645" i="3"/>
  <c r="U2646" i="3"/>
  <c r="U2647" i="3"/>
  <c r="U2648" i="3"/>
  <c r="U2649" i="3"/>
  <c r="U2650" i="3"/>
  <c r="U2651" i="3"/>
  <c r="U2652" i="3"/>
  <c r="U2653" i="3"/>
  <c r="U2654" i="3"/>
  <c r="U2655" i="3"/>
  <c r="U2656" i="3"/>
  <c r="U2657" i="3"/>
  <c r="U2658" i="3"/>
  <c r="U2659" i="3"/>
  <c r="U2660" i="3"/>
  <c r="U2661" i="3"/>
  <c r="U2662" i="3"/>
  <c r="U2663" i="3"/>
  <c r="U2664" i="3"/>
  <c r="U2665" i="3"/>
  <c r="U2666" i="3"/>
  <c r="U2667" i="3"/>
  <c r="U2668" i="3"/>
  <c r="U2669" i="3"/>
  <c r="U2670" i="3"/>
  <c r="U2671" i="3"/>
  <c r="U2672" i="3"/>
  <c r="U2673" i="3"/>
  <c r="U2674" i="3"/>
  <c r="U2675" i="3"/>
  <c r="U2676" i="3"/>
  <c r="U2677" i="3"/>
  <c r="U2678" i="3"/>
  <c r="U2679" i="3"/>
  <c r="U2680" i="3"/>
  <c r="U2681" i="3"/>
  <c r="U2682" i="3"/>
  <c r="U2683" i="3"/>
  <c r="U2684" i="3"/>
  <c r="U2685" i="3"/>
  <c r="U2686" i="3"/>
  <c r="U2687" i="3"/>
  <c r="U2688" i="3"/>
  <c r="U2689" i="3"/>
  <c r="U2690" i="3"/>
  <c r="U2691" i="3"/>
  <c r="U2692" i="3"/>
  <c r="U2693" i="3"/>
  <c r="U2694" i="3"/>
  <c r="U2695" i="3"/>
  <c r="U2696" i="3"/>
  <c r="U2697" i="3"/>
  <c r="U2698" i="3"/>
  <c r="U2699" i="3"/>
  <c r="U2700" i="3"/>
  <c r="U2701" i="3"/>
  <c r="U2702" i="3"/>
  <c r="U2703" i="3"/>
  <c r="U2704" i="3"/>
  <c r="U2705" i="3"/>
  <c r="U2706" i="3"/>
  <c r="U2707" i="3"/>
  <c r="U2708" i="3"/>
  <c r="U2709" i="3"/>
  <c r="U2710" i="3"/>
  <c r="U2711" i="3"/>
  <c r="U2712" i="3"/>
  <c r="U2713" i="3"/>
  <c r="U2714" i="3"/>
  <c r="U2715" i="3"/>
  <c r="U2716" i="3"/>
  <c r="U2717" i="3"/>
  <c r="U2718" i="3"/>
  <c r="U2719" i="3"/>
  <c r="U2720" i="3"/>
  <c r="U2721" i="3"/>
  <c r="U2722" i="3"/>
  <c r="U2723" i="3"/>
  <c r="U2724" i="3"/>
  <c r="U2725" i="3"/>
  <c r="U2726" i="3"/>
  <c r="U2727" i="3"/>
  <c r="U2728" i="3"/>
  <c r="U2729" i="3"/>
  <c r="U2730" i="3"/>
  <c r="U2731" i="3"/>
  <c r="U2732" i="3"/>
  <c r="U2733" i="3"/>
  <c r="U2734" i="3"/>
  <c r="U2735" i="3"/>
  <c r="U2736" i="3"/>
  <c r="U2737" i="3"/>
  <c r="U2738" i="3"/>
  <c r="U2739" i="3"/>
  <c r="U2740" i="3"/>
  <c r="U2741" i="3"/>
  <c r="U2742" i="3"/>
  <c r="U2743" i="3"/>
  <c r="U2744" i="3"/>
  <c r="U2745" i="3"/>
  <c r="U2746" i="3"/>
  <c r="U2747" i="3"/>
  <c r="U2748" i="3"/>
  <c r="U2749" i="3"/>
  <c r="U2750" i="3"/>
  <c r="U2751" i="3"/>
  <c r="U2752" i="3"/>
  <c r="U2753" i="3"/>
  <c r="U2754" i="3"/>
  <c r="U2755" i="3"/>
  <c r="U2756" i="3"/>
  <c r="U2757" i="3"/>
  <c r="U2758" i="3"/>
  <c r="U2759" i="3"/>
  <c r="U2760" i="3"/>
  <c r="U2761" i="3"/>
  <c r="U2762" i="3"/>
  <c r="U2763" i="3"/>
  <c r="U2764" i="3"/>
  <c r="U2765" i="3"/>
  <c r="U2766" i="3"/>
  <c r="U2767" i="3"/>
  <c r="U2768" i="3"/>
  <c r="U2769" i="3"/>
  <c r="U2770" i="3"/>
  <c r="U2771" i="3"/>
  <c r="U2772" i="3"/>
  <c r="U2773" i="3"/>
  <c r="U2774" i="3"/>
  <c r="U2775" i="3"/>
  <c r="U2776" i="3"/>
  <c r="U2777" i="3"/>
  <c r="U2778" i="3"/>
  <c r="U2779" i="3"/>
  <c r="U2780" i="3"/>
  <c r="U2781" i="3"/>
  <c r="U2782" i="3"/>
  <c r="U2783" i="3"/>
  <c r="U2784" i="3"/>
  <c r="U2785" i="3"/>
  <c r="U2786" i="3"/>
  <c r="U2787" i="3"/>
  <c r="U2788" i="3"/>
  <c r="U2789" i="3"/>
  <c r="U2790" i="3"/>
  <c r="U2791" i="3"/>
  <c r="U2792" i="3"/>
  <c r="U2793" i="3"/>
  <c r="U2794" i="3"/>
  <c r="U2795" i="3"/>
  <c r="U2796" i="3"/>
  <c r="U2797" i="3"/>
  <c r="U2798" i="3"/>
  <c r="U2799" i="3"/>
  <c r="U2800" i="3"/>
  <c r="U2801" i="3"/>
  <c r="U2802" i="3"/>
  <c r="U2803" i="3"/>
  <c r="U2804" i="3"/>
  <c r="U2805" i="3"/>
  <c r="U2806" i="3"/>
  <c r="U2807" i="3"/>
  <c r="U2808" i="3"/>
  <c r="U2809" i="3"/>
  <c r="U2810" i="3"/>
  <c r="U2811" i="3"/>
  <c r="U2812" i="3"/>
  <c r="U2813" i="3"/>
  <c r="U2814" i="3"/>
  <c r="U2815" i="3"/>
  <c r="U2816" i="3"/>
  <c r="U2817" i="3"/>
  <c r="U2818" i="3"/>
  <c r="U2819" i="3"/>
  <c r="U2820" i="3"/>
  <c r="U2821" i="3"/>
  <c r="U2822" i="3"/>
  <c r="U2823" i="3"/>
  <c r="U2824" i="3"/>
  <c r="U2825" i="3"/>
  <c r="U2826" i="3"/>
  <c r="U2827" i="3"/>
  <c r="U2828" i="3"/>
  <c r="U2829" i="3"/>
  <c r="U2830" i="3"/>
  <c r="U2831" i="3"/>
  <c r="U2832" i="3"/>
  <c r="U2833" i="3"/>
  <c r="U2834" i="3"/>
  <c r="U2835" i="3"/>
  <c r="U2836" i="3"/>
  <c r="U2837" i="3"/>
  <c r="U2838" i="3"/>
  <c r="U2839" i="3"/>
  <c r="U2840" i="3"/>
  <c r="U2841" i="3"/>
  <c r="U2842" i="3"/>
  <c r="U2843" i="3"/>
  <c r="U2844" i="3"/>
  <c r="U2845" i="3"/>
  <c r="U2846" i="3"/>
  <c r="U2847" i="3"/>
  <c r="U2848" i="3"/>
  <c r="U2849" i="3"/>
  <c r="U2850" i="3"/>
  <c r="U2851" i="3"/>
  <c r="U2852" i="3"/>
  <c r="U2853" i="3"/>
  <c r="U2854" i="3"/>
  <c r="U2855" i="3"/>
  <c r="U2856" i="3"/>
  <c r="U2857" i="3"/>
  <c r="U2858" i="3"/>
  <c r="U2859" i="3"/>
  <c r="U2860" i="3"/>
  <c r="U2861" i="3"/>
  <c r="U2862" i="3"/>
  <c r="U2863" i="3"/>
  <c r="U2864" i="3"/>
  <c r="U2865" i="3"/>
  <c r="U2866" i="3"/>
  <c r="U2867" i="3"/>
  <c r="U2868" i="3"/>
  <c r="U2869" i="3"/>
  <c r="U2870" i="3"/>
  <c r="U2871" i="3"/>
  <c r="U2872" i="3"/>
  <c r="U2873" i="3"/>
  <c r="U2874" i="3"/>
  <c r="U2875" i="3"/>
  <c r="U2876" i="3"/>
  <c r="U2877" i="3"/>
  <c r="U2878" i="3"/>
  <c r="U2879" i="3"/>
  <c r="U2880" i="3"/>
  <c r="U2881" i="3"/>
  <c r="U2882" i="3"/>
  <c r="U2883" i="3"/>
  <c r="U2884" i="3"/>
  <c r="U2885" i="3"/>
  <c r="U2886" i="3"/>
  <c r="U2887" i="3"/>
  <c r="U2888" i="3"/>
  <c r="U2889" i="3"/>
  <c r="U2890" i="3"/>
  <c r="U2891" i="3"/>
  <c r="U2892" i="3"/>
  <c r="U2893" i="3"/>
  <c r="U2894" i="3"/>
  <c r="U2895" i="3"/>
  <c r="U2896" i="3"/>
  <c r="U2897" i="3"/>
  <c r="U2898" i="3"/>
  <c r="U2899" i="3"/>
  <c r="U2900" i="3"/>
  <c r="U2901" i="3"/>
  <c r="U2902" i="3"/>
  <c r="U2903" i="3"/>
  <c r="U2904" i="3"/>
  <c r="U2905" i="3"/>
  <c r="U2906" i="3"/>
  <c r="U2907" i="3"/>
  <c r="U2908" i="3"/>
  <c r="U2909" i="3"/>
  <c r="U2910" i="3"/>
  <c r="U2911" i="3"/>
  <c r="U2912" i="3"/>
  <c r="U2913" i="3"/>
  <c r="U2914" i="3"/>
  <c r="U2915" i="3"/>
  <c r="U2916" i="3"/>
  <c r="U2917" i="3"/>
  <c r="U2918" i="3"/>
  <c r="U2919" i="3"/>
  <c r="U2920" i="3"/>
  <c r="U2921" i="3"/>
  <c r="U2922" i="3"/>
  <c r="U2923" i="3"/>
  <c r="U2924" i="3"/>
  <c r="U2925" i="3"/>
  <c r="U2926" i="3"/>
  <c r="U2927" i="3"/>
  <c r="U2928" i="3"/>
  <c r="U2929" i="3"/>
  <c r="U2930" i="3"/>
  <c r="U2931" i="3"/>
  <c r="U2932" i="3"/>
  <c r="U2933" i="3"/>
  <c r="U2934" i="3"/>
  <c r="U2935" i="3"/>
  <c r="U2936" i="3"/>
  <c r="U2937" i="3"/>
  <c r="U2938" i="3"/>
  <c r="U2939" i="3"/>
  <c r="U2940" i="3"/>
  <c r="U2941" i="3"/>
  <c r="U2942" i="3"/>
  <c r="U2943" i="3"/>
  <c r="U2944" i="3"/>
  <c r="U2945" i="3"/>
  <c r="U2946" i="3"/>
  <c r="U2947" i="3"/>
  <c r="U2948" i="3"/>
  <c r="U2949" i="3"/>
  <c r="U2950" i="3"/>
  <c r="U2951" i="3"/>
  <c r="U2952" i="3"/>
  <c r="U2953" i="3"/>
  <c r="U2954" i="3"/>
  <c r="U2955" i="3"/>
  <c r="U2956" i="3"/>
  <c r="U2957" i="3"/>
  <c r="U2958" i="3"/>
  <c r="U2959" i="3"/>
  <c r="U2960" i="3"/>
  <c r="U2961" i="3"/>
  <c r="U2962" i="3"/>
  <c r="U2963" i="3"/>
  <c r="U2964" i="3"/>
  <c r="U2965" i="3"/>
  <c r="U2966" i="3"/>
  <c r="U2967" i="3"/>
  <c r="U2968" i="3"/>
  <c r="U2969" i="3"/>
  <c r="U2970" i="3"/>
  <c r="U2971" i="3"/>
  <c r="U2972" i="3"/>
  <c r="U2973" i="3"/>
  <c r="U2974" i="3"/>
  <c r="U2975" i="3"/>
  <c r="U2976" i="3"/>
  <c r="U2977" i="3"/>
  <c r="U2978" i="3"/>
  <c r="U2979" i="3"/>
  <c r="U2980" i="3"/>
  <c r="U2981" i="3"/>
  <c r="U2982" i="3"/>
  <c r="U2983" i="3"/>
  <c r="U2984" i="3"/>
  <c r="U2985" i="3"/>
  <c r="U2986" i="3"/>
  <c r="U2987" i="3"/>
  <c r="U2988" i="3"/>
  <c r="U2989" i="3"/>
  <c r="U2990" i="3"/>
  <c r="U2991" i="3"/>
  <c r="U2992" i="3"/>
  <c r="U2993" i="3"/>
  <c r="U2994" i="3"/>
  <c r="U2995" i="3"/>
  <c r="U2996" i="3"/>
  <c r="U2997" i="3"/>
  <c r="U2998" i="3"/>
  <c r="U2999" i="3"/>
  <c r="U3000" i="3"/>
  <c r="U3001" i="3"/>
  <c r="U3002" i="3"/>
  <c r="U3003" i="3"/>
  <c r="U3004" i="3"/>
  <c r="U3005" i="3"/>
  <c r="U3006" i="3"/>
  <c r="U3007" i="3"/>
  <c r="U3008" i="3"/>
  <c r="U3009" i="3"/>
  <c r="U3010" i="3"/>
  <c r="U3011" i="3"/>
  <c r="U3012" i="3"/>
  <c r="U3013" i="3"/>
  <c r="U3014" i="3"/>
  <c r="U3015" i="3"/>
  <c r="U3016" i="3"/>
  <c r="U3017" i="3"/>
  <c r="U3018" i="3"/>
  <c r="U3019" i="3"/>
  <c r="U3020" i="3"/>
  <c r="U3021" i="3"/>
  <c r="U3022" i="3"/>
  <c r="U3023" i="3"/>
  <c r="U3024" i="3"/>
  <c r="U3025" i="3"/>
  <c r="U3026" i="3"/>
  <c r="U3027" i="3"/>
  <c r="U3028" i="3"/>
  <c r="U3029" i="3"/>
  <c r="U3030" i="3"/>
  <c r="U3031" i="3"/>
  <c r="U3032" i="3"/>
  <c r="U3033" i="3"/>
  <c r="U3034" i="3"/>
  <c r="U3035" i="3"/>
  <c r="U3036" i="3"/>
  <c r="U3037" i="3"/>
  <c r="U3038" i="3"/>
  <c r="U3039" i="3"/>
  <c r="U3040" i="3"/>
  <c r="U3041" i="3"/>
  <c r="U3042" i="3"/>
  <c r="U3043" i="3"/>
  <c r="U3044" i="3"/>
  <c r="U3045" i="3"/>
  <c r="U3046" i="3"/>
  <c r="U3047" i="3"/>
  <c r="U3048" i="3"/>
  <c r="U3049" i="3"/>
  <c r="U3050" i="3"/>
  <c r="U3051" i="3"/>
  <c r="U3052" i="3"/>
  <c r="U3053" i="3"/>
  <c r="U3054" i="3"/>
  <c r="U3055" i="3"/>
  <c r="U3056" i="3"/>
  <c r="U3057" i="3"/>
  <c r="U3058" i="3"/>
  <c r="U3059" i="3"/>
  <c r="U3060" i="3"/>
  <c r="U3061" i="3"/>
  <c r="U3062" i="3"/>
  <c r="U3063" i="3"/>
  <c r="U3064" i="3"/>
  <c r="U3065" i="3"/>
  <c r="U3066" i="3"/>
  <c r="U3067" i="3"/>
  <c r="U3068" i="3"/>
  <c r="U3069" i="3"/>
  <c r="U3070" i="3"/>
  <c r="U3071" i="3"/>
  <c r="U3072" i="3"/>
  <c r="U3073" i="3"/>
  <c r="U3074" i="3"/>
  <c r="U3075" i="3"/>
  <c r="U3076" i="3"/>
  <c r="U3077" i="3"/>
  <c r="U3078" i="3"/>
  <c r="U3079" i="3"/>
  <c r="U3080" i="3"/>
  <c r="U3081" i="3"/>
  <c r="U3082" i="3"/>
  <c r="U3083" i="3"/>
  <c r="U3084" i="3"/>
  <c r="U3085" i="3"/>
  <c r="U3086" i="3"/>
  <c r="U3087" i="3"/>
  <c r="U3088" i="3"/>
  <c r="U3089" i="3"/>
  <c r="U3090" i="3"/>
  <c r="U3091" i="3"/>
  <c r="U3092" i="3"/>
  <c r="U3093" i="3"/>
  <c r="U3094" i="3"/>
  <c r="U3095" i="3"/>
  <c r="U3096" i="3"/>
  <c r="U3097" i="3"/>
  <c r="U3098" i="3"/>
  <c r="U3099" i="3"/>
  <c r="U3100" i="3"/>
  <c r="U3101" i="3"/>
  <c r="U3102" i="3"/>
  <c r="U3103" i="3"/>
  <c r="U3104" i="3"/>
  <c r="U3105" i="3"/>
  <c r="U3106" i="3"/>
  <c r="U3107" i="3"/>
  <c r="U3108" i="3"/>
  <c r="U3109" i="3"/>
  <c r="U3110" i="3"/>
  <c r="U3111" i="3"/>
  <c r="U3112" i="3"/>
  <c r="U3113" i="3"/>
  <c r="U3114" i="3"/>
  <c r="U3115" i="3"/>
  <c r="U3116" i="3"/>
  <c r="U3117" i="3"/>
  <c r="U3118" i="3"/>
  <c r="U3119" i="3"/>
  <c r="U3120" i="3"/>
  <c r="U3121" i="3"/>
  <c r="U3122" i="3"/>
  <c r="U3123" i="3"/>
  <c r="U3124" i="3"/>
  <c r="U3125" i="3"/>
  <c r="U3126" i="3"/>
  <c r="U3127" i="3"/>
  <c r="U3128" i="3"/>
  <c r="U3129" i="3"/>
  <c r="U3130" i="3"/>
  <c r="U3131" i="3"/>
  <c r="U3132" i="3"/>
  <c r="U3133" i="3"/>
  <c r="U3134" i="3"/>
  <c r="U3135" i="3"/>
  <c r="U3136" i="3"/>
  <c r="U3137" i="3"/>
  <c r="U3138" i="3"/>
  <c r="U3139" i="3"/>
  <c r="U3140" i="3"/>
  <c r="U3141" i="3"/>
  <c r="U3142" i="3"/>
  <c r="U3143" i="3"/>
  <c r="U3144" i="3"/>
  <c r="U3145" i="3"/>
  <c r="U3146" i="3"/>
  <c r="U3147" i="3"/>
  <c r="U3148" i="3"/>
  <c r="U3149" i="3"/>
  <c r="U3150" i="3"/>
  <c r="U3151" i="3"/>
  <c r="U3152" i="3"/>
  <c r="U3153" i="3"/>
  <c r="U3154" i="3"/>
  <c r="U3155" i="3"/>
  <c r="U3156" i="3"/>
  <c r="U3157" i="3"/>
  <c r="U3158" i="3"/>
  <c r="U3159" i="3"/>
  <c r="U3160" i="3"/>
  <c r="U3161" i="3"/>
  <c r="U3162" i="3"/>
  <c r="U3163" i="3"/>
  <c r="U3164" i="3"/>
  <c r="U3165" i="3"/>
  <c r="U3166" i="3"/>
  <c r="U3167" i="3"/>
  <c r="U3168" i="3"/>
  <c r="U3169" i="3"/>
  <c r="U3170" i="3"/>
  <c r="U3171" i="3"/>
  <c r="U3172" i="3"/>
  <c r="U3173" i="3"/>
  <c r="U3174" i="3"/>
  <c r="U3175" i="3"/>
  <c r="U3176" i="3"/>
  <c r="U3177" i="3"/>
  <c r="U3178" i="3"/>
  <c r="U3179" i="3"/>
  <c r="U3180" i="3"/>
  <c r="U3181" i="3"/>
  <c r="U3182" i="3"/>
  <c r="U3183" i="3"/>
  <c r="U3184" i="3"/>
  <c r="U3185" i="3"/>
  <c r="U3186" i="3"/>
  <c r="U3187" i="3"/>
  <c r="U3188" i="3"/>
  <c r="U3189" i="3"/>
  <c r="U3190" i="3"/>
  <c r="U3191" i="3"/>
  <c r="U3192" i="3"/>
  <c r="U3193" i="3"/>
  <c r="U3194" i="3"/>
  <c r="U3195" i="3"/>
  <c r="U3196" i="3"/>
  <c r="U3197" i="3"/>
  <c r="U3198" i="3"/>
  <c r="U3199" i="3"/>
  <c r="U3200" i="3"/>
  <c r="U3201" i="3"/>
  <c r="U3202" i="3"/>
  <c r="U3203" i="3"/>
  <c r="U3204" i="3"/>
  <c r="U3205" i="3"/>
  <c r="U3206" i="3"/>
  <c r="U3207" i="3"/>
  <c r="U3208" i="3"/>
  <c r="U3209" i="3"/>
  <c r="U3210" i="3"/>
  <c r="U3211" i="3"/>
  <c r="U3212" i="3"/>
  <c r="U3213" i="3"/>
  <c r="U3214" i="3"/>
  <c r="U3215" i="3"/>
  <c r="U3216" i="3"/>
  <c r="U3217" i="3"/>
  <c r="U3218" i="3"/>
  <c r="U3219" i="3"/>
  <c r="U3220" i="3"/>
  <c r="U3221" i="3"/>
  <c r="U3222" i="3"/>
  <c r="U3223" i="3"/>
  <c r="U3224" i="3"/>
  <c r="U3225" i="3"/>
  <c r="U3226" i="3"/>
  <c r="U3227" i="3"/>
  <c r="U3228" i="3"/>
  <c r="U3229" i="3"/>
  <c r="U3230" i="3"/>
  <c r="U3231" i="3"/>
  <c r="U3232" i="3"/>
  <c r="U3233" i="3"/>
  <c r="U3234" i="3"/>
  <c r="U3235" i="3"/>
  <c r="U3236" i="3"/>
  <c r="U3237" i="3"/>
  <c r="U3238" i="3"/>
  <c r="U3239" i="3"/>
  <c r="U3240" i="3"/>
  <c r="U3241" i="3"/>
  <c r="U3242" i="3"/>
  <c r="U3243" i="3"/>
  <c r="U3244" i="3"/>
  <c r="U3245" i="3"/>
  <c r="U3246" i="3"/>
  <c r="U3247" i="3"/>
  <c r="U3248" i="3"/>
  <c r="U3249" i="3"/>
  <c r="U3250" i="3"/>
  <c r="U3251" i="3"/>
  <c r="U3252" i="3"/>
  <c r="U3253" i="3"/>
  <c r="U3254" i="3"/>
  <c r="U3255" i="3"/>
  <c r="U3256" i="3"/>
  <c r="U3257" i="3"/>
  <c r="U3258" i="3"/>
  <c r="U3259" i="3"/>
  <c r="U3260" i="3"/>
  <c r="U3261" i="3"/>
  <c r="U3262" i="3"/>
  <c r="U3263" i="3"/>
  <c r="U3264" i="3"/>
  <c r="U3265" i="3"/>
  <c r="U3266" i="3"/>
  <c r="U3267" i="3"/>
  <c r="U3268" i="3"/>
  <c r="U3269" i="3"/>
  <c r="U3270" i="3"/>
  <c r="U3271" i="3"/>
  <c r="U3272" i="3"/>
  <c r="U3273" i="3"/>
  <c r="U3274" i="3"/>
  <c r="U3275" i="3"/>
  <c r="U3276" i="3"/>
  <c r="U3277" i="3"/>
  <c r="U3278" i="3"/>
  <c r="U3279" i="3"/>
  <c r="U3280" i="3"/>
  <c r="U3281" i="3"/>
  <c r="U3282" i="3"/>
  <c r="U3283" i="3"/>
  <c r="U3284" i="3"/>
  <c r="U3285" i="3"/>
  <c r="U3286" i="3"/>
  <c r="U3287" i="3"/>
  <c r="U3288" i="3"/>
  <c r="U3289" i="3"/>
  <c r="U3290" i="3"/>
  <c r="U3291" i="3"/>
  <c r="U3292" i="3"/>
  <c r="U3293" i="3"/>
  <c r="U3294" i="3"/>
  <c r="U3295" i="3"/>
  <c r="U3296" i="3"/>
  <c r="U3297" i="3"/>
  <c r="U3298" i="3"/>
  <c r="U3299" i="3"/>
  <c r="U3300" i="3"/>
  <c r="U3301" i="3"/>
  <c r="U3302" i="3"/>
  <c r="U3303" i="3"/>
  <c r="U3304" i="3"/>
  <c r="U3305" i="3"/>
  <c r="U3306" i="3"/>
  <c r="U3307" i="3"/>
  <c r="U3308" i="3"/>
  <c r="U3309" i="3"/>
  <c r="U3310" i="3"/>
  <c r="U3311" i="3"/>
  <c r="U3312" i="3"/>
  <c r="U3313" i="3"/>
  <c r="U3314" i="3"/>
  <c r="U3315" i="3"/>
  <c r="U3316" i="3"/>
  <c r="U3317" i="3"/>
  <c r="U3318" i="3"/>
  <c r="U3319" i="3"/>
  <c r="U3320" i="3"/>
  <c r="U3321" i="3"/>
  <c r="U3322" i="3"/>
  <c r="U3323" i="3"/>
  <c r="U3324" i="3"/>
  <c r="U3325" i="3"/>
  <c r="U3326" i="3"/>
  <c r="U3327" i="3"/>
  <c r="U3328" i="3"/>
  <c r="U3329" i="3"/>
  <c r="U3330" i="3"/>
  <c r="U3331" i="3"/>
  <c r="U3332" i="3"/>
  <c r="U3333" i="3"/>
  <c r="U3334" i="3"/>
  <c r="U3335" i="3"/>
  <c r="U3336" i="3"/>
  <c r="U3337" i="3"/>
  <c r="U3338" i="3"/>
  <c r="U3339" i="3"/>
  <c r="U3340" i="3"/>
  <c r="U3341" i="3"/>
  <c r="U3342" i="3"/>
  <c r="U3343" i="3"/>
  <c r="U3344" i="3"/>
  <c r="U3345" i="3"/>
  <c r="U3346" i="3"/>
  <c r="U3347" i="3"/>
  <c r="U3348" i="3"/>
  <c r="U3349" i="3"/>
  <c r="U3350" i="3"/>
  <c r="U3351" i="3"/>
  <c r="U3352" i="3"/>
  <c r="U3353" i="3"/>
  <c r="U3354" i="3"/>
  <c r="U3355" i="3"/>
  <c r="U3356" i="3"/>
  <c r="U3357" i="3"/>
  <c r="U3358" i="3"/>
  <c r="U3359" i="3"/>
  <c r="U3360" i="3"/>
  <c r="U3361" i="3"/>
  <c r="U3362" i="3"/>
  <c r="U3363" i="3"/>
  <c r="U3364" i="3"/>
  <c r="U3365" i="3"/>
  <c r="U3366" i="3"/>
  <c r="U3367" i="3"/>
  <c r="U3368" i="3"/>
  <c r="U3369" i="3"/>
  <c r="U3370" i="3"/>
  <c r="U3371" i="3"/>
  <c r="U3372" i="3"/>
  <c r="U3373" i="3"/>
  <c r="U3374" i="3"/>
  <c r="U3375" i="3"/>
  <c r="U3376" i="3"/>
  <c r="U3377" i="3"/>
  <c r="U3378" i="3"/>
  <c r="U3379" i="3"/>
  <c r="U3380" i="3"/>
  <c r="U3381" i="3"/>
  <c r="U3382" i="3"/>
  <c r="U3383" i="3"/>
  <c r="U3384" i="3"/>
  <c r="U3385" i="3"/>
  <c r="U3386" i="3"/>
  <c r="U3387" i="3"/>
  <c r="U3388" i="3"/>
  <c r="U3389" i="3"/>
  <c r="U3390" i="3"/>
  <c r="U3391" i="3"/>
  <c r="U3392" i="3"/>
  <c r="U3393" i="3"/>
  <c r="U3394" i="3"/>
  <c r="U3395" i="3"/>
  <c r="U3396" i="3"/>
  <c r="U3397" i="3"/>
  <c r="U3398" i="3"/>
  <c r="U3399" i="3"/>
  <c r="U3400" i="3"/>
  <c r="U3401" i="3"/>
  <c r="U3402" i="3"/>
  <c r="U3403" i="3"/>
  <c r="U3404" i="3"/>
  <c r="U3405" i="3"/>
  <c r="U3406" i="3"/>
  <c r="U3407" i="3"/>
  <c r="U3408" i="3"/>
  <c r="U3409" i="3"/>
  <c r="U3410" i="3"/>
  <c r="U3411" i="3"/>
  <c r="U3412" i="3"/>
  <c r="U3413" i="3"/>
  <c r="U3414" i="3"/>
  <c r="U3415" i="3"/>
  <c r="U3416" i="3"/>
  <c r="U3417" i="3"/>
  <c r="U3418" i="3"/>
  <c r="U3419" i="3"/>
  <c r="U3420" i="3"/>
  <c r="U3421" i="3"/>
  <c r="U3422" i="3"/>
  <c r="U3423" i="3"/>
  <c r="U3424" i="3"/>
  <c r="U3425" i="3"/>
  <c r="U3426" i="3"/>
  <c r="U3427" i="3"/>
  <c r="U3428" i="3"/>
  <c r="U3429" i="3"/>
  <c r="U3430" i="3"/>
  <c r="U3431" i="3"/>
  <c r="U3432" i="3"/>
  <c r="U3433" i="3"/>
  <c r="U3434" i="3"/>
  <c r="U3435" i="3"/>
  <c r="U3436" i="3"/>
  <c r="U3437" i="3"/>
  <c r="U3438" i="3"/>
  <c r="U3439" i="3"/>
  <c r="U3440" i="3"/>
  <c r="U3441" i="3"/>
  <c r="U3442" i="3"/>
  <c r="U3443" i="3"/>
  <c r="U3444" i="3"/>
  <c r="U3445" i="3"/>
  <c r="U3446" i="3"/>
  <c r="U3447" i="3"/>
  <c r="U3448" i="3"/>
  <c r="U3449" i="3"/>
  <c r="U3450" i="3"/>
  <c r="U3451" i="3"/>
  <c r="U3452" i="3"/>
  <c r="U3453" i="3"/>
  <c r="U3454" i="3"/>
  <c r="U3455" i="3"/>
  <c r="U3456" i="3"/>
  <c r="U3457" i="3"/>
  <c r="U3458" i="3"/>
  <c r="U3459" i="3"/>
  <c r="U3460" i="3"/>
  <c r="U3461" i="3"/>
  <c r="U3462" i="3"/>
  <c r="U3463" i="3"/>
  <c r="U3464" i="3"/>
  <c r="U3465" i="3"/>
  <c r="U3466" i="3"/>
  <c r="U3467" i="3"/>
  <c r="U3468" i="3"/>
  <c r="U3469" i="3"/>
  <c r="U3470" i="3"/>
  <c r="U3471" i="3"/>
  <c r="U3472" i="3"/>
  <c r="U3473" i="3"/>
  <c r="U3474" i="3"/>
  <c r="U3475" i="3"/>
  <c r="U3476" i="3"/>
  <c r="U3477" i="3"/>
  <c r="U3478" i="3"/>
  <c r="U3479" i="3"/>
  <c r="U3480" i="3"/>
  <c r="U3481" i="3"/>
  <c r="U3482" i="3"/>
  <c r="U3483" i="3"/>
  <c r="U3484" i="3"/>
  <c r="U3485" i="3"/>
  <c r="U3486" i="3"/>
  <c r="U3487" i="3"/>
  <c r="U3488" i="3"/>
  <c r="U3489" i="3"/>
  <c r="U3490" i="3"/>
  <c r="U3491" i="3"/>
  <c r="U3492" i="3"/>
  <c r="U3493" i="3"/>
  <c r="U3494" i="3"/>
  <c r="U3495" i="3"/>
  <c r="U3496" i="3"/>
  <c r="U3497" i="3"/>
  <c r="U3498" i="3"/>
  <c r="U3499" i="3"/>
  <c r="U3500" i="3"/>
  <c r="U3501" i="3"/>
  <c r="U3502" i="3"/>
  <c r="U3503" i="3"/>
  <c r="U3504" i="3"/>
  <c r="U3505" i="3"/>
  <c r="U3506" i="3"/>
  <c r="U3507" i="3"/>
  <c r="U3508" i="3"/>
  <c r="U3509" i="3"/>
  <c r="U3510" i="3"/>
  <c r="U3511" i="3"/>
  <c r="U3512" i="3"/>
  <c r="U3513" i="3"/>
  <c r="U3514" i="3"/>
  <c r="U3515" i="3"/>
  <c r="U3516" i="3"/>
  <c r="U3517" i="3"/>
  <c r="U3518" i="3"/>
  <c r="U3519" i="3"/>
  <c r="U3520" i="3"/>
  <c r="U3521" i="3"/>
  <c r="U3522" i="3"/>
  <c r="U3523" i="3"/>
  <c r="U3524" i="3"/>
  <c r="U3525" i="3"/>
  <c r="U3526" i="3"/>
  <c r="U3527" i="3"/>
  <c r="U3528" i="3"/>
  <c r="U3529" i="3"/>
  <c r="U3530" i="3"/>
  <c r="U3531" i="3"/>
  <c r="U3532" i="3"/>
  <c r="U3533" i="3"/>
  <c r="U3534" i="3"/>
  <c r="U3535" i="3"/>
  <c r="U3536" i="3"/>
  <c r="U3537" i="3"/>
  <c r="U3538" i="3"/>
  <c r="U3539" i="3"/>
  <c r="U3540" i="3"/>
  <c r="U3541" i="3"/>
  <c r="U3542" i="3"/>
  <c r="U3543" i="3"/>
  <c r="U3544" i="3"/>
  <c r="U3545" i="3"/>
  <c r="U3546" i="3"/>
  <c r="U3547" i="3"/>
  <c r="U3548" i="3"/>
  <c r="U3549" i="3"/>
  <c r="U3550" i="3"/>
  <c r="U3551" i="3"/>
  <c r="U3552" i="3"/>
  <c r="U3553" i="3"/>
  <c r="U3554" i="3"/>
  <c r="U3555" i="3"/>
  <c r="U3556" i="3"/>
  <c r="U3557" i="3"/>
  <c r="U3558" i="3"/>
  <c r="U3559" i="3"/>
  <c r="U3560" i="3"/>
  <c r="U3561" i="3"/>
  <c r="U3562" i="3"/>
  <c r="U3563" i="3"/>
  <c r="U3564" i="3"/>
  <c r="U3565" i="3"/>
  <c r="U3566" i="3"/>
  <c r="U3567" i="3"/>
  <c r="U3568" i="3"/>
  <c r="U3569" i="3"/>
  <c r="U3570" i="3"/>
  <c r="U3571" i="3"/>
  <c r="U3572" i="3"/>
  <c r="U3573" i="3"/>
  <c r="U3574" i="3"/>
  <c r="U3575" i="3"/>
  <c r="U3576" i="3"/>
  <c r="U3577" i="3"/>
  <c r="U3578" i="3"/>
  <c r="U3579" i="3"/>
  <c r="U3580" i="3"/>
  <c r="U3581" i="3"/>
  <c r="U3582" i="3"/>
  <c r="U3583" i="3"/>
  <c r="U3584" i="3"/>
  <c r="U3585" i="3"/>
  <c r="U3586" i="3"/>
  <c r="U3587" i="3"/>
  <c r="U3588" i="3"/>
  <c r="U3589" i="3"/>
  <c r="U3590" i="3"/>
  <c r="U3591" i="3"/>
  <c r="U3592" i="3"/>
  <c r="U3593" i="3"/>
  <c r="U3594" i="3"/>
  <c r="U3595" i="3"/>
  <c r="U3596" i="3"/>
  <c r="U3597" i="3"/>
  <c r="U3598" i="3"/>
  <c r="U3599" i="3"/>
  <c r="U3600" i="3"/>
  <c r="U3601" i="3"/>
  <c r="U3602" i="3"/>
  <c r="U3603" i="3"/>
  <c r="U3604" i="3"/>
  <c r="U3605" i="3"/>
  <c r="U3606" i="3"/>
  <c r="U3607" i="3"/>
  <c r="U3608" i="3"/>
  <c r="U3609" i="3"/>
  <c r="U3610" i="3"/>
  <c r="U3611" i="3"/>
  <c r="U3612" i="3"/>
  <c r="U3613" i="3"/>
  <c r="U3614" i="3"/>
  <c r="U3615" i="3"/>
  <c r="U3616" i="3"/>
  <c r="U3617" i="3"/>
  <c r="U3618" i="3"/>
  <c r="U3619" i="3"/>
  <c r="U3620" i="3"/>
  <c r="U3621" i="3"/>
  <c r="U3622" i="3"/>
  <c r="U3623" i="3"/>
  <c r="U3624" i="3"/>
  <c r="U3625" i="3"/>
  <c r="U3626" i="3"/>
  <c r="U3627" i="3"/>
  <c r="U3628" i="3"/>
  <c r="U3629" i="3"/>
  <c r="U3630" i="3"/>
  <c r="U3631" i="3"/>
  <c r="U3632" i="3"/>
  <c r="U3633" i="3"/>
  <c r="U3634" i="3"/>
  <c r="U3635" i="3"/>
  <c r="U3636" i="3"/>
  <c r="U3637" i="3"/>
  <c r="U3638" i="3"/>
  <c r="U3639" i="3"/>
  <c r="U3640" i="3"/>
  <c r="U3641" i="3"/>
  <c r="U3642" i="3"/>
  <c r="U3643" i="3"/>
  <c r="U3644" i="3"/>
  <c r="U3645" i="3"/>
  <c r="U3646" i="3"/>
  <c r="U3647" i="3"/>
  <c r="U3648" i="3"/>
  <c r="U3649" i="3"/>
  <c r="U3650" i="3"/>
  <c r="U3651" i="3"/>
  <c r="U3652" i="3"/>
  <c r="U3653" i="3"/>
  <c r="U3654" i="3"/>
  <c r="U3655" i="3"/>
  <c r="U3656" i="3"/>
  <c r="U3657" i="3"/>
  <c r="U3658" i="3"/>
  <c r="U3659" i="3"/>
  <c r="U3660" i="3"/>
  <c r="U3661" i="3"/>
  <c r="U3662" i="3"/>
  <c r="U3663" i="3"/>
  <c r="U3664" i="3"/>
  <c r="U3665" i="3"/>
  <c r="U3666" i="3"/>
  <c r="U3667" i="3"/>
  <c r="U3668" i="3"/>
  <c r="U3669" i="3"/>
  <c r="U3670" i="3"/>
  <c r="U3671" i="3"/>
  <c r="U3672" i="3"/>
  <c r="U3673" i="3"/>
  <c r="U3674" i="3"/>
  <c r="U3675" i="3"/>
  <c r="U3676" i="3"/>
  <c r="U3677" i="3"/>
  <c r="U3678" i="3"/>
  <c r="U3679" i="3"/>
  <c r="U3680" i="3"/>
  <c r="U3681" i="3"/>
  <c r="U3682" i="3"/>
  <c r="U3683" i="3"/>
  <c r="U3684" i="3"/>
  <c r="U3685" i="3"/>
  <c r="U3686" i="3"/>
  <c r="U3687" i="3"/>
  <c r="U3688" i="3"/>
  <c r="U3689" i="3"/>
  <c r="U3690" i="3"/>
  <c r="U3691" i="3"/>
  <c r="U3692" i="3"/>
  <c r="U3693" i="3"/>
  <c r="U3694" i="3"/>
  <c r="U3695" i="3"/>
  <c r="U3696" i="3"/>
  <c r="U3697" i="3"/>
  <c r="U3698" i="3"/>
  <c r="U3699" i="3"/>
  <c r="U3700" i="3"/>
  <c r="U3701" i="3"/>
  <c r="U3702" i="3"/>
  <c r="U3703" i="3"/>
  <c r="U3704" i="3"/>
  <c r="U3705" i="3"/>
  <c r="U3706" i="3"/>
  <c r="U3707" i="3"/>
  <c r="U3708" i="3"/>
  <c r="U3709" i="3"/>
  <c r="U3710" i="3"/>
  <c r="U3711" i="3"/>
  <c r="U3712" i="3"/>
  <c r="U3713" i="3"/>
  <c r="U3714" i="3"/>
  <c r="U3715" i="3"/>
  <c r="U3716" i="3"/>
  <c r="U3717" i="3"/>
  <c r="U3718" i="3"/>
  <c r="U3719" i="3"/>
  <c r="U3720" i="3"/>
  <c r="U3721" i="3"/>
  <c r="U3722" i="3"/>
  <c r="U3723" i="3"/>
  <c r="U3724" i="3"/>
  <c r="U3725" i="3"/>
  <c r="U3726" i="3"/>
  <c r="U3727" i="3"/>
  <c r="U3728" i="3"/>
  <c r="U3729" i="3"/>
  <c r="U3730" i="3"/>
  <c r="U3731" i="3"/>
  <c r="U3732" i="3"/>
  <c r="U3733" i="3"/>
  <c r="U3734" i="3"/>
  <c r="U3735" i="3"/>
  <c r="U3736" i="3"/>
  <c r="U3737" i="3"/>
  <c r="U3738" i="3"/>
  <c r="U3739" i="3"/>
  <c r="U3740" i="3"/>
  <c r="U3741" i="3"/>
  <c r="U3742" i="3"/>
  <c r="U3743" i="3"/>
  <c r="U3744" i="3"/>
  <c r="U3745" i="3"/>
  <c r="U3746" i="3"/>
  <c r="U3747" i="3"/>
  <c r="U3748" i="3"/>
  <c r="U3749" i="3"/>
  <c r="U3750" i="3"/>
  <c r="U3751" i="3"/>
  <c r="U3752" i="3"/>
  <c r="U3753" i="3"/>
  <c r="U3754" i="3"/>
  <c r="U3755" i="3"/>
  <c r="U3756" i="3"/>
  <c r="U3757" i="3"/>
  <c r="U3758" i="3"/>
  <c r="U3759" i="3"/>
  <c r="U3760" i="3"/>
  <c r="U3761" i="3"/>
  <c r="U3762" i="3"/>
  <c r="U3763" i="3"/>
  <c r="U3764" i="3"/>
  <c r="U3765" i="3"/>
  <c r="U3766" i="3"/>
  <c r="U3767" i="3"/>
  <c r="U3768" i="3"/>
  <c r="U3769" i="3"/>
  <c r="U3770" i="3"/>
  <c r="U3771" i="3"/>
  <c r="U3772" i="3"/>
  <c r="U3773" i="3"/>
  <c r="U3774" i="3"/>
  <c r="U3775" i="3"/>
  <c r="U3776" i="3"/>
  <c r="U3777" i="3"/>
  <c r="U3778" i="3"/>
  <c r="U3779" i="3"/>
  <c r="U3780" i="3"/>
  <c r="U3781" i="3"/>
  <c r="U3782" i="3"/>
  <c r="U3783" i="3"/>
  <c r="U3784" i="3"/>
  <c r="U3785" i="3"/>
  <c r="U3786" i="3"/>
  <c r="U3787" i="3"/>
  <c r="U3788" i="3"/>
  <c r="U3789" i="3"/>
  <c r="U3790" i="3"/>
  <c r="U3791" i="3"/>
  <c r="U3792" i="3"/>
  <c r="U3793" i="3"/>
  <c r="U3794" i="3"/>
  <c r="U3795" i="3"/>
  <c r="U3796" i="3"/>
  <c r="U3797" i="3"/>
  <c r="U3798" i="3"/>
  <c r="U3799" i="3"/>
  <c r="U3800" i="3"/>
  <c r="U3801" i="3"/>
  <c r="U3802" i="3"/>
  <c r="U3803" i="3"/>
  <c r="U3804" i="3"/>
  <c r="U3805" i="3"/>
  <c r="U3806" i="3"/>
  <c r="U3807" i="3"/>
  <c r="U3808" i="3"/>
  <c r="U3809" i="3"/>
  <c r="U3810" i="3"/>
  <c r="U3811" i="3"/>
  <c r="U3812" i="3"/>
  <c r="U3813" i="3"/>
  <c r="U3814" i="3"/>
  <c r="U3815" i="3"/>
  <c r="U3816" i="3"/>
  <c r="U3817" i="3"/>
  <c r="U3818" i="3"/>
  <c r="U3819" i="3"/>
  <c r="U3820" i="3"/>
  <c r="U3821" i="3"/>
  <c r="U3822" i="3"/>
  <c r="U3823" i="3"/>
  <c r="U3824" i="3"/>
  <c r="U3825" i="3"/>
  <c r="U3826" i="3"/>
  <c r="U3827" i="3"/>
  <c r="U3828" i="3"/>
  <c r="U3829" i="3"/>
  <c r="U3830" i="3"/>
  <c r="U3831" i="3"/>
  <c r="U3832" i="3"/>
  <c r="U3833" i="3"/>
  <c r="U3834" i="3"/>
  <c r="U3835" i="3"/>
  <c r="U3836" i="3"/>
  <c r="U3837" i="3"/>
  <c r="U3838" i="3"/>
  <c r="U3839" i="3"/>
  <c r="U3840" i="3"/>
  <c r="U3841" i="3"/>
  <c r="U3842" i="3"/>
  <c r="U3843" i="3"/>
  <c r="U3844" i="3"/>
  <c r="U3845" i="3"/>
  <c r="U3846" i="3"/>
  <c r="U3847" i="3"/>
  <c r="U3848" i="3"/>
  <c r="U3849" i="3"/>
  <c r="U3850" i="3"/>
  <c r="U3851" i="3"/>
  <c r="U3852" i="3"/>
  <c r="U3853" i="3"/>
  <c r="U3854" i="3"/>
  <c r="U3855" i="3"/>
  <c r="U3856" i="3"/>
  <c r="U3857" i="3"/>
  <c r="U3858" i="3"/>
  <c r="U3859" i="3"/>
  <c r="U3860" i="3"/>
  <c r="U3861" i="3"/>
  <c r="U3862" i="3"/>
  <c r="U3863" i="3"/>
  <c r="U3864" i="3"/>
  <c r="U3865" i="3"/>
  <c r="U3866" i="3"/>
  <c r="U3867" i="3"/>
  <c r="U3868" i="3"/>
  <c r="U3869" i="3"/>
  <c r="U3870" i="3"/>
  <c r="U3871" i="3"/>
  <c r="U3872" i="3"/>
  <c r="U3873" i="3"/>
  <c r="U3874" i="3"/>
  <c r="U3875" i="3"/>
  <c r="U3876" i="3"/>
  <c r="U3877" i="3"/>
  <c r="U3878" i="3"/>
  <c r="U3879" i="3"/>
  <c r="U3880" i="3"/>
  <c r="U3881" i="3"/>
  <c r="U3882" i="3"/>
  <c r="U3883" i="3"/>
  <c r="U3884" i="3"/>
  <c r="U3885" i="3"/>
  <c r="U3886" i="3"/>
  <c r="U3887" i="3"/>
  <c r="U3888" i="3"/>
  <c r="U3889" i="3"/>
  <c r="U3890" i="3"/>
  <c r="U3891" i="3"/>
  <c r="U3892" i="3"/>
  <c r="U3893" i="3"/>
  <c r="U3894" i="3"/>
  <c r="U3895" i="3"/>
  <c r="U3896" i="3"/>
  <c r="U3897" i="3"/>
  <c r="U3898" i="3"/>
  <c r="U3899" i="3"/>
  <c r="U3900" i="3"/>
  <c r="U3901" i="3"/>
  <c r="U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V2166" i="3"/>
  <c r="V2167" i="3"/>
  <c r="V2168" i="3"/>
  <c r="V2169" i="3"/>
  <c r="V2170" i="3"/>
  <c r="V2171" i="3"/>
  <c r="V2172" i="3"/>
  <c r="V2173" i="3"/>
  <c r="V2174" i="3"/>
  <c r="V2175" i="3"/>
  <c r="V2176" i="3"/>
  <c r="V2177" i="3"/>
  <c r="V2178" i="3"/>
  <c r="V2179" i="3"/>
  <c r="V2180" i="3"/>
  <c r="V2181" i="3"/>
  <c r="V2182" i="3"/>
  <c r="V2183" i="3"/>
  <c r="V2184" i="3"/>
  <c r="V2185" i="3"/>
  <c r="V2186" i="3"/>
  <c r="V2187" i="3"/>
  <c r="V2188" i="3"/>
  <c r="V2189" i="3"/>
  <c r="V2190" i="3"/>
  <c r="V2191" i="3"/>
  <c r="V2192" i="3"/>
  <c r="V2193" i="3"/>
  <c r="V2194" i="3"/>
  <c r="V2195" i="3"/>
  <c r="V2196" i="3"/>
  <c r="V2197" i="3"/>
  <c r="V2198" i="3"/>
  <c r="V2199" i="3"/>
  <c r="V2200" i="3"/>
  <c r="V2201" i="3"/>
  <c r="V2202" i="3"/>
  <c r="V2203" i="3"/>
  <c r="V2204" i="3"/>
  <c r="V2205" i="3"/>
  <c r="V2206" i="3"/>
  <c r="V2207" i="3"/>
  <c r="V2208" i="3"/>
  <c r="V2209" i="3"/>
  <c r="V2210" i="3"/>
  <c r="V2211" i="3"/>
  <c r="V2212" i="3"/>
  <c r="V2213" i="3"/>
  <c r="V2214" i="3"/>
  <c r="V2215" i="3"/>
  <c r="V2216" i="3"/>
  <c r="V2217" i="3"/>
  <c r="V2218" i="3"/>
  <c r="V2219" i="3"/>
  <c r="V2220" i="3"/>
  <c r="V2221" i="3"/>
  <c r="V2222" i="3"/>
  <c r="V2223" i="3"/>
  <c r="V2224" i="3"/>
  <c r="V2225" i="3"/>
  <c r="V2226" i="3"/>
  <c r="V2227" i="3"/>
  <c r="V2228" i="3"/>
  <c r="V2229" i="3"/>
  <c r="V2230" i="3"/>
  <c r="V2231" i="3"/>
  <c r="V2232" i="3"/>
  <c r="V2233" i="3"/>
  <c r="V2234" i="3"/>
  <c r="V2235" i="3"/>
  <c r="V2236" i="3"/>
  <c r="V2237" i="3"/>
  <c r="V2238" i="3"/>
  <c r="V2239" i="3"/>
  <c r="V2240" i="3"/>
  <c r="V2241" i="3"/>
  <c r="V2242" i="3"/>
  <c r="V2243" i="3"/>
  <c r="V2244" i="3"/>
  <c r="V2245" i="3"/>
  <c r="V2246" i="3"/>
  <c r="V2247" i="3"/>
  <c r="V2248" i="3"/>
  <c r="V2249" i="3"/>
  <c r="V2250" i="3"/>
  <c r="V2251" i="3"/>
  <c r="V2252" i="3"/>
  <c r="V2253" i="3"/>
  <c r="V2254" i="3"/>
  <c r="V2255" i="3"/>
  <c r="V2256" i="3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V2317" i="3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V2348" i="3"/>
  <c r="V2349" i="3"/>
  <c r="V2350" i="3"/>
  <c r="V2351" i="3"/>
  <c r="V2352" i="3"/>
  <c r="V2353" i="3"/>
  <c r="V2354" i="3"/>
  <c r="V2355" i="3"/>
  <c r="V2356" i="3"/>
  <c r="V2357" i="3"/>
  <c r="V2358" i="3"/>
  <c r="V2359" i="3"/>
  <c r="V2360" i="3"/>
  <c r="V2361" i="3"/>
  <c r="V2362" i="3"/>
  <c r="V2363" i="3"/>
  <c r="V2364" i="3"/>
  <c r="V2365" i="3"/>
  <c r="V2366" i="3"/>
  <c r="V2367" i="3"/>
  <c r="V2368" i="3"/>
  <c r="V2369" i="3"/>
  <c r="V2370" i="3"/>
  <c r="V2371" i="3"/>
  <c r="V2372" i="3"/>
  <c r="V2373" i="3"/>
  <c r="V2374" i="3"/>
  <c r="V2375" i="3"/>
  <c r="V2376" i="3"/>
  <c r="V2377" i="3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V2409" i="3"/>
  <c r="V2410" i="3"/>
  <c r="V2411" i="3"/>
  <c r="V2412" i="3"/>
  <c r="V2413" i="3"/>
  <c r="V2414" i="3"/>
  <c r="V2415" i="3"/>
  <c r="V2416" i="3"/>
  <c r="V2417" i="3"/>
  <c r="V2418" i="3"/>
  <c r="V2419" i="3"/>
  <c r="V2420" i="3"/>
  <c r="V2421" i="3"/>
  <c r="V2422" i="3"/>
  <c r="V2423" i="3"/>
  <c r="V2424" i="3"/>
  <c r="V2425" i="3"/>
  <c r="V2426" i="3"/>
  <c r="V2427" i="3"/>
  <c r="V2428" i="3"/>
  <c r="V2429" i="3"/>
  <c r="V2430" i="3"/>
  <c r="V2431" i="3"/>
  <c r="V2432" i="3"/>
  <c r="V2433" i="3"/>
  <c r="V2434" i="3"/>
  <c r="V2435" i="3"/>
  <c r="V2436" i="3"/>
  <c r="V2437" i="3"/>
  <c r="V2438" i="3"/>
  <c r="V2439" i="3"/>
  <c r="V2440" i="3"/>
  <c r="V2441" i="3"/>
  <c r="V2442" i="3"/>
  <c r="V2443" i="3"/>
  <c r="V2444" i="3"/>
  <c r="V2445" i="3"/>
  <c r="V2446" i="3"/>
  <c r="V2447" i="3"/>
  <c r="V2448" i="3"/>
  <c r="V2449" i="3"/>
  <c r="V2450" i="3"/>
  <c r="V2451" i="3"/>
  <c r="V2452" i="3"/>
  <c r="V2453" i="3"/>
  <c r="V2454" i="3"/>
  <c r="V2455" i="3"/>
  <c r="V2456" i="3"/>
  <c r="V2457" i="3"/>
  <c r="V2458" i="3"/>
  <c r="V2459" i="3"/>
  <c r="V2460" i="3"/>
  <c r="V2461" i="3"/>
  <c r="V2462" i="3"/>
  <c r="V2463" i="3"/>
  <c r="V2464" i="3"/>
  <c r="V2465" i="3"/>
  <c r="V2466" i="3"/>
  <c r="V2467" i="3"/>
  <c r="V2468" i="3"/>
  <c r="V2469" i="3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V2483" i="3"/>
  <c r="V2484" i="3"/>
  <c r="V2485" i="3"/>
  <c r="V2486" i="3"/>
  <c r="V2487" i="3"/>
  <c r="V2488" i="3"/>
  <c r="V2489" i="3"/>
  <c r="V2490" i="3"/>
  <c r="V2491" i="3"/>
  <c r="V2492" i="3"/>
  <c r="V2493" i="3"/>
  <c r="V2494" i="3"/>
  <c r="V2495" i="3"/>
  <c r="V2496" i="3"/>
  <c r="V2497" i="3"/>
  <c r="V2498" i="3"/>
  <c r="V2499" i="3"/>
  <c r="V2500" i="3"/>
  <c r="V2501" i="3"/>
  <c r="V2502" i="3"/>
  <c r="V2503" i="3"/>
  <c r="V2504" i="3"/>
  <c r="V2505" i="3"/>
  <c r="V2506" i="3"/>
  <c r="V2507" i="3"/>
  <c r="V2508" i="3"/>
  <c r="V2509" i="3"/>
  <c r="V2510" i="3"/>
  <c r="V2511" i="3"/>
  <c r="V2512" i="3"/>
  <c r="V2513" i="3"/>
  <c r="V2514" i="3"/>
  <c r="V2515" i="3"/>
  <c r="V2516" i="3"/>
  <c r="V2517" i="3"/>
  <c r="V2518" i="3"/>
  <c r="V2519" i="3"/>
  <c r="V2520" i="3"/>
  <c r="V2521" i="3"/>
  <c r="V2522" i="3"/>
  <c r="V2523" i="3"/>
  <c r="V2524" i="3"/>
  <c r="V2525" i="3"/>
  <c r="V2526" i="3"/>
  <c r="V2527" i="3"/>
  <c r="V2528" i="3"/>
  <c r="V2529" i="3"/>
  <c r="V2530" i="3"/>
  <c r="V2531" i="3"/>
  <c r="V2532" i="3"/>
  <c r="V2533" i="3"/>
  <c r="V2534" i="3"/>
  <c r="V2535" i="3"/>
  <c r="V2536" i="3"/>
  <c r="V2537" i="3"/>
  <c r="V2538" i="3"/>
  <c r="V2539" i="3"/>
  <c r="V2540" i="3"/>
  <c r="V2541" i="3"/>
  <c r="V2542" i="3"/>
  <c r="V2543" i="3"/>
  <c r="V2544" i="3"/>
  <c r="V2545" i="3"/>
  <c r="V2546" i="3"/>
  <c r="V2547" i="3"/>
  <c r="V2548" i="3"/>
  <c r="V2549" i="3"/>
  <c r="V2550" i="3"/>
  <c r="V2551" i="3"/>
  <c r="V2552" i="3"/>
  <c r="V2553" i="3"/>
  <c r="V2554" i="3"/>
  <c r="V2555" i="3"/>
  <c r="V2556" i="3"/>
  <c r="V2557" i="3"/>
  <c r="V2558" i="3"/>
  <c r="V2559" i="3"/>
  <c r="V2560" i="3"/>
  <c r="V2561" i="3"/>
  <c r="V2562" i="3"/>
  <c r="V2563" i="3"/>
  <c r="V2564" i="3"/>
  <c r="V2565" i="3"/>
  <c r="V2566" i="3"/>
  <c r="V2567" i="3"/>
  <c r="V2568" i="3"/>
  <c r="V2569" i="3"/>
  <c r="V2570" i="3"/>
  <c r="V2571" i="3"/>
  <c r="V2572" i="3"/>
  <c r="V2573" i="3"/>
  <c r="V2574" i="3"/>
  <c r="V2575" i="3"/>
  <c r="V2576" i="3"/>
  <c r="V2577" i="3"/>
  <c r="V2578" i="3"/>
  <c r="V2579" i="3"/>
  <c r="V2580" i="3"/>
  <c r="V2581" i="3"/>
  <c r="V2582" i="3"/>
  <c r="V2583" i="3"/>
  <c r="V2584" i="3"/>
  <c r="V2585" i="3"/>
  <c r="V2586" i="3"/>
  <c r="V2587" i="3"/>
  <c r="V2588" i="3"/>
  <c r="V2589" i="3"/>
  <c r="V2590" i="3"/>
  <c r="V2591" i="3"/>
  <c r="V2592" i="3"/>
  <c r="V2593" i="3"/>
  <c r="V2594" i="3"/>
  <c r="V2595" i="3"/>
  <c r="V2596" i="3"/>
  <c r="V2597" i="3"/>
  <c r="V2598" i="3"/>
  <c r="V2599" i="3"/>
  <c r="V2600" i="3"/>
  <c r="V2601" i="3"/>
  <c r="V2602" i="3"/>
  <c r="V2603" i="3"/>
  <c r="V2604" i="3"/>
  <c r="V2605" i="3"/>
  <c r="V2606" i="3"/>
  <c r="V2607" i="3"/>
  <c r="V2608" i="3"/>
  <c r="V2609" i="3"/>
  <c r="V2610" i="3"/>
  <c r="V2611" i="3"/>
  <c r="V2612" i="3"/>
  <c r="V2613" i="3"/>
  <c r="V2614" i="3"/>
  <c r="V2615" i="3"/>
  <c r="V2616" i="3"/>
  <c r="V2617" i="3"/>
  <c r="V2618" i="3"/>
  <c r="V2619" i="3"/>
  <c r="V2620" i="3"/>
  <c r="V2621" i="3"/>
  <c r="V2622" i="3"/>
  <c r="V2623" i="3"/>
  <c r="V2624" i="3"/>
  <c r="V2625" i="3"/>
  <c r="V2626" i="3"/>
  <c r="V2627" i="3"/>
  <c r="V2628" i="3"/>
  <c r="V2629" i="3"/>
  <c r="V2630" i="3"/>
  <c r="V2631" i="3"/>
  <c r="V2632" i="3"/>
  <c r="V2633" i="3"/>
  <c r="V2634" i="3"/>
  <c r="V2635" i="3"/>
  <c r="V2636" i="3"/>
  <c r="V2637" i="3"/>
  <c r="V2638" i="3"/>
  <c r="V2639" i="3"/>
  <c r="V2640" i="3"/>
  <c r="V2641" i="3"/>
  <c r="V2642" i="3"/>
  <c r="V2643" i="3"/>
  <c r="V2644" i="3"/>
  <c r="V2645" i="3"/>
  <c r="V2646" i="3"/>
  <c r="V2647" i="3"/>
  <c r="V2648" i="3"/>
  <c r="V2649" i="3"/>
  <c r="V2650" i="3"/>
  <c r="V2651" i="3"/>
  <c r="V2652" i="3"/>
  <c r="V2653" i="3"/>
  <c r="V2654" i="3"/>
  <c r="V2655" i="3"/>
  <c r="V2656" i="3"/>
  <c r="V2657" i="3"/>
  <c r="V2658" i="3"/>
  <c r="V2659" i="3"/>
  <c r="V2660" i="3"/>
  <c r="V2661" i="3"/>
  <c r="V2662" i="3"/>
  <c r="V2663" i="3"/>
  <c r="V2664" i="3"/>
  <c r="V2665" i="3"/>
  <c r="V2666" i="3"/>
  <c r="V2667" i="3"/>
  <c r="V2668" i="3"/>
  <c r="V2669" i="3"/>
  <c r="V2670" i="3"/>
  <c r="V2671" i="3"/>
  <c r="V2672" i="3"/>
  <c r="V2673" i="3"/>
  <c r="V2674" i="3"/>
  <c r="V2675" i="3"/>
  <c r="V2676" i="3"/>
  <c r="V2677" i="3"/>
  <c r="V2678" i="3"/>
  <c r="V2679" i="3"/>
  <c r="V2680" i="3"/>
  <c r="V2681" i="3"/>
  <c r="V2682" i="3"/>
  <c r="V2683" i="3"/>
  <c r="V2684" i="3"/>
  <c r="V2685" i="3"/>
  <c r="V2686" i="3"/>
  <c r="V2687" i="3"/>
  <c r="V2688" i="3"/>
  <c r="V2689" i="3"/>
  <c r="V2690" i="3"/>
  <c r="V2691" i="3"/>
  <c r="V2692" i="3"/>
  <c r="V2693" i="3"/>
  <c r="V2694" i="3"/>
  <c r="V2695" i="3"/>
  <c r="V2696" i="3"/>
  <c r="V2697" i="3"/>
  <c r="V2698" i="3"/>
  <c r="V2699" i="3"/>
  <c r="V2700" i="3"/>
  <c r="V2701" i="3"/>
  <c r="V2702" i="3"/>
  <c r="V2703" i="3"/>
  <c r="V2704" i="3"/>
  <c r="V2705" i="3"/>
  <c r="V2706" i="3"/>
  <c r="V2707" i="3"/>
  <c r="V2708" i="3"/>
  <c r="V2709" i="3"/>
  <c r="V2710" i="3"/>
  <c r="V2711" i="3"/>
  <c r="V2712" i="3"/>
  <c r="V2713" i="3"/>
  <c r="V2714" i="3"/>
  <c r="V2715" i="3"/>
  <c r="V2716" i="3"/>
  <c r="V2717" i="3"/>
  <c r="V2718" i="3"/>
  <c r="V2719" i="3"/>
  <c r="V2720" i="3"/>
  <c r="V2721" i="3"/>
  <c r="V2722" i="3"/>
  <c r="V2723" i="3"/>
  <c r="V2724" i="3"/>
  <c r="V2725" i="3"/>
  <c r="V2726" i="3"/>
  <c r="V2727" i="3"/>
  <c r="V2728" i="3"/>
  <c r="V2729" i="3"/>
  <c r="V2730" i="3"/>
  <c r="V2731" i="3"/>
  <c r="V2732" i="3"/>
  <c r="V2733" i="3"/>
  <c r="V2734" i="3"/>
  <c r="V2735" i="3"/>
  <c r="V2736" i="3"/>
  <c r="V2737" i="3"/>
  <c r="V2738" i="3"/>
  <c r="V2739" i="3"/>
  <c r="V2740" i="3"/>
  <c r="V2741" i="3"/>
  <c r="V2742" i="3"/>
  <c r="V2743" i="3"/>
  <c r="V2744" i="3"/>
  <c r="V2745" i="3"/>
  <c r="V2746" i="3"/>
  <c r="V2747" i="3"/>
  <c r="V2748" i="3"/>
  <c r="V2749" i="3"/>
  <c r="V2750" i="3"/>
  <c r="V2751" i="3"/>
  <c r="V2752" i="3"/>
  <c r="V2753" i="3"/>
  <c r="V2754" i="3"/>
  <c r="V2755" i="3"/>
  <c r="V2756" i="3"/>
  <c r="V2757" i="3"/>
  <c r="V2758" i="3"/>
  <c r="V2759" i="3"/>
  <c r="V2760" i="3"/>
  <c r="V2761" i="3"/>
  <c r="V2762" i="3"/>
  <c r="V2763" i="3"/>
  <c r="V2764" i="3"/>
  <c r="V2765" i="3"/>
  <c r="V2766" i="3"/>
  <c r="V2767" i="3"/>
  <c r="V2768" i="3"/>
  <c r="V2769" i="3"/>
  <c r="V2770" i="3"/>
  <c r="V2771" i="3"/>
  <c r="V2772" i="3"/>
  <c r="V2773" i="3"/>
  <c r="V2774" i="3"/>
  <c r="V2775" i="3"/>
  <c r="V2776" i="3"/>
  <c r="V2777" i="3"/>
  <c r="V2778" i="3"/>
  <c r="V2779" i="3"/>
  <c r="V2780" i="3"/>
  <c r="V2781" i="3"/>
  <c r="V2782" i="3"/>
  <c r="V2783" i="3"/>
  <c r="V2784" i="3"/>
  <c r="V2785" i="3"/>
  <c r="V2786" i="3"/>
  <c r="V2787" i="3"/>
  <c r="V2788" i="3"/>
  <c r="V2789" i="3"/>
  <c r="V2790" i="3"/>
  <c r="V2791" i="3"/>
  <c r="V2792" i="3"/>
  <c r="V2793" i="3"/>
  <c r="V2794" i="3"/>
  <c r="V2795" i="3"/>
  <c r="V2796" i="3"/>
  <c r="V2797" i="3"/>
  <c r="V2798" i="3"/>
  <c r="V2799" i="3"/>
  <c r="V2800" i="3"/>
  <c r="V2801" i="3"/>
  <c r="V2802" i="3"/>
  <c r="V2803" i="3"/>
  <c r="V2804" i="3"/>
  <c r="V2805" i="3"/>
  <c r="V2806" i="3"/>
  <c r="V2807" i="3"/>
  <c r="V2808" i="3"/>
  <c r="V2809" i="3"/>
  <c r="V2810" i="3"/>
  <c r="V2811" i="3"/>
  <c r="V2812" i="3"/>
  <c r="V2813" i="3"/>
  <c r="V2814" i="3"/>
  <c r="V2815" i="3"/>
  <c r="V2816" i="3"/>
  <c r="V2817" i="3"/>
  <c r="V2818" i="3"/>
  <c r="V2819" i="3"/>
  <c r="V2820" i="3"/>
  <c r="V2821" i="3"/>
  <c r="V2822" i="3"/>
  <c r="V2823" i="3"/>
  <c r="V2824" i="3"/>
  <c r="V2825" i="3"/>
  <c r="V2826" i="3"/>
  <c r="V2827" i="3"/>
  <c r="V2828" i="3"/>
  <c r="V2829" i="3"/>
  <c r="V2830" i="3"/>
  <c r="V2831" i="3"/>
  <c r="V2832" i="3"/>
  <c r="V2833" i="3"/>
  <c r="V2834" i="3"/>
  <c r="V2835" i="3"/>
  <c r="V2836" i="3"/>
  <c r="V2837" i="3"/>
  <c r="V2838" i="3"/>
  <c r="V2839" i="3"/>
  <c r="V2840" i="3"/>
  <c r="V2841" i="3"/>
  <c r="V2842" i="3"/>
  <c r="V2843" i="3"/>
  <c r="V2844" i="3"/>
  <c r="V2845" i="3"/>
  <c r="V2846" i="3"/>
  <c r="V2847" i="3"/>
  <c r="V2848" i="3"/>
  <c r="V2849" i="3"/>
  <c r="V2850" i="3"/>
  <c r="V2851" i="3"/>
  <c r="V2852" i="3"/>
  <c r="V2853" i="3"/>
  <c r="V2854" i="3"/>
  <c r="V2855" i="3"/>
  <c r="V2856" i="3"/>
  <c r="V2857" i="3"/>
  <c r="V2858" i="3"/>
  <c r="V2859" i="3"/>
  <c r="V2860" i="3"/>
  <c r="V2861" i="3"/>
  <c r="V2862" i="3"/>
  <c r="V2863" i="3"/>
  <c r="V2864" i="3"/>
  <c r="V2865" i="3"/>
  <c r="V2866" i="3"/>
  <c r="V2867" i="3"/>
  <c r="V2868" i="3"/>
  <c r="V2869" i="3"/>
  <c r="V2870" i="3"/>
  <c r="V2871" i="3"/>
  <c r="V2872" i="3"/>
  <c r="V2873" i="3"/>
  <c r="V2874" i="3"/>
  <c r="V2875" i="3"/>
  <c r="V2876" i="3"/>
  <c r="V2877" i="3"/>
  <c r="V2878" i="3"/>
  <c r="V2879" i="3"/>
  <c r="V2880" i="3"/>
  <c r="V2881" i="3"/>
  <c r="V2882" i="3"/>
  <c r="V2883" i="3"/>
  <c r="V2884" i="3"/>
  <c r="V2885" i="3"/>
  <c r="V2886" i="3"/>
  <c r="V2887" i="3"/>
  <c r="V2888" i="3"/>
  <c r="V2889" i="3"/>
  <c r="V2890" i="3"/>
  <c r="V2891" i="3"/>
  <c r="V2892" i="3"/>
  <c r="V2893" i="3"/>
  <c r="V2894" i="3"/>
  <c r="V2895" i="3"/>
  <c r="V2896" i="3"/>
  <c r="V2897" i="3"/>
  <c r="V2898" i="3"/>
  <c r="V2899" i="3"/>
  <c r="V2900" i="3"/>
  <c r="V2901" i="3"/>
  <c r="V2902" i="3"/>
  <c r="V2903" i="3"/>
  <c r="V2904" i="3"/>
  <c r="V2905" i="3"/>
  <c r="V2906" i="3"/>
  <c r="V2907" i="3"/>
  <c r="V2908" i="3"/>
  <c r="V2909" i="3"/>
  <c r="V2910" i="3"/>
  <c r="V2911" i="3"/>
  <c r="V2912" i="3"/>
  <c r="V2913" i="3"/>
  <c r="V2914" i="3"/>
  <c r="V2915" i="3"/>
  <c r="V2916" i="3"/>
  <c r="V2917" i="3"/>
  <c r="V2918" i="3"/>
  <c r="V2919" i="3"/>
  <c r="V2920" i="3"/>
  <c r="V2921" i="3"/>
  <c r="V2922" i="3"/>
  <c r="V2923" i="3"/>
  <c r="V2924" i="3"/>
  <c r="V2925" i="3"/>
  <c r="V2926" i="3"/>
  <c r="V2927" i="3"/>
  <c r="V2928" i="3"/>
  <c r="V2929" i="3"/>
  <c r="V2930" i="3"/>
  <c r="V2931" i="3"/>
  <c r="V2932" i="3"/>
  <c r="V2933" i="3"/>
  <c r="V2934" i="3"/>
  <c r="V2935" i="3"/>
  <c r="V2936" i="3"/>
  <c r="V2937" i="3"/>
  <c r="V2938" i="3"/>
  <c r="V2939" i="3"/>
  <c r="V2940" i="3"/>
  <c r="V2941" i="3"/>
  <c r="V2942" i="3"/>
  <c r="V2943" i="3"/>
  <c r="V2944" i="3"/>
  <c r="V2945" i="3"/>
  <c r="V2946" i="3"/>
  <c r="V2947" i="3"/>
  <c r="V2948" i="3"/>
  <c r="V2949" i="3"/>
  <c r="V2950" i="3"/>
  <c r="V2951" i="3"/>
  <c r="V2952" i="3"/>
  <c r="V2953" i="3"/>
  <c r="V2954" i="3"/>
  <c r="V2955" i="3"/>
  <c r="V2956" i="3"/>
  <c r="V2957" i="3"/>
  <c r="V2958" i="3"/>
  <c r="V2959" i="3"/>
  <c r="V2960" i="3"/>
  <c r="V2961" i="3"/>
  <c r="V2962" i="3"/>
  <c r="V2963" i="3"/>
  <c r="V2964" i="3"/>
  <c r="V2965" i="3"/>
  <c r="V2966" i="3"/>
  <c r="V2967" i="3"/>
  <c r="V2968" i="3"/>
  <c r="V2969" i="3"/>
  <c r="V2970" i="3"/>
  <c r="V2971" i="3"/>
  <c r="V2972" i="3"/>
  <c r="V2973" i="3"/>
  <c r="V2974" i="3"/>
  <c r="V2975" i="3"/>
  <c r="V2976" i="3"/>
  <c r="V2977" i="3"/>
  <c r="V2978" i="3"/>
  <c r="V2979" i="3"/>
  <c r="V2980" i="3"/>
  <c r="V2981" i="3"/>
  <c r="V2982" i="3"/>
  <c r="V2983" i="3"/>
  <c r="V2984" i="3"/>
  <c r="V2985" i="3"/>
  <c r="V2986" i="3"/>
  <c r="V2987" i="3"/>
  <c r="V2988" i="3"/>
  <c r="V2989" i="3"/>
  <c r="V2990" i="3"/>
  <c r="V2991" i="3"/>
  <c r="V2992" i="3"/>
  <c r="V2993" i="3"/>
  <c r="V2994" i="3"/>
  <c r="V2995" i="3"/>
  <c r="V2996" i="3"/>
  <c r="V2997" i="3"/>
  <c r="V2998" i="3"/>
  <c r="V2999" i="3"/>
  <c r="V3000" i="3"/>
  <c r="V3001" i="3"/>
  <c r="V3002" i="3"/>
  <c r="V3003" i="3"/>
  <c r="V3004" i="3"/>
  <c r="V3005" i="3"/>
  <c r="V3006" i="3"/>
  <c r="V3007" i="3"/>
  <c r="V3008" i="3"/>
  <c r="V3009" i="3"/>
  <c r="V3010" i="3"/>
  <c r="V3011" i="3"/>
  <c r="V3012" i="3"/>
  <c r="V3013" i="3"/>
  <c r="V3014" i="3"/>
  <c r="V3015" i="3"/>
  <c r="V3016" i="3"/>
  <c r="V3017" i="3"/>
  <c r="V3018" i="3"/>
  <c r="V3019" i="3"/>
  <c r="V3020" i="3"/>
  <c r="V3021" i="3"/>
  <c r="V3022" i="3"/>
  <c r="V3023" i="3"/>
  <c r="V3024" i="3"/>
  <c r="V3025" i="3"/>
  <c r="V3026" i="3"/>
  <c r="V3027" i="3"/>
  <c r="V3028" i="3"/>
  <c r="V3029" i="3"/>
  <c r="V3030" i="3"/>
  <c r="V3031" i="3"/>
  <c r="V3032" i="3"/>
  <c r="V3033" i="3"/>
  <c r="V3034" i="3"/>
  <c r="V3035" i="3"/>
  <c r="V3036" i="3"/>
  <c r="V3037" i="3"/>
  <c r="V3038" i="3"/>
  <c r="V3039" i="3"/>
  <c r="V3040" i="3"/>
  <c r="V3041" i="3"/>
  <c r="V3042" i="3"/>
  <c r="V3043" i="3"/>
  <c r="V3044" i="3"/>
  <c r="V3045" i="3"/>
  <c r="V3046" i="3"/>
  <c r="V3047" i="3"/>
  <c r="V3048" i="3"/>
  <c r="V3049" i="3"/>
  <c r="V3050" i="3"/>
  <c r="V3051" i="3"/>
  <c r="V3052" i="3"/>
  <c r="V3053" i="3"/>
  <c r="V3054" i="3"/>
  <c r="V3055" i="3"/>
  <c r="V3056" i="3"/>
  <c r="V3057" i="3"/>
  <c r="V3058" i="3"/>
  <c r="V3059" i="3"/>
  <c r="V3060" i="3"/>
  <c r="V3061" i="3"/>
  <c r="V3062" i="3"/>
  <c r="V3063" i="3"/>
  <c r="V3064" i="3"/>
  <c r="V3065" i="3"/>
  <c r="V3066" i="3"/>
  <c r="V3067" i="3"/>
  <c r="V3068" i="3"/>
  <c r="V3069" i="3"/>
  <c r="V3070" i="3"/>
  <c r="V3071" i="3"/>
  <c r="V3072" i="3"/>
  <c r="V3073" i="3"/>
  <c r="V3074" i="3"/>
  <c r="V3075" i="3"/>
  <c r="V3076" i="3"/>
  <c r="V3077" i="3"/>
  <c r="V3078" i="3"/>
  <c r="V3079" i="3"/>
  <c r="V3080" i="3"/>
  <c r="V3081" i="3"/>
  <c r="V3082" i="3"/>
  <c r="V3083" i="3"/>
  <c r="V3084" i="3"/>
  <c r="V3085" i="3"/>
  <c r="V3086" i="3"/>
  <c r="V3087" i="3"/>
  <c r="V3088" i="3"/>
  <c r="V3089" i="3"/>
  <c r="V3090" i="3"/>
  <c r="V3091" i="3"/>
  <c r="V3092" i="3"/>
  <c r="V3093" i="3"/>
  <c r="V3094" i="3"/>
  <c r="V3095" i="3"/>
  <c r="V3096" i="3"/>
  <c r="V3097" i="3"/>
  <c r="V3098" i="3"/>
  <c r="V3099" i="3"/>
  <c r="V3100" i="3"/>
  <c r="V3101" i="3"/>
  <c r="V3102" i="3"/>
  <c r="V3103" i="3"/>
  <c r="V3104" i="3"/>
  <c r="V3105" i="3"/>
  <c r="V3106" i="3"/>
  <c r="V3107" i="3"/>
  <c r="V3108" i="3"/>
  <c r="V3109" i="3"/>
  <c r="V3110" i="3"/>
  <c r="V3111" i="3"/>
  <c r="V3112" i="3"/>
  <c r="V3113" i="3"/>
  <c r="V3114" i="3"/>
  <c r="V3115" i="3"/>
  <c r="V3116" i="3"/>
  <c r="V3117" i="3"/>
  <c r="V3118" i="3"/>
  <c r="V3119" i="3"/>
  <c r="V3120" i="3"/>
  <c r="V3121" i="3"/>
  <c r="V3122" i="3"/>
  <c r="V3123" i="3"/>
  <c r="V3124" i="3"/>
  <c r="V3125" i="3"/>
  <c r="V3126" i="3"/>
  <c r="V3127" i="3"/>
  <c r="V3128" i="3"/>
  <c r="V3129" i="3"/>
  <c r="V3130" i="3"/>
  <c r="V3131" i="3"/>
  <c r="V3132" i="3"/>
  <c r="V3133" i="3"/>
  <c r="V3134" i="3"/>
  <c r="V3135" i="3"/>
  <c r="V3136" i="3"/>
  <c r="V3137" i="3"/>
  <c r="V3138" i="3"/>
  <c r="V3139" i="3"/>
  <c r="V3140" i="3"/>
  <c r="V3141" i="3"/>
  <c r="V3142" i="3"/>
  <c r="V3143" i="3"/>
  <c r="V3144" i="3"/>
  <c r="V3145" i="3"/>
  <c r="V3146" i="3"/>
  <c r="V3147" i="3"/>
  <c r="V3148" i="3"/>
  <c r="V3149" i="3"/>
  <c r="V3150" i="3"/>
  <c r="V3151" i="3"/>
  <c r="V3152" i="3"/>
  <c r="V3153" i="3"/>
  <c r="V3154" i="3"/>
  <c r="V3155" i="3"/>
  <c r="V3156" i="3"/>
  <c r="V3157" i="3"/>
  <c r="V3158" i="3"/>
  <c r="V3159" i="3"/>
  <c r="V3160" i="3"/>
  <c r="V3161" i="3"/>
  <c r="V3162" i="3"/>
  <c r="V3163" i="3"/>
  <c r="V3164" i="3"/>
  <c r="V3165" i="3"/>
  <c r="V3166" i="3"/>
  <c r="V3167" i="3"/>
  <c r="V3168" i="3"/>
  <c r="V3169" i="3"/>
  <c r="V3170" i="3"/>
  <c r="V3171" i="3"/>
  <c r="V3172" i="3"/>
  <c r="V3173" i="3"/>
  <c r="V3174" i="3"/>
  <c r="V3175" i="3"/>
  <c r="V3176" i="3"/>
  <c r="V3177" i="3"/>
  <c r="V3178" i="3"/>
  <c r="V3179" i="3"/>
  <c r="V3180" i="3"/>
  <c r="V3181" i="3"/>
  <c r="V3182" i="3"/>
  <c r="V3183" i="3"/>
  <c r="V3184" i="3"/>
  <c r="V3185" i="3"/>
  <c r="V3186" i="3"/>
  <c r="V3187" i="3"/>
  <c r="V3188" i="3"/>
  <c r="V3189" i="3"/>
  <c r="V3190" i="3"/>
  <c r="V3191" i="3"/>
  <c r="V3192" i="3"/>
  <c r="V3193" i="3"/>
  <c r="V3194" i="3"/>
  <c r="V3195" i="3"/>
  <c r="V3196" i="3"/>
  <c r="V3197" i="3"/>
  <c r="V3198" i="3"/>
  <c r="V3199" i="3"/>
  <c r="V3200" i="3"/>
  <c r="V3201" i="3"/>
  <c r="V3202" i="3"/>
  <c r="V3203" i="3"/>
  <c r="V3204" i="3"/>
  <c r="V3205" i="3"/>
  <c r="V3206" i="3"/>
  <c r="V3207" i="3"/>
  <c r="V3208" i="3"/>
  <c r="V3209" i="3"/>
  <c r="V3210" i="3"/>
  <c r="V3211" i="3"/>
  <c r="V3212" i="3"/>
  <c r="V3213" i="3"/>
  <c r="V3214" i="3"/>
  <c r="V3215" i="3"/>
  <c r="V3216" i="3"/>
  <c r="V3217" i="3"/>
  <c r="V3218" i="3"/>
  <c r="V3219" i="3"/>
  <c r="V3220" i="3"/>
  <c r="V3221" i="3"/>
  <c r="V3222" i="3"/>
  <c r="V3223" i="3"/>
  <c r="V3224" i="3"/>
  <c r="V3225" i="3"/>
  <c r="V3226" i="3"/>
  <c r="V3227" i="3"/>
  <c r="V3228" i="3"/>
  <c r="V3229" i="3"/>
  <c r="V3230" i="3"/>
  <c r="V3231" i="3"/>
  <c r="V3232" i="3"/>
  <c r="V3233" i="3"/>
  <c r="V3234" i="3"/>
  <c r="V3235" i="3"/>
  <c r="V3236" i="3"/>
  <c r="V3237" i="3"/>
  <c r="V3238" i="3"/>
  <c r="V3239" i="3"/>
  <c r="V3240" i="3"/>
  <c r="V3241" i="3"/>
  <c r="V3242" i="3"/>
  <c r="V3243" i="3"/>
  <c r="V3244" i="3"/>
  <c r="V3245" i="3"/>
  <c r="V3246" i="3"/>
  <c r="V3247" i="3"/>
  <c r="V3248" i="3"/>
  <c r="V3249" i="3"/>
  <c r="V3250" i="3"/>
  <c r="V3251" i="3"/>
  <c r="V3252" i="3"/>
  <c r="V3253" i="3"/>
  <c r="V3254" i="3"/>
  <c r="V3255" i="3"/>
  <c r="V3256" i="3"/>
  <c r="V3257" i="3"/>
  <c r="V3258" i="3"/>
  <c r="V3259" i="3"/>
  <c r="V3260" i="3"/>
  <c r="V3261" i="3"/>
  <c r="V3262" i="3"/>
  <c r="V3263" i="3"/>
  <c r="V3264" i="3"/>
  <c r="V3265" i="3"/>
  <c r="V3266" i="3"/>
  <c r="V3267" i="3"/>
  <c r="V3268" i="3"/>
  <c r="V3269" i="3"/>
  <c r="V3270" i="3"/>
  <c r="V3271" i="3"/>
  <c r="V3272" i="3"/>
  <c r="V3273" i="3"/>
  <c r="V3274" i="3"/>
  <c r="V3275" i="3"/>
  <c r="V3276" i="3"/>
  <c r="V3277" i="3"/>
  <c r="V3278" i="3"/>
  <c r="V3279" i="3"/>
  <c r="V3280" i="3"/>
  <c r="V3281" i="3"/>
  <c r="V3282" i="3"/>
  <c r="V3283" i="3"/>
  <c r="V3284" i="3"/>
  <c r="V3285" i="3"/>
  <c r="V3286" i="3"/>
  <c r="V3287" i="3"/>
  <c r="V3288" i="3"/>
  <c r="V3289" i="3"/>
  <c r="V3290" i="3"/>
  <c r="V3291" i="3"/>
  <c r="V3292" i="3"/>
  <c r="V3293" i="3"/>
  <c r="V3294" i="3"/>
  <c r="V3295" i="3"/>
  <c r="V3296" i="3"/>
  <c r="V3297" i="3"/>
  <c r="V3298" i="3"/>
  <c r="V3299" i="3"/>
  <c r="V3300" i="3"/>
  <c r="V3301" i="3"/>
  <c r="V3302" i="3"/>
  <c r="V3303" i="3"/>
  <c r="V3304" i="3"/>
  <c r="V3305" i="3"/>
  <c r="V3306" i="3"/>
  <c r="V3307" i="3"/>
  <c r="V3308" i="3"/>
  <c r="V3309" i="3"/>
  <c r="V3310" i="3"/>
  <c r="V3311" i="3"/>
  <c r="V3312" i="3"/>
  <c r="V3313" i="3"/>
  <c r="V3314" i="3"/>
  <c r="V3315" i="3"/>
  <c r="V3316" i="3"/>
  <c r="V3317" i="3"/>
  <c r="V3318" i="3"/>
  <c r="V3319" i="3"/>
  <c r="V3320" i="3"/>
  <c r="V3321" i="3"/>
  <c r="V3322" i="3"/>
  <c r="V3323" i="3"/>
  <c r="V3324" i="3"/>
  <c r="V3325" i="3"/>
  <c r="V3326" i="3"/>
  <c r="V3327" i="3"/>
  <c r="V3328" i="3"/>
  <c r="V3329" i="3"/>
  <c r="V3330" i="3"/>
  <c r="V3331" i="3"/>
  <c r="V3332" i="3"/>
  <c r="V3333" i="3"/>
  <c r="V3334" i="3"/>
  <c r="V3335" i="3"/>
  <c r="V3336" i="3"/>
  <c r="V3337" i="3"/>
  <c r="V3338" i="3"/>
  <c r="V3339" i="3"/>
  <c r="V3340" i="3"/>
  <c r="V3341" i="3"/>
  <c r="V3342" i="3"/>
  <c r="V3343" i="3"/>
  <c r="V3344" i="3"/>
  <c r="V3345" i="3"/>
  <c r="V3346" i="3"/>
  <c r="V3347" i="3"/>
  <c r="V3348" i="3"/>
  <c r="V3349" i="3"/>
  <c r="V3350" i="3"/>
  <c r="V3351" i="3"/>
  <c r="V3352" i="3"/>
  <c r="V3353" i="3"/>
  <c r="V3354" i="3"/>
  <c r="V3355" i="3"/>
  <c r="V3356" i="3"/>
  <c r="V3357" i="3"/>
  <c r="V3358" i="3"/>
  <c r="V3359" i="3"/>
  <c r="V3360" i="3"/>
  <c r="V3361" i="3"/>
  <c r="V3362" i="3"/>
  <c r="V3363" i="3"/>
  <c r="V3364" i="3"/>
  <c r="V3365" i="3"/>
  <c r="V3366" i="3"/>
  <c r="V3367" i="3"/>
  <c r="V3368" i="3"/>
  <c r="V3369" i="3"/>
  <c r="V3370" i="3"/>
  <c r="V3371" i="3"/>
  <c r="V3372" i="3"/>
  <c r="V3373" i="3"/>
  <c r="V3374" i="3"/>
  <c r="V3375" i="3"/>
  <c r="V3376" i="3"/>
  <c r="V3377" i="3"/>
  <c r="V3378" i="3"/>
  <c r="V3379" i="3"/>
  <c r="V3380" i="3"/>
  <c r="V3381" i="3"/>
  <c r="V3382" i="3"/>
  <c r="V3383" i="3"/>
  <c r="V3384" i="3"/>
  <c r="V3385" i="3"/>
  <c r="V3386" i="3"/>
  <c r="V3387" i="3"/>
  <c r="V3388" i="3"/>
  <c r="V3389" i="3"/>
  <c r="V3390" i="3"/>
  <c r="V3391" i="3"/>
  <c r="V3392" i="3"/>
  <c r="V3393" i="3"/>
  <c r="V3394" i="3"/>
  <c r="V3395" i="3"/>
  <c r="V3396" i="3"/>
  <c r="V3397" i="3"/>
  <c r="V3398" i="3"/>
  <c r="V3399" i="3"/>
  <c r="V3400" i="3"/>
  <c r="V3401" i="3"/>
  <c r="V3402" i="3"/>
  <c r="V3403" i="3"/>
  <c r="V3404" i="3"/>
  <c r="V3405" i="3"/>
  <c r="V3406" i="3"/>
  <c r="V3407" i="3"/>
  <c r="V3408" i="3"/>
  <c r="V3409" i="3"/>
  <c r="V3410" i="3"/>
  <c r="V3411" i="3"/>
  <c r="V3412" i="3"/>
  <c r="V3413" i="3"/>
  <c r="V3414" i="3"/>
  <c r="V3415" i="3"/>
  <c r="V3416" i="3"/>
  <c r="V3417" i="3"/>
  <c r="V3418" i="3"/>
  <c r="V3419" i="3"/>
  <c r="V3420" i="3"/>
  <c r="V3421" i="3"/>
  <c r="V3422" i="3"/>
  <c r="V3423" i="3"/>
  <c r="V3424" i="3"/>
  <c r="V3425" i="3"/>
  <c r="V3426" i="3"/>
  <c r="V3427" i="3"/>
  <c r="V3428" i="3"/>
  <c r="V3429" i="3"/>
  <c r="V3430" i="3"/>
  <c r="V3431" i="3"/>
  <c r="V3432" i="3"/>
  <c r="V3433" i="3"/>
  <c r="V3434" i="3"/>
  <c r="V3435" i="3"/>
  <c r="V3436" i="3"/>
  <c r="V3437" i="3"/>
  <c r="V3438" i="3"/>
  <c r="V3439" i="3"/>
  <c r="V3440" i="3"/>
  <c r="V3441" i="3"/>
  <c r="V3442" i="3"/>
  <c r="V3443" i="3"/>
  <c r="V3444" i="3"/>
  <c r="V3445" i="3"/>
  <c r="V3446" i="3"/>
  <c r="V3447" i="3"/>
  <c r="V3448" i="3"/>
  <c r="V3449" i="3"/>
  <c r="V3450" i="3"/>
  <c r="V3451" i="3"/>
  <c r="V3452" i="3"/>
  <c r="V3453" i="3"/>
  <c r="V3454" i="3"/>
  <c r="V3455" i="3"/>
  <c r="V3456" i="3"/>
  <c r="V3457" i="3"/>
  <c r="V3458" i="3"/>
  <c r="V3459" i="3"/>
  <c r="V3460" i="3"/>
  <c r="V3461" i="3"/>
  <c r="V3462" i="3"/>
  <c r="V3463" i="3"/>
  <c r="V3464" i="3"/>
  <c r="V3465" i="3"/>
  <c r="V3466" i="3"/>
  <c r="V3467" i="3"/>
  <c r="V3468" i="3"/>
  <c r="V3469" i="3"/>
  <c r="V3470" i="3"/>
  <c r="V3471" i="3"/>
  <c r="V3472" i="3"/>
  <c r="V3473" i="3"/>
  <c r="V3474" i="3"/>
  <c r="V3475" i="3"/>
  <c r="V3476" i="3"/>
  <c r="V3477" i="3"/>
  <c r="V3478" i="3"/>
  <c r="V3479" i="3"/>
  <c r="V3480" i="3"/>
  <c r="V3481" i="3"/>
  <c r="V3482" i="3"/>
  <c r="V3483" i="3"/>
  <c r="V3484" i="3"/>
  <c r="V3485" i="3"/>
  <c r="V3486" i="3"/>
  <c r="V3487" i="3"/>
  <c r="V3488" i="3"/>
  <c r="V3489" i="3"/>
  <c r="V3490" i="3"/>
  <c r="V3491" i="3"/>
  <c r="V3492" i="3"/>
  <c r="V3493" i="3"/>
  <c r="V3494" i="3"/>
  <c r="V3495" i="3"/>
  <c r="V3496" i="3"/>
  <c r="V3497" i="3"/>
  <c r="V3498" i="3"/>
  <c r="V3499" i="3"/>
  <c r="V3500" i="3"/>
  <c r="V3501" i="3"/>
  <c r="V3502" i="3"/>
  <c r="V3503" i="3"/>
  <c r="V3504" i="3"/>
  <c r="V3505" i="3"/>
  <c r="V3506" i="3"/>
  <c r="V3507" i="3"/>
  <c r="V3508" i="3"/>
  <c r="V3509" i="3"/>
  <c r="V3510" i="3"/>
  <c r="V3511" i="3"/>
  <c r="V3512" i="3"/>
  <c r="V3513" i="3"/>
  <c r="V3514" i="3"/>
  <c r="V3515" i="3"/>
  <c r="V3516" i="3"/>
  <c r="V3517" i="3"/>
  <c r="V3518" i="3"/>
  <c r="V3519" i="3"/>
  <c r="V3520" i="3"/>
  <c r="V3521" i="3"/>
  <c r="V3522" i="3"/>
  <c r="V3523" i="3"/>
  <c r="V3524" i="3"/>
  <c r="V3525" i="3"/>
  <c r="V3526" i="3"/>
  <c r="V3527" i="3"/>
  <c r="V3528" i="3"/>
  <c r="V3529" i="3"/>
  <c r="V3530" i="3"/>
  <c r="V3531" i="3"/>
  <c r="V3532" i="3"/>
  <c r="V3533" i="3"/>
  <c r="V3534" i="3"/>
  <c r="V3535" i="3"/>
  <c r="V3536" i="3"/>
  <c r="V3537" i="3"/>
  <c r="V3538" i="3"/>
  <c r="V3539" i="3"/>
  <c r="V3540" i="3"/>
  <c r="V3541" i="3"/>
  <c r="V3542" i="3"/>
  <c r="V3543" i="3"/>
  <c r="V3544" i="3"/>
  <c r="V3545" i="3"/>
  <c r="V3546" i="3"/>
  <c r="V3547" i="3"/>
  <c r="V3548" i="3"/>
  <c r="V3549" i="3"/>
  <c r="V3550" i="3"/>
  <c r="V3551" i="3"/>
  <c r="V3552" i="3"/>
  <c r="V3553" i="3"/>
  <c r="V3554" i="3"/>
  <c r="V3555" i="3"/>
  <c r="V3556" i="3"/>
  <c r="V3557" i="3"/>
  <c r="V3558" i="3"/>
  <c r="V3559" i="3"/>
  <c r="V3560" i="3"/>
  <c r="V3561" i="3"/>
  <c r="V3562" i="3"/>
  <c r="V3563" i="3"/>
  <c r="V3564" i="3"/>
  <c r="V3565" i="3"/>
  <c r="V3566" i="3"/>
  <c r="V3567" i="3"/>
  <c r="V3568" i="3"/>
  <c r="V3569" i="3"/>
  <c r="V3570" i="3"/>
  <c r="V3571" i="3"/>
  <c r="V3572" i="3"/>
  <c r="V3573" i="3"/>
  <c r="V3574" i="3"/>
  <c r="V3575" i="3"/>
  <c r="V3576" i="3"/>
  <c r="V3577" i="3"/>
  <c r="V3578" i="3"/>
  <c r="V3579" i="3"/>
  <c r="V3580" i="3"/>
  <c r="V3581" i="3"/>
  <c r="V3582" i="3"/>
  <c r="V3583" i="3"/>
  <c r="V3584" i="3"/>
  <c r="V3585" i="3"/>
  <c r="V3586" i="3"/>
  <c r="V3587" i="3"/>
  <c r="V3588" i="3"/>
  <c r="V3589" i="3"/>
  <c r="V3590" i="3"/>
  <c r="V3591" i="3"/>
  <c r="V3592" i="3"/>
  <c r="V3593" i="3"/>
  <c r="V3594" i="3"/>
  <c r="V3595" i="3"/>
  <c r="V3596" i="3"/>
  <c r="V3597" i="3"/>
  <c r="V3598" i="3"/>
  <c r="V3599" i="3"/>
  <c r="V3600" i="3"/>
  <c r="V3601" i="3"/>
  <c r="V3602" i="3"/>
  <c r="V3603" i="3"/>
  <c r="V3604" i="3"/>
  <c r="V3605" i="3"/>
  <c r="V3606" i="3"/>
  <c r="V3607" i="3"/>
  <c r="V3608" i="3"/>
  <c r="V3609" i="3"/>
  <c r="V3610" i="3"/>
  <c r="V3611" i="3"/>
  <c r="V3612" i="3"/>
  <c r="V3613" i="3"/>
  <c r="V3614" i="3"/>
  <c r="V3615" i="3"/>
  <c r="V3616" i="3"/>
  <c r="V3617" i="3"/>
  <c r="V3618" i="3"/>
  <c r="V3619" i="3"/>
  <c r="V3620" i="3"/>
  <c r="V3621" i="3"/>
  <c r="V3622" i="3"/>
  <c r="V3623" i="3"/>
  <c r="V3624" i="3"/>
  <c r="V3625" i="3"/>
  <c r="V3626" i="3"/>
  <c r="V3627" i="3"/>
  <c r="V3628" i="3"/>
  <c r="V3629" i="3"/>
  <c r="V3630" i="3"/>
  <c r="V3631" i="3"/>
  <c r="V3632" i="3"/>
  <c r="V3633" i="3"/>
  <c r="V3634" i="3"/>
  <c r="V3635" i="3"/>
  <c r="V3636" i="3"/>
  <c r="V3637" i="3"/>
  <c r="V3638" i="3"/>
  <c r="V3639" i="3"/>
  <c r="V3640" i="3"/>
  <c r="V3641" i="3"/>
  <c r="V3642" i="3"/>
  <c r="V3643" i="3"/>
  <c r="V3644" i="3"/>
  <c r="V3645" i="3"/>
  <c r="V3646" i="3"/>
  <c r="V3647" i="3"/>
  <c r="V3648" i="3"/>
  <c r="V3649" i="3"/>
  <c r="V3650" i="3"/>
  <c r="V3651" i="3"/>
  <c r="V3652" i="3"/>
  <c r="V3653" i="3"/>
  <c r="V3654" i="3"/>
  <c r="V3655" i="3"/>
  <c r="V3656" i="3"/>
  <c r="V3657" i="3"/>
  <c r="V3658" i="3"/>
  <c r="V3659" i="3"/>
  <c r="V3660" i="3"/>
  <c r="V3661" i="3"/>
  <c r="V3662" i="3"/>
  <c r="V3663" i="3"/>
  <c r="V3664" i="3"/>
  <c r="V3665" i="3"/>
  <c r="V3666" i="3"/>
  <c r="V3667" i="3"/>
  <c r="V3668" i="3"/>
  <c r="V3669" i="3"/>
  <c r="V3670" i="3"/>
  <c r="V3671" i="3"/>
  <c r="V3672" i="3"/>
  <c r="V3673" i="3"/>
  <c r="V3674" i="3"/>
  <c r="V3675" i="3"/>
  <c r="V3676" i="3"/>
  <c r="V3677" i="3"/>
  <c r="V3678" i="3"/>
  <c r="V3679" i="3"/>
  <c r="V3680" i="3"/>
  <c r="V3681" i="3"/>
  <c r="V3682" i="3"/>
  <c r="V3683" i="3"/>
  <c r="V3684" i="3"/>
  <c r="V3685" i="3"/>
  <c r="V3686" i="3"/>
  <c r="V3687" i="3"/>
  <c r="V3688" i="3"/>
  <c r="V3689" i="3"/>
  <c r="V3690" i="3"/>
  <c r="V3691" i="3"/>
  <c r="V3692" i="3"/>
  <c r="V3693" i="3"/>
  <c r="V3694" i="3"/>
  <c r="V3695" i="3"/>
  <c r="V3696" i="3"/>
  <c r="V3697" i="3"/>
  <c r="V3698" i="3"/>
  <c r="V3699" i="3"/>
  <c r="V3700" i="3"/>
  <c r="V3701" i="3"/>
  <c r="V3702" i="3"/>
  <c r="V3703" i="3"/>
  <c r="V3704" i="3"/>
  <c r="V3705" i="3"/>
  <c r="V3706" i="3"/>
  <c r="V3707" i="3"/>
  <c r="V3708" i="3"/>
  <c r="V3709" i="3"/>
  <c r="V3710" i="3"/>
  <c r="V3711" i="3"/>
  <c r="V3712" i="3"/>
  <c r="V3713" i="3"/>
  <c r="V3714" i="3"/>
  <c r="V3715" i="3"/>
  <c r="V3716" i="3"/>
  <c r="V3717" i="3"/>
  <c r="V3718" i="3"/>
  <c r="V3719" i="3"/>
  <c r="V3720" i="3"/>
  <c r="V3721" i="3"/>
  <c r="V3722" i="3"/>
  <c r="V3723" i="3"/>
  <c r="V3724" i="3"/>
  <c r="V3725" i="3"/>
  <c r="V3726" i="3"/>
  <c r="V3727" i="3"/>
  <c r="V3728" i="3"/>
  <c r="V3729" i="3"/>
  <c r="V3730" i="3"/>
  <c r="V3731" i="3"/>
  <c r="V3732" i="3"/>
  <c r="V3733" i="3"/>
  <c r="V3734" i="3"/>
  <c r="V3735" i="3"/>
  <c r="V3736" i="3"/>
  <c r="V3737" i="3"/>
  <c r="V3738" i="3"/>
  <c r="V3739" i="3"/>
  <c r="V3740" i="3"/>
  <c r="V3741" i="3"/>
  <c r="V3742" i="3"/>
  <c r="V3743" i="3"/>
  <c r="V3744" i="3"/>
  <c r="V3745" i="3"/>
  <c r="V3746" i="3"/>
  <c r="V3747" i="3"/>
  <c r="V3748" i="3"/>
  <c r="V3749" i="3"/>
  <c r="V3750" i="3"/>
  <c r="V3751" i="3"/>
  <c r="V3752" i="3"/>
  <c r="V3753" i="3"/>
  <c r="V3754" i="3"/>
  <c r="V3755" i="3"/>
  <c r="V3756" i="3"/>
  <c r="V3757" i="3"/>
  <c r="V3758" i="3"/>
  <c r="V3759" i="3"/>
  <c r="V3760" i="3"/>
  <c r="V3761" i="3"/>
  <c r="V3762" i="3"/>
  <c r="V3763" i="3"/>
  <c r="V3764" i="3"/>
  <c r="V3765" i="3"/>
  <c r="V3766" i="3"/>
  <c r="V3767" i="3"/>
  <c r="V3768" i="3"/>
  <c r="V3769" i="3"/>
  <c r="V3770" i="3"/>
  <c r="V3771" i="3"/>
  <c r="V3772" i="3"/>
  <c r="V3773" i="3"/>
  <c r="V3774" i="3"/>
  <c r="V3775" i="3"/>
  <c r="V3776" i="3"/>
  <c r="V3777" i="3"/>
  <c r="V3778" i="3"/>
  <c r="V3779" i="3"/>
  <c r="V3780" i="3"/>
  <c r="V3781" i="3"/>
  <c r="V3782" i="3"/>
  <c r="V3783" i="3"/>
  <c r="V3784" i="3"/>
  <c r="V3785" i="3"/>
  <c r="V3786" i="3"/>
  <c r="V3787" i="3"/>
  <c r="V3788" i="3"/>
  <c r="V3789" i="3"/>
  <c r="V3790" i="3"/>
  <c r="V3791" i="3"/>
  <c r="V3792" i="3"/>
  <c r="V3793" i="3"/>
  <c r="V3794" i="3"/>
  <c r="V3795" i="3"/>
  <c r="V3796" i="3"/>
  <c r="V3797" i="3"/>
  <c r="V3798" i="3"/>
  <c r="V3799" i="3"/>
  <c r="V3800" i="3"/>
  <c r="V3801" i="3"/>
  <c r="V3802" i="3"/>
  <c r="V3803" i="3"/>
  <c r="V3804" i="3"/>
  <c r="V3805" i="3"/>
  <c r="V3806" i="3"/>
  <c r="V3807" i="3"/>
  <c r="V3808" i="3"/>
  <c r="V3809" i="3"/>
  <c r="V3810" i="3"/>
  <c r="V3811" i="3"/>
  <c r="V3812" i="3"/>
  <c r="V3813" i="3"/>
  <c r="V3814" i="3"/>
  <c r="V3815" i="3"/>
  <c r="V3816" i="3"/>
  <c r="V3817" i="3"/>
  <c r="V3818" i="3"/>
  <c r="V3819" i="3"/>
  <c r="V3820" i="3"/>
  <c r="V3821" i="3"/>
  <c r="V3822" i="3"/>
  <c r="V3823" i="3"/>
  <c r="V3824" i="3"/>
  <c r="V3825" i="3"/>
  <c r="V3826" i="3"/>
  <c r="V3827" i="3"/>
  <c r="V3828" i="3"/>
  <c r="V3829" i="3"/>
  <c r="V3830" i="3"/>
  <c r="V3831" i="3"/>
  <c r="V3832" i="3"/>
  <c r="V3833" i="3"/>
  <c r="V3834" i="3"/>
  <c r="V3835" i="3"/>
  <c r="V3836" i="3"/>
  <c r="V3837" i="3"/>
  <c r="V3838" i="3"/>
  <c r="V3839" i="3"/>
  <c r="V3840" i="3"/>
  <c r="V3841" i="3"/>
  <c r="V3842" i="3"/>
  <c r="V3843" i="3"/>
  <c r="V3844" i="3"/>
  <c r="V3845" i="3"/>
  <c r="V3846" i="3"/>
  <c r="V3847" i="3"/>
  <c r="V3848" i="3"/>
  <c r="V3849" i="3"/>
  <c r="V3850" i="3"/>
  <c r="V3851" i="3"/>
  <c r="V3852" i="3"/>
  <c r="V3853" i="3"/>
  <c r="V3854" i="3"/>
  <c r="V3855" i="3"/>
  <c r="V3856" i="3"/>
  <c r="V3857" i="3"/>
  <c r="V3858" i="3"/>
  <c r="V3859" i="3"/>
  <c r="V3860" i="3"/>
  <c r="V3861" i="3"/>
  <c r="V3862" i="3"/>
  <c r="V3863" i="3"/>
  <c r="V3864" i="3"/>
  <c r="V3865" i="3"/>
  <c r="V3866" i="3"/>
  <c r="V3867" i="3"/>
  <c r="V3868" i="3"/>
  <c r="V3869" i="3"/>
  <c r="V3870" i="3"/>
  <c r="V3871" i="3"/>
  <c r="V3872" i="3"/>
  <c r="V3873" i="3"/>
  <c r="V3874" i="3"/>
  <c r="V3875" i="3"/>
  <c r="V3876" i="3"/>
  <c r="V3877" i="3"/>
  <c r="V3878" i="3"/>
  <c r="V3879" i="3"/>
  <c r="V3880" i="3"/>
  <c r="V3881" i="3"/>
  <c r="V3882" i="3"/>
  <c r="V3883" i="3"/>
  <c r="V3884" i="3"/>
  <c r="V3885" i="3"/>
  <c r="V3886" i="3"/>
  <c r="V3887" i="3"/>
  <c r="V3888" i="3"/>
  <c r="V3889" i="3"/>
  <c r="V3890" i="3"/>
  <c r="V3891" i="3"/>
  <c r="V3892" i="3"/>
  <c r="V3893" i="3"/>
  <c r="V3894" i="3"/>
  <c r="V3895" i="3"/>
  <c r="V3896" i="3"/>
  <c r="V3897" i="3"/>
  <c r="V3898" i="3"/>
  <c r="V3899" i="3"/>
  <c r="V3900" i="3"/>
  <c r="V3901" i="3"/>
  <c r="V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<sst xmlns="http://schemas.openxmlformats.org/spreadsheetml/2006/main" count="54632" uniqueCount="165">
  <si>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</si>
  <si>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</si>
  <si>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</si>
  <si>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</si>
  <si>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</si>
  <si>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</si>
  <si>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</si>
  <si>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</si>
  <si>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</si>
  <si>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</si>
  <si>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</si>
  <si>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</si>
  <si>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</si>
  <si>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</si>
  <si>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</si>
  <si>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</si>
  <si>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</si>
  <si>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</si>
  <si>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</si>
  <si>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</si>
  <si>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</si>
  <si>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</si>
  <si>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</si>
  <si>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</si>
  <si>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</si>
  <si>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</si>
  <si>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</si>
  <si>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</si>
  <si>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</si>
  <si>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</si>
  <si>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</si>
  <si>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</si>
  <si>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</si>
  <si>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</si>
  <si>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</si>
  <si>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</si>
  <si>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</si>
  <si>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</si>
  <si>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</si>
  <si>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</si>
  <si>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</si>
  <si>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</si>
  <si>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</si>
  <si>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</si>
  <si>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</si>
  <si>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</si>
  <si>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</si>
  <si>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</si>
  <si>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</si>
  <si>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</si>
  <si>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</si>
  <si>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</si>
  <si>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</si>
  <si>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</si>
  <si>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</si>
  <si>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</si>
  <si>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</si>
  <si>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</si>
  <si>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</si>
  <si>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</si>
  <si>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</si>
  <si>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</si>
  <si>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</si>
  <si>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</si>
  <si>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</si>
  <si>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</si>
  <si>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</si>
  <si>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</si>
  <si>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</si>
  <si>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</si>
  <si>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</si>
  <si>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</si>
  <si>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</si>
  <si>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</si>
  <si>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</si>
  <si>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</si>
  <si>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</si>
  <si>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</si>
  <si>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</si>
  <si>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</si>
  <si>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</si>
  <si>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</si>
  <si>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</si>
  <si>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</si>
  <si>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</si>
  <si>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</si>
  <si>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</si>
  <si>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</si>
  <si>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</si>
  <si>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</si>
  <si>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</si>
  <si>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</si>
  <si>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</si>
  <si>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</si>
  <si>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</si>
  <si>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</si>
  <si>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</si>
  <si>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</si>
  <si>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</si>
  <si>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</si>
  <si>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</si>
  <si>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</si>
  <si>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</si>
  <si>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</si>
  <si>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</si>
  <si>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</si>
  <si>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</si>
  <si>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</si>
  <si>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</si>
  <si>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</si>
  <si>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</si>
  <si>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</si>
  <si>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</si>
  <si>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</si>
  <si>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</si>
  <si>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</si>
  <si>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</si>
  <si>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</si>
  <si>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</si>
  <si>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</si>
  <si>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</si>
  <si>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</si>
  <si>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</si>
  <si>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New Mexico</t>
  </si>
  <si>
    <t>Ohio</t>
  </si>
  <si>
    <t>Hat</t>
  </si>
  <si>
    <t>South Carolina</t>
  </si>
  <si>
    <t>Gloves</t>
  </si>
  <si>
    <t>Virginia</t>
  </si>
  <si>
    <t>Indigo</t>
  </si>
  <si>
    <t>South Dakota</t>
  </si>
  <si>
    <t>Socks</t>
  </si>
  <si>
    <t>Boots</t>
  </si>
  <si>
    <t>Backpack</t>
  </si>
  <si>
    <t>Minnesota</t>
  </si>
  <si>
    <t>Maryland</t>
  </si>
  <si>
    <t>Belt</t>
  </si>
  <si>
    <t>New Jersey</t>
  </si>
  <si>
    <t>Blue</t>
  </si>
  <si>
    <t>Yellow</t>
  </si>
  <si>
    <t>Washington</t>
  </si>
  <si>
    <t>Pennsylvania</t>
  </si>
  <si>
    <t>Georgia</t>
  </si>
  <si>
    <t>Nebraska</t>
  </si>
  <si>
    <t>Idaho</t>
  </si>
  <si>
    <t>Vermont</t>
  </si>
  <si>
    <t>Connecticut</t>
  </si>
  <si>
    <t>Magenta</t>
  </si>
  <si>
    <t>Wisconsin</t>
  </si>
  <si>
    <t>Utah</t>
  </si>
  <si>
    <t>Iowa</t>
  </si>
  <si>
    <t>Michigan</t>
  </si>
  <si>
    <t>No</t>
  </si>
  <si>
    <t>Female</t>
  </si>
  <si>
    <t>Format Frequency Purchase</t>
  </si>
  <si>
    <t>Score of purchase</t>
  </si>
  <si>
    <t>Customer loyalty</t>
  </si>
  <si>
    <t>frequency</t>
  </si>
  <si>
    <t>weightage</t>
  </si>
  <si>
    <t>Month</t>
  </si>
  <si>
    <t>Daily</t>
  </si>
  <si>
    <t>2-week</t>
  </si>
  <si>
    <t>Age range</t>
  </si>
  <si>
    <t>Formula to check for Missing values</t>
  </si>
  <si>
    <t>Formula to check for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</si>
</sst>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ran\Documents\TNB\Protoge%20DA%20workshop\Capstone%20Project\shopping_trends.xlsx" TargetMode="External"/><Relationship Id="rId1" Type="http://schemas.openxmlformats.org/officeDocument/2006/relationships/externalLinkPath" Target="shopping_tren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pping_trends(raw)"/>
      <sheetName val="Clean data"/>
      <sheetName val="tablescore"/>
    </sheetNames>
    <sheetDataSet>
      <sheetData sheetId="0"/>
      <sheetData sheetId="1"/>
      <sheetData sheetId="2">
        <row r="3">
          <cell r="B3" t="str">
            <v>Annually</v>
          </cell>
          <cell r="C3">
            <v>1</v>
          </cell>
        </row>
        <row r="4">
          <cell r="B4" t="str">
            <v>Quarterly</v>
          </cell>
          <cell r="C4">
            <v>4</v>
          </cell>
        </row>
        <row r="5">
          <cell r="B5" t="str">
            <v>Month</v>
          </cell>
          <cell r="C5">
            <v>12</v>
          </cell>
        </row>
        <row r="6">
          <cell r="B6" t="str">
            <v>2-week</v>
          </cell>
          <cell r="C6">
            <v>26</v>
          </cell>
        </row>
        <row r="7">
          <cell r="B7" t="str">
            <v>Daily</v>
          </cell>
          <cell r="C7">
            <v>30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6858-5FA9-456D-BC4B-89C98FCCC7C6}">
  <dimension ref="A1:Z3901"/>
  <sheetViews>
    <sheetView tabSelected="1" workbookViewId="0">
      <selection activeCell="Y10" sqref="Y10"/>
    </sheetView>
  </sheetViews>
  <sheetFormatPr defaultRowHeight="15" x14ac:dyDescent="0.25"/>
  <cols>
    <col min="1" max="1" width="13.42578125" customWidth="1"/>
    <col min="3" max="3" width="14.140625" customWidth="1"/>
    <col min="5" max="5" width="17.5703125" customWidth="1"/>
    <col min="6" max="6" width="19.140625" customWidth="1"/>
    <col min="7" max="7" width="24.85546875" customWidth="1"/>
    <col min="8" max="8" width="16" customWidth="1"/>
    <col min="12" max="12" width="13.5703125" customWidth="1"/>
    <col min="13" max="13" width="22.140625" customWidth="1"/>
    <col min="14" max="14" width="22.28515625" customWidth="1"/>
    <col min="15" max="15" width="17.85546875" customWidth="1"/>
    <col min="17" max="17" width="18.7109375" customWidth="1"/>
    <col min="18" max="18" width="22.42578125" customWidth="1"/>
    <col min="19" max="22" width="30.140625" customWidth="1"/>
    <col min="23" max="24" width="26.85546875" customWidth="1"/>
    <col min="25" max="25" width="32.7109375" customWidth="1"/>
    <col min="26" max="26" width="29.140625" customWidth="1"/>
  </cols>
  <sheetData>
    <row r="1" spans="1:26" x14ac:dyDescent="0.25">
      <c r="A1" t="s">
        <v>0</v>
      </c>
      <c r="B1" t="s">
        <v>1</v>
      </c>
      <c r="C1" t="s">
        <v>162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154</v>
      </c>
      <c r="U1" t="s">
        <v>155</v>
      </c>
      <c r="V1" t="s">
        <v>156</v>
      </c>
      <c r="W1" t="s">
        <v>18</v>
      </c>
      <c r="Y1" t="s">
        <v>163</v>
      </c>
      <c r="Z1" t="s">
        <v>164</v>
      </c>
    </row>
    <row r="2" spans="1:26" x14ac:dyDescent="0.25">
      <c r="A2">
        <v>1</v>
      </c>
      <c r="B2">
        <v>55</v>
      </c>
      <c r="C2" t="str" cm="1">
        <f t="array" ref="C2">_xlfn.IFS(
  AND(B2&gt;=18, B2&lt;=24), "18-24",
  AND(B2&gt;=25, B2&lt;=34), "25-34",
  AND(B2&gt;=35, B2&lt;=44), "35-44",
  AND(B2&gt;=45, B2&lt;=54), "45-54",
  B2&gt;=55, "55+"
)</f>
        <v>55+</v>
      </c>
      <c r="D2" t="s">
        <v>19</v>
      </c>
      <c r="E2" t="s">
        <v>20</v>
      </c>
      <c r="F2" t="s">
        <v>21</v>
      </c>
      <c r="G2">
        <v>53</v>
      </c>
      <c r="H2" t="s">
        <v>22</v>
      </c>
      <c r="I2" t="s">
        <v>23</v>
      </c>
      <c r="J2" t="s">
        <v>24</v>
      </c>
      <c r="K2" t="s">
        <v>25</v>
      </c>
      <c r="L2">
        <v>3.1</v>
      </c>
      <c r="M2" t="s">
        <v>26</v>
      </c>
      <c r="N2" t="s">
        <v>27</v>
      </c>
      <c r="O2" t="s">
        <v>28</v>
      </c>
      <c r="P2" t="s">
        <v>26</v>
      </c>
      <c r="Q2" t="s">
        <v>26</v>
      </c>
      <c r="R2">
        <v>14</v>
      </c>
      <c r="S2" t="s">
        <v>29</v>
      </c>
      <c r="T2" t="str">
        <f>IF(TRIM(W2)="Every 3 months","Quarterly",IF(TRIM(W2)="Fortnightly","2-week",IF(TRIM(W2)="Bi-Weekly","2-week",IF(TRIM(W2)="Weekly","Daily",IF(TRIM(W2)="Monthly","Month",TRIM(W2))))))</f>
        <v>2-week</v>
      </c>
      <c r="U2">
        <f>VLOOKUP(T2,[1]tablescore!$B$3:$C$8, 2,FALSE)</f>
        <v>26</v>
      </c>
      <c r="V2" t="str">
        <f>_xlfn.IFS(U2&gt;=30, "Highly Loyal", U2&gt;=26, "Loyal", U2&gt;=12, "Moderate", U2&lt;5, "Low Loyalty")</f>
        <v>Loyal</v>
      </c>
      <c r="W2" t="s">
        <v>30</v>
      </c>
      <c r="Y2" t="str">
        <f>IF(ISBLANK(A2), "Missing", "No Missing values")</f>
        <v>No Missing values</v>
      </c>
      <c r="Z2" t="str">
        <f>IF(COUNTIF($A$2:$A$3901, A2) &gt; 1, "Duplicate", "Unique")</f>
        <v>Unique</v>
      </c>
    </row>
    <row r="3" spans="1:26" x14ac:dyDescent="0.25">
      <c r="A3">
        <v>2</v>
      </c>
      <c r="B3">
        <v>19</v>
      </c>
      <c r="C3" t="str" cm="1">
        <f t="array" ref="C3">_xlfn.IFS(
  AND(B3&gt;=18, B3&lt;=24), "18-24",
  AND(B3&gt;=25, B3&lt;=34), "25-34",
  AND(B3&gt;=35, B3&lt;=44), "35-44",
  AND(B3&gt;=45, B3&lt;=54), "45-54",
  B3&gt;=55, "55+"
)</f>
        <v>18-24</v>
      </c>
      <c r="D3" t="s">
        <v>19</v>
      </c>
      <c r="E3" t="s">
        <v>31</v>
      </c>
      <c r="F3" t="s">
        <v>21</v>
      </c>
      <c r="G3">
        <v>64</v>
      </c>
      <c r="H3" t="s">
        <v>32</v>
      </c>
      <c r="I3" t="s">
        <v>23</v>
      </c>
      <c r="J3" t="s">
        <v>33</v>
      </c>
      <c r="K3" t="s">
        <v>25</v>
      </c>
      <c r="L3">
        <v>3.1</v>
      </c>
      <c r="M3" t="s">
        <v>26</v>
      </c>
      <c r="N3" t="s">
        <v>34</v>
      </c>
      <c r="O3" t="s">
        <v>28</v>
      </c>
      <c r="P3" t="s">
        <v>26</v>
      </c>
      <c r="Q3" t="s">
        <v>26</v>
      </c>
      <c r="R3">
        <v>2</v>
      </c>
      <c r="S3" t="s">
        <v>35</v>
      </c>
      <c r="T3" t="str">
        <f t="shared" ref="T3:T66" si="0">IF(TRIM(W3)="Every 3 months","Quarterly",IF(TRIM(W3)="Fortnightly","2-week",IF(TRIM(W3)="Bi-Weekly","2-week",IF(TRIM(W3)="Weekly","Daily",IF(TRIM(W3)="Monthly","Month",TRIM(W3))))))</f>
        <v>2-week</v>
      </c>
      <c r="U3">
        <f>VLOOKUP(T3,[1]tablescore!$B$3:$C$8, 2,FALSE)</f>
        <v>26</v>
      </c>
      <c r="V3" t="str">
        <f t="shared" ref="V3:V66" si="1">_xlfn.IFS(U3&gt;=30, "Highly Loyal", U3&gt;=26, "Loyal", U3&gt;=12, "Moderate", U3&lt;5, "Low Loyalty")</f>
        <v>Loyal</v>
      </c>
      <c r="W3" t="s">
        <v>30</v>
      </c>
    </row>
    <row r="4" spans="1:26" x14ac:dyDescent="0.25">
      <c r="A4">
        <v>3</v>
      </c>
      <c r="B4">
        <v>50</v>
      </c>
      <c r="C4" t="str" cm="1">
        <f t="array" ref="C4">_xlfn.IFS(
  AND(B4&gt;=18, B4&lt;=24), "18-24",
  AND(B4&gt;=25, B4&lt;=34), "25-34",
  AND(B4&gt;=35, B4&lt;=44), "35-44",
  AND(B4&gt;=45, B4&lt;=54), "45-54",
  B4&gt;=55, "55+"
)</f>
        <v>45-54</v>
      </c>
      <c r="D4" t="s">
        <v>19</v>
      </c>
      <c r="E4" t="s">
        <v>36</v>
      </c>
      <c r="F4" t="s">
        <v>21</v>
      </c>
      <c r="G4">
        <v>73</v>
      </c>
      <c r="H4" t="s">
        <v>37</v>
      </c>
      <c r="I4" t="s">
        <v>38</v>
      </c>
      <c r="J4" t="s">
        <v>33</v>
      </c>
      <c r="K4" t="s">
        <v>39</v>
      </c>
      <c r="L4">
        <v>3.1</v>
      </c>
      <c r="M4" t="s">
        <v>26</v>
      </c>
      <c r="N4" t="s">
        <v>35</v>
      </c>
      <c r="O4" t="s">
        <v>40</v>
      </c>
      <c r="P4" t="s">
        <v>26</v>
      </c>
      <c r="Q4" t="s">
        <v>26</v>
      </c>
      <c r="R4">
        <v>23</v>
      </c>
      <c r="S4" t="s">
        <v>27</v>
      </c>
      <c r="T4" t="str">
        <f t="shared" si="0"/>
        <v>Daily</v>
      </c>
      <c r="U4">
        <f>VLOOKUP(T4,[1]tablescore!$B$3:$C$8, 2,FALSE)</f>
        <v>30</v>
      </c>
      <c r="V4" t="str">
        <f t="shared" si="1"/>
        <v>Highly Loyal</v>
      </c>
      <c r="W4" t="s">
        <v>41</v>
      </c>
    </row>
    <row r="5" spans="1:26" x14ac:dyDescent="0.25">
      <c r="A5">
        <v>4</v>
      </c>
      <c r="B5">
        <v>21</v>
      </c>
      <c r="C5" t="str" cm="1">
        <f t="array" ref="C5">_xlfn.IFS(
  AND(B5&gt;=18, B5&lt;=24), "18-24",
  AND(B5&gt;=25, B5&lt;=34), "25-34",
  AND(B5&gt;=35, B5&lt;=44), "35-44",
  AND(B5&gt;=45, B5&lt;=54), "45-54",
  B5&gt;=55, "55+"
)</f>
        <v>18-24</v>
      </c>
      <c r="D5" t="s">
        <v>19</v>
      </c>
      <c r="E5" t="s">
        <v>42</v>
      </c>
      <c r="F5" t="s">
        <v>43</v>
      </c>
      <c r="G5">
        <v>90</v>
      </c>
      <c r="H5" t="s">
        <v>44</v>
      </c>
      <c r="I5" t="s">
        <v>45</v>
      </c>
      <c r="J5" t="s">
        <v>33</v>
      </c>
      <c r="K5" t="s">
        <v>39</v>
      </c>
      <c r="L5">
        <v>3.5</v>
      </c>
      <c r="M5" t="s">
        <v>26</v>
      </c>
      <c r="N5" t="s">
        <v>46</v>
      </c>
      <c r="O5" t="s">
        <v>47</v>
      </c>
      <c r="P5" t="s">
        <v>26</v>
      </c>
      <c r="Q5" t="s">
        <v>26</v>
      </c>
      <c r="R5">
        <v>49</v>
      </c>
      <c r="S5" t="s">
        <v>46</v>
      </c>
      <c r="T5" t="str">
        <f t="shared" si="0"/>
        <v>Daily</v>
      </c>
      <c r="U5">
        <f>VLOOKUP(T5,[1]tablescore!$B$3:$C$8, 2,FALSE)</f>
        <v>30</v>
      </c>
      <c r="V5" t="str">
        <f t="shared" si="1"/>
        <v>Highly Loyal</v>
      </c>
      <c r="W5" t="s">
        <v>41</v>
      </c>
    </row>
    <row r="6" spans="1:26" x14ac:dyDescent="0.25">
      <c r="A6">
        <v>5</v>
      </c>
      <c r="B6">
        <v>45</v>
      </c>
      <c r="C6" t="str" cm="1">
        <f t="array" ref="C6">_xlfn.IFS(
  AND(B6&gt;=18, B6&lt;=24), "18-24",
  AND(B6&gt;=25, B6&lt;=34), "25-34",
  AND(B6&gt;=35, B6&lt;=44), "35-44",
  AND(B6&gt;=45, B6&lt;=54), "45-54",
  B6&gt;=55, "55+"
)</f>
        <v>45-54</v>
      </c>
      <c r="D6" t="s">
        <v>19</v>
      </c>
      <c r="E6" t="s">
        <v>20</v>
      </c>
      <c r="F6" t="s">
        <v>21</v>
      </c>
      <c r="G6">
        <v>49</v>
      </c>
      <c r="H6" t="s">
        <v>48</v>
      </c>
      <c r="I6" t="s">
        <v>45</v>
      </c>
      <c r="J6" t="s">
        <v>49</v>
      </c>
      <c r="K6" t="s">
        <v>39</v>
      </c>
      <c r="L6">
        <v>2.7</v>
      </c>
      <c r="M6" t="s">
        <v>26</v>
      </c>
      <c r="N6" t="s">
        <v>35</v>
      </c>
      <c r="O6" t="s">
        <v>40</v>
      </c>
      <c r="P6" t="s">
        <v>26</v>
      </c>
      <c r="Q6" t="s">
        <v>26</v>
      </c>
      <c r="R6">
        <v>31</v>
      </c>
      <c r="S6" t="s">
        <v>46</v>
      </c>
      <c r="T6" t="str">
        <f t="shared" si="0"/>
        <v>Annually</v>
      </c>
      <c r="U6">
        <f>VLOOKUP(T6,[1]tablescore!$B$3:$C$8, 2,FALSE)</f>
        <v>1</v>
      </c>
      <c r="V6" t="str">
        <f t="shared" si="1"/>
        <v>Low Loyalty</v>
      </c>
      <c r="W6" t="s">
        <v>50</v>
      </c>
    </row>
    <row r="7" spans="1:26" x14ac:dyDescent="0.25">
      <c r="A7">
        <v>6</v>
      </c>
      <c r="B7">
        <v>46</v>
      </c>
      <c r="C7" t="str" cm="1">
        <f t="array" ref="C7">_xlfn.IFS(
  AND(B7&gt;=18, B7&lt;=24), "18-24",
  AND(B7&gt;=25, B7&lt;=34), "25-34",
  AND(B7&gt;=35, B7&lt;=44), "35-44",
  AND(B7&gt;=45, B7&lt;=54), "45-54",
  B7&gt;=55, "55+"
)</f>
        <v>45-54</v>
      </c>
      <c r="D7" t="s">
        <v>19</v>
      </c>
      <c r="E7" t="s">
        <v>51</v>
      </c>
      <c r="F7" t="s">
        <v>43</v>
      </c>
      <c r="G7">
        <v>20</v>
      </c>
      <c r="H7" t="s">
        <v>52</v>
      </c>
      <c r="I7" t="s">
        <v>45</v>
      </c>
      <c r="J7" t="s">
        <v>53</v>
      </c>
      <c r="K7" t="s">
        <v>54</v>
      </c>
      <c r="L7">
        <v>2.9</v>
      </c>
      <c r="M7" t="s">
        <v>26</v>
      </c>
      <c r="N7" t="s">
        <v>29</v>
      </c>
      <c r="O7" t="s">
        <v>55</v>
      </c>
      <c r="P7" t="s">
        <v>26</v>
      </c>
      <c r="Q7" t="s">
        <v>26</v>
      </c>
      <c r="R7">
        <v>14</v>
      </c>
      <c r="S7" t="s">
        <v>29</v>
      </c>
      <c r="T7" t="str">
        <f t="shared" si="0"/>
        <v>Daily</v>
      </c>
      <c r="U7">
        <f>VLOOKUP(T7,[1]tablescore!$B$3:$C$8, 2,FALSE)</f>
        <v>30</v>
      </c>
      <c r="V7" t="str">
        <f t="shared" si="1"/>
        <v>Highly Loyal</v>
      </c>
      <c r="W7" t="s">
        <v>41</v>
      </c>
    </row>
    <row r="8" spans="1:26" x14ac:dyDescent="0.25">
      <c r="A8">
        <v>7</v>
      </c>
      <c r="B8">
        <v>63</v>
      </c>
      <c r="C8" t="str" cm="1">
        <f t="array" ref="C8">_xlfn.IFS(
  AND(B8&gt;=18, B8&lt;=24), "18-24",
  AND(B8&gt;=25, B8&lt;=34), "25-34",
  AND(B8&gt;=35, B8&lt;=44), "35-44",
  AND(B8&gt;=45, B8&lt;=54), "45-54",
  B8&gt;=55, "55+"
)</f>
        <v>55+</v>
      </c>
      <c r="D8" t="s">
        <v>19</v>
      </c>
      <c r="E8" t="s">
        <v>56</v>
      </c>
      <c r="F8" t="s">
        <v>21</v>
      </c>
      <c r="G8">
        <v>85</v>
      </c>
      <c r="H8" t="s">
        <v>57</v>
      </c>
      <c r="I8" t="s">
        <v>45</v>
      </c>
      <c r="J8" t="s">
        <v>24</v>
      </c>
      <c r="K8" t="s">
        <v>58</v>
      </c>
      <c r="L8">
        <v>3.2</v>
      </c>
      <c r="M8" t="s">
        <v>26</v>
      </c>
      <c r="N8" t="s">
        <v>59</v>
      </c>
      <c r="O8" t="s">
        <v>40</v>
      </c>
      <c r="P8" t="s">
        <v>26</v>
      </c>
      <c r="Q8" t="s">
        <v>26</v>
      </c>
      <c r="R8">
        <v>49</v>
      </c>
      <c r="S8" t="s">
        <v>35</v>
      </c>
      <c r="T8" t="str">
        <f t="shared" si="0"/>
        <v>Quarterly</v>
      </c>
      <c r="U8">
        <f>VLOOKUP(T8,[1]tablescore!$B$3:$C$8, 2,FALSE)</f>
        <v>4</v>
      </c>
      <c r="V8" t="str">
        <f t="shared" si="1"/>
        <v>Low Loyalty</v>
      </c>
      <c r="W8" t="s">
        <v>60</v>
      </c>
    </row>
    <row r="9" spans="1:26" x14ac:dyDescent="0.25">
      <c r="A9">
        <v>8</v>
      </c>
      <c r="B9">
        <v>27</v>
      </c>
      <c r="C9" t="str" cm="1">
        <f t="array" ref="C9">_xlfn.IFS(
  AND(B9&gt;=18, B9&lt;=24), "18-24",
  AND(B9&gt;=25, B9&lt;=34), "25-34",
  AND(B9&gt;=35, B9&lt;=44), "35-44",
  AND(B9&gt;=45, B9&lt;=54), "45-54",
  B9&gt;=55, "55+"
)</f>
        <v>25-34</v>
      </c>
      <c r="D9" t="s">
        <v>19</v>
      </c>
      <c r="E9" t="s">
        <v>61</v>
      </c>
      <c r="F9" t="s">
        <v>21</v>
      </c>
      <c r="G9">
        <v>34</v>
      </c>
      <c r="H9" t="s">
        <v>62</v>
      </c>
      <c r="I9" t="s">
        <v>23</v>
      </c>
      <c r="J9" t="s">
        <v>63</v>
      </c>
      <c r="K9" t="s">
        <v>25</v>
      </c>
      <c r="L9">
        <v>3.2</v>
      </c>
      <c r="M9" t="s">
        <v>26</v>
      </c>
      <c r="N9" t="s">
        <v>59</v>
      </c>
      <c r="O9" t="s">
        <v>40</v>
      </c>
      <c r="P9" t="s">
        <v>26</v>
      </c>
      <c r="Q9" t="s">
        <v>26</v>
      </c>
      <c r="R9">
        <v>19</v>
      </c>
      <c r="S9" t="s">
        <v>27</v>
      </c>
      <c r="T9" t="str">
        <f t="shared" si="0"/>
        <v>Daily</v>
      </c>
      <c r="U9">
        <f>VLOOKUP(T9,[1]tablescore!$B$3:$C$8, 2,FALSE)</f>
        <v>30</v>
      </c>
      <c r="V9" t="str">
        <f t="shared" si="1"/>
        <v>Highly Loyal</v>
      </c>
      <c r="W9" t="s">
        <v>41</v>
      </c>
    </row>
    <row r="10" spans="1:26" x14ac:dyDescent="0.25">
      <c r="A10">
        <v>9</v>
      </c>
      <c r="B10">
        <v>26</v>
      </c>
      <c r="C10" t="str" cm="1">
        <f t="array" ref="C10">_xlfn.IFS(
  AND(B10&gt;=18, B10&lt;=24), "18-24",
  AND(B10&gt;=25, B10&lt;=34), "25-34",
  AND(B10&gt;=35, B10&lt;=44), "35-44",
  AND(B10&gt;=45, B10&lt;=54), "45-54",
  B10&gt;=55, "55+"
)</f>
        <v>25-34</v>
      </c>
      <c r="D10" t="s">
        <v>19</v>
      </c>
      <c r="E10" t="s">
        <v>64</v>
      </c>
      <c r="F10" t="s">
        <v>65</v>
      </c>
      <c r="G10">
        <v>97</v>
      </c>
      <c r="H10" t="s">
        <v>66</v>
      </c>
      <c r="I10" t="s">
        <v>23</v>
      </c>
      <c r="J10" t="s">
        <v>67</v>
      </c>
      <c r="K10" t="s">
        <v>54</v>
      </c>
      <c r="L10">
        <v>2.6</v>
      </c>
      <c r="M10" t="s">
        <v>26</v>
      </c>
      <c r="N10" t="s">
        <v>29</v>
      </c>
      <c r="O10" t="s">
        <v>28</v>
      </c>
      <c r="P10" t="s">
        <v>26</v>
      </c>
      <c r="Q10" t="s">
        <v>26</v>
      </c>
      <c r="R10">
        <v>8</v>
      </c>
      <c r="S10" t="s">
        <v>29</v>
      </c>
      <c r="T10" t="str">
        <f t="shared" si="0"/>
        <v>Annually</v>
      </c>
      <c r="U10">
        <f>VLOOKUP(T10,[1]tablescore!$B$3:$C$8, 2,FALSE)</f>
        <v>1</v>
      </c>
      <c r="V10" t="str">
        <f t="shared" si="1"/>
        <v>Low Loyalty</v>
      </c>
      <c r="W10" t="s">
        <v>50</v>
      </c>
    </row>
    <row r="11" spans="1:26" x14ac:dyDescent="0.25">
      <c r="A11">
        <v>10</v>
      </c>
      <c r="B11">
        <v>57</v>
      </c>
      <c r="C11" t="str" cm="1">
        <f t="array" ref="C11">_xlfn.IFS(
  AND(B11&gt;=18, B11&lt;=24), "18-24",
  AND(B11&gt;=25, B11&lt;=34), "25-34",
  AND(B11&gt;=35, B11&lt;=44), "35-44",
  AND(B11&gt;=45, B11&lt;=54), "45-54",
  B11&gt;=55, "55+"
)</f>
        <v>55+</v>
      </c>
      <c r="D11" t="s">
        <v>19</v>
      </c>
      <c r="E11" t="s">
        <v>68</v>
      </c>
      <c r="F11" t="s">
        <v>69</v>
      </c>
      <c r="G11">
        <v>31</v>
      </c>
      <c r="H11" t="s">
        <v>70</v>
      </c>
      <c r="I11" t="s">
        <v>45</v>
      </c>
      <c r="J11" t="s">
        <v>71</v>
      </c>
      <c r="K11" t="s">
        <v>39</v>
      </c>
      <c r="L11">
        <v>4.8</v>
      </c>
      <c r="M11" t="s">
        <v>26</v>
      </c>
      <c r="N11" t="s">
        <v>46</v>
      </c>
      <c r="O11" t="s">
        <v>72</v>
      </c>
      <c r="P11" t="s">
        <v>26</v>
      </c>
      <c r="Q11" t="s">
        <v>26</v>
      </c>
      <c r="R11">
        <v>4</v>
      </c>
      <c r="S11" t="s">
        <v>35</v>
      </c>
      <c r="T11" t="str">
        <f t="shared" si="0"/>
        <v>Quarterly</v>
      </c>
      <c r="U11">
        <f>VLOOKUP(T11,[1]tablescore!$B$3:$C$8, 2,FALSE)</f>
        <v>4</v>
      </c>
      <c r="V11" t="str">
        <f t="shared" si="1"/>
        <v>Low Loyalty</v>
      </c>
      <c r="W11" t="s">
        <v>60</v>
      </c>
    </row>
    <row r="12" spans="1:26" x14ac:dyDescent="0.25">
      <c r="A12">
        <v>11</v>
      </c>
      <c r="B12">
        <v>53</v>
      </c>
      <c r="C12" t="str" cm="1">
        <f t="array" ref="C12">_xlfn.IFS(
  AND(B12&gt;=18, B12&lt;=24), "18-24",
  AND(B12&gt;=25, B12&lt;=34), "25-34",
  AND(B12&gt;=35, B12&lt;=44), "35-44",
  AND(B12&gt;=45, B12&lt;=54), "45-54",
  B12&gt;=55, "55+"
)</f>
        <v>45-54</v>
      </c>
      <c r="D12" t="s">
        <v>19</v>
      </c>
      <c r="E12" t="s">
        <v>73</v>
      </c>
      <c r="F12" t="s">
        <v>43</v>
      </c>
      <c r="G12">
        <v>34</v>
      </c>
      <c r="H12" t="s">
        <v>74</v>
      </c>
      <c r="I12" t="s">
        <v>23</v>
      </c>
      <c r="J12" t="s">
        <v>75</v>
      </c>
      <c r="K12" t="s">
        <v>58</v>
      </c>
      <c r="L12">
        <v>4.0999999999999996</v>
      </c>
      <c r="M12" t="s">
        <v>26</v>
      </c>
      <c r="N12" t="s">
        <v>27</v>
      </c>
      <c r="O12" t="s">
        <v>76</v>
      </c>
      <c r="P12" t="s">
        <v>26</v>
      </c>
      <c r="Q12" t="s">
        <v>26</v>
      </c>
      <c r="R12">
        <v>26</v>
      </c>
      <c r="S12" t="s">
        <v>34</v>
      </c>
      <c r="T12" t="str">
        <f t="shared" si="0"/>
        <v>2-week</v>
      </c>
      <c r="U12">
        <f>VLOOKUP(T12,[1]tablescore!$B$3:$C$8, 2,FALSE)</f>
        <v>26</v>
      </c>
      <c r="V12" t="str">
        <f t="shared" si="1"/>
        <v>Loyal</v>
      </c>
      <c r="W12" t="s">
        <v>77</v>
      </c>
    </row>
    <row r="13" spans="1:26" x14ac:dyDescent="0.25">
      <c r="A13">
        <v>12</v>
      </c>
      <c r="B13">
        <v>30</v>
      </c>
      <c r="C13" t="str" cm="1">
        <f t="array" ref="C13">_xlfn.IFS(
  AND(B13&gt;=18, B13&lt;=24), "18-24",
  AND(B13&gt;=25, B13&lt;=34), "25-34",
  AND(B13&gt;=35, B13&lt;=44), "35-44",
  AND(B13&gt;=45, B13&lt;=54), "45-54",
  B13&gt;=55, "55+"
)</f>
        <v>25-34</v>
      </c>
      <c r="D13" t="s">
        <v>19</v>
      </c>
      <c r="E13" t="s">
        <v>61</v>
      </c>
      <c r="F13" t="s">
        <v>21</v>
      </c>
      <c r="G13">
        <v>68</v>
      </c>
      <c r="H13" t="s">
        <v>78</v>
      </c>
      <c r="I13" t="s">
        <v>38</v>
      </c>
      <c r="J13" t="s">
        <v>79</v>
      </c>
      <c r="K13" t="s">
        <v>25</v>
      </c>
      <c r="L13">
        <v>4.9000000000000004</v>
      </c>
      <c r="M13" t="s">
        <v>26</v>
      </c>
      <c r="N13" t="s">
        <v>46</v>
      </c>
      <c r="O13" t="s">
        <v>76</v>
      </c>
      <c r="P13" t="s">
        <v>26</v>
      </c>
      <c r="Q13" t="s">
        <v>26</v>
      </c>
      <c r="R13">
        <v>10</v>
      </c>
      <c r="S13" t="s">
        <v>34</v>
      </c>
      <c r="T13" t="str">
        <f t="shared" si="0"/>
        <v>2-week</v>
      </c>
      <c r="U13">
        <f>VLOOKUP(T13,[1]tablescore!$B$3:$C$8, 2,FALSE)</f>
        <v>26</v>
      </c>
      <c r="V13" t="str">
        <f t="shared" si="1"/>
        <v>Loyal</v>
      </c>
      <c r="W13" t="s">
        <v>30</v>
      </c>
    </row>
    <row r="14" spans="1:26" x14ac:dyDescent="0.25">
      <c r="A14">
        <v>13</v>
      </c>
      <c r="B14">
        <v>61</v>
      </c>
      <c r="C14" t="str" cm="1">
        <f t="array" ref="C14">_xlfn.IFS(
  AND(B14&gt;=18, B14&lt;=24), "18-24",
  AND(B14&gt;=25, B14&lt;=34), "25-34",
  AND(B14&gt;=35, B14&lt;=44), "35-44",
  AND(B14&gt;=45, B14&lt;=54), "45-54",
  B14&gt;=55, "55+"
)</f>
        <v>55+</v>
      </c>
      <c r="D14" t="s">
        <v>19</v>
      </c>
      <c r="E14" t="s">
        <v>64</v>
      </c>
      <c r="F14" t="s">
        <v>65</v>
      </c>
      <c r="G14">
        <v>72</v>
      </c>
      <c r="H14" t="s">
        <v>80</v>
      </c>
      <c r="I14" t="s">
        <v>45</v>
      </c>
      <c r="J14" t="s">
        <v>81</v>
      </c>
      <c r="K14" t="s">
        <v>25</v>
      </c>
      <c r="L14">
        <v>4.5</v>
      </c>
      <c r="M14" t="s">
        <v>26</v>
      </c>
      <c r="N14" t="s">
        <v>46</v>
      </c>
      <c r="O14" t="s">
        <v>28</v>
      </c>
      <c r="P14" t="s">
        <v>26</v>
      </c>
      <c r="Q14" t="s">
        <v>26</v>
      </c>
      <c r="R14">
        <v>37</v>
      </c>
      <c r="S14" t="s">
        <v>29</v>
      </c>
      <c r="T14" t="str">
        <f t="shared" si="0"/>
        <v>2-week</v>
      </c>
      <c r="U14">
        <f>VLOOKUP(T14,[1]tablescore!$B$3:$C$8, 2,FALSE)</f>
        <v>26</v>
      </c>
      <c r="V14" t="str">
        <f t="shared" si="1"/>
        <v>Loyal</v>
      </c>
      <c r="W14" t="s">
        <v>30</v>
      </c>
    </row>
    <row r="15" spans="1:26" x14ac:dyDescent="0.25">
      <c r="A15">
        <v>14</v>
      </c>
      <c r="B15">
        <v>65</v>
      </c>
      <c r="C15" t="str" cm="1">
        <f t="array" ref="C15">_xlfn.IFS(
  AND(B15&gt;=18, B15&lt;=24), "18-24",
  AND(B15&gt;=25, B15&lt;=34), "25-34",
  AND(B15&gt;=35, B15&lt;=44), "35-44",
  AND(B15&gt;=45, B15&lt;=54), "45-54",
  B15&gt;=55, "55+"
)</f>
        <v>55+</v>
      </c>
      <c r="D15" t="s">
        <v>19</v>
      </c>
      <c r="E15" t="s">
        <v>82</v>
      </c>
      <c r="F15" t="s">
        <v>21</v>
      </c>
      <c r="G15">
        <v>51</v>
      </c>
      <c r="H15" t="s">
        <v>83</v>
      </c>
      <c r="I15" t="s">
        <v>45</v>
      </c>
      <c r="J15" t="s">
        <v>84</v>
      </c>
      <c r="K15" t="s">
        <v>39</v>
      </c>
      <c r="L15">
        <v>4.7</v>
      </c>
      <c r="M15" t="s">
        <v>26</v>
      </c>
      <c r="N15" t="s">
        <v>59</v>
      </c>
      <c r="O15" t="s">
        <v>28</v>
      </c>
      <c r="P15" t="s">
        <v>26</v>
      </c>
      <c r="Q15" t="s">
        <v>26</v>
      </c>
      <c r="R15">
        <v>31</v>
      </c>
      <c r="S15" t="s">
        <v>46</v>
      </c>
      <c r="T15" t="str">
        <f t="shared" si="0"/>
        <v>Daily</v>
      </c>
      <c r="U15">
        <f>VLOOKUP(T15,[1]tablescore!$B$3:$C$8, 2,FALSE)</f>
        <v>30</v>
      </c>
      <c r="V15" t="str">
        <f t="shared" si="1"/>
        <v>Highly Loyal</v>
      </c>
      <c r="W15" t="s">
        <v>41</v>
      </c>
    </row>
    <row r="16" spans="1:26" x14ac:dyDescent="0.25">
      <c r="A16">
        <v>15</v>
      </c>
      <c r="B16">
        <v>64</v>
      </c>
      <c r="C16" t="str" cm="1">
        <f t="array" ref="C16">_xlfn.IFS(
  AND(B16&gt;=18, B16&lt;=24), "18-24",
  AND(B16&gt;=25, B16&lt;=34), "25-34",
  AND(B16&gt;=35, B16&lt;=44), "35-44",
  AND(B16&gt;=45, B16&lt;=54), "45-54",
  B16&gt;=55, "55+"
)</f>
        <v>55+</v>
      </c>
      <c r="D16" t="s">
        <v>19</v>
      </c>
      <c r="E16" t="s">
        <v>64</v>
      </c>
      <c r="F16" t="s">
        <v>65</v>
      </c>
      <c r="G16">
        <v>53</v>
      </c>
      <c r="H16" t="s">
        <v>85</v>
      </c>
      <c r="I16" t="s">
        <v>23</v>
      </c>
      <c r="J16" t="s">
        <v>86</v>
      </c>
      <c r="K16" t="s">
        <v>25</v>
      </c>
      <c r="L16">
        <v>4.7</v>
      </c>
      <c r="M16" t="s">
        <v>26</v>
      </c>
      <c r="N16" t="s">
        <v>46</v>
      </c>
      <c r="O16" t="s">
        <v>40</v>
      </c>
      <c r="P16" t="s">
        <v>26</v>
      </c>
      <c r="Q16" t="s">
        <v>26</v>
      </c>
      <c r="R16">
        <v>34</v>
      </c>
      <c r="S16" t="s">
        <v>59</v>
      </c>
      <c r="T16" t="str">
        <f t="shared" si="0"/>
        <v>Daily</v>
      </c>
      <c r="U16">
        <f>VLOOKUP(T16,[1]tablescore!$B$3:$C$8, 2,FALSE)</f>
        <v>30</v>
      </c>
      <c r="V16" t="str">
        <f t="shared" si="1"/>
        <v>Highly Loyal</v>
      </c>
      <c r="W16" t="s">
        <v>41</v>
      </c>
    </row>
    <row r="17" spans="1:23" x14ac:dyDescent="0.25">
      <c r="A17">
        <v>16</v>
      </c>
      <c r="B17">
        <v>64</v>
      </c>
      <c r="C17" t="str" cm="1">
        <f t="array" ref="C17">_xlfn.IFS(
  AND(B17&gt;=18, B17&lt;=24), "18-24",
  AND(B17&gt;=25, B17&lt;=34), "25-34",
  AND(B17&gt;=35, B17&lt;=44), "35-44",
  AND(B17&gt;=45, B17&lt;=54), "45-54",
  B17&gt;=55, "55+"
)</f>
        <v>55+</v>
      </c>
      <c r="D17" t="s">
        <v>19</v>
      </c>
      <c r="E17" t="s">
        <v>87</v>
      </c>
      <c r="F17" t="s">
        <v>21</v>
      </c>
      <c r="G17">
        <v>81</v>
      </c>
      <c r="H17" t="s">
        <v>44</v>
      </c>
      <c r="I17" t="s">
        <v>45</v>
      </c>
      <c r="J17" t="s">
        <v>86</v>
      </c>
      <c r="K17" t="s">
        <v>25</v>
      </c>
      <c r="L17">
        <v>2.8</v>
      </c>
      <c r="M17" t="s">
        <v>26</v>
      </c>
      <c r="N17" t="s">
        <v>27</v>
      </c>
      <c r="O17" t="s">
        <v>76</v>
      </c>
      <c r="P17" t="s">
        <v>26</v>
      </c>
      <c r="Q17" t="s">
        <v>26</v>
      </c>
      <c r="R17">
        <v>8</v>
      </c>
      <c r="S17" t="s">
        <v>46</v>
      </c>
      <c r="T17" t="str">
        <f t="shared" si="0"/>
        <v>Month</v>
      </c>
      <c r="U17">
        <f>VLOOKUP(T17,[1]tablescore!$B$3:$C$8, 2,FALSE)</f>
        <v>12</v>
      </c>
      <c r="V17" t="str">
        <f t="shared" si="1"/>
        <v>Moderate</v>
      </c>
      <c r="W17" t="s">
        <v>88</v>
      </c>
    </row>
    <row r="18" spans="1:23" x14ac:dyDescent="0.25">
      <c r="A18">
        <v>17</v>
      </c>
      <c r="B18">
        <v>25</v>
      </c>
      <c r="C18" t="str" cm="1">
        <f t="array" ref="C18">_xlfn.IFS(
  AND(B18&gt;=18, B18&lt;=24), "18-24",
  AND(B18&gt;=25, B18&lt;=34), "25-34",
  AND(B18&gt;=35, B18&lt;=44), "35-44",
  AND(B18&gt;=45, B18&lt;=54), "45-54",
  B18&gt;=55, "55+"
)</f>
        <v>25-34</v>
      </c>
      <c r="D18" t="s">
        <v>19</v>
      </c>
      <c r="E18" t="s">
        <v>89</v>
      </c>
      <c r="F18" t="s">
        <v>69</v>
      </c>
      <c r="G18">
        <v>36</v>
      </c>
      <c r="H18" t="s">
        <v>90</v>
      </c>
      <c r="I18" t="s">
        <v>38</v>
      </c>
      <c r="J18" t="s">
        <v>24</v>
      </c>
      <c r="K18" t="s">
        <v>39</v>
      </c>
      <c r="L18">
        <v>4.0999999999999996</v>
      </c>
      <c r="M18" t="s">
        <v>26</v>
      </c>
      <c r="N18" t="s">
        <v>29</v>
      </c>
      <c r="O18" t="s">
        <v>47</v>
      </c>
      <c r="P18" t="s">
        <v>26</v>
      </c>
      <c r="Q18" t="s">
        <v>26</v>
      </c>
      <c r="R18">
        <v>44</v>
      </c>
      <c r="S18" t="s">
        <v>59</v>
      </c>
      <c r="T18" t="str">
        <f t="shared" si="0"/>
        <v>2-week</v>
      </c>
      <c r="U18">
        <f>VLOOKUP(T18,[1]tablescore!$B$3:$C$8, 2,FALSE)</f>
        <v>26</v>
      </c>
      <c r="V18" t="str">
        <f t="shared" si="1"/>
        <v>Loyal</v>
      </c>
      <c r="W18" t="s">
        <v>77</v>
      </c>
    </row>
    <row r="19" spans="1:23" x14ac:dyDescent="0.25">
      <c r="A19">
        <v>18</v>
      </c>
      <c r="B19">
        <v>53</v>
      </c>
      <c r="C19" t="str" cm="1">
        <f t="array" ref="C19">_xlfn.IFS(
  AND(B19&gt;=18, B19&lt;=24), "18-24",
  AND(B19&gt;=25, B19&lt;=34), "25-34",
  AND(B19&gt;=35, B19&lt;=44), "35-44",
  AND(B19&gt;=45, B19&lt;=54), "45-54",
  B19&gt;=55, "55+"
)</f>
        <v>45-54</v>
      </c>
      <c r="D19" t="s">
        <v>19</v>
      </c>
      <c r="E19" t="s">
        <v>82</v>
      </c>
      <c r="F19" t="s">
        <v>21</v>
      </c>
      <c r="G19">
        <v>38</v>
      </c>
      <c r="H19" t="s">
        <v>91</v>
      </c>
      <c r="I19" t="s">
        <v>92</v>
      </c>
      <c r="J19" t="s">
        <v>93</v>
      </c>
      <c r="K19" t="s">
        <v>25</v>
      </c>
      <c r="L19">
        <v>4.7</v>
      </c>
      <c r="M19" t="s">
        <v>26</v>
      </c>
      <c r="N19" t="s">
        <v>59</v>
      </c>
      <c r="O19" t="s">
        <v>72</v>
      </c>
      <c r="P19" t="s">
        <v>26</v>
      </c>
      <c r="Q19" t="s">
        <v>26</v>
      </c>
      <c r="R19">
        <v>36</v>
      </c>
      <c r="S19" t="s">
        <v>29</v>
      </c>
      <c r="T19" t="str">
        <f t="shared" si="0"/>
        <v>Quarterly</v>
      </c>
      <c r="U19">
        <f>VLOOKUP(T19,[1]tablescore!$B$3:$C$8, 2,FALSE)</f>
        <v>4</v>
      </c>
      <c r="V19" t="str">
        <f t="shared" si="1"/>
        <v>Low Loyalty</v>
      </c>
      <c r="W19" t="s">
        <v>60</v>
      </c>
    </row>
    <row r="20" spans="1:23" x14ac:dyDescent="0.25">
      <c r="A20">
        <v>19</v>
      </c>
      <c r="B20">
        <v>52</v>
      </c>
      <c r="C20" t="str" cm="1">
        <f t="array" ref="C20">_xlfn.IFS(
  AND(B20&gt;=18, B20&lt;=24), "18-24",
  AND(B20&gt;=25, B20&lt;=34), "25-34",
  AND(B20&gt;=35, B20&lt;=44), "35-44",
  AND(B20&gt;=45, B20&lt;=54), "45-54",
  B20&gt;=55, "55+"
)</f>
        <v>45-54</v>
      </c>
      <c r="D20" t="s">
        <v>19</v>
      </c>
      <c r="E20" t="s">
        <v>31</v>
      </c>
      <c r="F20" t="s">
        <v>21</v>
      </c>
      <c r="G20">
        <v>48</v>
      </c>
      <c r="H20" t="s">
        <v>57</v>
      </c>
      <c r="I20" t="s">
        <v>38</v>
      </c>
      <c r="J20" t="s">
        <v>94</v>
      </c>
      <c r="K20" t="s">
        <v>54</v>
      </c>
      <c r="L20">
        <v>4.5999999999999996</v>
      </c>
      <c r="M20" t="s">
        <v>26</v>
      </c>
      <c r="N20" t="s">
        <v>34</v>
      </c>
      <c r="O20" t="s">
        <v>40</v>
      </c>
      <c r="P20" t="s">
        <v>26</v>
      </c>
      <c r="Q20" t="s">
        <v>26</v>
      </c>
      <c r="R20">
        <v>17</v>
      </c>
      <c r="S20" t="s">
        <v>35</v>
      </c>
      <c r="T20" t="str">
        <f t="shared" si="0"/>
        <v>Daily</v>
      </c>
      <c r="U20">
        <f>VLOOKUP(T20,[1]tablescore!$B$3:$C$8, 2,FALSE)</f>
        <v>30</v>
      </c>
      <c r="V20" t="str">
        <f t="shared" si="1"/>
        <v>Highly Loyal</v>
      </c>
      <c r="W20" t="s">
        <v>41</v>
      </c>
    </row>
    <row r="21" spans="1:23" x14ac:dyDescent="0.25">
      <c r="A21">
        <v>20</v>
      </c>
      <c r="B21">
        <v>66</v>
      </c>
      <c r="C21" t="str" cm="1">
        <f t="array" ref="C21">_xlfn.IFS(
  AND(B21&gt;=18, B21&lt;=24), "18-24",
  AND(B21&gt;=25, B21&lt;=34), "25-34",
  AND(B21&gt;=35, B21&lt;=44), "35-44",
  AND(B21&gt;=45, B21&lt;=54), "45-54",
  B21&gt;=55, "55+"
)</f>
        <v>55+</v>
      </c>
      <c r="D21" t="s">
        <v>19</v>
      </c>
      <c r="E21" t="s">
        <v>95</v>
      </c>
      <c r="F21" t="s">
        <v>21</v>
      </c>
      <c r="G21">
        <v>90</v>
      </c>
      <c r="H21" t="s">
        <v>44</v>
      </c>
      <c r="I21" t="s">
        <v>45</v>
      </c>
      <c r="J21" t="s">
        <v>96</v>
      </c>
      <c r="K21" t="s">
        <v>54</v>
      </c>
      <c r="L21">
        <v>3.3</v>
      </c>
      <c r="M21" t="s">
        <v>26</v>
      </c>
      <c r="N21" t="s">
        <v>29</v>
      </c>
      <c r="O21" t="s">
        <v>55</v>
      </c>
      <c r="P21" t="s">
        <v>26</v>
      </c>
      <c r="Q21" t="s">
        <v>26</v>
      </c>
      <c r="R21">
        <v>46</v>
      </c>
      <c r="S21" t="s">
        <v>59</v>
      </c>
      <c r="T21" t="str">
        <f t="shared" si="0"/>
        <v>2-week</v>
      </c>
      <c r="U21">
        <f>VLOOKUP(T21,[1]tablescore!$B$3:$C$8, 2,FALSE)</f>
        <v>26</v>
      </c>
      <c r="V21" t="str">
        <f t="shared" si="1"/>
        <v>Loyal</v>
      </c>
      <c r="W21" t="s">
        <v>77</v>
      </c>
    </row>
    <row r="22" spans="1:23" x14ac:dyDescent="0.25">
      <c r="A22">
        <v>21</v>
      </c>
      <c r="B22">
        <v>21</v>
      </c>
      <c r="C22" t="str" cm="1">
        <f t="array" ref="C22">_xlfn.IFS(
  AND(B22&gt;=18, B22&lt;=24), "18-24",
  AND(B22&gt;=25, B22&lt;=34), "25-34",
  AND(B22&gt;=35, B22&lt;=44), "35-44",
  AND(B22&gt;=45, B22&lt;=54), "45-54",
  B22&gt;=55, "55+"
)</f>
        <v>18-24</v>
      </c>
      <c r="D22" t="s">
        <v>19</v>
      </c>
      <c r="E22" t="s">
        <v>95</v>
      </c>
      <c r="F22" t="s">
        <v>21</v>
      </c>
      <c r="G22">
        <v>51</v>
      </c>
      <c r="H22" t="s">
        <v>62</v>
      </c>
      <c r="I22" t="s">
        <v>45</v>
      </c>
      <c r="J22" t="s">
        <v>94</v>
      </c>
      <c r="K22" t="s">
        <v>25</v>
      </c>
      <c r="L22">
        <v>2.8</v>
      </c>
      <c r="M22" t="s">
        <v>26</v>
      </c>
      <c r="N22" t="s">
        <v>27</v>
      </c>
      <c r="O22" t="s">
        <v>28</v>
      </c>
      <c r="P22" t="s">
        <v>26</v>
      </c>
      <c r="Q22" t="s">
        <v>26</v>
      </c>
      <c r="R22">
        <v>50</v>
      </c>
      <c r="S22" t="s">
        <v>35</v>
      </c>
      <c r="T22" t="str">
        <f t="shared" si="0"/>
        <v>Quarterly</v>
      </c>
      <c r="U22">
        <f>VLOOKUP(T22,[1]tablescore!$B$3:$C$8, 2,FALSE)</f>
        <v>4</v>
      </c>
      <c r="V22" t="str">
        <f t="shared" si="1"/>
        <v>Low Loyalty</v>
      </c>
      <c r="W22" t="s">
        <v>97</v>
      </c>
    </row>
    <row r="23" spans="1:23" x14ac:dyDescent="0.25">
      <c r="A23">
        <v>22</v>
      </c>
      <c r="B23">
        <v>31</v>
      </c>
      <c r="C23" t="str" cm="1">
        <f t="array" ref="C23">_xlfn.IFS(
  AND(B23&gt;=18, B23&lt;=24), "18-24",
  AND(B23&gt;=25, B23&lt;=34), "25-34",
  AND(B23&gt;=35, B23&lt;=44), "35-44",
  AND(B23&gt;=45, B23&lt;=54), "45-54",
  B23&gt;=55, "55+"
)</f>
        <v>25-34</v>
      </c>
      <c r="D23" t="s">
        <v>19</v>
      </c>
      <c r="E23" t="s">
        <v>95</v>
      </c>
      <c r="F23" t="s">
        <v>21</v>
      </c>
      <c r="G23">
        <v>62</v>
      </c>
      <c r="H23" t="s">
        <v>98</v>
      </c>
      <c r="I23" t="s">
        <v>45</v>
      </c>
      <c r="J23" t="s">
        <v>63</v>
      </c>
      <c r="K23" t="s">
        <v>25</v>
      </c>
      <c r="L23">
        <v>4.0999999999999996</v>
      </c>
      <c r="M23" t="s">
        <v>26</v>
      </c>
      <c r="N23" t="s">
        <v>27</v>
      </c>
      <c r="O23" t="s">
        <v>76</v>
      </c>
      <c r="P23" t="s">
        <v>26</v>
      </c>
      <c r="Q23" t="s">
        <v>26</v>
      </c>
      <c r="R23">
        <v>22</v>
      </c>
      <c r="S23" t="s">
        <v>59</v>
      </c>
      <c r="T23" t="str">
        <f t="shared" si="0"/>
        <v>Quarterly</v>
      </c>
      <c r="U23">
        <f>VLOOKUP(T23,[1]tablescore!$B$3:$C$8, 2,FALSE)</f>
        <v>4</v>
      </c>
      <c r="V23" t="str">
        <f t="shared" si="1"/>
        <v>Low Loyalty</v>
      </c>
      <c r="W23" t="s">
        <v>60</v>
      </c>
    </row>
    <row r="24" spans="1:23" x14ac:dyDescent="0.25">
      <c r="A24">
        <v>23</v>
      </c>
      <c r="B24">
        <v>56</v>
      </c>
      <c r="C24" t="str" cm="1">
        <f t="array" ref="C24">_xlfn.IFS(
  AND(B24&gt;=18, B24&lt;=24), "18-24",
  AND(B24&gt;=25, B24&lt;=34), "25-34",
  AND(B24&gt;=35, B24&lt;=44), "35-44",
  AND(B24&gt;=45, B24&lt;=54), "45-54",
  B24&gt;=55, "55+"
)</f>
        <v>55+</v>
      </c>
      <c r="D24" t="s">
        <v>19</v>
      </c>
      <c r="E24" t="s">
        <v>95</v>
      </c>
      <c r="F24" t="s">
        <v>21</v>
      </c>
      <c r="G24">
        <v>37</v>
      </c>
      <c r="H24" t="s">
        <v>99</v>
      </c>
      <c r="I24" t="s">
        <v>45</v>
      </c>
      <c r="J24" t="s">
        <v>100</v>
      </c>
      <c r="K24" t="s">
        <v>54</v>
      </c>
      <c r="L24">
        <v>3.2</v>
      </c>
      <c r="M24" t="s">
        <v>26</v>
      </c>
      <c r="N24" t="s">
        <v>35</v>
      </c>
      <c r="O24" t="s">
        <v>76</v>
      </c>
      <c r="P24" t="s">
        <v>26</v>
      </c>
      <c r="Q24" t="s">
        <v>26</v>
      </c>
      <c r="R24">
        <v>32</v>
      </c>
      <c r="S24" t="s">
        <v>59</v>
      </c>
      <c r="T24" t="str">
        <f t="shared" si="0"/>
        <v>Annually</v>
      </c>
      <c r="U24">
        <f>VLOOKUP(T24,[1]tablescore!$B$3:$C$8, 2,FALSE)</f>
        <v>1</v>
      </c>
      <c r="V24" t="str">
        <f t="shared" si="1"/>
        <v>Low Loyalty</v>
      </c>
      <c r="W24" t="s">
        <v>50</v>
      </c>
    </row>
    <row r="25" spans="1:23" x14ac:dyDescent="0.25">
      <c r="A25">
        <v>24</v>
      </c>
      <c r="B25">
        <v>31</v>
      </c>
      <c r="C25" t="str" cm="1">
        <f t="array" ref="C25">_xlfn.IFS(
  AND(B25&gt;=18, B25&lt;=24), "18-24",
  AND(B25&gt;=25, B25&lt;=34), "25-34",
  AND(B25&gt;=35, B25&lt;=44), "35-44",
  AND(B25&gt;=45, B25&lt;=54), "45-54",
  B25&gt;=55, "55+"
)</f>
        <v>25-34</v>
      </c>
      <c r="D25" t="s">
        <v>19</v>
      </c>
      <c r="E25" t="s">
        <v>95</v>
      </c>
      <c r="F25" t="s">
        <v>21</v>
      </c>
      <c r="G25">
        <v>88</v>
      </c>
      <c r="H25" t="s">
        <v>101</v>
      </c>
      <c r="I25" t="s">
        <v>92</v>
      </c>
      <c r="J25" t="s">
        <v>53</v>
      </c>
      <c r="K25" t="s">
        <v>25</v>
      </c>
      <c r="L25">
        <v>4.4000000000000004</v>
      </c>
      <c r="M25" t="s">
        <v>26</v>
      </c>
      <c r="N25" t="s">
        <v>27</v>
      </c>
      <c r="O25" t="s">
        <v>28</v>
      </c>
      <c r="P25" t="s">
        <v>26</v>
      </c>
      <c r="Q25" t="s">
        <v>26</v>
      </c>
      <c r="R25">
        <v>40</v>
      </c>
      <c r="S25" t="s">
        <v>27</v>
      </c>
      <c r="T25" t="str">
        <f t="shared" si="0"/>
        <v>Daily</v>
      </c>
      <c r="U25">
        <f>VLOOKUP(T25,[1]tablescore!$B$3:$C$8, 2,FALSE)</f>
        <v>30</v>
      </c>
      <c r="V25" t="str">
        <f t="shared" si="1"/>
        <v>Highly Loyal</v>
      </c>
      <c r="W25" t="s">
        <v>41</v>
      </c>
    </row>
    <row r="26" spans="1:23" x14ac:dyDescent="0.25">
      <c r="A26">
        <v>25</v>
      </c>
      <c r="B26">
        <v>18</v>
      </c>
      <c r="C26" t="str" cm="1">
        <f t="array" ref="C26">_xlfn.IFS(
  AND(B26&gt;=18, B26&lt;=24), "18-24",
  AND(B26&gt;=25, B26&lt;=34), "25-34",
  AND(B26&gt;=35, B26&lt;=44), "35-44",
  AND(B26&gt;=45, B26&lt;=54), "45-54",
  B26&gt;=55, "55+"
)</f>
        <v>18-24</v>
      </c>
      <c r="D26" t="s">
        <v>19</v>
      </c>
      <c r="E26" t="s">
        <v>102</v>
      </c>
      <c r="F26" t="s">
        <v>65</v>
      </c>
      <c r="G26">
        <v>22</v>
      </c>
      <c r="H26" t="s">
        <v>103</v>
      </c>
      <c r="I26" t="s">
        <v>45</v>
      </c>
      <c r="J26" t="s">
        <v>96</v>
      </c>
      <c r="K26" t="s">
        <v>58</v>
      </c>
      <c r="L26">
        <v>2.9</v>
      </c>
      <c r="M26" t="s">
        <v>26</v>
      </c>
      <c r="N26" t="s">
        <v>35</v>
      </c>
      <c r="O26" t="s">
        <v>76</v>
      </c>
      <c r="P26" t="s">
        <v>26</v>
      </c>
      <c r="Q26" t="s">
        <v>26</v>
      </c>
      <c r="R26">
        <v>16</v>
      </c>
      <c r="S26" t="s">
        <v>59</v>
      </c>
      <c r="T26" t="str">
        <f t="shared" si="0"/>
        <v>Daily</v>
      </c>
      <c r="U26">
        <f>VLOOKUP(T26,[1]tablescore!$B$3:$C$8, 2,FALSE)</f>
        <v>30</v>
      </c>
      <c r="V26" t="str">
        <f t="shared" si="1"/>
        <v>Highly Loyal</v>
      </c>
      <c r="W26" t="s">
        <v>41</v>
      </c>
    </row>
    <row r="27" spans="1:23" x14ac:dyDescent="0.25">
      <c r="A27">
        <v>26</v>
      </c>
      <c r="B27">
        <v>18</v>
      </c>
      <c r="C27" t="str" cm="1">
        <f t="array" ref="C27">_xlfn.IFS(
  AND(B27&gt;=18, B27&lt;=24), "18-24",
  AND(B27&gt;=25, B27&lt;=34), "25-34",
  AND(B27&gt;=35, B27&lt;=44), "35-44",
  AND(B27&gt;=45, B27&lt;=54), "45-54",
  B27&gt;=55, "55+"
)</f>
        <v>18-24</v>
      </c>
      <c r="D27" t="s">
        <v>19</v>
      </c>
      <c r="E27" t="s">
        <v>104</v>
      </c>
      <c r="F27" t="s">
        <v>21</v>
      </c>
      <c r="G27">
        <v>25</v>
      </c>
      <c r="H27" t="s">
        <v>105</v>
      </c>
      <c r="I27" t="s">
        <v>45</v>
      </c>
      <c r="J27" t="s">
        <v>67</v>
      </c>
      <c r="K27" t="s">
        <v>54</v>
      </c>
      <c r="L27">
        <v>3.6</v>
      </c>
      <c r="M27" t="s">
        <v>26</v>
      </c>
      <c r="N27" t="s">
        <v>34</v>
      </c>
      <c r="O27" t="s">
        <v>28</v>
      </c>
      <c r="P27" t="s">
        <v>26</v>
      </c>
      <c r="Q27" t="s">
        <v>26</v>
      </c>
      <c r="R27">
        <v>14</v>
      </c>
      <c r="S27" t="s">
        <v>46</v>
      </c>
      <c r="T27" t="str">
        <f t="shared" si="0"/>
        <v>Annually</v>
      </c>
      <c r="U27">
        <f>VLOOKUP(T27,[1]tablescore!$B$3:$C$8, 2,FALSE)</f>
        <v>1</v>
      </c>
      <c r="V27" t="str">
        <f t="shared" si="1"/>
        <v>Low Loyalty</v>
      </c>
      <c r="W27" t="s">
        <v>50</v>
      </c>
    </row>
    <row r="28" spans="1:23" x14ac:dyDescent="0.25">
      <c r="A28">
        <v>27</v>
      </c>
      <c r="B28">
        <v>38</v>
      </c>
      <c r="C28" t="str" cm="1">
        <f t="array" ref="C28">_xlfn.IFS(
  AND(B28&gt;=18, B28&lt;=24), "18-24",
  AND(B28&gt;=25, B28&lt;=34), "25-34",
  AND(B28&gt;=35, B28&lt;=44), "35-44",
  AND(B28&gt;=45, B28&lt;=54), "45-54",
  B28&gt;=55, "55+"
)</f>
        <v>35-44</v>
      </c>
      <c r="D28" t="s">
        <v>19</v>
      </c>
      <c r="E28" t="s">
        <v>106</v>
      </c>
      <c r="F28" t="s">
        <v>69</v>
      </c>
      <c r="G28">
        <v>20</v>
      </c>
      <c r="H28" t="s">
        <v>107</v>
      </c>
      <c r="I28" t="s">
        <v>45</v>
      </c>
      <c r="J28" t="s">
        <v>108</v>
      </c>
      <c r="K28" t="s">
        <v>39</v>
      </c>
      <c r="L28">
        <v>3.6</v>
      </c>
      <c r="M28" t="s">
        <v>26</v>
      </c>
      <c r="N28" t="s">
        <v>35</v>
      </c>
      <c r="O28" t="s">
        <v>47</v>
      </c>
      <c r="P28" t="s">
        <v>26</v>
      </c>
      <c r="Q28" t="s">
        <v>26</v>
      </c>
      <c r="R28">
        <v>13</v>
      </c>
      <c r="S28" t="s">
        <v>27</v>
      </c>
      <c r="T28" t="str">
        <f t="shared" si="0"/>
        <v>Annually</v>
      </c>
      <c r="U28">
        <f>VLOOKUP(T28,[1]tablescore!$B$3:$C$8, 2,FALSE)</f>
        <v>1</v>
      </c>
      <c r="V28" t="str">
        <f t="shared" si="1"/>
        <v>Low Loyalty</v>
      </c>
      <c r="W28" t="s">
        <v>50</v>
      </c>
    </row>
    <row r="29" spans="1:23" x14ac:dyDescent="0.25">
      <c r="A29">
        <v>28</v>
      </c>
      <c r="B29">
        <v>56</v>
      </c>
      <c r="C29" t="str" cm="1">
        <f t="array" ref="C29">_xlfn.IFS(
  AND(B29&gt;=18, B29&lt;=24), "18-24",
  AND(B29&gt;=25, B29&lt;=34), "25-34",
  AND(B29&gt;=35, B29&lt;=44), "35-44",
  AND(B29&gt;=45, B29&lt;=54), "45-54",
  B29&gt;=55, "55+"
)</f>
        <v>55+</v>
      </c>
      <c r="D29" t="s">
        <v>19</v>
      </c>
      <c r="E29" t="s">
        <v>61</v>
      </c>
      <c r="F29" t="s">
        <v>21</v>
      </c>
      <c r="G29">
        <v>56</v>
      </c>
      <c r="H29" t="s">
        <v>22</v>
      </c>
      <c r="I29" t="s">
        <v>23</v>
      </c>
      <c r="J29" t="s">
        <v>109</v>
      </c>
      <c r="K29" t="s">
        <v>54</v>
      </c>
      <c r="L29">
        <v>5</v>
      </c>
      <c r="M29" t="s">
        <v>26</v>
      </c>
      <c r="N29" t="s">
        <v>59</v>
      </c>
      <c r="O29" t="s">
        <v>47</v>
      </c>
      <c r="P29" t="s">
        <v>26</v>
      </c>
      <c r="Q29" t="s">
        <v>26</v>
      </c>
      <c r="R29">
        <v>7</v>
      </c>
      <c r="S29" t="s">
        <v>34</v>
      </c>
      <c r="T29" t="str">
        <f t="shared" si="0"/>
        <v>Quarterly</v>
      </c>
      <c r="U29">
        <f>VLOOKUP(T29,[1]tablescore!$B$3:$C$8, 2,FALSE)</f>
        <v>4</v>
      </c>
      <c r="V29" t="str">
        <f t="shared" si="1"/>
        <v>Low Loyalty</v>
      </c>
      <c r="W29" t="s">
        <v>97</v>
      </c>
    </row>
    <row r="30" spans="1:23" x14ac:dyDescent="0.25">
      <c r="A30">
        <v>29</v>
      </c>
      <c r="B30">
        <v>54</v>
      </c>
      <c r="C30" t="str" cm="1">
        <f t="array" ref="C30">_xlfn.IFS(
  AND(B30&gt;=18, B30&lt;=24), "18-24",
  AND(B30&gt;=25, B30&lt;=34), "25-34",
  AND(B30&gt;=35, B30&lt;=44), "35-44",
  AND(B30&gt;=45, B30&lt;=54), "45-54",
  B30&gt;=55, "55+"
)</f>
        <v>45-54</v>
      </c>
      <c r="D30" t="s">
        <v>19</v>
      </c>
      <c r="E30" t="s">
        <v>68</v>
      </c>
      <c r="F30" t="s">
        <v>69</v>
      </c>
      <c r="G30">
        <v>94</v>
      </c>
      <c r="H30" t="s">
        <v>98</v>
      </c>
      <c r="I30" t="s">
        <v>45</v>
      </c>
      <c r="J30" t="s">
        <v>24</v>
      </c>
      <c r="K30" t="s">
        <v>58</v>
      </c>
      <c r="L30">
        <v>4.4000000000000004</v>
      </c>
      <c r="M30" t="s">
        <v>26</v>
      </c>
      <c r="N30" t="s">
        <v>59</v>
      </c>
      <c r="O30" t="s">
        <v>40</v>
      </c>
      <c r="P30" t="s">
        <v>26</v>
      </c>
      <c r="Q30" t="s">
        <v>26</v>
      </c>
      <c r="R30">
        <v>41</v>
      </c>
      <c r="S30" t="s">
        <v>46</v>
      </c>
      <c r="T30" t="str">
        <f t="shared" si="0"/>
        <v>Quarterly</v>
      </c>
      <c r="U30">
        <f>VLOOKUP(T30,[1]tablescore!$B$3:$C$8, 2,FALSE)</f>
        <v>4</v>
      </c>
      <c r="V30" t="str">
        <f t="shared" si="1"/>
        <v>Low Loyalty</v>
      </c>
      <c r="W30" t="s">
        <v>97</v>
      </c>
    </row>
    <row r="31" spans="1:23" x14ac:dyDescent="0.25">
      <c r="A31">
        <v>30</v>
      </c>
      <c r="B31">
        <v>31</v>
      </c>
      <c r="C31" t="str" cm="1">
        <f t="array" ref="C31">_xlfn.IFS(
  AND(B31&gt;=18, B31&lt;=24), "18-24",
  AND(B31&gt;=25, B31&lt;=34), "25-34",
  AND(B31&gt;=35, B31&lt;=44), "35-44",
  AND(B31&gt;=45, B31&lt;=54), "45-54",
  B31&gt;=55, "55+"
)</f>
        <v>25-34</v>
      </c>
      <c r="D31" t="s">
        <v>19</v>
      </c>
      <c r="E31" t="s">
        <v>82</v>
      </c>
      <c r="F31" t="s">
        <v>21</v>
      </c>
      <c r="G31">
        <v>48</v>
      </c>
      <c r="H31" t="s">
        <v>52</v>
      </c>
      <c r="I31" t="s">
        <v>38</v>
      </c>
      <c r="J31" t="s">
        <v>94</v>
      </c>
      <c r="K31" t="s">
        <v>58</v>
      </c>
      <c r="L31">
        <v>4.0999999999999996</v>
      </c>
      <c r="M31" t="s">
        <v>26</v>
      </c>
      <c r="N31" t="s">
        <v>29</v>
      </c>
      <c r="O31" t="s">
        <v>76</v>
      </c>
      <c r="P31" t="s">
        <v>26</v>
      </c>
      <c r="Q31" t="s">
        <v>26</v>
      </c>
      <c r="R31">
        <v>14</v>
      </c>
      <c r="S31" t="s">
        <v>27</v>
      </c>
      <c r="T31" t="str">
        <f t="shared" si="0"/>
        <v>Daily</v>
      </c>
      <c r="U31">
        <f>VLOOKUP(T31,[1]tablescore!$B$3:$C$8, 2,FALSE)</f>
        <v>30</v>
      </c>
      <c r="V31" t="str">
        <f t="shared" si="1"/>
        <v>Highly Loyal</v>
      </c>
      <c r="W31" t="s">
        <v>41</v>
      </c>
    </row>
    <row r="32" spans="1:23" x14ac:dyDescent="0.25">
      <c r="A32">
        <v>31</v>
      </c>
      <c r="B32">
        <v>57</v>
      </c>
      <c r="C32" t="str" cm="1">
        <f t="array" ref="C32">_xlfn.IFS(
  AND(B32&gt;=18, B32&lt;=24), "18-24",
  AND(B32&gt;=25, B32&lt;=34), "25-34",
  AND(B32&gt;=35, B32&lt;=44), "35-44",
  AND(B32&gt;=45, B32&lt;=54), "45-54",
  B32&gt;=55, "55+"
)</f>
        <v>55+</v>
      </c>
      <c r="D32" t="s">
        <v>19</v>
      </c>
      <c r="E32" t="s">
        <v>106</v>
      </c>
      <c r="F32" t="s">
        <v>69</v>
      </c>
      <c r="G32">
        <v>31</v>
      </c>
      <c r="H32" t="s">
        <v>98</v>
      </c>
      <c r="I32" t="s">
        <v>23</v>
      </c>
      <c r="J32" t="s">
        <v>94</v>
      </c>
      <c r="K32" t="s">
        <v>25</v>
      </c>
      <c r="L32">
        <v>4.7</v>
      </c>
      <c r="M32" t="s">
        <v>26</v>
      </c>
      <c r="N32" t="s">
        <v>34</v>
      </c>
      <c r="O32" t="s">
        <v>55</v>
      </c>
      <c r="P32" t="s">
        <v>26</v>
      </c>
      <c r="Q32" t="s">
        <v>26</v>
      </c>
      <c r="R32">
        <v>16</v>
      </c>
      <c r="S32" t="s">
        <v>27</v>
      </c>
      <c r="T32" t="str">
        <f t="shared" si="0"/>
        <v>Month</v>
      </c>
      <c r="U32">
        <f>VLOOKUP(T32,[1]tablescore!$B$3:$C$8, 2,FALSE)</f>
        <v>12</v>
      </c>
      <c r="V32" t="str">
        <f t="shared" si="1"/>
        <v>Moderate</v>
      </c>
      <c r="W32" t="s">
        <v>88</v>
      </c>
    </row>
    <row r="33" spans="1:23" x14ac:dyDescent="0.25">
      <c r="A33">
        <v>32</v>
      </c>
      <c r="B33">
        <v>33</v>
      </c>
      <c r="C33" t="str" cm="1">
        <f t="array" ref="C33">_xlfn.IFS(
  AND(B33&gt;=18, B33&lt;=24), "18-24",
  AND(B33&gt;=25, B33&lt;=34), "25-34",
  AND(B33&gt;=35, B33&lt;=44), "35-44",
  AND(B33&gt;=45, B33&lt;=54), "45-54",
  B33&gt;=55, "55+"
)</f>
        <v>25-34</v>
      </c>
      <c r="D33" t="s">
        <v>19</v>
      </c>
      <c r="E33" t="s">
        <v>82</v>
      </c>
      <c r="F33" t="s">
        <v>21</v>
      </c>
      <c r="G33">
        <v>79</v>
      </c>
      <c r="H33" t="s">
        <v>66</v>
      </c>
      <c r="I33" t="s">
        <v>23</v>
      </c>
      <c r="J33" t="s">
        <v>110</v>
      </c>
      <c r="K33" t="s">
        <v>25</v>
      </c>
      <c r="L33">
        <v>4.7</v>
      </c>
      <c r="M33" t="s">
        <v>26</v>
      </c>
      <c r="N33" t="s">
        <v>29</v>
      </c>
      <c r="O33" t="s">
        <v>76</v>
      </c>
      <c r="P33" t="s">
        <v>26</v>
      </c>
      <c r="Q33" t="s">
        <v>26</v>
      </c>
      <c r="R33">
        <v>45</v>
      </c>
      <c r="S33" t="s">
        <v>29</v>
      </c>
      <c r="T33" t="str">
        <f t="shared" si="0"/>
        <v>Month</v>
      </c>
      <c r="U33">
        <f>VLOOKUP(T33,[1]tablescore!$B$3:$C$8, 2,FALSE)</f>
        <v>12</v>
      </c>
      <c r="V33" t="str">
        <f t="shared" si="1"/>
        <v>Moderate</v>
      </c>
      <c r="W33" t="s">
        <v>88</v>
      </c>
    </row>
    <row r="34" spans="1:23" x14ac:dyDescent="0.25">
      <c r="A34">
        <v>33</v>
      </c>
      <c r="B34">
        <v>36</v>
      </c>
      <c r="C34" t="str" cm="1">
        <f t="array" ref="C34">_xlfn.IFS(
  AND(B34&gt;=18, B34&lt;=24), "18-24",
  AND(B34&gt;=25, B34&lt;=34), "25-34",
  AND(B34&gt;=35, B34&lt;=44), "35-44",
  AND(B34&gt;=45, B34&lt;=54), "45-54",
  B34&gt;=55, "55+"
)</f>
        <v>35-44</v>
      </c>
      <c r="D34" t="s">
        <v>19</v>
      </c>
      <c r="E34" t="s">
        <v>102</v>
      </c>
      <c r="F34" t="s">
        <v>65</v>
      </c>
      <c r="G34">
        <v>67</v>
      </c>
      <c r="H34" t="s">
        <v>111</v>
      </c>
      <c r="I34" t="s">
        <v>45</v>
      </c>
      <c r="J34" t="s">
        <v>67</v>
      </c>
      <c r="K34" t="s">
        <v>54</v>
      </c>
      <c r="L34">
        <v>4.9000000000000004</v>
      </c>
      <c r="M34" t="s">
        <v>26</v>
      </c>
      <c r="N34" t="s">
        <v>34</v>
      </c>
      <c r="O34" t="s">
        <v>40</v>
      </c>
      <c r="P34" t="s">
        <v>26</v>
      </c>
      <c r="Q34" t="s">
        <v>26</v>
      </c>
      <c r="R34">
        <v>37</v>
      </c>
      <c r="S34" t="s">
        <v>29</v>
      </c>
      <c r="T34" t="str">
        <f t="shared" si="0"/>
        <v>Annually</v>
      </c>
      <c r="U34">
        <f>VLOOKUP(T34,[1]tablescore!$B$3:$C$8, 2,FALSE)</f>
        <v>1</v>
      </c>
      <c r="V34" t="str">
        <f t="shared" si="1"/>
        <v>Low Loyalty</v>
      </c>
      <c r="W34" t="s">
        <v>50</v>
      </c>
    </row>
    <row r="35" spans="1:23" x14ac:dyDescent="0.25">
      <c r="A35">
        <v>34</v>
      </c>
      <c r="B35">
        <v>54</v>
      </c>
      <c r="C35" t="str" cm="1">
        <f t="array" ref="C35">_xlfn.IFS(
  AND(B35&gt;=18, B35&lt;=24), "18-24",
  AND(B35&gt;=25, B35&lt;=34), "25-34",
  AND(B35&gt;=35, B35&lt;=44), "35-44",
  AND(B35&gt;=45, B35&lt;=54), "45-54",
  B35&gt;=55, "55+"
)</f>
        <v>45-54</v>
      </c>
      <c r="D35" t="s">
        <v>19</v>
      </c>
      <c r="E35" t="s">
        <v>95</v>
      </c>
      <c r="F35" t="s">
        <v>21</v>
      </c>
      <c r="G35">
        <v>38</v>
      </c>
      <c r="H35" t="s">
        <v>112</v>
      </c>
      <c r="I35" t="s">
        <v>23</v>
      </c>
      <c r="J35" t="s">
        <v>96</v>
      </c>
      <c r="K35" t="s">
        <v>54</v>
      </c>
      <c r="L35">
        <v>3.3</v>
      </c>
      <c r="M35" t="s">
        <v>26</v>
      </c>
      <c r="N35" t="s">
        <v>29</v>
      </c>
      <c r="O35" t="s">
        <v>76</v>
      </c>
      <c r="P35" t="s">
        <v>26</v>
      </c>
      <c r="Q35" t="s">
        <v>26</v>
      </c>
      <c r="R35">
        <v>45</v>
      </c>
      <c r="S35" t="s">
        <v>35</v>
      </c>
      <c r="T35" t="str">
        <f t="shared" si="0"/>
        <v>Quarterly</v>
      </c>
      <c r="U35">
        <f>VLOOKUP(T35,[1]tablescore!$B$3:$C$8, 2,FALSE)</f>
        <v>4</v>
      </c>
      <c r="V35" t="str">
        <f t="shared" si="1"/>
        <v>Low Loyalty</v>
      </c>
      <c r="W35" t="s">
        <v>60</v>
      </c>
    </row>
    <row r="36" spans="1:23" x14ac:dyDescent="0.25">
      <c r="A36">
        <v>35</v>
      </c>
      <c r="B36">
        <v>36</v>
      </c>
      <c r="C36" t="str" cm="1">
        <f t="array" ref="C36">_xlfn.IFS(
  AND(B36&gt;=18, B36&lt;=24), "18-24",
  AND(B36&gt;=25, B36&lt;=34), "25-34",
  AND(B36&gt;=35, B36&lt;=44), "35-44",
  AND(B36&gt;=45, B36&lt;=54), "45-54",
  B36&gt;=55, "55+"
)</f>
        <v>35-44</v>
      </c>
      <c r="D36" t="s">
        <v>19</v>
      </c>
      <c r="E36" t="s">
        <v>113</v>
      </c>
      <c r="F36" t="s">
        <v>21</v>
      </c>
      <c r="G36">
        <v>91</v>
      </c>
      <c r="H36" t="s">
        <v>114</v>
      </c>
      <c r="I36" t="s">
        <v>23</v>
      </c>
      <c r="J36" t="s">
        <v>84</v>
      </c>
      <c r="K36" t="s">
        <v>39</v>
      </c>
      <c r="L36">
        <v>4.5999999999999996</v>
      </c>
      <c r="M36" t="s">
        <v>26</v>
      </c>
      <c r="N36" t="s">
        <v>59</v>
      </c>
      <c r="O36" t="s">
        <v>72</v>
      </c>
      <c r="P36" t="s">
        <v>26</v>
      </c>
      <c r="Q36" t="s">
        <v>26</v>
      </c>
      <c r="R36">
        <v>38</v>
      </c>
      <c r="S36" t="s">
        <v>46</v>
      </c>
      <c r="T36" t="str">
        <f t="shared" si="0"/>
        <v>Quarterly</v>
      </c>
      <c r="U36">
        <f>VLOOKUP(T36,[1]tablescore!$B$3:$C$8, 2,FALSE)</f>
        <v>4</v>
      </c>
      <c r="V36" t="str">
        <f t="shared" si="1"/>
        <v>Low Loyalty</v>
      </c>
      <c r="W36" t="s">
        <v>60</v>
      </c>
    </row>
    <row r="37" spans="1:23" x14ac:dyDescent="0.25">
      <c r="A37">
        <v>36</v>
      </c>
      <c r="B37">
        <v>54</v>
      </c>
      <c r="C37" t="str" cm="1">
        <f t="array" ref="C37">_xlfn.IFS(
  AND(B37&gt;=18, B37&lt;=24), "18-24",
  AND(B37&gt;=25, B37&lt;=34), "25-34",
  AND(B37&gt;=35, B37&lt;=44), "35-44",
  AND(B37&gt;=45, B37&lt;=54), "45-54",
  B37&gt;=55, "55+"
)</f>
        <v>45-54</v>
      </c>
      <c r="D37" t="s">
        <v>19</v>
      </c>
      <c r="E37" t="s">
        <v>20</v>
      </c>
      <c r="F37" t="s">
        <v>21</v>
      </c>
      <c r="G37">
        <v>33</v>
      </c>
      <c r="H37" t="s">
        <v>37</v>
      </c>
      <c r="I37" t="s">
        <v>45</v>
      </c>
      <c r="J37" t="s">
        <v>109</v>
      </c>
      <c r="K37" t="s">
        <v>54</v>
      </c>
      <c r="L37">
        <v>4</v>
      </c>
      <c r="M37" t="s">
        <v>26</v>
      </c>
      <c r="N37" t="s">
        <v>34</v>
      </c>
      <c r="O37" t="s">
        <v>72</v>
      </c>
      <c r="P37" t="s">
        <v>26</v>
      </c>
      <c r="Q37" t="s">
        <v>26</v>
      </c>
      <c r="R37">
        <v>48</v>
      </c>
      <c r="S37" t="s">
        <v>27</v>
      </c>
      <c r="T37" t="str">
        <f t="shared" si="0"/>
        <v>2-week</v>
      </c>
      <c r="U37">
        <f>VLOOKUP(T37,[1]tablescore!$B$3:$C$8, 2,FALSE)</f>
        <v>26</v>
      </c>
      <c r="V37" t="str">
        <f t="shared" si="1"/>
        <v>Loyal</v>
      </c>
      <c r="W37" t="s">
        <v>77</v>
      </c>
    </row>
    <row r="38" spans="1:23" x14ac:dyDescent="0.25">
      <c r="A38">
        <v>37</v>
      </c>
      <c r="B38">
        <v>35</v>
      </c>
      <c r="C38" t="str" cm="1">
        <f t="array" ref="C38">_xlfn.IFS(
  AND(B38&gt;=18, B38&lt;=24), "18-24",
  AND(B38&gt;=25, B38&lt;=34), "25-34",
  AND(B38&gt;=35, B38&lt;=44), "35-44",
  AND(B38&gt;=45, B38&lt;=54), "45-54",
  B38&gt;=55, "55+"
)</f>
        <v>35-44</v>
      </c>
      <c r="D38" t="s">
        <v>19</v>
      </c>
      <c r="E38" t="s">
        <v>113</v>
      </c>
      <c r="F38" t="s">
        <v>21</v>
      </c>
      <c r="G38">
        <v>69</v>
      </c>
      <c r="H38" t="s">
        <v>115</v>
      </c>
      <c r="I38" t="s">
        <v>45</v>
      </c>
      <c r="J38" t="s">
        <v>33</v>
      </c>
      <c r="K38" t="s">
        <v>25</v>
      </c>
      <c r="L38">
        <v>4.5999999999999996</v>
      </c>
      <c r="M38" t="s">
        <v>26</v>
      </c>
      <c r="N38" t="s">
        <v>35</v>
      </c>
      <c r="O38" t="s">
        <v>40</v>
      </c>
      <c r="P38" t="s">
        <v>26</v>
      </c>
      <c r="Q38" t="s">
        <v>26</v>
      </c>
      <c r="R38">
        <v>44</v>
      </c>
      <c r="S38" t="s">
        <v>46</v>
      </c>
      <c r="T38" t="str">
        <f t="shared" si="0"/>
        <v>2-week</v>
      </c>
      <c r="U38">
        <f>VLOOKUP(T38,[1]tablescore!$B$3:$C$8, 2,FALSE)</f>
        <v>26</v>
      </c>
      <c r="V38" t="str">
        <f t="shared" si="1"/>
        <v>Loyal</v>
      </c>
      <c r="W38" t="s">
        <v>30</v>
      </c>
    </row>
    <row r="39" spans="1:23" x14ac:dyDescent="0.25">
      <c r="A39">
        <v>38</v>
      </c>
      <c r="B39">
        <v>35</v>
      </c>
      <c r="C39" t="str" cm="1">
        <f t="array" ref="C39">_xlfn.IFS(
  AND(B39&gt;=18, B39&lt;=24), "18-24",
  AND(B39&gt;=25, B39&lt;=34), "25-34",
  AND(B39&gt;=35, B39&lt;=44), "35-44",
  AND(B39&gt;=45, B39&lt;=54), "45-54",
  B39&gt;=55, "55+"
)</f>
        <v>35-44</v>
      </c>
      <c r="D39" t="s">
        <v>19</v>
      </c>
      <c r="E39" t="s">
        <v>36</v>
      </c>
      <c r="F39" t="s">
        <v>21</v>
      </c>
      <c r="G39">
        <v>45</v>
      </c>
      <c r="H39" t="s">
        <v>116</v>
      </c>
      <c r="I39" t="s">
        <v>38</v>
      </c>
      <c r="J39" t="s">
        <v>109</v>
      </c>
      <c r="K39" t="s">
        <v>54</v>
      </c>
      <c r="L39">
        <v>2.8</v>
      </c>
      <c r="M39" t="s">
        <v>26</v>
      </c>
      <c r="N39" t="s">
        <v>59</v>
      </c>
      <c r="O39" t="s">
        <v>76</v>
      </c>
      <c r="P39" t="s">
        <v>26</v>
      </c>
      <c r="Q39" t="s">
        <v>26</v>
      </c>
      <c r="R39">
        <v>10</v>
      </c>
      <c r="S39" t="s">
        <v>46</v>
      </c>
      <c r="T39" t="str">
        <f t="shared" si="0"/>
        <v>Daily</v>
      </c>
      <c r="U39">
        <f>VLOOKUP(T39,[1]tablescore!$B$3:$C$8, 2,FALSE)</f>
        <v>30</v>
      </c>
      <c r="V39" t="str">
        <f t="shared" si="1"/>
        <v>Highly Loyal</v>
      </c>
      <c r="W39" t="s">
        <v>41</v>
      </c>
    </row>
    <row r="40" spans="1:23" x14ac:dyDescent="0.25">
      <c r="A40">
        <v>39</v>
      </c>
      <c r="B40">
        <v>29</v>
      </c>
      <c r="C40" t="str" cm="1">
        <f t="array" ref="C40">_xlfn.IFS(
  AND(B40&gt;=18, B40&lt;=24), "18-24",
  AND(B40&gt;=25, B40&lt;=34), "25-34",
  AND(B40&gt;=35, B40&lt;=44), "35-44",
  AND(B40&gt;=45, B40&lt;=54), "45-54",
  B40&gt;=55, "55+"
)</f>
        <v>25-34</v>
      </c>
      <c r="D40" t="s">
        <v>19</v>
      </c>
      <c r="E40" t="s">
        <v>82</v>
      </c>
      <c r="F40" t="s">
        <v>21</v>
      </c>
      <c r="G40">
        <v>37</v>
      </c>
      <c r="H40" t="s">
        <v>103</v>
      </c>
      <c r="I40" t="s">
        <v>45</v>
      </c>
      <c r="J40" t="s">
        <v>108</v>
      </c>
      <c r="K40" t="s">
        <v>25</v>
      </c>
      <c r="L40">
        <v>3.7</v>
      </c>
      <c r="M40" t="s">
        <v>26</v>
      </c>
      <c r="N40" t="s">
        <v>59</v>
      </c>
      <c r="O40" t="s">
        <v>72</v>
      </c>
      <c r="P40" t="s">
        <v>26</v>
      </c>
      <c r="Q40" t="s">
        <v>26</v>
      </c>
      <c r="R40">
        <v>44</v>
      </c>
      <c r="S40" t="s">
        <v>29</v>
      </c>
      <c r="T40" t="str">
        <f t="shared" si="0"/>
        <v>Quarterly</v>
      </c>
      <c r="U40">
        <f>VLOOKUP(T40,[1]tablescore!$B$3:$C$8, 2,FALSE)</f>
        <v>4</v>
      </c>
      <c r="V40" t="str">
        <f t="shared" si="1"/>
        <v>Low Loyalty</v>
      </c>
      <c r="W40" t="s">
        <v>97</v>
      </c>
    </row>
    <row r="41" spans="1:23" x14ac:dyDescent="0.25">
      <c r="A41">
        <v>40</v>
      </c>
      <c r="B41">
        <v>70</v>
      </c>
      <c r="C41" t="str" cm="1">
        <f t="array" ref="C41">_xlfn.IFS(
  AND(B41&gt;=18, B41&lt;=24), "18-24",
  AND(B41&gt;=25, B41&lt;=34), "25-34",
  AND(B41&gt;=35, B41&lt;=44), "35-44",
  AND(B41&gt;=45, B41&lt;=54), "45-54",
  B41&gt;=55, "55+"
)</f>
        <v>55+</v>
      </c>
      <c r="D41" t="s">
        <v>19</v>
      </c>
      <c r="E41" t="s">
        <v>95</v>
      </c>
      <c r="F41" t="s">
        <v>21</v>
      </c>
      <c r="G41">
        <v>60</v>
      </c>
      <c r="H41" t="s">
        <v>117</v>
      </c>
      <c r="I41" t="s">
        <v>38</v>
      </c>
      <c r="J41" t="s">
        <v>49</v>
      </c>
      <c r="K41" t="s">
        <v>54</v>
      </c>
      <c r="L41">
        <v>4.2</v>
      </c>
      <c r="M41" t="s">
        <v>26</v>
      </c>
      <c r="N41" t="s">
        <v>34</v>
      </c>
      <c r="O41" t="s">
        <v>28</v>
      </c>
      <c r="P41" t="s">
        <v>26</v>
      </c>
      <c r="Q41" t="s">
        <v>26</v>
      </c>
      <c r="R41">
        <v>18</v>
      </c>
      <c r="S41" t="s">
        <v>27</v>
      </c>
      <c r="T41" t="str">
        <f t="shared" si="0"/>
        <v>Month</v>
      </c>
      <c r="U41">
        <f>VLOOKUP(T41,[1]tablescore!$B$3:$C$8, 2,FALSE)</f>
        <v>12</v>
      </c>
      <c r="V41" t="str">
        <f t="shared" si="1"/>
        <v>Moderate</v>
      </c>
      <c r="W41" t="s">
        <v>88</v>
      </c>
    </row>
    <row r="42" spans="1:23" x14ac:dyDescent="0.25">
      <c r="A42">
        <v>41</v>
      </c>
      <c r="B42">
        <v>69</v>
      </c>
      <c r="C42" t="str" cm="1">
        <f t="array" ref="C42">_xlfn.IFS(
  AND(B42&gt;=18, B42&lt;=24), "18-24",
  AND(B42&gt;=25, B42&lt;=34), "25-34",
  AND(B42&gt;=35, B42&lt;=44), "35-44",
  AND(B42&gt;=45, B42&lt;=54), "45-54",
  B42&gt;=55, "55+"
)</f>
        <v>55+</v>
      </c>
      <c r="D42" t="s">
        <v>19</v>
      </c>
      <c r="E42" t="s">
        <v>68</v>
      </c>
      <c r="F42" t="s">
        <v>69</v>
      </c>
      <c r="G42">
        <v>76</v>
      </c>
      <c r="H42" t="s">
        <v>62</v>
      </c>
      <c r="I42" t="s">
        <v>23</v>
      </c>
      <c r="J42" t="s">
        <v>118</v>
      </c>
      <c r="K42" t="s">
        <v>25</v>
      </c>
      <c r="L42">
        <v>4.5999999999999996</v>
      </c>
      <c r="M42" t="s">
        <v>26</v>
      </c>
      <c r="N42" t="s">
        <v>46</v>
      </c>
      <c r="O42" t="s">
        <v>47</v>
      </c>
      <c r="P42" t="s">
        <v>26</v>
      </c>
      <c r="Q42" t="s">
        <v>26</v>
      </c>
      <c r="R42">
        <v>31</v>
      </c>
      <c r="S42" t="s">
        <v>59</v>
      </c>
      <c r="T42" t="str">
        <f t="shared" si="0"/>
        <v>Quarterly</v>
      </c>
      <c r="U42">
        <f>VLOOKUP(T42,[1]tablescore!$B$3:$C$8, 2,FALSE)</f>
        <v>4</v>
      </c>
      <c r="V42" t="str">
        <f t="shared" si="1"/>
        <v>Low Loyalty</v>
      </c>
      <c r="W42" t="s">
        <v>60</v>
      </c>
    </row>
    <row r="43" spans="1:23" x14ac:dyDescent="0.25">
      <c r="A43">
        <v>42</v>
      </c>
      <c r="B43">
        <v>67</v>
      </c>
      <c r="C43" t="str" cm="1">
        <f t="array" ref="C43">_xlfn.IFS(
  AND(B43&gt;=18, B43&lt;=24), "18-24",
  AND(B43&gt;=25, B43&lt;=34), "25-34",
  AND(B43&gt;=35, B43&lt;=44), "35-44",
  AND(B43&gt;=45, B43&lt;=54), "45-54",
  B43&gt;=55, "55+"
)</f>
        <v>55+</v>
      </c>
      <c r="D43" t="s">
        <v>19</v>
      </c>
      <c r="E43" t="s">
        <v>119</v>
      </c>
      <c r="F43" t="s">
        <v>69</v>
      </c>
      <c r="G43">
        <v>39</v>
      </c>
      <c r="H43" t="s">
        <v>120</v>
      </c>
      <c r="I43" t="s">
        <v>45</v>
      </c>
      <c r="J43" t="s">
        <v>121</v>
      </c>
      <c r="K43" t="s">
        <v>39</v>
      </c>
      <c r="L43">
        <v>4.5</v>
      </c>
      <c r="M43" t="s">
        <v>26</v>
      </c>
      <c r="N43" t="s">
        <v>35</v>
      </c>
      <c r="O43" t="s">
        <v>55</v>
      </c>
      <c r="P43" t="s">
        <v>26</v>
      </c>
      <c r="Q43" t="s">
        <v>26</v>
      </c>
      <c r="R43">
        <v>40</v>
      </c>
      <c r="S43" t="s">
        <v>29</v>
      </c>
      <c r="T43" t="str">
        <f t="shared" si="0"/>
        <v>Annually</v>
      </c>
      <c r="U43">
        <f>VLOOKUP(T43,[1]tablescore!$B$3:$C$8, 2,FALSE)</f>
        <v>1</v>
      </c>
      <c r="V43" t="str">
        <f t="shared" si="1"/>
        <v>Low Loyalty</v>
      </c>
      <c r="W43" t="s">
        <v>50</v>
      </c>
    </row>
    <row r="44" spans="1:23" x14ac:dyDescent="0.25">
      <c r="A44">
        <v>43</v>
      </c>
      <c r="B44">
        <v>20</v>
      </c>
      <c r="C44" t="str" cm="1">
        <f t="array" ref="C44">_xlfn.IFS(
  AND(B44&gt;=18, B44&lt;=24), "18-24",
  AND(B44&gt;=25, B44&lt;=34), "25-34",
  AND(B44&gt;=35, B44&lt;=44), "35-44",
  AND(B44&gt;=45, B44&lt;=54), "45-54",
  B44&gt;=55, "55+"
)</f>
        <v>18-24</v>
      </c>
      <c r="D44" t="s">
        <v>19</v>
      </c>
      <c r="E44" t="s">
        <v>64</v>
      </c>
      <c r="F44" t="s">
        <v>65</v>
      </c>
      <c r="G44">
        <v>100</v>
      </c>
      <c r="H44" t="s">
        <v>122</v>
      </c>
      <c r="I44" t="s">
        <v>45</v>
      </c>
      <c r="J44" t="s">
        <v>118</v>
      </c>
      <c r="K44" t="s">
        <v>39</v>
      </c>
      <c r="L44">
        <v>4.0999999999999996</v>
      </c>
      <c r="M44" t="s">
        <v>26</v>
      </c>
      <c r="N44" t="s">
        <v>34</v>
      </c>
      <c r="O44" t="s">
        <v>40</v>
      </c>
      <c r="P44" t="s">
        <v>26</v>
      </c>
      <c r="Q44" t="s">
        <v>26</v>
      </c>
      <c r="R44">
        <v>15</v>
      </c>
      <c r="S44" t="s">
        <v>46</v>
      </c>
      <c r="T44" t="str">
        <f t="shared" si="0"/>
        <v>Annually</v>
      </c>
      <c r="U44">
        <f>VLOOKUP(T44,[1]tablescore!$B$3:$C$8, 2,FALSE)</f>
        <v>1</v>
      </c>
      <c r="V44" t="str">
        <f t="shared" si="1"/>
        <v>Low Loyalty</v>
      </c>
      <c r="W44" t="s">
        <v>50</v>
      </c>
    </row>
    <row r="45" spans="1:23" x14ac:dyDescent="0.25">
      <c r="A45">
        <v>44</v>
      </c>
      <c r="B45">
        <v>25</v>
      </c>
      <c r="C45" t="str" cm="1">
        <f t="array" ref="C45">_xlfn.IFS(
  AND(B45&gt;=18, B45&lt;=24), "18-24",
  AND(B45&gt;=25, B45&lt;=34), "25-34",
  AND(B45&gt;=35, B45&lt;=44), "35-44",
  AND(B45&gt;=45, B45&lt;=54), "45-54",
  B45&gt;=55, "55+"
)</f>
        <v>25-34</v>
      </c>
      <c r="D45" t="s">
        <v>19</v>
      </c>
      <c r="E45" t="s">
        <v>119</v>
      </c>
      <c r="F45" t="s">
        <v>69</v>
      </c>
      <c r="G45">
        <v>69</v>
      </c>
      <c r="H45" t="s">
        <v>124</v>
      </c>
      <c r="I45" t="s">
        <v>23</v>
      </c>
      <c r="J45" t="s">
        <v>93</v>
      </c>
      <c r="K45" t="s">
        <v>58</v>
      </c>
      <c r="L45">
        <v>3.7</v>
      </c>
      <c r="M45" t="s">
        <v>26</v>
      </c>
      <c r="N45" t="s">
        <v>46</v>
      </c>
      <c r="O45" t="s">
        <v>76</v>
      </c>
      <c r="P45" t="s">
        <v>26</v>
      </c>
      <c r="Q45" t="s">
        <v>26</v>
      </c>
      <c r="R45">
        <v>19</v>
      </c>
      <c r="S45" t="s">
        <v>46</v>
      </c>
      <c r="T45" t="str">
        <f t="shared" si="0"/>
        <v>2-week</v>
      </c>
      <c r="U45">
        <f>VLOOKUP(T45,[1]tablescore!$B$3:$C$8, 2,FALSE)</f>
        <v>26</v>
      </c>
      <c r="V45" t="str">
        <f t="shared" si="1"/>
        <v>Loyal</v>
      </c>
      <c r="W45" t="s">
        <v>30</v>
      </c>
    </row>
    <row r="46" spans="1:23" x14ac:dyDescent="0.25">
      <c r="A46">
        <v>45</v>
      </c>
      <c r="B46">
        <v>39</v>
      </c>
      <c r="C46" t="str" cm="1">
        <f t="array" ref="C46">_xlfn.IFS(
  AND(B46&gt;=18, B46&lt;=24), "18-24",
  AND(B46&gt;=25, B46&lt;=34), "25-34",
  AND(B46&gt;=35, B46&lt;=44), "35-44",
  AND(B46&gt;=45, B46&lt;=54), "45-54",
  B46&gt;=55, "55+"
)</f>
        <v>35-44</v>
      </c>
      <c r="D46" t="s">
        <v>19</v>
      </c>
      <c r="E46" t="s">
        <v>125</v>
      </c>
      <c r="F46" t="s">
        <v>69</v>
      </c>
      <c r="G46">
        <v>53</v>
      </c>
      <c r="H46" t="s">
        <v>22</v>
      </c>
      <c r="I46" t="s">
        <v>38</v>
      </c>
      <c r="J46" t="s">
        <v>67</v>
      </c>
      <c r="K46" t="s">
        <v>54</v>
      </c>
      <c r="L46">
        <v>4.5999999999999996</v>
      </c>
      <c r="M46" t="s">
        <v>26</v>
      </c>
      <c r="N46" t="s">
        <v>34</v>
      </c>
      <c r="O46" t="s">
        <v>40</v>
      </c>
      <c r="P46" t="s">
        <v>26</v>
      </c>
      <c r="Q46" t="s">
        <v>26</v>
      </c>
      <c r="R46">
        <v>45</v>
      </c>
      <c r="S46" t="s">
        <v>46</v>
      </c>
      <c r="T46" t="str">
        <f t="shared" si="0"/>
        <v>Daily</v>
      </c>
      <c r="U46">
        <f>VLOOKUP(T46,[1]tablescore!$B$3:$C$8, 2,FALSE)</f>
        <v>30</v>
      </c>
      <c r="V46" t="str">
        <f t="shared" si="1"/>
        <v>Highly Loyal</v>
      </c>
      <c r="W46" t="s">
        <v>41</v>
      </c>
    </row>
    <row r="47" spans="1:23" x14ac:dyDescent="0.25">
      <c r="A47">
        <v>46</v>
      </c>
      <c r="B47">
        <v>50</v>
      </c>
      <c r="C47" t="str" cm="1">
        <f t="array" ref="C47">_xlfn.IFS(
  AND(B47&gt;=18, B47&lt;=24), "18-24",
  AND(B47&gt;=25, B47&lt;=34), "25-34",
  AND(B47&gt;=35, B47&lt;=44), "35-44",
  AND(B47&gt;=45, B47&lt;=54), "45-54",
  B47&gt;=55, "55+"
)</f>
        <v>45-54</v>
      </c>
      <c r="D47" t="s">
        <v>19</v>
      </c>
      <c r="E47" t="s">
        <v>131</v>
      </c>
      <c r="F47" t="s">
        <v>21</v>
      </c>
      <c r="G47">
        <v>21</v>
      </c>
      <c r="H47" t="s">
        <v>122</v>
      </c>
      <c r="I47" t="s">
        <v>92</v>
      </c>
      <c r="J47" t="s">
        <v>129</v>
      </c>
      <c r="K47" t="s">
        <v>58</v>
      </c>
      <c r="L47">
        <v>2.9</v>
      </c>
      <c r="M47" t="s">
        <v>26</v>
      </c>
      <c r="N47" t="s">
        <v>29</v>
      </c>
      <c r="O47" t="s">
        <v>72</v>
      </c>
      <c r="P47" t="s">
        <v>26</v>
      </c>
      <c r="Q47" t="s">
        <v>26</v>
      </c>
      <c r="R47">
        <v>25</v>
      </c>
      <c r="S47" t="s">
        <v>46</v>
      </c>
      <c r="T47" t="str">
        <f t="shared" si="0"/>
        <v>Annually</v>
      </c>
      <c r="U47">
        <f>VLOOKUP(T47,[1]tablescore!$B$3:$C$8, 2,FALSE)</f>
        <v>1</v>
      </c>
      <c r="V47" t="str">
        <f t="shared" si="1"/>
        <v>Low Loyalty</v>
      </c>
      <c r="W47" t="s">
        <v>50</v>
      </c>
    </row>
    <row r="48" spans="1:23" x14ac:dyDescent="0.25">
      <c r="A48">
        <v>47</v>
      </c>
      <c r="B48">
        <v>57</v>
      </c>
      <c r="C48" t="str" cm="1">
        <f t="array" ref="C48">_xlfn.IFS(
  AND(B48&gt;=18, B48&lt;=24), "18-24",
  AND(B48&gt;=25, B48&lt;=34), "25-34",
  AND(B48&gt;=35, B48&lt;=44), "35-44",
  AND(B48&gt;=45, B48&lt;=54), "45-54",
  B48&gt;=55, "55+"
)</f>
        <v>55+</v>
      </c>
      <c r="D48" t="s">
        <v>19</v>
      </c>
      <c r="E48" t="s">
        <v>56</v>
      </c>
      <c r="F48" t="s">
        <v>21</v>
      </c>
      <c r="G48">
        <v>43</v>
      </c>
      <c r="H48" t="s">
        <v>99</v>
      </c>
      <c r="I48" t="s">
        <v>23</v>
      </c>
      <c r="J48" t="s">
        <v>53</v>
      </c>
      <c r="K48" t="s">
        <v>54</v>
      </c>
      <c r="L48">
        <v>2.9</v>
      </c>
      <c r="M48" t="s">
        <v>26</v>
      </c>
      <c r="N48" t="s">
        <v>29</v>
      </c>
      <c r="O48" t="s">
        <v>76</v>
      </c>
      <c r="P48" t="s">
        <v>26</v>
      </c>
      <c r="Q48" t="s">
        <v>26</v>
      </c>
      <c r="R48">
        <v>45</v>
      </c>
      <c r="S48" t="s">
        <v>35</v>
      </c>
      <c r="T48" t="str">
        <f t="shared" si="0"/>
        <v>Quarterly</v>
      </c>
      <c r="U48">
        <f>VLOOKUP(T48,[1]tablescore!$B$3:$C$8, 2,FALSE)</f>
        <v>4</v>
      </c>
      <c r="V48" t="str">
        <f t="shared" si="1"/>
        <v>Low Loyalty</v>
      </c>
      <c r="W48" t="s">
        <v>60</v>
      </c>
    </row>
    <row r="49" spans="1:23" x14ac:dyDescent="0.25">
      <c r="A49">
        <v>48</v>
      </c>
      <c r="B49">
        <v>55</v>
      </c>
      <c r="C49" t="str" cm="1">
        <f t="array" ref="C49">_xlfn.IFS(
  AND(B49&gt;=18, B49&lt;=24), "18-24",
  AND(B49&gt;=25, B49&lt;=34), "25-34",
  AND(B49&gt;=35, B49&lt;=44), "35-44",
  AND(B49&gt;=45, B49&lt;=54), "45-54",
  B49&gt;=55, "55+"
)</f>
        <v>55+</v>
      </c>
      <c r="D49" t="s">
        <v>19</v>
      </c>
      <c r="E49" t="s">
        <v>106</v>
      </c>
      <c r="F49" t="s">
        <v>69</v>
      </c>
      <c r="G49">
        <v>54</v>
      </c>
      <c r="H49" t="s">
        <v>57</v>
      </c>
      <c r="I49" t="s">
        <v>45</v>
      </c>
      <c r="J49" t="s">
        <v>63</v>
      </c>
      <c r="K49" t="s">
        <v>25</v>
      </c>
      <c r="L49">
        <v>4.5</v>
      </c>
      <c r="M49" t="s">
        <v>26</v>
      </c>
      <c r="N49" t="s">
        <v>59</v>
      </c>
      <c r="O49" t="s">
        <v>40</v>
      </c>
      <c r="P49" t="s">
        <v>26</v>
      </c>
      <c r="Q49" t="s">
        <v>26</v>
      </c>
      <c r="R49">
        <v>36</v>
      </c>
      <c r="S49" t="s">
        <v>35</v>
      </c>
      <c r="T49" t="str">
        <f t="shared" si="0"/>
        <v>Daily</v>
      </c>
      <c r="U49">
        <f>VLOOKUP(T49,[1]tablescore!$B$3:$C$8, 2,FALSE)</f>
        <v>30</v>
      </c>
      <c r="V49" t="str">
        <f t="shared" si="1"/>
        <v>Highly Loyal</v>
      </c>
      <c r="W49" t="s">
        <v>41</v>
      </c>
    </row>
    <row r="50" spans="1:23" x14ac:dyDescent="0.25">
      <c r="A50">
        <v>49</v>
      </c>
      <c r="B50">
        <v>42</v>
      </c>
      <c r="C50" t="str" cm="1">
        <f t="array" ref="C50">_xlfn.IFS(
  AND(B50&gt;=18, B50&lt;=24), "18-24",
  AND(B50&gt;=25, B50&lt;=34), "25-34",
  AND(B50&gt;=35, B50&lt;=44), "35-44",
  AND(B50&gt;=45, B50&lt;=54), "45-54",
  B50&gt;=55, "55+"
)</f>
        <v>35-44</v>
      </c>
      <c r="D50" t="s">
        <v>19</v>
      </c>
      <c r="E50" t="s">
        <v>56</v>
      </c>
      <c r="F50" t="s">
        <v>21</v>
      </c>
      <c r="G50">
        <v>55</v>
      </c>
      <c r="H50" t="s">
        <v>107</v>
      </c>
      <c r="I50" t="s">
        <v>45</v>
      </c>
      <c r="J50" t="s">
        <v>121</v>
      </c>
      <c r="K50" t="s">
        <v>54</v>
      </c>
      <c r="L50">
        <v>2.7</v>
      </c>
      <c r="M50" t="s">
        <v>26</v>
      </c>
      <c r="N50" t="s">
        <v>59</v>
      </c>
      <c r="O50" t="s">
        <v>76</v>
      </c>
      <c r="P50" t="s">
        <v>26</v>
      </c>
      <c r="Q50" t="s">
        <v>26</v>
      </c>
      <c r="R50">
        <v>38</v>
      </c>
      <c r="S50" t="s">
        <v>35</v>
      </c>
      <c r="T50" t="str">
        <f t="shared" si="0"/>
        <v>Month</v>
      </c>
      <c r="U50">
        <f>VLOOKUP(T50,[1]tablescore!$B$3:$C$8, 2,FALSE)</f>
        <v>12</v>
      </c>
      <c r="V50" t="str">
        <f t="shared" si="1"/>
        <v>Moderate</v>
      </c>
      <c r="W50" t="s">
        <v>88</v>
      </c>
    </row>
    <row r="51" spans="1:23" x14ac:dyDescent="0.25">
      <c r="A51">
        <v>50</v>
      </c>
      <c r="B51">
        <v>68</v>
      </c>
      <c r="C51" t="str" cm="1">
        <f t="array" ref="C51">_xlfn.IFS(
  AND(B51&gt;=18, B51&lt;=24), "18-24",
  AND(B51&gt;=25, B51&lt;=34), "25-34",
  AND(B51&gt;=35, B51&lt;=44), "35-44",
  AND(B51&gt;=45, B51&lt;=54), "45-54",
  B51&gt;=55, "55+"
)</f>
        <v>55+</v>
      </c>
      <c r="D51" t="s">
        <v>19</v>
      </c>
      <c r="E51" t="s">
        <v>104</v>
      </c>
      <c r="F51" t="s">
        <v>21</v>
      </c>
      <c r="G51">
        <v>30</v>
      </c>
      <c r="H51" t="s">
        <v>137</v>
      </c>
      <c r="I51" t="s">
        <v>38</v>
      </c>
      <c r="J51" t="s">
        <v>129</v>
      </c>
      <c r="K51" t="s">
        <v>39</v>
      </c>
      <c r="L51">
        <v>4.5999999999999996</v>
      </c>
      <c r="M51" t="s">
        <v>26</v>
      </c>
      <c r="N51" t="s">
        <v>34</v>
      </c>
      <c r="O51" t="s">
        <v>47</v>
      </c>
      <c r="P51" t="s">
        <v>26</v>
      </c>
      <c r="Q51" t="s">
        <v>26</v>
      </c>
      <c r="R51">
        <v>34</v>
      </c>
      <c r="S51" t="s">
        <v>59</v>
      </c>
      <c r="T51" t="str">
        <f t="shared" si="0"/>
        <v>2-week</v>
      </c>
      <c r="U51">
        <f>VLOOKUP(T51,[1]tablescore!$B$3:$C$8, 2,FALSE)</f>
        <v>26</v>
      </c>
      <c r="V51" t="str">
        <f t="shared" si="1"/>
        <v>Loyal</v>
      </c>
      <c r="W51" t="s">
        <v>77</v>
      </c>
    </row>
    <row r="52" spans="1:23" x14ac:dyDescent="0.25">
      <c r="A52">
        <v>51</v>
      </c>
      <c r="B52">
        <v>49</v>
      </c>
      <c r="C52" t="str" cm="1">
        <f t="array" ref="C52">_xlfn.IFS(
  AND(B52&gt;=18, B52&lt;=24), "18-24",
  AND(B52&gt;=25, B52&lt;=34), "25-34",
  AND(B52&gt;=35, B52&lt;=44), "35-44",
  AND(B52&gt;=45, B52&lt;=54), "45-54",
  B52&gt;=55, "55+"
)</f>
        <v>45-54</v>
      </c>
      <c r="D52" t="s">
        <v>19</v>
      </c>
      <c r="E52" t="s">
        <v>20</v>
      </c>
      <c r="F52" t="s">
        <v>21</v>
      </c>
      <c r="G52">
        <v>28</v>
      </c>
      <c r="H52" t="s">
        <v>135</v>
      </c>
      <c r="I52" t="s">
        <v>45</v>
      </c>
      <c r="J52" t="s">
        <v>108</v>
      </c>
      <c r="K52" t="s">
        <v>39</v>
      </c>
      <c r="L52">
        <v>3.7</v>
      </c>
      <c r="M52" t="s">
        <v>26</v>
      </c>
      <c r="N52" t="s">
        <v>35</v>
      </c>
      <c r="O52" t="s">
        <v>76</v>
      </c>
      <c r="P52" t="s">
        <v>26</v>
      </c>
      <c r="Q52" t="s">
        <v>26</v>
      </c>
      <c r="R52">
        <v>39</v>
      </c>
      <c r="S52" t="s">
        <v>59</v>
      </c>
      <c r="T52" t="str">
        <f t="shared" si="0"/>
        <v>2-week</v>
      </c>
      <c r="U52">
        <f>VLOOKUP(T52,[1]tablescore!$B$3:$C$8, 2,FALSE)</f>
        <v>26</v>
      </c>
      <c r="V52" t="str">
        <f t="shared" si="1"/>
        <v>Loyal</v>
      </c>
      <c r="W52" t="s">
        <v>77</v>
      </c>
    </row>
    <row r="53" spans="1:23" x14ac:dyDescent="0.25">
      <c r="A53">
        <v>52</v>
      </c>
      <c r="B53">
        <v>59</v>
      </c>
      <c r="C53" t="str" cm="1">
        <f t="array" ref="C53">_xlfn.IFS(
  AND(B53&gt;=18, B53&lt;=24), "18-24",
  AND(B53&gt;=25, B53&lt;=34), "25-34",
  AND(B53&gt;=35, B53&lt;=44), "35-44",
  AND(B53&gt;=45, B53&lt;=54), "45-54",
  B53&gt;=55, "55+"
)</f>
        <v>55+</v>
      </c>
      <c r="D53" t="s">
        <v>19</v>
      </c>
      <c r="E53" t="s">
        <v>87</v>
      </c>
      <c r="F53" t="s">
        <v>21</v>
      </c>
      <c r="G53">
        <v>59</v>
      </c>
      <c r="H53" t="s">
        <v>145</v>
      </c>
      <c r="I53" t="s">
        <v>92</v>
      </c>
      <c r="J53" t="s">
        <v>24</v>
      </c>
      <c r="K53" t="s">
        <v>25</v>
      </c>
      <c r="L53">
        <v>4.7</v>
      </c>
      <c r="M53" t="s">
        <v>26</v>
      </c>
      <c r="N53" t="s">
        <v>46</v>
      </c>
      <c r="O53" t="s">
        <v>72</v>
      </c>
      <c r="P53" t="s">
        <v>26</v>
      </c>
      <c r="Q53" t="s">
        <v>26</v>
      </c>
      <c r="R53">
        <v>7</v>
      </c>
      <c r="S53" t="s">
        <v>27</v>
      </c>
      <c r="T53" t="str">
        <f t="shared" si="0"/>
        <v>Quarterly</v>
      </c>
      <c r="U53">
        <f>VLOOKUP(T53,[1]tablescore!$B$3:$C$8, 2,FALSE)</f>
        <v>4</v>
      </c>
      <c r="V53" t="str">
        <f t="shared" si="1"/>
        <v>Low Loyalty</v>
      </c>
      <c r="W53" t="s">
        <v>60</v>
      </c>
    </row>
    <row r="54" spans="1:23" x14ac:dyDescent="0.25">
      <c r="A54">
        <v>53</v>
      </c>
      <c r="B54">
        <v>42</v>
      </c>
      <c r="C54" t="str" cm="1">
        <f t="array" ref="C54">_xlfn.IFS(
  AND(B54&gt;=18, B54&lt;=24), "18-24",
  AND(B54&gt;=25, B54&lt;=34), "25-34",
  AND(B54&gt;=35, B54&lt;=44), "35-44",
  AND(B54&gt;=45, B54&lt;=54), "45-54",
  B54&gt;=55, "55+"
)</f>
        <v>35-44</v>
      </c>
      <c r="D54" t="s">
        <v>19</v>
      </c>
      <c r="E54" t="s">
        <v>113</v>
      </c>
      <c r="F54" t="s">
        <v>21</v>
      </c>
      <c r="G54">
        <v>20</v>
      </c>
      <c r="H54" t="s">
        <v>120</v>
      </c>
      <c r="I54" t="s">
        <v>45</v>
      </c>
      <c r="J54" t="s">
        <v>96</v>
      </c>
      <c r="K54" t="s">
        <v>54</v>
      </c>
      <c r="L54">
        <v>2.6</v>
      </c>
      <c r="M54" t="s">
        <v>26</v>
      </c>
      <c r="N54" t="s">
        <v>27</v>
      </c>
      <c r="O54" t="s">
        <v>40</v>
      </c>
      <c r="P54" t="s">
        <v>26</v>
      </c>
      <c r="Q54" t="s">
        <v>26</v>
      </c>
      <c r="R54">
        <v>26</v>
      </c>
      <c r="S54" t="s">
        <v>27</v>
      </c>
      <c r="T54" t="str">
        <f t="shared" si="0"/>
        <v>Daily</v>
      </c>
      <c r="U54">
        <f>VLOOKUP(T54,[1]tablescore!$B$3:$C$8, 2,FALSE)</f>
        <v>30</v>
      </c>
      <c r="V54" t="str">
        <f t="shared" si="1"/>
        <v>Highly Loyal</v>
      </c>
      <c r="W54" t="s">
        <v>41</v>
      </c>
    </row>
    <row r="55" spans="1:23" x14ac:dyDescent="0.25">
      <c r="A55">
        <v>54</v>
      </c>
      <c r="B55">
        <v>29</v>
      </c>
      <c r="C55" t="str" cm="1">
        <f t="array" ref="C55">_xlfn.IFS(
  AND(B55&gt;=18, B55&lt;=24), "18-24",
  AND(B55&gt;=25, B55&lt;=34), "25-34",
  AND(B55&gt;=35, B55&lt;=44), "35-44",
  AND(B55&gt;=45, B55&lt;=54), "45-54",
  B55&gt;=55, "55+"
)</f>
        <v>25-34</v>
      </c>
      <c r="D55" t="s">
        <v>19</v>
      </c>
      <c r="E55" t="s">
        <v>87</v>
      </c>
      <c r="F55" t="s">
        <v>21</v>
      </c>
      <c r="G55">
        <v>24</v>
      </c>
      <c r="H55" t="s">
        <v>91</v>
      </c>
      <c r="I55" t="s">
        <v>38</v>
      </c>
      <c r="J55" t="s">
        <v>100</v>
      </c>
      <c r="K55" t="s">
        <v>25</v>
      </c>
      <c r="L55">
        <v>3.9</v>
      </c>
      <c r="M55" t="s">
        <v>26</v>
      </c>
      <c r="N55" t="s">
        <v>59</v>
      </c>
      <c r="O55" t="s">
        <v>47</v>
      </c>
      <c r="P55" t="s">
        <v>26</v>
      </c>
      <c r="Q55" t="s">
        <v>26</v>
      </c>
      <c r="R55">
        <v>35</v>
      </c>
      <c r="S55" t="s">
        <v>27</v>
      </c>
      <c r="T55" t="str">
        <f t="shared" si="0"/>
        <v>Daily</v>
      </c>
      <c r="U55">
        <f>VLOOKUP(T55,[1]tablescore!$B$3:$C$8, 2,FALSE)</f>
        <v>30</v>
      </c>
      <c r="V55" t="str">
        <f t="shared" si="1"/>
        <v>Highly Loyal</v>
      </c>
      <c r="W55" t="s">
        <v>41</v>
      </c>
    </row>
    <row r="56" spans="1:23" x14ac:dyDescent="0.25">
      <c r="A56">
        <v>55</v>
      </c>
      <c r="B56">
        <v>47</v>
      </c>
      <c r="C56" t="str" cm="1">
        <f t="array" ref="C56">_xlfn.IFS(
  AND(B56&gt;=18, B56&lt;=24), "18-24",
  AND(B56&gt;=25, B56&lt;=34), "25-34",
  AND(B56&gt;=35, B56&lt;=44), "35-44",
  AND(B56&gt;=45, B56&lt;=54), "45-54",
  B56&gt;=55, "55+"
)</f>
        <v>45-54</v>
      </c>
      <c r="D56" t="s">
        <v>19</v>
      </c>
      <c r="E56" t="s">
        <v>64</v>
      </c>
      <c r="F56" t="s">
        <v>65</v>
      </c>
      <c r="G56">
        <v>94</v>
      </c>
      <c r="H56" t="s">
        <v>123</v>
      </c>
      <c r="I56" t="s">
        <v>45</v>
      </c>
      <c r="J56" t="s">
        <v>110</v>
      </c>
      <c r="K56" t="s">
        <v>54</v>
      </c>
      <c r="L56">
        <v>4.2</v>
      </c>
      <c r="M56" t="s">
        <v>26</v>
      </c>
      <c r="N56" t="s">
        <v>34</v>
      </c>
      <c r="O56" t="s">
        <v>47</v>
      </c>
      <c r="P56" t="s">
        <v>26</v>
      </c>
      <c r="Q56" t="s">
        <v>26</v>
      </c>
      <c r="R56">
        <v>35</v>
      </c>
      <c r="S56" t="s">
        <v>59</v>
      </c>
      <c r="T56" t="str">
        <f t="shared" si="0"/>
        <v>2-week</v>
      </c>
      <c r="U56">
        <f>VLOOKUP(T56,[1]tablescore!$B$3:$C$8, 2,FALSE)</f>
        <v>26</v>
      </c>
      <c r="V56" t="str">
        <f t="shared" si="1"/>
        <v>Loyal</v>
      </c>
      <c r="W56" t="s">
        <v>77</v>
      </c>
    </row>
    <row r="57" spans="1:23" x14ac:dyDescent="0.25">
      <c r="A57">
        <v>56</v>
      </c>
      <c r="B57">
        <v>40</v>
      </c>
      <c r="C57" t="str" cm="1">
        <f t="array" ref="C57">_xlfn.IFS(
  AND(B57&gt;=18, B57&lt;=24), "18-24",
  AND(B57&gt;=25, B57&lt;=34), "25-34",
  AND(B57&gt;=35, B57&lt;=44), "35-44",
  AND(B57&gt;=45, B57&lt;=54), "45-54",
  B57&gt;=55, "55+"
)</f>
        <v>35-44</v>
      </c>
      <c r="D57" t="s">
        <v>19</v>
      </c>
      <c r="E57" t="s">
        <v>102</v>
      </c>
      <c r="F57" t="s">
        <v>65</v>
      </c>
      <c r="G57">
        <v>28</v>
      </c>
      <c r="H57" t="s">
        <v>126</v>
      </c>
      <c r="I57" t="s">
        <v>45</v>
      </c>
      <c r="J57" t="s">
        <v>93</v>
      </c>
      <c r="K57" t="s">
        <v>25</v>
      </c>
      <c r="L57">
        <v>3</v>
      </c>
      <c r="M57" t="s">
        <v>26</v>
      </c>
      <c r="N57" t="s">
        <v>29</v>
      </c>
      <c r="O57" t="s">
        <v>72</v>
      </c>
      <c r="P57" t="s">
        <v>26</v>
      </c>
      <c r="Q57" t="s">
        <v>26</v>
      </c>
      <c r="R57">
        <v>49</v>
      </c>
      <c r="S57" t="s">
        <v>27</v>
      </c>
      <c r="T57" t="str">
        <f t="shared" si="0"/>
        <v>Annually</v>
      </c>
      <c r="U57">
        <f>VLOOKUP(T57,[1]tablescore!$B$3:$C$8, 2,FALSE)</f>
        <v>1</v>
      </c>
      <c r="V57" t="str">
        <f t="shared" si="1"/>
        <v>Low Loyalty</v>
      </c>
      <c r="W57" t="s">
        <v>50</v>
      </c>
    </row>
    <row r="58" spans="1:23" x14ac:dyDescent="0.25">
      <c r="A58">
        <v>57</v>
      </c>
      <c r="B58">
        <v>41</v>
      </c>
      <c r="C58" t="str" cm="1">
        <f t="array" ref="C58">_xlfn.IFS(
  AND(B58&gt;=18, B58&lt;=24), "18-24",
  AND(B58&gt;=25, B58&lt;=34), "25-34",
  AND(B58&gt;=35, B58&lt;=44), "35-44",
  AND(B58&gt;=45, B58&lt;=54), "45-54",
  B58&gt;=55, "55+"
)</f>
        <v>35-44</v>
      </c>
      <c r="D58" t="s">
        <v>19</v>
      </c>
      <c r="E58" t="s">
        <v>133</v>
      </c>
      <c r="F58" t="s">
        <v>69</v>
      </c>
      <c r="G58">
        <v>73</v>
      </c>
      <c r="H58" t="s">
        <v>91</v>
      </c>
      <c r="I58" t="s">
        <v>92</v>
      </c>
      <c r="J58" t="s">
        <v>110</v>
      </c>
      <c r="K58" t="s">
        <v>54</v>
      </c>
      <c r="L58">
        <v>4.7</v>
      </c>
      <c r="M58" t="s">
        <v>26</v>
      </c>
      <c r="N58" t="s">
        <v>46</v>
      </c>
      <c r="O58" t="s">
        <v>76</v>
      </c>
      <c r="P58" t="s">
        <v>26</v>
      </c>
      <c r="Q58" t="s">
        <v>26</v>
      </c>
      <c r="R58">
        <v>46</v>
      </c>
      <c r="S58" t="s">
        <v>27</v>
      </c>
      <c r="T58" t="str">
        <f t="shared" si="0"/>
        <v>Daily</v>
      </c>
      <c r="U58">
        <f>VLOOKUP(T58,[1]tablescore!$B$3:$C$8, 2,FALSE)</f>
        <v>30</v>
      </c>
      <c r="V58" t="str">
        <f t="shared" si="1"/>
        <v>Highly Loyal</v>
      </c>
      <c r="W58" t="s">
        <v>41</v>
      </c>
    </row>
    <row r="59" spans="1:23" x14ac:dyDescent="0.25">
      <c r="A59">
        <v>58</v>
      </c>
      <c r="B59">
        <v>21</v>
      </c>
      <c r="C59" t="str" cm="1">
        <f t="array" ref="C59">_xlfn.IFS(
  AND(B59&gt;=18, B59&lt;=24), "18-24",
  AND(B59&gt;=25, B59&lt;=34), "25-34",
  AND(B59&gt;=35, B59&lt;=44), "35-44",
  AND(B59&gt;=45, B59&lt;=54), "45-54",
  B59&gt;=55, "55+"
)</f>
        <v>18-24</v>
      </c>
      <c r="D59" t="s">
        <v>19</v>
      </c>
      <c r="E59" t="s">
        <v>64</v>
      </c>
      <c r="F59" t="s">
        <v>65</v>
      </c>
      <c r="G59">
        <v>64</v>
      </c>
      <c r="H59" t="s">
        <v>66</v>
      </c>
      <c r="I59" t="s">
        <v>45</v>
      </c>
      <c r="J59" t="s">
        <v>53</v>
      </c>
      <c r="K59" t="s">
        <v>54</v>
      </c>
      <c r="L59">
        <v>4.4000000000000004</v>
      </c>
      <c r="M59" t="s">
        <v>26</v>
      </c>
      <c r="N59" t="s">
        <v>46</v>
      </c>
      <c r="O59" t="s">
        <v>76</v>
      </c>
      <c r="P59" t="s">
        <v>26</v>
      </c>
      <c r="Q59" t="s">
        <v>26</v>
      </c>
      <c r="R59">
        <v>17</v>
      </c>
      <c r="S59" t="s">
        <v>59</v>
      </c>
      <c r="T59" t="str">
        <f t="shared" si="0"/>
        <v>2-week</v>
      </c>
      <c r="U59">
        <f>VLOOKUP(T59,[1]tablescore!$B$3:$C$8, 2,FALSE)</f>
        <v>26</v>
      </c>
      <c r="V59" t="str">
        <f t="shared" si="1"/>
        <v>Loyal</v>
      </c>
      <c r="W59" t="s">
        <v>30</v>
      </c>
    </row>
    <row r="60" spans="1:23" x14ac:dyDescent="0.25">
      <c r="A60">
        <v>59</v>
      </c>
      <c r="B60">
        <v>69</v>
      </c>
      <c r="C60" t="str" cm="1">
        <f t="array" ref="C60">_xlfn.IFS(
  AND(B60&gt;=18, B60&lt;=24), "18-24",
  AND(B60&gt;=25, B60&lt;=34), "25-34",
  AND(B60&gt;=35, B60&lt;=44), "35-44",
  AND(B60&gt;=45, B60&lt;=54), "45-54",
  B60&gt;=55, "55+"
)</f>
        <v>55+</v>
      </c>
      <c r="D60" t="s">
        <v>19</v>
      </c>
      <c r="E60" t="s">
        <v>104</v>
      </c>
      <c r="F60" t="s">
        <v>21</v>
      </c>
      <c r="G60">
        <v>54</v>
      </c>
      <c r="H60" t="s">
        <v>70</v>
      </c>
      <c r="I60" t="s">
        <v>45</v>
      </c>
      <c r="J60" t="s">
        <v>63</v>
      </c>
      <c r="K60" t="s">
        <v>54</v>
      </c>
      <c r="L60">
        <v>4.2</v>
      </c>
      <c r="M60" t="s">
        <v>26</v>
      </c>
      <c r="N60" t="s">
        <v>27</v>
      </c>
      <c r="O60" t="s">
        <v>40</v>
      </c>
      <c r="P60" t="s">
        <v>26</v>
      </c>
      <c r="Q60" t="s">
        <v>26</v>
      </c>
      <c r="R60">
        <v>29</v>
      </c>
      <c r="S60" t="s">
        <v>29</v>
      </c>
      <c r="T60" t="str">
        <f t="shared" si="0"/>
        <v>Month</v>
      </c>
      <c r="U60">
        <f>VLOOKUP(T60,[1]tablescore!$B$3:$C$8, 2,FALSE)</f>
        <v>12</v>
      </c>
      <c r="V60" t="str">
        <f t="shared" si="1"/>
        <v>Moderate</v>
      </c>
      <c r="W60" t="s">
        <v>88</v>
      </c>
    </row>
    <row r="61" spans="1:23" x14ac:dyDescent="0.25">
      <c r="A61">
        <v>60</v>
      </c>
      <c r="B61">
        <v>63</v>
      </c>
      <c r="C61" t="str" cm="1">
        <f t="array" ref="C61">_xlfn.IFS(
  AND(B61&gt;=18, B61&lt;=24), "18-24",
  AND(B61&gt;=25, B61&lt;=34), "25-34",
  AND(B61&gt;=35, B61&lt;=44), "35-44",
  AND(B61&gt;=45, B61&lt;=54), "45-54",
  B61&gt;=55, "55+"
)</f>
        <v>55+</v>
      </c>
      <c r="D61" t="s">
        <v>19</v>
      </c>
      <c r="E61" t="s">
        <v>136</v>
      </c>
      <c r="F61" t="s">
        <v>69</v>
      </c>
      <c r="G61">
        <v>79</v>
      </c>
      <c r="H61" t="s">
        <v>62</v>
      </c>
      <c r="I61" t="s">
        <v>23</v>
      </c>
      <c r="J61" t="s">
        <v>139</v>
      </c>
      <c r="K61" t="s">
        <v>39</v>
      </c>
      <c r="L61">
        <v>4.5999999999999996</v>
      </c>
      <c r="M61" t="s">
        <v>26</v>
      </c>
      <c r="N61" t="s">
        <v>59</v>
      </c>
      <c r="O61" t="s">
        <v>55</v>
      </c>
      <c r="P61" t="s">
        <v>26</v>
      </c>
      <c r="Q61" t="s">
        <v>26</v>
      </c>
      <c r="R61">
        <v>4</v>
      </c>
      <c r="S61" t="s">
        <v>59</v>
      </c>
      <c r="T61" t="str">
        <f t="shared" si="0"/>
        <v>Daily</v>
      </c>
      <c r="U61">
        <f>VLOOKUP(T61,[1]tablescore!$B$3:$C$8, 2,FALSE)</f>
        <v>30</v>
      </c>
      <c r="V61" t="str">
        <f t="shared" si="1"/>
        <v>Highly Loyal</v>
      </c>
      <c r="W61" t="s">
        <v>41</v>
      </c>
    </row>
    <row r="62" spans="1:23" x14ac:dyDescent="0.25">
      <c r="A62">
        <v>61</v>
      </c>
      <c r="B62">
        <v>50</v>
      </c>
      <c r="C62" t="str" cm="1">
        <f t="array" ref="C62">_xlfn.IFS(
  AND(B62&gt;=18, B62&lt;=24), "18-24",
  AND(B62&gt;=25, B62&lt;=34), "25-34",
  AND(B62&gt;=35, B62&lt;=44), "35-44",
  AND(B62&gt;=45, B62&lt;=54), "45-54",
  B62&gt;=55, "55+"
)</f>
        <v>45-54</v>
      </c>
      <c r="D62" t="s">
        <v>19</v>
      </c>
      <c r="E62" t="s">
        <v>31</v>
      </c>
      <c r="F62" t="s">
        <v>21</v>
      </c>
      <c r="G62">
        <v>37</v>
      </c>
      <c r="H62" t="s">
        <v>144</v>
      </c>
      <c r="I62" t="s">
        <v>23</v>
      </c>
      <c r="J62" t="s">
        <v>110</v>
      </c>
      <c r="K62" t="s">
        <v>54</v>
      </c>
      <c r="L62">
        <v>4</v>
      </c>
      <c r="M62" t="s">
        <v>26</v>
      </c>
      <c r="N62" t="s">
        <v>27</v>
      </c>
      <c r="O62" t="s">
        <v>28</v>
      </c>
      <c r="P62" t="s">
        <v>26</v>
      </c>
      <c r="Q62" t="s">
        <v>26</v>
      </c>
      <c r="R62">
        <v>17</v>
      </c>
      <c r="S62" t="s">
        <v>35</v>
      </c>
      <c r="T62" t="str">
        <f t="shared" si="0"/>
        <v>Daily</v>
      </c>
      <c r="U62">
        <f>VLOOKUP(T62,[1]tablescore!$B$3:$C$8, 2,FALSE)</f>
        <v>30</v>
      </c>
      <c r="V62" t="str">
        <f t="shared" si="1"/>
        <v>Highly Loyal</v>
      </c>
      <c r="W62" t="s">
        <v>41</v>
      </c>
    </row>
    <row r="63" spans="1:23" x14ac:dyDescent="0.25">
      <c r="A63">
        <v>62</v>
      </c>
      <c r="B63">
        <v>55</v>
      </c>
      <c r="C63" t="str" cm="1">
        <f t="array" ref="C63">_xlfn.IFS(
  AND(B63&gt;=18, B63&lt;=24), "18-24",
  AND(B63&gt;=25, B63&lt;=34), "25-34",
  AND(B63&gt;=35, B63&lt;=44), "35-44",
  AND(B63&gt;=45, B63&lt;=54), "45-54",
  B63&gt;=55, "55+"
)</f>
        <v>55+</v>
      </c>
      <c r="D63" t="s">
        <v>19</v>
      </c>
      <c r="E63" t="s">
        <v>119</v>
      </c>
      <c r="F63" t="s">
        <v>69</v>
      </c>
      <c r="G63">
        <v>68</v>
      </c>
      <c r="H63" t="s">
        <v>105</v>
      </c>
      <c r="I63" t="s">
        <v>45</v>
      </c>
      <c r="J63" t="s">
        <v>121</v>
      </c>
      <c r="K63" t="s">
        <v>25</v>
      </c>
      <c r="L63">
        <v>4.7</v>
      </c>
      <c r="M63" t="s">
        <v>26</v>
      </c>
      <c r="N63" t="s">
        <v>34</v>
      </c>
      <c r="O63" t="s">
        <v>76</v>
      </c>
      <c r="P63" t="s">
        <v>26</v>
      </c>
      <c r="Q63" t="s">
        <v>26</v>
      </c>
      <c r="R63">
        <v>21</v>
      </c>
      <c r="S63" t="s">
        <v>27</v>
      </c>
      <c r="T63" t="str">
        <f t="shared" si="0"/>
        <v>Quarterly</v>
      </c>
      <c r="U63">
        <f>VLOOKUP(T63,[1]tablescore!$B$3:$C$8, 2,FALSE)</f>
        <v>4</v>
      </c>
      <c r="V63" t="str">
        <f t="shared" si="1"/>
        <v>Low Loyalty</v>
      </c>
      <c r="W63" t="s">
        <v>97</v>
      </c>
    </row>
    <row r="64" spans="1:23" x14ac:dyDescent="0.25">
      <c r="A64">
        <v>63</v>
      </c>
      <c r="B64">
        <v>30</v>
      </c>
      <c r="C64" t="str" cm="1">
        <f t="array" ref="C64">_xlfn.IFS(
  AND(B64&gt;=18, B64&lt;=24), "18-24",
  AND(B64&gt;=25, B64&lt;=34), "25-34",
  AND(B64&gt;=35, B64&lt;=44), "35-44",
  AND(B64&gt;=45, B64&lt;=54), "45-54",
  B64&gt;=55, "55+"
)</f>
        <v>25-34</v>
      </c>
      <c r="D64" t="s">
        <v>19</v>
      </c>
      <c r="E64" t="s">
        <v>51</v>
      </c>
      <c r="F64" t="s">
        <v>43</v>
      </c>
      <c r="G64">
        <v>21</v>
      </c>
      <c r="H64" t="s">
        <v>91</v>
      </c>
      <c r="I64" t="s">
        <v>38</v>
      </c>
      <c r="J64" t="s">
        <v>147</v>
      </c>
      <c r="K64" t="s">
        <v>39</v>
      </c>
      <c r="L64">
        <v>3.8</v>
      </c>
      <c r="M64" t="s">
        <v>26</v>
      </c>
      <c r="N64" t="s">
        <v>27</v>
      </c>
      <c r="O64" t="s">
        <v>40</v>
      </c>
      <c r="P64" t="s">
        <v>26</v>
      </c>
      <c r="Q64" t="s">
        <v>26</v>
      </c>
      <c r="R64">
        <v>31</v>
      </c>
      <c r="S64" t="s">
        <v>27</v>
      </c>
      <c r="T64" t="str">
        <f t="shared" si="0"/>
        <v>2-week</v>
      </c>
      <c r="U64">
        <f>VLOOKUP(T64,[1]tablescore!$B$3:$C$8, 2,FALSE)</f>
        <v>26</v>
      </c>
      <c r="V64" t="str">
        <f t="shared" si="1"/>
        <v>Loyal</v>
      </c>
      <c r="W64" t="s">
        <v>30</v>
      </c>
    </row>
    <row r="65" spans="1:23" x14ac:dyDescent="0.25">
      <c r="A65">
        <v>64</v>
      </c>
      <c r="B65">
        <v>33</v>
      </c>
      <c r="C65" t="str" cm="1">
        <f t="array" ref="C65">_xlfn.IFS(
  AND(B65&gt;=18, B65&lt;=24), "18-24",
  AND(B65&gt;=25, B65&lt;=34), "25-34",
  AND(B65&gt;=35, B65&lt;=44), "35-44",
  AND(B65&gt;=45, B65&lt;=54), "45-54",
  B65&gt;=55, "55+"
)</f>
        <v>25-34</v>
      </c>
      <c r="D65" t="s">
        <v>19</v>
      </c>
      <c r="E65" t="s">
        <v>89</v>
      </c>
      <c r="F65" t="s">
        <v>69</v>
      </c>
      <c r="G65">
        <v>79</v>
      </c>
      <c r="H65" t="s">
        <v>117</v>
      </c>
      <c r="I65" t="s">
        <v>23</v>
      </c>
      <c r="J65" t="s">
        <v>93</v>
      </c>
      <c r="K65" t="s">
        <v>25</v>
      </c>
      <c r="L65">
        <v>2.7</v>
      </c>
      <c r="M65" t="s">
        <v>26</v>
      </c>
      <c r="N65" t="s">
        <v>27</v>
      </c>
      <c r="O65" t="s">
        <v>72</v>
      </c>
      <c r="P65" t="s">
        <v>26</v>
      </c>
      <c r="Q65" t="s">
        <v>26</v>
      </c>
      <c r="R65">
        <v>43</v>
      </c>
      <c r="S65" t="s">
        <v>27</v>
      </c>
      <c r="T65" t="str">
        <f t="shared" si="0"/>
        <v>Daily</v>
      </c>
      <c r="U65">
        <f>VLOOKUP(T65,[1]tablescore!$B$3:$C$8, 2,FALSE)</f>
        <v>30</v>
      </c>
      <c r="V65" t="str">
        <f t="shared" si="1"/>
        <v>Highly Loyal</v>
      </c>
      <c r="W65" t="s">
        <v>41</v>
      </c>
    </row>
    <row r="66" spans="1:23" x14ac:dyDescent="0.25">
      <c r="A66">
        <v>65</v>
      </c>
      <c r="B66">
        <v>65</v>
      </c>
      <c r="C66" t="str" cm="1">
        <f t="array" ref="C66">_xlfn.IFS(
  AND(B66&gt;=18, B66&lt;=24), "18-24",
  AND(B66&gt;=25, B66&lt;=34), "25-34",
  AND(B66&gt;=35, B66&lt;=44), "35-44",
  AND(B66&gt;=45, B66&lt;=54), "45-54",
  B66&gt;=55, "55+"
)</f>
        <v>55+</v>
      </c>
      <c r="D66" t="s">
        <v>19</v>
      </c>
      <c r="E66" t="s">
        <v>132</v>
      </c>
      <c r="F66" t="s">
        <v>43</v>
      </c>
      <c r="G66">
        <v>83</v>
      </c>
      <c r="H66" t="s">
        <v>90</v>
      </c>
      <c r="I66" t="s">
        <v>38</v>
      </c>
      <c r="J66" t="s">
        <v>96</v>
      </c>
      <c r="K66" t="s">
        <v>58</v>
      </c>
      <c r="L66">
        <v>4.8</v>
      </c>
      <c r="M66" t="s">
        <v>26</v>
      </c>
      <c r="N66" t="s">
        <v>46</v>
      </c>
      <c r="O66" t="s">
        <v>55</v>
      </c>
      <c r="P66" t="s">
        <v>26</v>
      </c>
      <c r="Q66" t="s">
        <v>26</v>
      </c>
      <c r="R66">
        <v>18</v>
      </c>
      <c r="S66" t="s">
        <v>59</v>
      </c>
      <c r="T66" t="str">
        <f t="shared" si="0"/>
        <v>2-week</v>
      </c>
      <c r="U66">
        <f>VLOOKUP(T66,[1]tablescore!$B$3:$C$8, 2,FALSE)</f>
        <v>26</v>
      </c>
      <c r="V66" t="str">
        <f t="shared" si="1"/>
        <v>Loyal</v>
      </c>
      <c r="W66" t="s">
        <v>30</v>
      </c>
    </row>
    <row r="67" spans="1:23" x14ac:dyDescent="0.25">
      <c r="A67">
        <v>66</v>
      </c>
      <c r="B67">
        <v>65</v>
      </c>
      <c r="C67" t="str" cm="1">
        <f t="array" ref="C67">_xlfn.IFS(
  AND(B67&gt;=18, B67&lt;=24), "18-24",
  AND(B67&gt;=25, B67&lt;=34), "25-34",
  AND(B67&gt;=35, B67&lt;=44), "35-44",
  AND(B67&gt;=45, B67&lt;=54), "45-54",
  B67&gt;=55, "55+"
)</f>
        <v>55+</v>
      </c>
      <c r="D67" t="s">
        <v>19</v>
      </c>
      <c r="E67" t="s">
        <v>133</v>
      </c>
      <c r="F67" t="s">
        <v>69</v>
      </c>
      <c r="G67">
        <v>36</v>
      </c>
      <c r="H67" t="s">
        <v>137</v>
      </c>
      <c r="I67" t="s">
        <v>45</v>
      </c>
      <c r="J67" t="s">
        <v>75</v>
      </c>
      <c r="K67" t="s">
        <v>39</v>
      </c>
      <c r="L67">
        <v>4.8</v>
      </c>
      <c r="M67" t="s">
        <v>26</v>
      </c>
      <c r="N67" t="s">
        <v>27</v>
      </c>
      <c r="O67" t="s">
        <v>72</v>
      </c>
      <c r="P67" t="s">
        <v>26</v>
      </c>
      <c r="Q67" t="s">
        <v>26</v>
      </c>
      <c r="R67">
        <v>44</v>
      </c>
      <c r="S67" t="s">
        <v>29</v>
      </c>
      <c r="T67" t="str">
        <f t="shared" ref="T67:T130" si="2">IF(TRIM(W67)="Every 3 months","Quarterly",IF(TRIM(W67)="Fortnightly","2-week",IF(TRIM(W67)="Bi-Weekly","2-week",IF(TRIM(W67)="Weekly","Daily",IF(TRIM(W67)="Monthly","Month",TRIM(W67))))))</f>
        <v>Quarterly</v>
      </c>
      <c r="U67">
        <f>VLOOKUP(T67,[1]tablescore!$B$3:$C$8, 2,FALSE)</f>
        <v>4</v>
      </c>
      <c r="V67" t="str">
        <f t="shared" ref="V67:V130" si="3">_xlfn.IFS(U67&gt;=30, "Highly Loyal", U67&gt;=26, "Loyal", U67&gt;=12, "Moderate", U67&lt;5, "Low Loyalty")</f>
        <v>Low Loyalty</v>
      </c>
      <c r="W67" t="s">
        <v>97</v>
      </c>
    </row>
    <row r="68" spans="1:23" x14ac:dyDescent="0.25">
      <c r="A68">
        <v>67</v>
      </c>
      <c r="B68">
        <v>31</v>
      </c>
      <c r="C68" t="str" cm="1">
        <f t="array" ref="C68">_xlfn.IFS(
  AND(B68&gt;=18, B68&lt;=24), "18-24",
  AND(B68&gt;=25, B68&lt;=34), "25-34",
  AND(B68&gt;=35, B68&lt;=44), "35-44",
  AND(B68&gt;=45, B68&lt;=54), "45-54",
  B68&gt;=55, "55+"
)</f>
        <v>25-34</v>
      </c>
      <c r="D68" t="s">
        <v>19</v>
      </c>
      <c r="E68" t="s">
        <v>20</v>
      </c>
      <c r="F68" t="s">
        <v>21</v>
      </c>
      <c r="G68">
        <v>94</v>
      </c>
      <c r="H68" t="s">
        <v>141</v>
      </c>
      <c r="I68" t="s">
        <v>38</v>
      </c>
      <c r="J68" t="s">
        <v>147</v>
      </c>
      <c r="K68" t="s">
        <v>25</v>
      </c>
      <c r="L68">
        <v>4.7</v>
      </c>
      <c r="M68" t="s">
        <v>26</v>
      </c>
      <c r="N68" t="s">
        <v>34</v>
      </c>
      <c r="O68" t="s">
        <v>72</v>
      </c>
      <c r="P68" t="s">
        <v>26</v>
      </c>
      <c r="Q68" t="s">
        <v>26</v>
      </c>
      <c r="R68">
        <v>3</v>
      </c>
      <c r="S68" t="s">
        <v>29</v>
      </c>
      <c r="T68" t="str">
        <f t="shared" si="2"/>
        <v>Quarterly</v>
      </c>
      <c r="U68">
        <f>VLOOKUP(T68,[1]tablescore!$B$3:$C$8, 2,FALSE)</f>
        <v>4</v>
      </c>
      <c r="V68" t="str">
        <f t="shared" si="3"/>
        <v>Low Loyalty</v>
      </c>
      <c r="W68" t="s">
        <v>97</v>
      </c>
    </row>
    <row r="69" spans="1:23" x14ac:dyDescent="0.25">
      <c r="A69">
        <v>68</v>
      </c>
      <c r="B69">
        <v>45</v>
      </c>
      <c r="C69" t="str" cm="1">
        <f t="array" ref="C69">_xlfn.IFS(
  AND(B69&gt;=18, B69&lt;=24), "18-24",
  AND(B69&gt;=25, B69&lt;=34), "25-34",
  AND(B69&gt;=35, B69&lt;=44), "35-44",
  AND(B69&gt;=45, B69&lt;=54), "45-54",
  B69&gt;=55, "55+"
)</f>
        <v>45-54</v>
      </c>
      <c r="D69" t="s">
        <v>19</v>
      </c>
      <c r="E69" t="s">
        <v>64</v>
      </c>
      <c r="F69" t="s">
        <v>65</v>
      </c>
      <c r="G69">
        <v>33</v>
      </c>
      <c r="H69" t="s">
        <v>146</v>
      </c>
      <c r="I69" t="s">
        <v>23</v>
      </c>
      <c r="J69" t="s">
        <v>24</v>
      </c>
      <c r="K69" t="s">
        <v>25</v>
      </c>
      <c r="L69">
        <v>4.4000000000000004</v>
      </c>
      <c r="M69" t="s">
        <v>26</v>
      </c>
      <c r="N69" t="s">
        <v>46</v>
      </c>
      <c r="O69" t="s">
        <v>76</v>
      </c>
      <c r="P69" t="s">
        <v>26</v>
      </c>
      <c r="Q69" t="s">
        <v>26</v>
      </c>
      <c r="R69">
        <v>49</v>
      </c>
      <c r="S69" t="s">
        <v>59</v>
      </c>
      <c r="T69" t="str">
        <f t="shared" si="2"/>
        <v>Month</v>
      </c>
      <c r="U69">
        <f>VLOOKUP(T69,[1]tablescore!$B$3:$C$8, 2,FALSE)</f>
        <v>12</v>
      </c>
      <c r="V69" t="str">
        <f t="shared" si="3"/>
        <v>Moderate</v>
      </c>
      <c r="W69" t="s">
        <v>88</v>
      </c>
    </row>
    <row r="70" spans="1:23" x14ac:dyDescent="0.25">
      <c r="A70">
        <v>69</v>
      </c>
      <c r="B70">
        <v>57</v>
      </c>
      <c r="C70" t="str" cm="1">
        <f t="array" ref="C70">_xlfn.IFS(
  AND(B70&gt;=18, B70&lt;=24), "18-24",
  AND(B70&gt;=25, B70&lt;=34), "25-34",
  AND(B70&gt;=35, B70&lt;=44), "35-44",
  AND(B70&gt;=45, B70&lt;=54), "45-54",
  B70&gt;=55, "55+"
)</f>
        <v>55+</v>
      </c>
      <c r="D70" t="s">
        <v>19</v>
      </c>
      <c r="E70" t="s">
        <v>68</v>
      </c>
      <c r="F70" t="s">
        <v>69</v>
      </c>
      <c r="G70">
        <v>46</v>
      </c>
      <c r="H70" t="s">
        <v>149</v>
      </c>
      <c r="I70" t="s">
        <v>23</v>
      </c>
      <c r="J70" t="s">
        <v>67</v>
      </c>
      <c r="K70" t="s">
        <v>54</v>
      </c>
      <c r="L70">
        <v>3.9</v>
      </c>
      <c r="M70" t="s">
        <v>26</v>
      </c>
      <c r="N70" t="s">
        <v>27</v>
      </c>
      <c r="O70" t="s">
        <v>47</v>
      </c>
      <c r="P70" t="s">
        <v>26</v>
      </c>
      <c r="Q70" t="s">
        <v>26</v>
      </c>
      <c r="R70">
        <v>21</v>
      </c>
      <c r="S70" t="s">
        <v>35</v>
      </c>
      <c r="T70" t="str">
        <f t="shared" si="2"/>
        <v>Quarterly</v>
      </c>
      <c r="U70">
        <f>VLOOKUP(T70,[1]tablescore!$B$3:$C$8, 2,FALSE)</f>
        <v>4</v>
      </c>
      <c r="V70" t="str">
        <f t="shared" si="3"/>
        <v>Low Loyalty</v>
      </c>
      <c r="W70" t="s">
        <v>97</v>
      </c>
    </row>
    <row r="71" spans="1:23" x14ac:dyDescent="0.25">
      <c r="A71">
        <v>70</v>
      </c>
      <c r="B71">
        <v>48</v>
      </c>
      <c r="C71" t="str" cm="1">
        <f t="array" ref="C71">_xlfn.IFS(
  AND(B71&gt;=18, B71&lt;=24), "18-24",
  AND(B71&gt;=25, B71&lt;=34), "25-34",
  AND(B71&gt;=35, B71&lt;=44), "35-44",
  AND(B71&gt;=45, B71&lt;=54), "45-54",
  B71&gt;=55, "55+"
)</f>
        <v>45-54</v>
      </c>
      <c r="D71" t="s">
        <v>19</v>
      </c>
      <c r="E71" t="s">
        <v>136</v>
      </c>
      <c r="F71" t="s">
        <v>69</v>
      </c>
      <c r="G71">
        <v>70</v>
      </c>
      <c r="H71" t="s">
        <v>122</v>
      </c>
      <c r="I71" t="s">
        <v>38</v>
      </c>
      <c r="J71" t="s">
        <v>109</v>
      </c>
      <c r="K71" t="s">
        <v>54</v>
      </c>
      <c r="L71">
        <v>4.4000000000000004</v>
      </c>
      <c r="M71" t="s">
        <v>26</v>
      </c>
      <c r="N71" t="s">
        <v>27</v>
      </c>
      <c r="O71" t="s">
        <v>28</v>
      </c>
      <c r="P71" t="s">
        <v>26</v>
      </c>
      <c r="Q71" t="s">
        <v>26</v>
      </c>
      <c r="R71">
        <v>5</v>
      </c>
      <c r="S71" t="s">
        <v>35</v>
      </c>
      <c r="T71" t="str">
        <f t="shared" si="2"/>
        <v>Daily</v>
      </c>
      <c r="U71">
        <f>VLOOKUP(T71,[1]tablescore!$B$3:$C$8, 2,FALSE)</f>
        <v>30</v>
      </c>
      <c r="V71" t="str">
        <f t="shared" si="3"/>
        <v>Highly Loyal</v>
      </c>
      <c r="W71" t="s">
        <v>41</v>
      </c>
    </row>
    <row r="72" spans="1:23" x14ac:dyDescent="0.25">
      <c r="A72">
        <v>71</v>
      </c>
      <c r="B72">
        <v>22</v>
      </c>
      <c r="C72" t="str" cm="1">
        <f t="array" ref="C72">_xlfn.IFS(
  AND(B72&gt;=18, B72&lt;=24), "18-24",
  AND(B72&gt;=25, B72&lt;=34), "25-34",
  AND(B72&gt;=35, B72&lt;=44), "35-44",
  AND(B72&gt;=45, B72&lt;=54), "45-54",
  B72&gt;=55, "55+"
)</f>
        <v>18-24</v>
      </c>
      <c r="D72" t="s">
        <v>19</v>
      </c>
      <c r="E72" t="s">
        <v>136</v>
      </c>
      <c r="F72" t="s">
        <v>69</v>
      </c>
      <c r="G72">
        <v>29</v>
      </c>
      <c r="H72" t="s">
        <v>90</v>
      </c>
      <c r="I72" t="s">
        <v>45</v>
      </c>
      <c r="J72" t="s">
        <v>147</v>
      </c>
      <c r="K72" t="s">
        <v>58</v>
      </c>
      <c r="L72">
        <v>4.2</v>
      </c>
      <c r="M72" t="s">
        <v>26</v>
      </c>
      <c r="N72" t="s">
        <v>27</v>
      </c>
      <c r="O72" t="s">
        <v>28</v>
      </c>
      <c r="P72" t="s">
        <v>26</v>
      </c>
      <c r="Q72" t="s">
        <v>26</v>
      </c>
      <c r="R72">
        <v>32</v>
      </c>
      <c r="S72" t="s">
        <v>59</v>
      </c>
      <c r="T72" t="str">
        <f t="shared" si="2"/>
        <v>Quarterly</v>
      </c>
      <c r="U72">
        <f>VLOOKUP(T72,[1]tablescore!$B$3:$C$8, 2,FALSE)</f>
        <v>4</v>
      </c>
      <c r="V72" t="str">
        <f t="shared" si="3"/>
        <v>Low Loyalty</v>
      </c>
      <c r="W72" t="s">
        <v>97</v>
      </c>
    </row>
    <row r="73" spans="1:23" x14ac:dyDescent="0.25">
      <c r="A73">
        <v>72</v>
      </c>
      <c r="B73">
        <v>36</v>
      </c>
      <c r="C73" t="str" cm="1">
        <f t="array" ref="C73">_xlfn.IFS(
  AND(B73&gt;=18, B73&lt;=24), "18-24",
  AND(B73&gt;=25, B73&lt;=34), "25-34",
  AND(B73&gt;=35, B73&lt;=44), "35-44",
  AND(B73&gt;=45, B73&lt;=54), "45-54",
  B73&gt;=55, "55+"
)</f>
        <v>35-44</v>
      </c>
      <c r="D73" t="s">
        <v>19</v>
      </c>
      <c r="E73" t="s">
        <v>82</v>
      </c>
      <c r="F73" t="s">
        <v>21</v>
      </c>
      <c r="G73">
        <v>48</v>
      </c>
      <c r="H73" t="s">
        <v>128</v>
      </c>
      <c r="I73" t="s">
        <v>23</v>
      </c>
      <c r="J73" t="s">
        <v>81</v>
      </c>
      <c r="K73" t="s">
        <v>54</v>
      </c>
      <c r="L73">
        <v>2.9</v>
      </c>
      <c r="M73" t="s">
        <v>26</v>
      </c>
      <c r="N73" t="s">
        <v>59</v>
      </c>
      <c r="O73" t="s">
        <v>28</v>
      </c>
      <c r="P73" t="s">
        <v>26</v>
      </c>
      <c r="Q73" t="s">
        <v>26</v>
      </c>
      <c r="R73">
        <v>34</v>
      </c>
      <c r="S73" t="s">
        <v>34</v>
      </c>
      <c r="T73" t="str">
        <f t="shared" si="2"/>
        <v>Annually</v>
      </c>
      <c r="U73">
        <f>VLOOKUP(T73,[1]tablescore!$B$3:$C$8, 2,FALSE)</f>
        <v>1</v>
      </c>
      <c r="V73" t="str">
        <f t="shared" si="3"/>
        <v>Low Loyalty</v>
      </c>
      <c r="W73" t="s">
        <v>50</v>
      </c>
    </row>
    <row r="74" spans="1:23" x14ac:dyDescent="0.25">
      <c r="A74">
        <v>73</v>
      </c>
      <c r="B74">
        <v>18</v>
      </c>
      <c r="C74" t="str" cm="1">
        <f t="array" ref="C74">_xlfn.IFS(
  AND(B74&gt;=18, B74&lt;=24), "18-24",
  AND(B74&gt;=25, B74&lt;=34), "25-34",
  AND(B74&gt;=35, B74&lt;=44), "35-44",
  AND(B74&gt;=45, B74&lt;=54), "45-54",
  B74&gt;=55, "55+"
)</f>
        <v>18-24</v>
      </c>
      <c r="D74" t="s">
        <v>19</v>
      </c>
      <c r="E74" t="s">
        <v>82</v>
      </c>
      <c r="F74" t="s">
        <v>21</v>
      </c>
      <c r="G74">
        <v>26</v>
      </c>
      <c r="H74" t="s">
        <v>142</v>
      </c>
      <c r="I74" t="s">
        <v>45</v>
      </c>
      <c r="J74" t="s">
        <v>79</v>
      </c>
      <c r="K74" t="s">
        <v>25</v>
      </c>
      <c r="L74">
        <v>2.9</v>
      </c>
      <c r="M74" t="s">
        <v>26</v>
      </c>
      <c r="N74" t="s">
        <v>59</v>
      </c>
      <c r="O74" t="s">
        <v>76</v>
      </c>
      <c r="P74" t="s">
        <v>26</v>
      </c>
      <c r="Q74" t="s">
        <v>26</v>
      </c>
      <c r="R74">
        <v>21</v>
      </c>
      <c r="S74" t="s">
        <v>34</v>
      </c>
      <c r="T74" t="str">
        <f t="shared" si="2"/>
        <v>Quarterly</v>
      </c>
      <c r="U74">
        <f>VLOOKUP(T74,[1]tablescore!$B$3:$C$8, 2,FALSE)</f>
        <v>4</v>
      </c>
      <c r="V74" t="str">
        <f t="shared" si="3"/>
        <v>Low Loyalty</v>
      </c>
      <c r="W74" t="s">
        <v>97</v>
      </c>
    </row>
    <row r="75" spans="1:23" x14ac:dyDescent="0.25">
      <c r="A75">
        <v>74</v>
      </c>
      <c r="B75">
        <v>48</v>
      </c>
      <c r="C75" t="str" cm="1">
        <f t="array" ref="C75">_xlfn.IFS(
  AND(B75&gt;=18, B75&lt;=24), "18-24",
  AND(B75&gt;=25, B75&lt;=34), "25-34",
  AND(B75&gt;=35, B75&lt;=44), "35-44",
  AND(B75&gt;=45, B75&lt;=54), "45-54",
  B75&gt;=55, "55+"
)</f>
        <v>45-54</v>
      </c>
      <c r="D75" t="s">
        <v>19</v>
      </c>
      <c r="E75" t="s">
        <v>95</v>
      </c>
      <c r="F75" t="s">
        <v>21</v>
      </c>
      <c r="G75">
        <v>85</v>
      </c>
      <c r="H75" t="s">
        <v>78</v>
      </c>
      <c r="I75" t="s">
        <v>45</v>
      </c>
      <c r="J75" t="s">
        <v>86</v>
      </c>
      <c r="K75" t="s">
        <v>39</v>
      </c>
      <c r="L75">
        <v>2.7</v>
      </c>
      <c r="M75" t="s">
        <v>26</v>
      </c>
      <c r="N75" t="s">
        <v>59</v>
      </c>
      <c r="O75" t="s">
        <v>40</v>
      </c>
      <c r="P75" t="s">
        <v>26</v>
      </c>
      <c r="Q75" t="s">
        <v>26</v>
      </c>
      <c r="R75">
        <v>43</v>
      </c>
      <c r="S75" t="s">
        <v>34</v>
      </c>
      <c r="T75" t="str">
        <f t="shared" si="2"/>
        <v>2-week</v>
      </c>
      <c r="U75">
        <f>VLOOKUP(T75,[1]tablescore!$B$3:$C$8, 2,FALSE)</f>
        <v>26</v>
      </c>
      <c r="V75" t="str">
        <f t="shared" si="3"/>
        <v>Loyal</v>
      </c>
      <c r="W75" t="s">
        <v>77</v>
      </c>
    </row>
    <row r="76" spans="1:23" x14ac:dyDescent="0.25">
      <c r="A76">
        <v>75</v>
      </c>
      <c r="B76">
        <v>49</v>
      </c>
      <c r="C76" t="str" cm="1">
        <f t="array" ref="C76">_xlfn.IFS(
  AND(B76&gt;=18, B76&lt;=24), "18-24",
  AND(B76&gt;=25, B76&lt;=34), "25-34",
  AND(B76&gt;=35, B76&lt;=44), "35-44",
  AND(B76&gt;=45, B76&lt;=54), "45-54",
  B76&gt;=55, "55+"
)</f>
        <v>45-54</v>
      </c>
      <c r="D76" t="s">
        <v>19</v>
      </c>
      <c r="E76" t="s">
        <v>127</v>
      </c>
      <c r="F76" t="s">
        <v>69</v>
      </c>
      <c r="G76">
        <v>58</v>
      </c>
      <c r="H76" t="s">
        <v>116</v>
      </c>
      <c r="I76" t="s">
        <v>23</v>
      </c>
      <c r="J76" t="s">
        <v>84</v>
      </c>
      <c r="K76" t="s">
        <v>39</v>
      </c>
      <c r="L76">
        <v>4.5</v>
      </c>
      <c r="M76" t="s">
        <v>26</v>
      </c>
      <c r="N76" t="s">
        <v>46</v>
      </c>
      <c r="O76" t="s">
        <v>28</v>
      </c>
      <c r="P76" t="s">
        <v>26</v>
      </c>
      <c r="Q76" t="s">
        <v>26</v>
      </c>
      <c r="R76">
        <v>3</v>
      </c>
      <c r="S76" t="s">
        <v>35</v>
      </c>
      <c r="T76" t="str">
        <f t="shared" si="2"/>
        <v>Month</v>
      </c>
      <c r="U76">
        <f>VLOOKUP(T76,[1]tablescore!$B$3:$C$8, 2,FALSE)</f>
        <v>12</v>
      </c>
      <c r="V76" t="str">
        <f t="shared" si="3"/>
        <v>Moderate</v>
      </c>
      <c r="W76" t="s">
        <v>88</v>
      </c>
    </row>
    <row r="77" spans="1:23" x14ac:dyDescent="0.25">
      <c r="A77">
        <v>76</v>
      </c>
      <c r="B77">
        <v>64</v>
      </c>
      <c r="C77" t="str" cm="1">
        <f t="array" ref="C77">_xlfn.IFS(
  AND(B77&gt;=18, B77&lt;=24), "18-24",
  AND(B77&gt;=25, B77&lt;=34), "25-34",
  AND(B77&gt;=35, B77&lt;=44), "35-44",
  AND(B77&gt;=45, B77&lt;=54), "45-54",
  B77&gt;=55, "55+"
)</f>
        <v>55+</v>
      </c>
      <c r="D77" t="s">
        <v>19</v>
      </c>
      <c r="E77" t="s">
        <v>119</v>
      </c>
      <c r="F77" t="s">
        <v>69</v>
      </c>
      <c r="G77">
        <v>85</v>
      </c>
      <c r="H77" t="s">
        <v>149</v>
      </c>
      <c r="I77" t="s">
        <v>45</v>
      </c>
      <c r="J77" t="s">
        <v>138</v>
      </c>
      <c r="K77" t="s">
        <v>54</v>
      </c>
      <c r="L77">
        <v>2.7</v>
      </c>
      <c r="M77" t="s">
        <v>26</v>
      </c>
      <c r="N77" t="s">
        <v>59</v>
      </c>
      <c r="O77" t="s">
        <v>40</v>
      </c>
      <c r="P77" t="s">
        <v>26</v>
      </c>
      <c r="Q77" t="s">
        <v>26</v>
      </c>
      <c r="R77">
        <v>21</v>
      </c>
      <c r="S77" t="s">
        <v>27</v>
      </c>
      <c r="T77" t="str">
        <f t="shared" si="2"/>
        <v>Annually</v>
      </c>
      <c r="U77">
        <f>VLOOKUP(T77,[1]tablescore!$B$3:$C$8, 2,FALSE)</f>
        <v>1</v>
      </c>
      <c r="V77" t="str">
        <f t="shared" si="3"/>
        <v>Low Loyalty</v>
      </c>
      <c r="W77" t="s">
        <v>50</v>
      </c>
    </row>
    <row r="78" spans="1:23" x14ac:dyDescent="0.25">
      <c r="A78">
        <v>77</v>
      </c>
      <c r="B78">
        <v>50</v>
      </c>
      <c r="C78" t="str" cm="1">
        <f t="array" ref="C78">_xlfn.IFS(
  AND(B78&gt;=18, B78&lt;=24), "18-24",
  AND(B78&gt;=25, B78&lt;=34), "25-34",
  AND(B78&gt;=35, B78&lt;=44), "35-44",
  AND(B78&gt;=45, B78&lt;=54), "45-54",
  B78&gt;=55, "55+"
)</f>
        <v>45-54</v>
      </c>
      <c r="D78" t="s">
        <v>19</v>
      </c>
      <c r="E78" t="s">
        <v>125</v>
      </c>
      <c r="F78" t="s">
        <v>69</v>
      </c>
      <c r="G78">
        <v>43</v>
      </c>
      <c r="H78" t="s">
        <v>80</v>
      </c>
      <c r="I78" t="s">
        <v>38</v>
      </c>
      <c r="J78" t="s">
        <v>86</v>
      </c>
      <c r="K78" t="s">
        <v>54</v>
      </c>
      <c r="L78">
        <v>4.2</v>
      </c>
      <c r="M78" t="s">
        <v>26</v>
      </c>
      <c r="N78" t="s">
        <v>34</v>
      </c>
      <c r="O78" t="s">
        <v>40</v>
      </c>
      <c r="P78" t="s">
        <v>26</v>
      </c>
      <c r="Q78" t="s">
        <v>26</v>
      </c>
      <c r="R78">
        <v>32</v>
      </c>
      <c r="S78" t="s">
        <v>29</v>
      </c>
      <c r="T78" t="str">
        <f t="shared" si="2"/>
        <v>Month</v>
      </c>
      <c r="U78">
        <f>VLOOKUP(T78,[1]tablescore!$B$3:$C$8, 2,FALSE)</f>
        <v>12</v>
      </c>
      <c r="V78" t="str">
        <f t="shared" si="3"/>
        <v>Moderate</v>
      </c>
      <c r="W78" t="s">
        <v>88</v>
      </c>
    </row>
    <row r="79" spans="1:23" x14ac:dyDescent="0.25">
      <c r="A79">
        <v>78</v>
      </c>
      <c r="B79">
        <v>22</v>
      </c>
      <c r="C79" t="str" cm="1">
        <f t="array" ref="C79">_xlfn.IFS(
  AND(B79&gt;=18, B79&lt;=24), "18-24",
  AND(B79&gt;=25, B79&lt;=34), "25-34",
  AND(B79&gt;=35, B79&lt;=44), "35-44",
  AND(B79&gt;=45, B79&lt;=54), "45-54",
  B79&gt;=55, "55+"
)</f>
        <v>18-24</v>
      </c>
      <c r="D79" t="s">
        <v>19</v>
      </c>
      <c r="E79" t="s">
        <v>82</v>
      </c>
      <c r="F79" t="s">
        <v>21</v>
      </c>
      <c r="G79">
        <v>53</v>
      </c>
      <c r="H79" t="s">
        <v>80</v>
      </c>
      <c r="I79" t="s">
        <v>23</v>
      </c>
      <c r="J79" t="s">
        <v>81</v>
      </c>
      <c r="K79" t="s">
        <v>54</v>
      </c>
      <c r="L79">
        <v>3.3</v>
      </c>
      <c r="M79" t="s">
        <v>26</v>
      </c>
      <c r="N79" t="s">
        <v>59</v>
      </c>
      <c r="O79" t="s">
        <v>47</v>
      </c>
      <c r="P79" t="s">
        <v>26</v>
      </c>
      <c r="Q79" t="s">
        <v>26</v>
      </c>
      <c r="R79">
        <v>36</v>
      </c>
      <c r="S79" t="s">
        <v>59</v>
      </c>
      <c r="T79" t="str">
        <f t="shared" si="2"/>
        <v>2-week</v>
      </c>
      <c r="U79">
        <f>VLOOKUP(T79,[1]tablescore!$B$3:$C$8, 2,FALSE)</f>
        <v>26</v>
      </c>
      <c r="V79" t="str">
        <f t="shared" si="3"/>
        <v>Loyal</v>
      </c>
      <c r="W79" t="s">
        <v>30</v>
      </c>
    </row>
    <row r="80" spans="1:23" x14ac:dyDescent="0.25">
      <c r="A80">
        <v>79</v>
      </c>
      <c r="B80">
        <v>50</v>
      </c>
      <c r="C80" t="str" cm="1">
        <f t="array" ref="C80">_xlfn.IFS(
  AND(B80&gt;=18, B80&lt;=24), "18-24",
  AND(B80&gt;=25, B80&lt;=34), "25-34",
  AND(B80&gt;=35, B80&lt;=44), "35-44",
  AND(B80&gt;=45, B80&lt;=54), "45-54",
  B80&gt;=55, "55+"
)</f>
        <v>45-54</v>
      </c>
      <c r="D80" t="s">
        <v>19</v>
      </c>
      <c r="E80" t="s">
        <v>87</v>
      </c>
      <c r="F80" t="s">
        <v>21</v>
      </c>
      <c r="G80">
        <v>91</v>
      </c>
      <c r="H80" t="s">
        <v>143</v>
      </c>
      <c r="I80" t="s">
        <v>45</v>
      </c>
      <c r="J80" t="s">
        <v>33</v>
      </c>
      <c r="K80" t="s">
        <v>39</v>
      </c>
      <c r="L80">
        <v>4.7</v>
      </c>
      <c r="M80" t="s">
        <v>26</v>
      </c>
      <c r="N80" t="s">
        <v>29</v>
      </c>
      <c r="O80" t="s">
        <v>40</v>
      </c>
      <c r="P80" t="s">
        <v>26</v>
      </c>
      <c r="Q80" t="s">
        <v>26</v>
      </c>
      <c r="R80">
        <v>50</v>
      </c>
      <c r="S80" t="s">
        <v>29</v>
      </c>
      <c r="T80" t="str">
        <f t="shared" si="2"/>
        <v>2-week</v>
      </c>
      <c r="U80">
        <f>VLOOKUP(T80,[1]tablescore!$B$3:$C$8, 2,FALSE)</f>
        <v>26</v>
      </c>
      <c r="V80" t="str">
        <f t="shared" si="3"/>
        <v>Loyal</v>
      </c>
      <c r="W80" t="s">
        <v>30</v>
      </c>
    </row>
    <row r="81" spans="1:23" x14ac:dyDescent="0.25">
      <c r="A81">
        <v>80</v>
      </c>
      <c r="B81">
        <v>38</v>
      </c>
      <c r="C81" t="str" cm="1">
        <f t="array" ref="C81">_xlfn.IFS(
  AND(B81&gt;=18, B81&lt;=24), "18-24",
  AND(B81&gt;=25, B81&lt;=34), "25-34",
  AND(B81&gt;=35, B81&lt;=44), "35-44",
  AND(B81&gt;=45, B81&lt;=54), "45-54",
  B81&gt;=55, "55+"
)</f>
        <v>35-44</v>
      </c>
      <c r="D81" t="s">
        <v>19</v>
      </c>
      <c r="E81" t="s">
        <v>102</v>
      </c>
      <c r="F81" t="s">
        <v>65</v>
      </c>
      <c r="G81">
        <v>96</v>
      </c>
      <c r="H81" t="s">
        <v>150</v>
      </c>
      <c r="I81" t="s">
        <v>45</v>
      </c>
      <c r="J81" t="s">
        <v>79</v>
      </c>
      <c r="K81" t="s">
        <v>25</v>
      </c>
      <c r="L81">
        <v>2.6</v>
      </c>
      <c r="M81" t="s">
        <v>26</v>
      </c>
      <c r="N81" t="s">
        <v>34</v>
      </c>
      <c r="O81" t="s">
        <v>72</v>
      </c>
      <c r="P81" t="s">
        <v>26</v>
      </c>
      <c r="Q81" t="s">
        <v>26</v>
      </c>
      <c r="R81">
        <v>43</v>
      </c>
      <c r="S81" t="s">
        <v>34</v>
      </c>
      <c r="T81" t="str">
        <f t="shared" si="2"/>
        <v>Quarterly</v>
      </c>
      <c r="U81">
        <f>VLOOKUP(T81,[1]tablescore!$B$3:$C$8, 2,FALSE)</f>
        <v>4</v>
      </c>
      <c r="V81" t="str">
        <f t="shared" si="3"/>
        <v>Low Loyalty</v>
      </c>
      <c r="W81" t="s">
        <v>97</v>
      </c>
    </row>
    <row r="82" spans="1:23" x14ac:dyDescent="0.25">
      <c r="A82">
        <v>81</v>
      </c>
      <c r="B82">
        <v>19</v>
      </c>
      <c r="C82" t="str" cm="1">
        <f t="array" ref="C82">_xlfn.IFS(
  AND(B82&gt;=18, B82&lt;=24), "18-24",
  AND(B82&gt;=25, B82&lt;=34), "25-34",
  AND(B82&gt;=35, B82&lt;=44), "35-44",
  AND(B82&gt;=45, B82&lt;=54), "45-54",
  B82&gt;=55, "55+"
)</f>
        <v>18-24</v>
      </c>
      <c r="D82" t="s">
        <v>19</v>
      </c>
      <c r="E82" t="s">
        <v>42</v>
      </c>
      <c r="F82" t="s">
        <v>43</v>
      </c>
      <c r="G82">
        <v>72</v>
      </c>
      <c r="H82" t="s">
        <v>85</v>
      </c>
      <c r="I82" t="s">
        <v>92</v>
      </c>
      <c r="J82" t="s">
        <v>138</v>
      </c>
      <c r="K82" t="s">
        <v>54</v>
      </c>
      <c r="L82">
        <v>3.3</v>
      </c>
      <c r="M82" t="s">
        <v>26</v>
      </c>
      <c r="N82" t="s">
        <v>27</v>
      </c>
      <c r="O82" t="s">
        <v>76</v>
      </c>
      <c r="P82" t="s">
        <v>26</v>
      </c>
      <c r="Q82" t="s">
        <v>26</v>
      </c>
      <c r="R82">
        <v>24</v>
      </c>
      <c r="S82" t="s">
        <v>27</v>
      </c>
      <c r="T82" t="str">
        <f t="shared" si="2"/>
        <v>Quarterly</v>
      </c>
      <c r="U82">
        <f>VLOOKUP(T82,[1]tablescore!$B$3:$C$8, 2,FALSE)</f>
        <v>4</v>
      </c>
      <c r="V82" t="str">
        <f t="shared" si="3"/>
        <v>Low Loyalty</v>
      </c>
      <c r="W82" t="s">
        <v>97</v>
      </c>
    </row>
    <row r="83" spans="1:23" x14ac:dyDescent="0.25">
      <c r="A83">
        <v>82</v>
      </c>
      <c r="B83">
        <v>67</v>
      </c>
      <c r="C83" t="str" cm="1">
        <f t="array" ref="C83">_xlfn.IFS(
  AND(B83&gt;=18, B83&lt;=24), "18-24",
  AND(B83&gt;=25, B83&lt;=34), "25-34",
  AND(B83&gt;=35, B83&lt;=44), "35-44",
  AND(B83&gt;=45, B83&lt;=54), "45-54",
  B83&gt;=55, "55+"
)</f>
        <v>55+</v>
      </c>
      <c r="D83" t="s">
        <v>19</v>
      </c>
      <c r="E83" t="s">
        <v>73</v>
      </c>
      <c r="F83" t="s">
        <v>43</v>
      </c>
      <c r="G83">
        <v>96</v>
      </c>
      <c r="H83" t="s">
        <v>128</v>
      </c>
      <c r="I83" t="s">
        <v>23</v>
      </c>
      <c r="J83" t="s">
        <v>33</v>
      </c>
      <c r="K83" t="s">
        <v>54</v>
      </c>
      <c r="L83">
        <v>2.6</v>
      </c>
      <c r="M83" t="s">
        <v>26</v>
      </c>
      <c r="N83" t="s">
        <v>46</v>
      </c>
      <c r="O83" t="s">
        <v>28</v>
      </c>
      <c r="P83" t="s">
        <v>26</v>
      </c>
      <c r="Q83" t="s">
        <v>26</v>
      </c>
      <c r="R83">
        <v>36</v>
      </c>
      <c r="S83" t="s">
        <v>27</v>
      </c>
      <c r="T83" t="str">
        <f t="shared" si="2"/>
        <v>Quarterly</v>
      </c>
      <c r="U83">
        <f>VLOOKUP(T83,[1]tablescore!$B$3:$C$8, 2,FALSE)</f>
        <v>4</v>
      </c>
      <c r="V83" t="str">
        <f t="shared" si="3"/>
        <v>Low Loyalty</v>
      </c>
      <c r="W83" t="s">
        <v>97</v>
      </c>
    </row>
    <row r="84" spans="1:23" x14ac:dyDescent="0.25">
      <c r="A84">
        <v>83</v>
      </c>
      <c r="B84">
        <v>19</v>
      </c>
      <c r="C84" t="str" cm="1">
        <f t="array" ref="C84">_xlfn.IFS(
  AND(B84&gt;=18, B84&lt;=24), "18-24",
  AND(B84&gt;=25, B84&lt;=34), "25-34",
  AND(B84&gt;=35, B84&lt;=44), "35-44",
  AND(B84&gt;=45, B84&lt;=54), "45-54",
  B84&gt;=55, "55+"
)</f>
        <v>18-24</v>
      </c>
      <c r="D84" t="s">
        <v>19</v>
      </c>
      <c r="E84" t="s">
        <v>95</v>
      </c>
      <c r="F84" t="s">
        <v>21</v>
      </c>
      <c r="G84">
        <v>28</v>
      </c>
      <c r="H84" t="s">
        <v>142</v>
      </c>
      <c r="I84" t="s">
        <v>38</v>
      </c>
      <c r="J84" t="s">
        <v>79</v>
      </c>
      <c r="K84" t="s">
        <v>39</v>
      </c>
      <c r="L84">
        <v>4</v>
      </c>
      <c r="M84" t="s">
        <v>26</v>
      </c>
      <c r="N84" t="s">
        <v>34</v>
      </c>
      <c r="O84" t="s">
        <v>72</v>
      </c>
      <c r="P84" t="s">
        <v>26</v>
      </c>
      <c r="Q84" t="s">
        <v>26</v>
      </c>
      <c r="R84">
        <v>21</v>
      </c>
      <c r="S84" t="s">
        <v>27</v>
      </c>
      <c r="T84" t="str">
        <f t="shared" si="2"/>
        <v>Quarterly</v>
      </c>
      <c r="U84">
        <f>VLOOKUP(T84,[1]tablescore!$B$3:$C$8, 2,FALSE)</f>
        <v>4</v>
      </c>
      <c r="V84" t="str">
        <f t="shared" si="3"/>
        <v>Low Loyalty</v>
      </c>
      <c r="W84" t="s">
        <v>97</v>
      </c>
    </row>
    <row r="85" spans="1:23" x14ac:dyDescent="0.25">
      <c r="A85">
        <v>84</v>
      </c>
      <c r="B85">
        <v>36</v>
      </c>
      <c r="C85" t="str" cm="1">
        <f t="array" ref="C85">_xlfn.IFS(
  AND(B85&gt;=18, B85&lt;=24), "18-24",
  AND(B85&gt;=25, B85&lt;=34), "25-34",
  AND(B85&gt;=35, B85&lt;=44), "35-44",
  AND(B85&gt;=45, B85&lt;=54), "45-54",
  B85&gt;=55, "55+"
)</f>
        <v>35-44</v>
      </c>
      <c r="D85" t="s">
        <v>19</v>
      </c>
      <c r="E85" t="s">
        <v>82</v>
      </c>
      <c r="F85" t="s">
        <v>21</v>
      </c>
      <c r="G85">
        <v>40</v>
      </c>
      <c r="H85" t="s">
        <v>105</v>
      </c>
      <c r="I85" t="s">
        <v>45</v>
      </c>
      <c r="J85" t="s">
        <v>49</v>
      </c>
      <c r="K85" t="s">
        <v>54</v>
      </c>
      <c r="L85">
        <v>4.0999999999999996</v>
      </c>
      <c r="M85" t="s">
        <v>26</v>
      </c>
      <c r="N85" t="s">
        <v>59</v>
      </c>
      <c r="O85" t="s">
        <v>55</v>
      </c>
      <c r="P85" t="s">
        <v>26</v>
      </c>
      <c r="Q85" t="s">
        <v>26</v>
      </c>
      <c r="R85">
        <v>34</v>
      </c>
      <c r="S85" t="s">
        <v>34</v>
      </c>
      <c r="T85" t="str">
        <f t="shared" si="2"/>
        <v>Daily</v>
      </c>
      <c r="U85">
        <f>VLOOKUP(T85,[1]tablescore!$B$3:$C$8, 2,FALSE)</f>
        <v>30</v>
      </c>
      <c r="V85" t="str">
        <f t="shared" si="3"/>
        <v>Highly Loyal</v>
      </c>
      <c r="W85" t="s">
        <v>41</v>
      </c>
    </row>
    <row r="86" spans="1:23" x14ac:dyDescent="0.25">
      <c r="A86">
        <v>85</v>
      </c>
      <c r="B86">
        <v>52</v>
      </c>
      <c r="C86" t="str" cm="1">
        <f t="array" ref="C86">_xlfn.IFS(
  AND(B86&gt;=18, B86&lt;=24), "18-24",
  AND(B86&gt;=25, B86&lt;=34), "25-34",
  AND(B86&gt;=35, B86&lt;=44), "35-44",
  AND(B86&gt;=45, B86&lt;=54), "45-54",
  B86&gt;=55, "55+"
)</f>
        <v>45-54</v>
      </c>
      <c r="D86" t="s">
        <v>19</v>
      </c>
      <c r="E86" t="s">
        <v>64</v>
      </c>
      <c r="F86" t="s">
        <v>65</v>
      </c>
      <c r="G86">
        <v>32</v>
      </c>
      <c r="H86" t="s">
        <v>117</v>
      </c>
      <c r="I86" t="s">
        <v>38</v>
      </c>
      <c r="J86" t="s">
        <v>100</v>
      </c>
      <c r="K86" t="s">
        <v>39</v>
      </c>
      <c r="L86">
        <v>4.4000000000000004</v>
      </c>
      <c r="M86" t="s">
        <v>26</v>
      </c>
      <c r="N86" t="s">
        <v>35</v>
      </c>
      <c r="O86" t="s">
        <v>55</v>
      </c>
      <c r="P86" t="s">
        <v>26</v>
      </c>
      <c r="Q86" t="s">
        <v>26</v>
      </c>
      <c r="R86">
        <v>42</v>
      </c>
      <c r="S86" t="s">
        <v>34</v>
      </c>
      <c r="T86" t="str">
        <f t="shared" si="2"/>
        <v>Quarterly</v>
      </c>
      <c r="U86">
        <f>VLOOKUP(T86,[1]tablescore!$B$3:$C$8, 2,FALSE)</f>
        <v>4</v>
      </c>
      <c r="V86" t="str">
        <f t="shared" si="3"/>
        <v>Low Loyalty</v>
      </c>
      <c r="W86" t="s">
        <v>97</v>
      </c>
    </row>
    <row r="87" spans="1:23" x14ac:dyDescent="0.25">
      <c r="A87">
        <v>86</v>
      </c>
      <c r="B87">
        <v>53</v>
      </c>
      <c r="C87" t="str" cm="1">
        <f t="array" ref="C87">_xlfn.IFS(
  AND(B87&gt;=18, B87&lt;=24), "18-24",
  AND(B87&gt;=25, B87&lt;=34), "25-34",
  AND(B87&gt;=35, B87&lt;=44), "35-44",
  AND(B87&gt;=45, B87&lt;=54), "45-54",
  B87&gt;=55, "55+"
)</f>
        <v>45-54</v>
      </c>
      <c r="D87" t="s">
        <v>19</v>
      </c>
      <c r="E87" t="s">
        <v>89</v>
      </c>
      <c r="F87" t="s">
        <v>69</v>
      </c>
      <c r="G87">
        <v>95</v>
      </c>
      <c r="H87" t="s">
        <v>123</v>
      </c>
      <c r="I87" t="s">
        <v>45</v>
      </c>
      <c r="J87" t="s">
        <v>63</v>
      </c>
      <c r="K87" t="s">
        <v>25</v>
      </c>
      <c r="L87">
        <v>4.5</v>
      </c>
      <c r="M87" t="s">
        <v>26</v>
      </c>
      <c r="N87" t="s">
        <v>27</v>
      </c>
      <c r="O87" t="s">
        <v>47</v>
      </c>
      <c r="P87" t="s">
        <v>26</v>
      </c>
      <c r="Q87" t="s">
        <v>26</v>
      </c>
      <c r="R87">
        <v>2</v>
      </c>
      <c r="S87" t="s">
        <v>59</v>
      </c>
      <c r="T87" t="str">
        <f t="shared" si="2"/>
        <v>2-week</v>
      </c>
      <c r="U87">
        <f>VLOOKUP(T87,[1]tablescore!$B$3:$C$8, 2,FALSE)</f>
        <v>26</v>
      </c>
      <c r="V87" t="str">
        <f t="shared" si="3"/>
        <v>Loyal</v>
      </c>
      <c r="W87" t="s">
        <v>77</v>
      </c>
    </row>
    <row r="88" spans="1:23" x14ac:dyDescent="0.25">
      <c r="A88">
        <v>87</v>
      </c>
      <c r="B88">
        <v>24</v>
      </c>
      <c r="C88" t="str" cm="1">
        <f t="array" ref="C88">_xlfn.IFS(
  AND(B88&gt;=18, B88&lt;=24), "18-24",
  AND(B88&gt;=25, B88&lt;=34), "25-34",
  AND(B88&gt;=35, B88&lt;=44), "35-44",
  AND(B88&gt;=45, B88&lt;=54), "45-54",
  B88&gt;=55, "55+"
)</f>
        <v>18-24</v>
      </c>
      <c r="D88" t="s">
        <v>19</v>
      </c>
      <c r="E88" t="s">
        <v>104</v>
      </c>
      <c r="F88" t="s">
        <v>21</v>
      </c>
      <c r="G88">
        <v>41</v>
      </c>
      <c r="H88" t="s">
        <v>107</v>
      </c>
      <c r="I88" t="s">
        <v>23</v>
      </c>
      <c r="J88" t="s">
        <v>71</v>
      </c>
      <c r="K88" t="s">
        <v>39</v>
      </c>
      <c r="L88">
        <v>3.7</v>
      </c>
      <c r="M88" t="s">
        <v>26</v>
      </c>
      <c r="N88" t="s">
        <v>29</v>
      </c>
      <c r="O88" t="s">
        <v>72</v>
      </c>
      <c r="P88" t="s">
        <v>26</v>
      </c>
      <c r="Q88" t="s">
        <v>26</v>
      </c>
      <c r="R88">
        <v>47</v>
      </c>
      <c r="S88" t="s">
        <v>35</v>
      </c>
      <c r="T88" t="str">
        <f t="shared" si="2"/>
        <v>2-week</v>
      </c>
      <c r="U88">
        <f>VLOOKUP(T88,[1]tablescore!$B$3:$C$8, 2,FALSE)</f>
        <v>26</v>
      </c>
      <c r="V88" t="str">
        <f t="shared" si="3"/>
        <v>Loyal</v>
      </c>
      <c r="W88" t="s">
        <v>77</v>
      </c>
    </row>
    <row r="89" spans="1:23" x14ac:dyDescent="0.25">
      <c r="A89">
        <v>88</v>
      </c>
      <c r="B89">
        <v>52</v>
      </c>
      <c r="C89" t="str" cm="1">
        <f t="array" ref="C89">_xlfn.IFS(
  AND(B89&gt;=18, B89&lt;=24), "18-24",
  AND(B89&gt;=25, B89&lt;=34), "25-34",
  AND(B89&gt;=35, B89&lt;=44), "35-44",
  AND(B89&gt;=45, B89&lt;=54), "45-54",
  B89&gt;=55, "55+"
)</f>
        <v>45-54</v>
      </c>
      <c r="D89" t="s">
        <v>19</v>
      </c>
      <c r="E89" t="s">
        <v>73</v>
      </c>
      <c r="F89" t="s">
        <v>43</v>
      </c>
      <c r="G89">
        <v>53</v>
      </c>
      <c r="H89" t="s">
        <v>124</v>
      </c>
      <c r="I89" t="s">
        <v>45</v>
      </c>
      <c r="J89" t="s">
        <v>96</v>
      </c>
      <c r="K89" t="s">
        <v>58</v>
      </c>
      <c r="L89">
        <v>3.7</v>
      </c>
      <c r="M89" t="s">
        <v>26</v>
      </c>
      <c r="N89" t="s">
        <v>59</v>
      </c>
      <c r="O89" t="s">
        <v>72</v>
      </c>
      <c r="P89" t="s">
        <v>26</v>
      </c>
      <c r="Q89" t="s">
        <v>26</v>
      </c>
      <c r="R89">
        <v>44</v>
      </c>
      <c r="S89" t="s">
        <v>59</v>
      </c>
      <c r="T89" t="str">
        <f t="shared" si="2"/>
        <v>2-week</v>
      </c>
      <c r="U89">
        <f>VLOOKUP(T89,[1]tablescore!$B$3:$C$8, 2,FALSE)</f>
        <v>26</v>
      </c>
      <c r="V89" t="str">
        <f t="shared" si="3"/>
        <v>Loyal</v>
      </c>
      <c r="W89" t="s">
        <v>30</v>
      </c>
    </row>
    <row r="90" spans="1:23" x14ac:dyDescent="0.25">
      <c r="A90">
        <v>89</v>
      </c>
      <c r="B90">
        <v>33</v>
      </c>
      <c r="C90" t="str" cm="1">
        <f t="array" ref="C90">_xlfn.IFS(
  AND(B90&gt;=18, B90&lt;=24), "18-24",
  AND(B90&gt;=25, B90&lt;=34), "25-34",
  AND(B90&gt;=35, B90&lt;=44), "35-44",
  AND(B90&gt;=45, B90&lt;=54), "45-54",
  B90&gt;=55, "55+"
)</f>
        <v>25-34</v>
      </c>
      <c r="D90" t="s">
        <v>19</v>
      </c>
      <c r="E90" t="s">
        <v>113</v>
      </c>
      <c r="F90" t="s">
        <v>21</v>
      </c>
      <c r="G90">
        <v>47</v>
      </c>
      <c r="H90" t="s">
        <v>52</v>
      </c>
      <c r="I90" t="s">
        <v>45</v>
      </c>
      <c r="J90" t="s">
        <v>121</v>
      </c>
      <c r="K90" t="s">
        <v>58</v>
      </c>
      <c r="L90">
        <v>3.5</v>
      </c>
      <c r="M90" t="s">
        <v>26</v>
      </c>
      <c r="N90" t="s">
        <v>27</v>
      </c>
      <c r="O90" t="s">
        <v>40</v>
      </c>
      <c r="P90" t="s">
        <v>26</v>
      </c>
      <c r="Q90" t="s">
        <v>26</v>
      </c>
      <c r="R90">
        <v>35</v>
      </c>
      <c r="S90" t="s">
        <v>27</v>
      </c>
      <c r="T90" t="str">
        <f t="shared" si="2"/>
        <v>Month</v>
      </c>
      <c r="U90">
        <f>VLOOKUP(T90,[1]tablescore!$B$3:$C$8, 2,FALSE)</f>
        <v>12</v>
      </c>
      <c r="V90" t="str">
        <f t="shared" si="3"/>
        <v>Moderate</v>
      </c>
      <c r="W90" t="s">
        <v>88</v>
      </c>
    </row>
    <row r="91" spans="1:23" x14ac:dyDescent="0.25">
      <c r="A91">
        <v>90</v>
      </c>
      <c r="B91">
        <v>47</v>
      </c>
      <c r="C91" t="str" cm="1">
        <f t="array" ref="C91">_xlfn.IFS(
  AND(B91&gt;=18, B91&lt;=24), "18-24",
  AND(B91&gt;=25, B91&lt;=34), "25-34",
  AND(B91&gt;=35, B91&lt;=44), "35-44",
  AND(B91&gt;=45, B91&lt;=54), "45-54",
  B91&gt;=55, "55+"
)</f>
        <v>45-54</v>
      </c>
      <c r="D91" t="s">
        <v>19</v>
      </c>
      <c r="E91" t="s">
        <v>102</v>
      </c>
      <c r="F91" t="s">
        <v>65</v>
      </c>
      <c r="G91">
        <v>83</v>
      </c>
      <c r="H91" t="s">
        <v>99</v>
      </c>
      <c r="I91" t="s">
        <v>92</v>
      </c>
      <c r="J91" t="s">
        <v>71</v>
      </c>
      <c r="K91" t="s">
        <v>58</v>
      </c>
      <c r="L91">
        <v>3.6</v>
      </c>
      <c r="M91" t="s">
        <v>26</v>
      </c>
      <c r="N91" t="s">
        <v>34</v>
      </c>
      <c r="O91" t="s">
        <v>47</v>
      </c>
      <c r="P91" t="s">
        <v>26</v>
      </c>
      <c r="Q91" t="s">
        <v>26</v>
      </c>
      <c r="R91">
        <v>15</v>
      </c>
      <c r="S91" t="s">
        <v>35</v>
      </c>
      <c r="T91" t="str">
        <f t="shared" si="2"/>
        <v>Quarterly</v>
      </c>
      <c r="U91">
        <f>VLOOKUP(T91,[1]tablescore!$B$3:$C$8, 2,FALSE)</f>
        <v>4</v>
      </c>
      <c r="V91" t="str">
        <f t="shared" si="3"/>
        <v>Low Loyalty</v>
      </c>
      <c r="W91" t="s">
        <v>60</v>
      </c>
    </row>
    <row r="92" spans="1:23" x14ac:dyDescent="0.25">
      <c r="A92">
        <v>91</v>
      </c>
      <c r="B92">
        <v>25</v>
      </c>
      <c r="C92" t="str" cm="1">
        <f t="array" ref="C92">_xlfn.IFS(
  AND(B92&gt;=18, B92&lt;=24), "18-24",
  AND(B92&gt;=25, B92&lt;=34), "25-34",
  AND(B92&gt;=35, B92&lt;=44), "35-44",
  AND(B92&gt;=45, B92&lt;=54), "45-54",
  B92&gt;=55, "55+"
)</f>
        <v>25-34</v>
      </c>
      <c r="D92" t="s">
        <v>19</v>
      </c>
      <c r="E92" t="s">
        <v>125</v>
      </c>
      <c r="F92" t="s">
        <v>69</v>
      </c>
      <c r="G92">
        <v>48</v>
      </c>
      <c r="H92" t="s">
        <v>126</v>
      </c>
      <c r="I92" t="s">
        <v>23</v>
      </c>
      <c r="J92" t="s">
        <v>84</v>
      </c>
      <c r="K92" t="s">
        <v>54</v>
      </c>
      <c r="L92">
        <v>2.9</v>
      </c>
      <c r="M92" t="s">
        <v>26</v>
      </c>
      <c r="N92" t="s">
        <v>29</v>
      </c>
      <c r="O92" t="s">
        <v>28</v>
      </c>
      <c r="P92" t="s">
        <v>26</v>
      </c>
      <c r="Q92" t="s">
        <v>26</v>
      </c>
      <c r="R92">
        <v>29</v>
      </c>
      <c r="S92" t="s">
        <v>27</v>
      </c>
      <c r="T92" t="str">
        <f t="shared" si="2"/>
        <v>Month</v>
      </c>
      <c r="U92">
        <f>VLOOKUP(T92,[1]tablescore!$B$3:$C$8, 2,FALSE)</f>
        <v>12</v>
      </c>
      <c r="V92" t="str">
        <f t="shared" si="3"/>
        <v>Moderate</v>
      </c>
      <c r="W92" t="s">
        <v>88</v>
      </c>
    </row>
    <row r="93" spans="1:23" x14ac:dyDescent="0.25">
      <c r="A93">
        <v>92</v>
      </c>
      <c r="B93">
        <v>44</v>
      </c>
      <c r="C93" t="str" cm="1">
        <f t="array" ref="C93">_xlfn.IFS(
  AND(B93&gt;=18, B93&lt;=24), "18-24",
  AND(B93&gt;=25, B93&lt;=34), "25-34",
  AND(B93&gt;=35, B93&lt;=44), "35-44",
  AND(B93&gt;=45, B93&lt;=54), "45-54",
  B93&gt;=55, "55+"
)</f>
        <v>35-44</v>
      </c>
      <c r="D93" t="s">
        <v>19</v>
      </c>
      <c r="E93" t="s">
        <v>119</v>
      </c>
      <c r="F93" t="s">
        <v>69</v>
      </c>
      <c r="G93">
        <v>99</v>
      </c>
      <c r="H93" t="s">
        <v>126</v>
      </c>
      <c r="I93" t="s">
        <v>38</v>
      </c>
      <c r="J93" t="s">
        <v>96</v>
      </c>
      <c r="K93" t="s">
        <v>25</v>
      </c>
      <c r="L93">
        <v>4.5999999999999996</v>
      </c>
      <c r="M93" t="s">
        <v>26</v>
      </c>
      <c r="N93" t="s">
        <v>46</v>
      </c>
      <c r="O93" t="s">
        <v>55</v>
      </c>
      <c r="P93" t="s">
        <v>26</v>
      </c>
      <c r="Q93" t="s">
        <v>26</v>
      </c>
      <c r="R93">
        <v>18</v>
      </c>
      <c r="S93" t="s">
        <v>27</v>
      </c>
      <c r="T93" t="str">
        <f t="shared" si="2"/>
        <v>Quarterly</v>
      </c>
      <c r="U93">
        <f>VLOOKUP(T93,[1]tablescore!$B$3:$C$8, 2,FALSE)</f>
        <v>4</v>
      </c>
      <c r="V93" t="str">
        <f t="shared" si="3"/>
        <v>Low Loyalty</v>
      </c>
      <c r="W93" t="s">
        <v>97</v>
      </c>
    </row>
    <row r="94" spans="1:23" x14ac:dyDescent="0.25">
      <c r="A94">
        <v>93</v>
      </c>
      <c r="B94">
        <v>61</v>
      </c>
      <c r="C94" t="str" cm="1">
        <f t="array" ref="C94">_xlfn.IFS(
  AND(B94&gt;=18, B94&lt;=24), "18-24",
  AND(B94&gt;=25, B94&lt;=34), "25-34",
  AND(B94&gt;=35, B94&lt;=44), "35-44",
  AND(B94&gt;=45, B94&lt;=54), "45-54",
  B94&gt;=55, "55+"
)</f>
        <v>55+</v>
      </c>
      <c r="D94" t="s">
        <v>19</v>
      </c>
      <c r="E94" t="s">
        <v>102</v>
      </c>
      <c r="F94" t="s">
        <v>65</v>
      </c>
      <c r="G94">
        <v>87</v>
      </c>
      <c r="H94" t="s">
        <v>105</v>
      </c>
      <c r="I94" t="s">
        <v>45</v>
      </c>
      <c r="J94" t="s">
        <v>79</v>
      </c>
      <c r="K94" t="s">
        <v>25</v>
      </c>
      <c r="L94">
        <v>4.4000000000000004</v>
      </c>
      <c r="M94" t="s">
        <v>26</v>
      </c>
      <c r="N94" t="s">
        <v>35</v>
      </c>
      <c r="O94" t="s">
        <v>72</v>
      </c>
      <c r="P94" t="s">
        <v>26</v>
      </c>
      <c r="Q94" t="s">
        <v>26</v>
      </c>
      <c r="R94">
        <v>13</v>
      </c>
      <c r="S94" t="s">
        <v>29</v>
      </c>
      <c r="T94" t="str">
        <f t="shared" si="2"/>
        <v>Quarterly</v>
      </c>
      <c r="U94">
        <f>VLOOKUP(T94,[1]tablescore!$B$3:$C$8, 2,FALSE)</f>
        <v>4</v>
      </c>
      <c r="V94" t="str">
        <f t="shared" si="3"/>
        <v>Low Loyalty</v>
      </c>
      <c r="W94" t="s">
        <v>97</v>
      </c>
    </row>
    <row r="95" spans="1:23" x14ac:dyDescent="0.25">
      <c r="A95">
        <v>94</v>
      </c>
      <c r="B95">
        <v>37</v>
      </c>
      <c r="C95" t="str" cm="1">
        <f t="array" ref="C95">_xlfn.IFS(
  AND(B95&gt;=18, B95&lt;=24), "18-24",
  AND(B95&gt;=25, B95&lt;=34), "25-34",
  AND(B95&gt;=35, B95&lt;=44), "35-44",
  AND(B95&gt;=45, B95&lt;=54), "45-54",
  B95&gt;=55, "55+"
)</f>
        <v>35-44</v>
      </c>
      <c r="D95" t="s">
        <v>19</v>
      </c>
      <c r="E95" t="s">
        <v>31</v>
      </c>
      <c r="F95" t="s">
        <v>21</v>
      </c>
      <c r="G95">
        <v>62</v>
      </c>
      <c r="H95" t="s">
        <v>103</v>
      </c>
      <c r="I95" t="s">
        <v>45</v>
      </c>
      <c r="J95" t="s">
        <v>75</v>
      </c>
      <c r="K95" t="s">
        <v>58</v>
      </c>
      <c r="L95">
        <v>4.5</v>
      </c>
      <c r="M95" t="s">
        <v>26</v>
      </c>
      <c r="N95" t="s">
        <v>46</v>
      </c>
      <c r="O95" t="s">
        <v>55</v>
      </c>
      <c r="P95" t="s">
        <v>26</v>
      </c>
      <c r="Q95" t="s">
        <v>26</v>
      </c>
      <c r="R95">
        <v>46</v>
      </c>
      <c r="S95" t="s">
        <v>27</v>
      </c>
      <c r="T95" t="str">
        <f t="shared" si="2"/>
        <v>Daily</v>
      </c>
      <c r="U95">
        <f>VLOOKUP(T95,[1]tablescore!$B$3:$C$8, 2,FALSE)</f>
        <v>30</v>
      </c>
      <c r="V95" t="str">
        <f t="shared" si="3"/>
        <v>Highly Loyal</v>
      </c>
      <c r="W95" t="s">
        <v>41</v>
      </c>
    </row>
    <row r="96" spans="1:23" x14ac:dyDescent="0.25">
      <c r="A96">
        <v>95</v>
      </c>
      <c r="B96">
        <v>58</v>
      </c>
      <c r="C96" t="str" cm="1">
        <f t="array" ref="C96">_xlfn.IFS(
  AND(B96&gt;=18, B96&lt;=24), "18-24",
  AND(B96&gt;=25, B96&lt;=34), "25-34",
  AND(B96&gt;=35, B96&lt;=44), "35-44",
  AND(B96&gt;=45, B96&lt;=54), "45-54",
  B96&gt;=55, "55+"
)</f>
        <v>55+</v>
      </c>
      <c r="D96" t="s">
        <v>19</v>
      </c>
      <c r="E96" t="s">
        <v>87</v>
      </c>
      <c r="F96" t="s">
        <v>21</v>
      </c>
      <c r="G96">
        <v>76</v>
      </c>
      <c r="H96" t="s">
        <v>107</v>
      </c>
      <c r="I96" t="s">
        <v>38</v>
      </c>
      <c r="J96" t="s">
        <v>67</v>
      </c>
      <c r="K96" t="s">
        <v>39</v>
      </c>
      <c r="L96">
        <v>4.5999999999999996</v>
      </c>
      <c r="M96" t="s">
        <v>26</v>
      </c>
      <c r="N96" t="s">
        <v>34</v>
      </c>
      <c r="O96" t="s">
        <v>40</v>
      </c>
      <c r="P96" t="s">
        <v>26</v>
      </c>
      <c r="Q96" t="s">
        <v>26</v>
      </c>
      <c r="R96">
        <v>28</v>
      </c>
      <c r="S96" t="s">
        <v>27</v>
      </c>
      <c r="T96" t="str">
        <f t="shared" si="2"/>
        <v>Daily</v>
      </c>
      <c r="U96">
        <f>VLOOKUP(T96,[1]tablescore!$B$3:$C$8, 2,FALSE)</f>
        <v>30</v>
      </c>
      <c r="V96" t="str">
        <f t="shared" si="3"/>
        <v>Highly Loyal</v>
      </c>
      <c r="W96" t="s">
        <v>41</v>
      </c>
    </row>
    <row r="97" spans="1:23" x14ac:dyDescent="0.25">
      <c r="A97">
        <v>96</v>
      </c>
      <c r="B97">
        <v>37</v>
      </c>
      <c r="C97" t="str" cm="1">
        <f t="array" ref="C97">_xlfn.IFS(
  AND(B97&gt;=18, B97&lt;=24), "18-24",
  AND(B97&gt;=25, B97&lt;=34), "25-34",
  AND(B97&gt;=35, B97&lt;=44), "35-44",
  AND(B97&gt;=45, B97&lt;=54), "45-54",
  B97&gt;=55, "55+"
)</f>
        <v>35-44</v>
      </c>
      <c r="D97" t="s">
        <v>19</v>
      </c>
      <c r="E97" t="s">
        <v>51</v>
      </c>
      <c r="F97" t="s">
        <v>43</v>
      </c>
      <c r="G97">
        <v>100</v>
      </c>
      <c r="H97" t="s">
        <v>70</v>
      </c>
      <c r="I97" t="s">
        <v>23</v>
      </c>
      <c r="J97" t="s">
        <v>71</v>
      </c>
      <c r="K97" t="s">
        <v>58</v>
      </c>
      <c r="L97">
        <v>3.8</v>
      </c>
      <c r="M97" t="s">
        <v>26</v>
      </c>
      <c r="N97" t="s">
        <v>46</v>
      </c>
      <c r="O97" t="s">
        <v>40</v>
      </c>
      <c r="P97" t="s">
        <v>26</v>
      </c>
      <c r="Q97" t="s">
        <v>26</v>
      </c>
      <c r="R97">
        <v>48</v>
      </c>
      <c r="S97" t="s">
        <v>46</v>
      </c>
      <c r="T97" t="str">
        <f t="shared" si="2"/>
        <v>Month</v>
      </c>
      <c r="U97">
        <f>VLOOKUP(T97,[1]tablescore!$B$3:$C$8, 2,FALSE)</f>
        <v>12</v>
      </c>
      <c r="V97" t="str">
        <f t="shared" si="3"/>
        <v>Moderate</v>
      </c>
      <c r="W97" t="s">
        <v>88</v>
      </c>
    </row>
    <row r="98" spans="1:23" x14ac:dyDescent="0.25">
      <c r="A98">
        <v>97</v>
      </c>
      <c r="B98">
        <v>32</v>
      </c>
      <c r="C98" t="str" cm="1">
        <f t="array" ref="C98">_xlfn.IFS(
  AND(B98&gt;=18, B98&lt;=24), "18-24",
  AND(B98&gt;=25, B98&lt;=34), "25-34",
  AND(B98&gt;=35, B98&lt;=44), "35-44",
  AND(B98&gt;=45, B98&lt;=54), "45-54",
  B98&gt;=55, "55+"
)</f>
        <v>25-34</v>
      </c>
      <c r="D98" t="s">
        <v>19</v>
      </c>
      <c r="E98" t="s">
        <v>127</v>
      </c>
      <c r="F98" t="s">
        <v>69</v>
      </c>
      <c r="G98">
        <v>73</v>
      </c>
      <c r="H98" t="s">
        <v>80</v>
      </c>
      <c r="I98" t="s">
        <v>38</v>
      </c>
      <c r="J98" t="s">
        <v>81</v>
      </c>
      <c r="K98" t="s">
        <v>39</v>
      </c>
      <c r="L98">
        <v>3.6</v>
      </c>
      <c r="M98" t="s">
        <v>26</v>
      </c>
      <c r="N98" t="s">
        <v>29</v>
      </c>
      <c r="O98" t="s">
        <v>28</v>
      </c>
      <c r="P98" t="s">
        <v>26</v>
      </c>
      <c r="Q98" t="s">
        <v>26</v>
      </c>
      <c r="R98">
        <v>43</v>
      </c>
      <c r="S98" t="s">
        <v>29</v>
      </c>
      <c r="T98" t="str">
        <f t="shared" si="2"/>
        <v>Quarterly</v>
      </c>
      <c r="U98">
        <f>VLOOKUP(T98,[1]tablescore!$B$3:$C$8, 2,FALSE)</f>
        <v>4</v>
      </c>
      <c r="V98" t="str">
        <f t="shared" si="3"/>
        <v>Low Loyalty</v>
      </c>
      <c r="W98" t="s">
        <v>97</v>
      </c>
    </row>
    <row r="99" spans="1:23" x14ac:dyDescent="0.25">
      <c r="A99">
        <v>98</v>
      </c>
      <c r="B99">
        <v>21</v>
      </c>
      <c r="C99" t="str" cm="1">
        <f t="array" ref="C99">_xlfn.IFS(
  AND(B99&gt;=18, B99&lt;=24), "18-24",
  AND(B99&gt;=25, B99&lt;=34), "25-34",
  AND(B99&gt;=35, B99&lt;=44), "35-44",
  AND(B99&gt;=45, B99&lt;=54), "45-54",
  B99&gt;=55, "55+"
)</f>
        <v>18-24</v>
      </c>
      <c r="D99" t="s">
        <v>19</v>
      </c>
      <c r="E99" t="s">
        <v>73</v>
      </c>
      <c r="F99" t="s">
        <v>43</v>
      </c>
      <c r="G99">
        <v>92</v>
      </c>
      <c r="H99" t="s">
        <v>128</v>
      </c>
      <c r="I99" t="s">
        <v>45</v>
      </c>
      <c r="J99" t="s">
        <v>86</v>
      </c>
      <c r="K99" t="s">
        <v>25</v>
      </c>
      <c r="L99">
        <v>4.8</v>
      </c>
      <c r="M99" t="s">
        <v>26</v>
      </c>
      <c r="N99" t="s">
        <v>46</v>
      </c>
      <c r="O99" t="s">
        <v>76</v>
      </c>
      <c r="P99" t="s">
        <v>26</v>
      </c>
      <c r="Q99" t="s">
        <v>26</v>
      </c>
      <c r="R99">
        <v>37</v>
      </c>
      <c r="S99" t="s">
        <v>35</v>
      </c>
      <c r="T99" t="str">
        <f t="shared" si="2"/>
        <v>Annually</v>
      </c>
      <c r="U99">
        <f>VLOOKUP(T99,[1]tablescore!$B$3:$C$8, 2,FALSE)</f>
        <v>1</v>
      </c>
      <c r="V99" t="str">
        <f t="shared" si="3"/>
        <v>Low Loyalty</v>
      </c>
      <c r="W99" t="s">
        <v>50</v>
      </c>
    </row>
    <row r="100" spans="1:23" x14ac:dyDescent="0.25">
      <c r="A100">
        <v>99</v>
      </c>
      <c r="B100">
        <v>20</v>
      </c>
      <c r="C100" t="str" cm="1">
        <f t="array" ref="C100">_xlfn.IFS(
  AND(B100&gt;=18, B100&lt;=24), "18-24",
  AND(B100&gt;=25, B100&lt;=34), "25-34",
  AND(B100&gt;=35, B100&lt;=44), "35-44",
  AND(B100&gt;=45, B100&lt;=54), "45-54",
  B100&gt;=55, "55+"
)</f>
        <v>18-24</v>
      </c>
      <c r="D100" t="s">
        <v>19</v>
      </c>
      <c r="E100" t="s">
        <v>36</v>
      </c>
      <c r="F100" t="s">
        <v>21</v>
      </c>
      <c r="G100">
        <v>67</v>
      </c>
      <c r="H100" t="s">
        <v>85</v>
      </c>
      <c r="I100" t="s">
        <v>92</v>
      </c>
      <c r="J100" t="s">
        <v>86</v>
      </c>
      <c r="K100" t="s">
        <v>39</v>
      </c>
      <c r="L100">
        <v>2.6</v>
      </c>
      <c r="M100" t="s">
        <v>26</v>
      </c>
      <c r="N100" t="s">
        <v>35</v>
      </c>
      <c r="O100" t="s">
        <v>47</v>
      </c>
      <c r="P100" t="s">
        <v>26</v>
      </c>
      <c r="Q100" t="s">
        <v>26</v>
      </c>
      <c r="R100">
        <v>20</v>
      </c>
      <c r="S100" t="s">
        <v>34</v>
      </c>
      <c r="T100" t="str">
        <f t="shared" si="2"/>
        <v>Annually</v>
      </c>
      <c r="U100">
        <f>VLOOKUP(T100,[1]tablescore!$B$3:$C$8, 2,FALSE)</f>
        <v>1</v>
      </c>
      <c r="V100" t="str">
        <f t="shared" si="3"/>
        <v>Low Loyalty</v>
      </c>
      <c r="W100" t="s">
        <v>50</v>
      </c>
    </row>
    <row r="101" spans="1:23" x14ac:dyDescent="0.25">
      <c r="A101">
        <v>100</v>
      </c>
      <c r="B101">
        <v>26</v>
      </c>
      <c r="C101" t="str" cm="1">
        <f t="array" ref="C101">_xlfn.IFS(
  AND(B101&gt;=18, B101&lt;=24), "18-24",
  AND(B101&gt;=25, B101&lt;=34), "25-34",
  AND(B101&gt;=35, B101&lt;=44), "35-44",
  AND(B101&gt;=45, B101&lt;=54), "45-54",
  B101&gt;=55, "55+"
)</f>
        <v>25-34</v>
      </c>
      <c r="D101" t="s">
        <v>19</v>
      </c>
      <c r="E101" t="s">
        <v>104</v>
      </c>
      <c r="F101" t="s">
        <v>21</v>
      </c>
      <c r="G101">
        <v>40</v>
      </c>
      <c r="H101" t="s">
        <v>70</v>
      </c>
      <c r="I101" t="s">
        <v>92</v>
      </c>
      <c r="J101" t="s">
        <v>129</v>
      </c>
      <c r="K101" t="s">
        <v>54</v>
      </c>
      <c r="L101">
        <v>3.7</v>
      </c>
      <c r="M101" t="s">
        <v>26</v>
      </c>
      <c r="N101" t="s">
        <v>35</v>
      </c>
      <c r="O101" t="s">
        <v>28</v>
      </c>
      <c r="P101" t="s">
        <v>26</v>
      </c>
      <c r="Q101" t="s">
        <v>26</v>
      </c>
      <c r="R101">
        <v>33</v>
      </c>
      <c r="S101" t="s">
        <v>59</v>
      </c>
      <c r="T101" t="str">
        <f t="shared" si="2"/>
        <v>Quarterly</v>
      </c>
      <c r="U101">
        <f>VLOOKUP(T101,[1]tablescore!$B$3:$C$8, 2,FALSE)</f>
        <v>4</v>
      </c>
      <c r="V101" t="str">
        <f t="shared" si="3"/>
        <v>Low Loyalty</v>
      </c>
      <c r="W101" t="s">
        <v>60</v>
      </c>
    </row>
    <row r="102" spans="1:23" x14ac:dyDescent="0.25">
      <c r="A102">
        <v>101</v>
      </c>
      <c r="B102">
        <v>62</v>
      </c>
      <c r="C102" t="str" cm="1">
        <f t="array" ref="C102">_xlfn.IFS(
  AND(B102&gt;=18, B102&lt;=24), "18-24",
  AND(B102&gt;=25, B102&lt;=34), "25-34",
  AND(B102&gt;=35, B102&lt;=44), "35-44",
  AND(B102&gt;=45, B102&lt;=54), "45-54",
  B102&gt;=55, "55+"
)</f>
        <v>55+</v>
      </c>
      <c r="D102" t="s">
        <v>19</v>
      </c>
      <c r="E102" t="s">
        <v>89</v>
      </c>
      <c r="F102" t="s">
        <v>69</v>
      </c>
      <c r="G102">
        <v>98</v>
      </c>
      <c r="H102" t="s">
        <v>130</v>
      </c>
      <c r="I102" t="s">
        <v>45</v>
      </c>
      <c r="J102" t="s">
        <v>33</v>
      </c>
      <c r="K102" t="s">
        <v>58</v>
      </c>
      <c r="L102">
        <v>2.7</v>
      </c>
      <c r="M102" t="s">
        <v>26</v>
      </c>
      <c r="N102" t="s">
        <v>46</v>
      </c>
      <c r="O102" t="s">
        <v>28</v>
      </c>
      <c r="P102" t="s">
        <v>26</v>
      </c>
      <c r="Q102" t="s">
        <v>26</v>
      </c>
      <c r="R102">
        <v>31</v>
      </c>
      <c r="S102" t="s">
        <v>35</v>
      </c>
      <c r="T102" t="str">
        <f t="shared" si="2"/>
        <v>2-week</v>
      </c>
      <c r="U102">
        <f>VLOOKUP(T102,[1]tablescore!$B$3:$C$8, 2,FALSE)</f>
        <v>26</v>
      </c>
      <c r="V102" t="str">
        <f t="shared" si="3"/>
        <v>Loyal</v>
      </c>
      <c r="W102" t="s">
        <v>30</v>
      </c>
    </row>
    <row r="103" spans="1:23" x14ac:dyDescent="0.25">
      <c r="A103">
        <v>102</v>
      </c>
      <c r="B103">
        <v>27</v>
      </c>
      <c r="C103" t="str" cm="1">
        <f t="array" ref="C103">_xlfn.IFS(
  AND(B103&gt;=18, B103&lt;=24), "18-24",
  AND(B103&gt;=25, B103&lt;=34), "25-34",
  AND(B103&gt;=35, B103&lt;=44), "35-44",
  AND(B103&gt;=45, B103&lt;=54), "45-54",
  B103&gt;=55, "55+"
)</f>
        <v>25-34</v>
      </c>
      <c r="D103" t="s">
        <v>19</v>
      </c>
      <c r="E103" t="s">
        <v>64</v>
      </c>
      <c r="F103" t="s">
        <v>65</v>
      </c>
      <c r="G103">
        <v>85</v>
      </c>
      <c r="H103" t="s">
        <v>114</v>
      </c>
      <c r="I103" t="s">
        <v>92</v>
      </c>
      <c r="J103" t="s">
        <v>53</v>
      </c>
      <c r="K103" t="s">
        <v>39</v>
      </c>
      <c r="L103">
        <v>4.5999999999999996</v>
      </c>
      <c r="M103" t="s">
        <v>26</v>
      </c>
      <c r="N103" t="s">
        <v>29</v>
      </c>
      <c r="O103" t="s">
        <v>28</v>
      </c>
      <c r="P103" t="s">
        <v>26</v>
      </c>
      <c r="Q103" t="s">
        <v>26</v>
      </c>
      <c r="R103">
        <v>50</v>
      </c>
      <c r="S103" t="s">
        <v>27</v>
      </c>
      <c r="T103" t="str">
        <f t="shared" si="2"/>
        <v>2-week</v>
      </c>
      <c r="U103">
        <f>VLOOKUP(T103,[1]tablescore!$B$3:$C$8, 2,FALSE)</f>
        <v>26</v>
      </c>
      <c r="V103" t="str">
        <f t="shared" si="3"/>
        <v>Loyal</v>
      </c>
      <c r="W103" t="s">
        <v>77</v>
      </c>
    </row>
    <row r="104" spans="1:23" x14ac:dyDescent="0.25">
      <c r="A104">
        <v>103</v>
      </c>
      <c r="B104">
        <v>51</v>
      </c>
      <c r="C104" t="str" cm="1">
        <f t="array" ref="C104">_xlfn.IFS(
  AND(B104&gt;=18, B104&lt;=24), "18-24",
  AND(B104&gt;=25, B104&lt;=34), "25-34",
  AND(B104&gt;=35, B104&lt;=44), "35-44",
  AND(B104&gt;=45, B104&lt;=54), "45-54",
  B104&gt;=55, "55+"
)</f>
        <v>45-54</v>
      </c>
      <c r="D104" t="s">
        <v>19</v>
      </c>
      <c r="E104" t="s">
        <v>131</v>
      </c>
      <c r="F104" t="s">
        <v>21</v>
      </c>
      <c r="G104">
        <v>67</v>
      </c>
      <c r="H104" t="s">
        <v>101</v>
      </c>
      <c r="I104" t="s">
        <v>23</v>
      </c>
      <c r="J104" t="s">
        <v>84</v>
      </c>
      <c r="K104" t="s">
        <v>25</v>
      </c>
      <c r="L104">
        <v>4.8</v>
      </c>
      <c r="M104" t="s">
        <v>26</v>
      </c>
      <c r="N104" t="s">
        <v>27</v>
      </c>
      <c r="O104" t="s">
        <v>47</v>
      </c>
      <c r="P104" t="s">
        <v>26</v>
      </c>
      <c r="Q104" t="s">
        <v>26</v>
      </c>
      <c r="R104">
        <v>35</v>
      </c>
      <c r="S104" t="s">
        <v>27</v>
      </c>
      <c r="T104" t="str">
        <f t="shared" si="2"/>
        <v>Quarterly</v>
      </c>
      <c r="U104">
        <f>VLOOKUP(T104,[1]tablescore!$B$3:$C$8, 2,FALSE)</f>
        <v>4</v>
      </c>
      <c r="V104" t="str">
        <f t="shared" si="3"/>
        <v>Low Loyalty</v>
      </c>
      <c r="W104" t="s">
        <v>60</v>
      </c>
    </row>
    <row r="105" spans="1:23" x14ac:dyDescent="0.25">
      <c r="A105">
        <v>104</v>
      </c>
      <c r="B105">
        <v>54</v>
      </c>
      <c r="C105" t="str" cm="1">
        <f t="array" ref="C105">_xlfn.IFS(
  AND(B105&gt;=18, B105&lt;=24), "18-24",
  AND(B105&gt;=25, B105&lt;=34), "25-34",
  AND(B105&gt;=35, B105&lt;=44), "35-44",
  AND(B105&gt;=45, B105&lt;=54), "45-54",
  B105&gt;=55, "55+"
)</f>
        <v>45-54</v>
      </c>
      <c r="D105" t="s">
        <v>19</v>
      </c>
      <c r="E105" t="s">
        <v>132</v>
      </c>
      <c r="F105" t="s">
        <v>43</v>
      </c>
      <c r="G105">
        <v>89</v>
      </c>
      <c r="H105" t="s">
        <v>66</v>
      </c>
      <c r="I105" t="s">
        <v>23</v>
      </c>
      <c r="J105" t="s">
        <v>108</v>
      </c>
      <c r="K105" t="s">
        <v>25</v>
      </c>
      <c r="L105">
        <v>4</v>
      </c>
      <c r="M105" t="s">
        <v>26</v>
      </c>
      <c r="N105" t="s">
        <v>59</v>
      </c>
      <c r="O105" t="s">
        <v>47</v>
      </c>
      <c r="P105" t="s">
        <v>26</v>
      </c>
      <c r="Q105" t="s">
        <v>26</v>
      </c>
      <c r="R105">
        <v>22</v>
      </c>
      <c r="S105" t="s">
        <v>29</v>
      </c>
      <c r="T105" t="str">
        <f t="shared" si="2"/>
        <v>2-week</v>
      </c>
      <c r="U105">
        <f>VLOOKUP(T105,[1]tablescore!$B$3:$C$8, 2,FALSE)</f>
        <v>26</v>
      </c>
      <c r="V105" t="str">
        <f t="shared" si="3"/>
        <v>Loyal</v>
      </c>
      <c r="W105" t="s">
        <v>77</v>
      </c>
    </row>
    <row r="106" spans="1:23" x14ac:dyDescent="0.25">
      <c r="A106">
        <v>105</v>
      </c>
      <c r="B106">
        <v>55</v>
      </c>
      <c r="C106" t="str" cm="1">
        <f t="array" ref="C106">_xlfn.IFS(
  AND(B106&gt;=18, B106&lt;=24), "18-24",
  AND(B106&gt;=25, B106&lt;=34), "25-34",
  AND(B106&gt;=35, B106&lt;=44), "35-44",
  AND(B106&gt;=45, B106&lt;=54), "45-54",
  B106&gt;=55, "55+"
)</f>
        <v>55+</v>
      </c>
      <c r="D106" t="s">
        <v>19</v>
      </c>
      <c r="E106" t="s">
        <v>89</v>
      </c>
      <c r="F106" t="s">
        <v>69</v>
      </c>
      <c r="G106">
        <v>24</v>
      </c>
      <c r="H106" t="s">
        <v>83</v>
      </c>
      <c r="I106" t="s">
        <v>23</v>
      </c>
      <c r="J106" t="s">
        <v>71</v>
      </c>
      <c r="K106" t="s">
        <v>39</v>
      </c>
      <c r="L106">
        <v>4.4000000000000004</v>
      </c>
      <c r="M106" t="s">
        <v>26</v>
      </c>
      <c r="N106" t="s">
        <v>34</v>
      </c>
      <c r="O106" t="s">
        <v>72</v>
      </c>
      <c r="P106" t="s">
        <v>26</v>
      </c>
      <c r="Q106" t="s">
        <v>26</v>
      </c>
      <c r="R106">
        <v>1</v>
      </c>
      <c r="S106" t="s">
        <v>46</v>
      </c>
      <c r="T106" t="str">
        <f t="shared" si="2"/>
        <v>Month</v>
      </c>
      <c r="U106">
        <f>VLOOKUP(T106,[1]tablescore!$B$3:$C$8, 2,FALSE)</f>
        <v>12</v>
      </c>
      <c r="V106" t="str">
        <f t="shared" si="3"/>
        <v>Moderate</v>
      </c>
      <c r="W106" t="s">
        <v>88</v>
      </c>
    </row>
    <row r="107" spans="1:23" x14ac:dyDescent="0.25">
      <c r="A107">
        <v>106</v>
      </c>
      <c r="B107">
        <v>69</v>
      </c>
      <c r="C107" t="str" cm="1">
        <f t="array" ref="C107">_xlfn.IFS(
  AND(B107&gt;=18, B107&lt;=24), "18-24",
  AND(B107&gt;=25, B107&lt;=34), "25-34",
  AND(B107&gt;=35, B107&lt;=44), "35-44",
  AND(B107&gt;=45, B107&lt;=54), "45-54",
  B107&gt;=55, "55+"
)</f>
        <v>55+</v>
      </c>
      <c r="D107" t="s">
        <v>19</v>
      </c>
      <c r="E107" t="s">
        <v>133</v>
      </c>
      <c r="F107" t="s">
        <v>69</v>
      </c>
      <c r="G107">
        <v>96</v>
      </c>
      <c r="H107" t="s">
        <v>85</v>
      </c>
      <c r="I107" t="s">
        <v>45</v>
      </c>
      <c r="J107" t="s">
        <v>63</v>
      </c>
      <c r="K107" t="s">
        <v>58</v>
      </c>
      <c r="L107">
        <v>3.6</v>
      </c>
      <c r="M107" t="s">
        <v>26</v>
      </c>
      <c r="N107" t="s">
        <v>34</v>
      </c>
      <c r="O107" t="s">
        <v>47</v>
      </c>
      <c r="P107" t="s">
        <v>26</v>
      </c>
      <c r="Q107" t="s">
        <v>26</v>
      </c>
      <c r="R107">
        <v>4</v>
      </c>
      <c r="S107" t="s">
        <v>34</v>
      </c>
      <c r="T107" t="str">
        <f t="shared" si="2"/>
        <v>Annually</v>
      </c>
      <c r="U107">
        <f>VLOOKUP(T107,[1]tablescore!$B$3:$C$8, 2,FALSE)</f>
        <v>1</v>
      </c>
      <c r="V107" t="str">
        <f t="shared" si="3"/>
        <v>Low Loyalty</v>
      </c>
      <c r="W107" t="s">
        <v>50</v>
      </c>
    </row>
    <row r="108" spans="1:23" x14ac:dyDescent="0.25">
      <c r="A108">
        <v>107</v>
      </c>
      <c r="B108">
        <v>64</v>
      </c>
      <c r="C108" t="str" cm="1">
        <f t="array" ref="C108">_xlfn.IFS(
  AND(B108&gt;=18, B108&lt;=24), "18-24",
  AND(B108&gt;=25, B108&lt;=34), "25-34",
  AND(B108&gt;=35, B108&lt;=44), "35-44",
  AND(B108&gt;=45, B108&lt;=54), "45-54",
  B108&gt;=55, "55+"
)</f>
        <v>55+</v>
      </c>
      <c r="D108" t="s">
        <v>19</v>
      </c>
      <c r="E108" t="s">
        <v>102</v>
      </c>
      <c r="F108" t="s">
        <v>65</v>
      </c>
      <c r="G108">
        <v>35</v>
      </c>
      <c r="H108" t="s">
        <v>134</v>
      </c>
      <c r="I108" t="s">
        <v>23</v>
      </c>
      <c r="J108" t="s">
        <v>53</v>
      </c>
      <c r="K108" t="s">
        <v>54</v>
      </c>
      <c r="L108">
        <v>3.7</v>
      </c>
      <c r="M108" t="s">
        <v>26</v>
      </c>
      <c r="N108" t="s">
        <v>35</v>
      </c>
      <c r="O108" t="s">
        <v>55</v>
      </c>
      <c r="P108" t="s">
        <v>26</v>
      </c>
      <c r="Q108" t="s">
        <v>26</v>
      </c>
      <c r="R108">
        <v>31</v>
      </c>
      <c r="S108" t="s">
        <v>27</v>
      </c>
      <c r="T108" t="str">
        <f t="shared" si="2"/>
        <v>Month</v>
      </c>
      <c r="U108">
        <f>VLOOKUP(T108,[1]tablescore!$B$3:$C$8, 2,FALSE)</f>
        <v>12</v>
      </c>
      <c r="V108" t="str">
        <f t="shared" si="3"/>
        <v>Moderate</v>
      </c>
      <c r="W108" t="s">
        <v>88</v>
      </c>
    </row>
    <row r="109" spans="1:23" x14ac:dyDescent="0.25">
      <c r="A109">
        <v>108</v>
      </c>
      <c r="B109">
        <v>28</v>
      </c>
      <c r="C109" t="str" cm="1">
        <f t="array" ref="C109">_xlfn.IFS(
  AND(B109&gt;=18, B109&lt;=24), "18-24",
  AND(B109&gt;=25, B109&lt;=34), "25-34",
  AND(B109&gt;=35, B109&lt;=44), "35-44",
  AND(B109&gt;=45, B109&lt;=54), "45-54",
  B109&gt;=55, "55+"
)</f>
        <v>25-34</v>
      </c>
      <c r="D109" t="s">
        <v>19</v>
      </c>
      <c r="E109" t="s">
        <v>51</v>
      </c>
      <c r="F109" t="s">
        <v>43</v>
      </c>
      <c r="G109">
        <v>67</v>
      </c>
      <c r="H109" t="s">
        <v>135</v>
      </c>
      <c r="I109" t="s">
        <v>23</v>
      </c>
      <c r="J109" t="s">
        <v>79</v>
      </c>
      <c r="K109" t="s">
        <v>25</v>
      </c>
      <c r="L109">
        <v>3.1</v>
      </c>
      <c r="M109" t="s">
        <v>26</v>
      </c>
      <c r="N109" t="s">
        <v>35</v>
      </c>
      <c r="O109" t="s">
        <v>47</v>
      </c>
      <c r="P109" t="s">
        <v>26</v>
      </c>
      <c r="Q109" t="s">
        <v>26</v>
      </c>
      <c r="R109">
        <v>46</v>
      </c>
      <c r="S109" t="s">
        <v>46</v>
      </c>
      <c r="T109" t="str">
        <f t="shared" si="2"/>
        <v>2-week</v>
      </c>
      <c r="U109">
        <f>VLOOKUP(T109,[1]tablescore!$B$3:$C$8, 2,FALSE)</f>
        <v>26</v>
      </c>
      <c r="V109" t="str">
        <f t="shared" si="3"/>
        <v>Loyal</v>
      </c>
      <c r="W109" t="s">
        <v>30</v>
      </c>
    </row>
    <row r="110" spans="1:23" x14ac:dyDescent="0.25">
      <c r="A110">
        <v>109</v>
      </c>
      <c r="B110">
        <v>70</v>
      </c>
      <c r="C110" t="str" cm="1">
        <f t="array" ref="C110">_xlfn.IFS(
  AND(B110&gt;=18, B110&lt;=24), "18-24",
  AND(B110&gt;=25, B110&lt;=34), "25-34",
  AND(B110&gt;=35, B110&lt;=44), "35-44",
  AND(B110&gt;=45, B110&lt;=54), "45-54",
  B110&gt;=55, "55+"
)</f>
        <v>55+</v>
      </c>
      <c r="D110" t="s">
        <v>19</v>
      </c>
      <c r="E110" t="s">
        <v>131</v>
      </c>
      <c r="F110" t="s">
        <v>21</v>
      </c>
      <c r="G110">
        <v>79</v>
      </c>
      <c r="H110" t="s">
        <v>57</v>
      </c>
      <c r="I110" t="s">
        <v>23</v>
      </c>
      <c r="J110" t="s">
        <v>75</v>
      </c>
      <c r="K110" t="s">
        <v>39</v>
      </c>
      <c r="L110">
        <v>3.4</v>
      </c>
      <c r="M110" t="s">
        <v>26</v>
      </c>
      <c r="N110" t="s">
        <v>34</v>
      </c>
      <c r="O110" t="s">
        <v>47</v>
      </c>
      <c r="P110" t="s">
        <v>26</v>
      </c>
      <c r="Q110" t="s">
        <v>26</v>
      </c>
      <c r="R110">
        <v>32</v>
      </c>
      <c r="S110" t="s">
        <v>34</v>
      </c>
      <c r="T110" t="str">
        <f t="shared" si="2"/>
        <v>2-week</v>
      </c>
      <c r="U110">
        <f>VLOOKUP(T110,[1]tablescore!$B$3:$C$8, 2,FALSE)</f>
        <v>26</v>
      </c>
      <c r="V110" t="str">
        <f t="shared" si="3"/>
        <v>Loyal</v>
      </c>
      <c r="W110" t="s">
        <v>77</v>
      </c>
    </row>
    <row r="111" spans="1:23" x14ac:dyDescent="0.25">
      <c r="A111">
        <v>110</v>
      </c>
      <c r="B111">
        <v>58</v>
      </c>
      <c r="C111" t="str" cm="1">
        <f t="array" ref="C111">_xlfn.IFS(
  AND(B111&gt;=18, B111&lt;=24), "18-24",
  AND(B111&gt;=25, B111&lt;=34), "25-34",
  AND(B111&gt;=35, B111&lt;=44), "35-44",
  AND(B111&gt;=45, B111&lt;=54), "45-54",
  B111&gt;=55, "55+"
)</f>
        <v>55+</v>
      </c>
      <c r="D111" t="s">
        <v>19</v>
      </c>
      <c r="E111" t="s">
        <v>113</v>
      </c>
      <c r="F111" t="s">
        <v>21</v>
      </c>
      <c r="G111">
        <v>85</v>
      </c>
      <c r="H111" t="s">
        <v>90</v>
      </c>
      <c r="I111" t="s">
        <v>45</v>
      </c>
      <c r="J111" t="s">
        <v>84</v>
      </c>
      <c r="K111" t="s">
        <v>39</v>
      </c>
      <c r="L111">
        <v>2.6</v>
      </c>
      <c r="M111" t="s">
        <v>26</v>
      </c>
      <c r="N111" t="s">
        <v>35</v>
      </c>
      <c r="O111" t="s">
        <v>47</v>
      </c>
      <c r="P111" t="s">
        <v>26</v>
      </c>
      <c r="Q111" t="s">
        <v>26</v>
      </c>
      <c r="R111">
        <v>43</v>
      </c>
      <c r="S111" t="s">
        <v>34</v>
      </c>
      <c r="T111" t="str">
        <f t="shared" si="2"/>
        <v>2-week</v>
      </c>
      <c r="U111">
        <f>VLOOKUP(T111,[1]tablescore!$B$3:$C$8, 2,FALSE)</f>
        <v>26</v>
      </c>
      <c r="V111" t="str">
        <f t="shared" si="3"/>
        <v>Loyal</v>
      </c>
      <c r="W111" t="s">
        <v>30</v>
      </c>
    </row>
    <row r="112" spans="1:23" x14ac:dyDescent="0.25">
      <c r="A112">
        <v>111</v>
      </c>
      <c r="B112">
        <v>56</v>
      </c>
      <c r="C112" t="str" cm="1">
        <f t="array" ref="C112">_xlfn.IFS(
  AND(B112&gt;=18, B112&lt;=24), "18-24",
  AND(B112&gt;=25, B112&lt;=34), "25-34",
  AND(B112&gt;=35, B112&lt;=44), "35-44",
  AND(B112&gt;=45, B112&lt;=54), "45-54",
  B112&gt;=55, "55+"
)</f>
        <v>55+</v>
      </c>
      <c r="D112" t="s">
        <v>19</v>
      </c>
      <c r="E112" t="s">
        <v>133</v>
      </c>
      <c r="F112" t="s">
        <v>69</v>
      </c>
      <c r="G112">
        <v>26</v>
      </c>
      <c r="H112" t="s">
        <v>85</v>
      </c>
      <c r="I112" t="s">
        <v>45</v>
      </c>
      <c r="J112" t="s">
        <v>94</v>
      </c>
      <c r="K112" t="s">
        <v>54</v>
      </c>
      <c r="L112">
        <v>4</v>
      </c>
      <c r="M112" t="s">
        <v>26</v>
      </c>
      <c r="N112" t="s">
        <v>34</v>
      </c>
      <c r="O112" t="s">
        <v>55</v>
      </c>
      <c r="P112" t="s">
        <v>26</v>
      </c>
      <c r="Q112" t="s">
        <v>26</v>
      </c>
      <c r="R112">
        <v>26</v>
      </c>
      <c r="S112" t="s">
        <v>29</v>
      </c>
      <c r="T112" t="str">
        <f t="shared" si="2"/>
        <v>2-week</v>
      </c>
      <c r="U112">
        <f>VLOOKUP(T112,[1]tablescore!$B$3:$C$8, 2,FALSE)</f>
        <v>26</v>
      </c>
      <c r="V112" t="str">
        <f t="shared" si="3"/>
        <v>Loyal</v>
      </c>
      <c r="W112" t="s">
        <v>30</v>
      </c>
    </row>
    <row r="113" spans="1:23" x14ac:dyDescent="0.25">
      <c r="A113">
        <v>112</v>
      </c>
      <c r="B113">
        <v>26</v>
      </c>
      <c r="C113" t="str" cm="1">
        <f t="array" ref="C113">_xlfn.IFS(
  AND(B113&gt;=18, B113&lt;=24), "18-24",
  AND(B113&gt;=25, B113&lt;=34), "25-34",
  AND(B113&gt;=35, B113&lt;=44), "35-44",
  AND(B113&gt;=45, B113&lt;=54), "45-54",
  B113&gt;=55, "55+"
)</f>
        <v>25-34</v>
      </c>
      <c r="D113" t="s">
        <v>19</v>
      </c>
      <c r="E113" t="s">
        <v>136</v>
      </c>
      <c r="F113" t="s">
        <v>69</v>
      </c>
      <c r="G113">
        <v>75</v>
      </c>
      <c r="H113" t="s">
        <v>37</v>
      </c>
      <c r="I113" t="s">
        <v>23</v>
      </c>
      <c r="J113" t="s">
        <v>75</v>
      </c>
      <c r="K113" t="s">
        <v>54</v>
      </c>
      <c r="L113">
        <v>5</v>
      </c>
      <c r="M113" t="s">
        <v>26</v>
      </c>
      <c r="N113" t="s">
        <v>46</v>
      </c>
      <c r="O113" t="s">
        <v>40</v>
      </c>
      <c r="P113" t="s">
        <v>26</v>
      </c>
      <c r="Q113" t="s">
        <v>26</v>
      </c>
      <c r="R113">
        <v>9</v>
      </c>
      <c r="S113" t="s">
        <v>27</v>
      </c>
      <c r="T113" t="str">
        <f t="shared" si="2"/>
        <v>Annually</v>
      </c>
      <c r="U113">
        <f>VLOOKUP(T113,[1]tablescore!$B$3:$C$8, 2,FALSE)</f>
        <v>1</v>
      </c>
      <c r="V113" t="str">
        <f t="shared" si="3"/>
        <v>Low Loyalty</v>
      </c>
      <c r="W113" t="s">
        <v>50</v>
      </c>
    </row>
    <row r="114" spans="1:23" x14ac:dyDescent="0.25">
      <c r="A114">
        <v>113</v>
      </c>
      <c r="B114">
        <v>37</v>
      </c>
      <c r="C114" t="str" cm="1">
        <f t="array" ref="C114">_xlfn.IFS(
  AND(B114&gt;=18, B114&lt;=24), "18-24",
  AND(B114&gt;=25, B114&lt;=34), "25-34",
  AND(B114&gt;=35, B114&lt;=44), "35-44",
  AND(B114&gt;=45, B114&lt;=54), "45-54",
  B114&gt;=55, "55+"
)</f>
        <v>35-44</v>
      </c>
      <c r="D114" t="s">
        <v>19</v>
      </c>
      <c r="E114" t="s">
        <v>127</v>
      </c>
      <c r="F114" t="s">
        <v>69</v>
      </c>
      <c r="G114">
        <v>65</v>
      </c>
      <c r="H114" t="s">
        <v>103</v>
      </c>
      <c r="I114" t="s">
        <v>45</v>
      </c>
      <c r="J114" t="s">
        <v>108</v>
      </c>
      <c r="K114" t="s">
        <v>39</v>
      </c>
      <c r="L114">
        <v>4.3</v>
      </c>
      <c r="M114" t="s">
        <v>26</v>
      </c>
      <c r="N114" t="s">
        <v>27</v>
      </c>
      <c r="O114" t="s">
        <v>40</v>
      </c>
      <c r="P114" t="s">
        <v>26</v>
      </c>
      <c r="Q114" t="s">
        <v>26</v>
      </c>
      <c r="R114">
        <v>28</v>
      </c>
      <c r="S114" t="s">
        <v>46</v>
      </c>
      <c r="T114" t="str">
        <f t="shared" si="2"/>
        <v>2-week</v>
      </c>
      <c r="U114">
        <f>VLOOKUP(T114,[1]tablescore!$B$3:$C$8, 2,FALSE)</f>
        <v>26</v>
      </c>
      <c r="V114" t="str">
        <f t="shared" si="3"/>
        <v>Loyal</v>
      </c>
      <c r="W114" t="s">
        <v>77</v>
      </c>
    </row>
    <row r="115" spans="1:23" x14ac:dyDescent="0.25">
      <c r="A115">
        <v>114</v>
      </c>
      <c r="B115">
        <v>44</v>
      </c>
      <c r="C115" t="str" cm="1">
        <f t="array" ref="C115">_xlfn.IFS(
  AND(B115&gt;=18, B115&lt;=24), "18-24",
  AND(B115&gt;=25, B115&lt;=34), "25-34",
  AND(B115&gt;=35, B115&lt;=44), "35-44",
  AND(B115&gt;=45, B115&lt;=54), "45-54",
  B115&gt;=55, "55+"
)</f>
        <v>35-44</v>
      </c>
      <c r="D115" t="s">
        <v>19</v>
      </c>
      <c r="E115" t="s">
        <v>125</v>
      </c>
      <c r="F115" t="s">
        <v>69</v>
      </c>
      <c r="G115">
        <v>54</v>
      </c>
      <c r="H115" t="s">
        <v>137</v>
      </c>
      <c r="I115" t="s">
        <v>23</v>
      </c>
      <c r="J115" t="s">
        <v>33</v>
      </c>
      <c r="K115" t="s">
        <v>25</v>
      </c>
      <c r="L115">
        <v>3.1</v>
      </c>
      <c r="M115" t="s">
        <v>26</v>
      </c>
      <c r="N115" t="s">
        <v>59</v>
      </c>
      <c r="O115" t="s">
        <v>47</v>
      </c>
      <c r="P115" t="s">
        <v>26</v>
      </c>
      <c r="Q115" t="s">
        <v>26</v>
      </c>
      <c r="R115">
        <v>20</v>
      </c>
      <c r="S115" t="s">
        <v>46</v>
      </c>
      <c r="T115" t="str">
        <f t="shared" si="2"/>
        <v>Quarterly</v>
      </c>
      <c r="U115">
        <f>VLOOKUP(T115,[1]tablescore!$B$3:$C$8, 2,FALSE)</f>
        <v>4</v>
      </c>
      <c r="V115" t="str">
        <f t="shared" si="3"/>
        <v>Low Loyalty</v>
      </c>
      <c r="W115" t="s">
        <v>60</v>
      </c>
    </row>
    <row r="116" spans="1:23" x14ac:dyDescent="0.25">
      <c r="A116">
        <v>115</v>
      </c>
      <c r="B116">
        <v>70</v>
      </c>
      <c r="C116" t="str" cm="1">
        <f t="array" ref="C116">_xlfn.IFS(
  AND(B116&gt;=18, B116&lt;=24), "18-24",
  AND(B116&gt;=25, B116&lt;=34), "25-34",
  AND(B116&gt;=35, B116&lt;=44), "35-44",
  AND(B116&gt;=45, B116&lt;=54), "45-54",
  B116&gt;=55, "55+"
)</f>
        <v>55+</v>
      </c>
      <c r="D116" t="s">
        <v>19</v>
      </c>
      <c r="E116" t="s">
        <v>64</v>
      </c>
      <c r="F116" t="s">
        <v>65</v>
      </c>
      <c r="G116">
        <v>95</v>
      </c>
      <c r="H116" t="s">
        <v>37</v>
      </c>
      <c r="I116" t="s">
        <v>38</v>
      </c>
      <c r="J116" t="s">
        <v>138</v>
      </c>
      <c r="K116" t="s">
        <v>54</v>
      </c>
      <c r="L116">
        <v>3.7</v>
      </c>
      <c r="M116" t="s">
        <v>26</v>
      </c>
      <c r="N116" t="s">
        <v>29</v>
      </c>
      <c r="O116" t="s">
        <v>76</v>
      </c>
      <c r="P116" t="s">
        <v>26</v>
      </c>
      <c r="Q116" t="s">
        <v>26</v>
      </c>
      <c r="R116">
        <v>9</v>
      </c>
      <c r="S116" t="s">
        <v>35</v>
      </c>
      <c r="T116" t="str">
        <f t="shared" si="2"/>
        <v>Daily</v>
      </c>
      <c r="U116">
        <f>VLOOKUP(T116,[1]tablescore!$B$3:$C$8, 2,FALSE)</f>
        <v>30</v>
      </c>
      <c r="V116" t="str">
        <f t="shared" si="3"/>
        <v>Highly Loyal</v>
      </c>
      <c r="W116" t="s">
        <v>41</v>
      </c>
    </row>
    <row r="117" spans="1:23" x14ac:dyDescent="0.25">
      <c r="A117">
        <v>116</v>
      </c>
      <c r="B117">
        <v>53</v>
      </c>
      <c r="C117" t="str" cm="1">
        <f t="array" ref="C117">_xlfn.IFS(
  AND(B117&gt;=18, B117&lt;=24), "18-24",
  AND(B117&gt;=25, B117&lt;=34), "25-34",
  AND(B117&gt;=35, B117&lt;=44), "35-44",
  AND(B117&gt;=45, B117&lt;=54), "45-54",
  B117&gt;=55, "55+"
)</f>
        <v>45-54</v>
      </c>
      <c r="D117" t="s">
        <v>19</v>
      </c>
      <c r="E117" t="s">
        <v>87</v>
      </c>
      <c r="F117" t="s">
        <v>21</v>
      </c>
      <c r="G117">
        <v>94</v>
      </c>
      <c r="H117" t="s">
        <v>52</v>
      </c>
      <c r="I117" t="s">
        <v>45</v>
      </c>
      <c r="J117" t="s">
        <v>24</v>
      </c>
      <c r="K117" t="s">
        <v>39</v>
      </c>
      <c r="L117">
        <v>3.8</v>
      </c>
      <c r="M117" t="s">
        <v>26</v>
      </c>
      <c r="N117" t="s">
        <v>35</v>
      </c>
      <c r="O117" t="s">
        <v>55</v>
      </c>
      <c r="P117" t="s">
        <v>26</v>
      </c>
      <c r="Q117" t="s">
        <v>26</v>
      </c>
      <c r="R117">
        <v>48</v>
      </c>
      <c r="S117" t="s">
        <v>59</v>
      </c>
      <c r="T117" t="str">
        <f t="shared" si="2"/>
        <v>Quarterly</v>
      </c>
      <c r="U117">
        <f>VLOOKUP(T117,[1]tablescore!$B$3:$C$8, 2,FALSE)</f>
        <v>4</v>
      </c>
      <c r="V117" t="str">
        <f t="shared" si="3"/>
        <v>Low Loyalty</v>
      </c>
      <c r="W117" t="s">
        <v>97</v>
      </c>
    </row>
    <row r="118" spans="1:23" x14ac:dyDescent="0.25">
      <c r="A118">
        <v>117</v>
      </c>
      <c r="B118">
        <v>55</v>
      </c>
      <c r="C118" t="str" cm="1">
        <f t="array" ref="C118">_xlfn.IFS(
  AND(B118&gt;=18, B118&lt;=24), "18-24",
  AND(B118&gt;=25, B118&lt;=34), "25-34",
  AND(B118&gt;=35, B118&lt;=44), "35-44",
  AND(B118&gt;=45, B118&lt;=54), "45-54",
  B118&gt;=55, "55+"
)</f>
        <v>55+</v>
      </c>
      <c r="D118" t="s">
        <v>19</v>
      </c>
      <c r="E118" t="s">
        <v>73</v>
      </c>
      <c r="F118" t="s">
        <v>43</v>
      </c>
      <c r="G118">
        <v>86</v>
      </c>
      <c r="H118" t="s">
        <v>128</v>
      </c>
      <c r="I118" t="s">
        <v>38</v>
      </c>
      <c r="J118" t="s">
        <v>138</v>
      </c>
      <c r="K118" t="s">
        <v>39</v>
      </c>
      <c r="L118">
        <v>3.4</v>
      </c>
      <c r="M118" t="s">
        <v>26</v>
      </c>
      <c r="N118" t="s">
        <v>46</v>
      </c>
      <c r="O118" t="s">
        <v>40</v>
      </c>
      <c r="P118" t="s">
        <v>26</v>
      </c>
      <c r="Q118" t="s">
        <v>26</v>
      </c>
      <c r="R118">
        <v>12</v>
      </c>
      <c r="S118" t="s">
        <v>29</v>
      </c>
      <c r="T118" t="str">
        <f t="shared" si="2"/>
        <v>Annually</v>
      </c>
      <c r="U118">
        <f>VLOOKUP(T118,[1]tablescore!$B$3:$C$8, 2,FALSE)</f>
        <v>1</v>
      </c>
      <c r="V118" t="str">
        <f t="shared" si="3"/>
        <v>Low Loyalty</v>
      </c>
      <c r="W118" t="s">
        <v>50</v>
      </c>
    </row>
    <row r="119" spans="1:23" x14ac:dyDescent="0.25">
      <c r="A119">
        <v>118</v>
      </c>
      <c r="B119">
        <v>50</v>
      </c>
      <c r="C119" t="str" cm="1">
        <f t="array" ref="C119">_xlfn.IFS(
  AND(B119&gt;=18, B119&lt;=24), "18-24",
  AND(B119&gt;=25, B119&lt;=34), "25-34",
  AND(B119&gt;=35, B119&lt;=44), "35-44",
  AND(B119&gt;=45, B119&lt;=54), "45-54",
  B119&gt;=55, "55+"
)</f>
        <v>45-54</v>
      </c>
      <c r="D119" t="s">
        <v>19</v>
      </c>
      <c r="E119" t="s">
        <v>42</v>
      </c>
      <c r="F119" t="s">
        <v>43</v>
      </c>
      <c r="G119">
        <v>32</v>
      </c>
      <c r="H119" t="s">
        <v>130</v>
      </c>
      <c r="I119" t="s">
        <v>23</v>
      </c>
      <c r="J119" t="s">
        <v>139</v>
      </c>
      <c r="K119" t="s">
        <v>54</v>
      </c>
      <c r="L119">
        <v>4.5999999999999996</v>
      </c>
      <c r="M119" t="s">
        <v>26</v>
      </c>
      <c r="N119" t="s">
        <v>34</v>
      </c>
      <c r="O119" t="s">
        <v>28</v>
      </c>
      <c r="P119" t="s">
        <v>26</v>
      </c>
      <c r="Q119" t="s">
        <v>26</v>
      </c>
      <c r="R119">
        <v>29</v>
      </c>
      <c r="S119" t="s">
        <v>35</v>
      </c>
      <c r="T119" t="str">
        <f t="shared" si="2"/>
        <v>2-week</v>
      </c>
      <c r="U119">
        <f>VLOOKUP(T119,[1]tablescore!$B$3:$C$8, 2,FALSE)</f>
        <v>26</v>
      </c>
      <c r="V119" t="str">
        <f t="shared" si="3"/>
        <v>Loyal</v>
      </c>
      <c r="W119" t="s">
        <v>30</v>
      </c>
    </row>
    <row r="120" spans="1:23" x14ac:dyDescent="0.25">
      <c r="A120">
        <v>119</v>
      </c>
      <c r="B120">
        <v>50</v>
      </c>
      <c r="C120" t="str" cm="1">
        <f t="array" ref="C120">_xlfn.IFS(
  AND(B120&gt;=18, B120&lt;=24), "18-24",
  AND(B120&gt;=25, B120&lt;=34), "25-34",
  AND(B120&gt;=35, B120&lt;=44), "35-44",
  AND(B120&gt;=45, B120&lt;=54), "45-54",
  B120&gt;=55, "55+"
)</f>
        <v>45-54</v>
      </c>
      <c r="D120" t="s">
        <v>19</v>
      </c>
      <c r="E120" t="s">
        <v>31</v>
      </c>
      <c r="F120" t="s">
        <v>21</v>
      </c>
      <c r="G120">
        <v>45</v>
      </c>
      <c r="H120" t="s">
        <v>22</v>
      </c>
      <c r="I120" t="s">
        <v>23</v>
      </c>
      <c r="J120" t="s">
        <v>121</v>
      </c>
      <c r="K120" t="s">
        <v>58</v>
      </c>
      <c r="L120">
        <v>4.8</v>
      </c>
      <c r="M120" t="s">
        <v>26</v>
      </c>
      <c r="N120" t="s">
        <v>34</v>
      </c>
      <c r="O120" t="s">
        <v>72</v>
      </c>
      <c r="P120" t="s">
        <v>26</v>
      </c>
      <c r="Q120" t="s">
        <v>26</v>
      </c>
      <c r="R120">
        <v>27</v>
      </c>
      <c r="S120" t="s">
        <v>35</v>
      </c>
      <c r="T120" t="str">
        <f t="shared" si="2"/>
        <v>2-week</v>
      </c>
      <c r="U120">
        <f>VLOOKUP(T120,[1]tablescore!$B$3:$C$8, 2,FALSE)</f>
        <v>26</v>
      </c>
      <c r="V120" t="str">
        <f t="shared" si="3"/>
        <v>Loyal</v>
      </c>
      <c r="W120" t="s">
        <v>77</v>
      </c>
    </row>
    <row r="121" spans="1:23" x14ac:dyDescent="0.25">
      <c r="A121">
        <v>120</v>
      </c>
      <c r="B121">
        <v>38</v>
      </c>
      <c r="C121" t="str" cm="1">
        <f t="array" ref="C121">_xlfn.IFS(
  AND(B121&gt;=18, B121&lt;=24), "18-24",
  AND(B121&gt;=25, B121&lt;=34), "25-34",
  AND(B121&gt;=35, B121&lt;=44), "35-44",
  AND(B121&gt;=45, B121&lt;=54), "45-54",
  B121&gt;=55, "55+"
)</f>
        <v>35-44</v>
      </c>
      <c r="D121" t="s">
        <v>19</v>
      </c>
      <c r="E121" t="s">
        <v>64</v>
      </c>
      <c r="F121" t="s">
        <v>65</v>
      </c>
      <c r="G121">
        <v>76</v>
      </c>
      <c r="H121" t="s">
        <v>52</v>
      </c>
      <c r="I121" t="s">
        <v>45</v>
      </c>
      <c r="J121" t="s">
        <v>121</v>
      </c>
      <c r="K121" t="s">
        <v>58</v>
      </c>
      <c r="L121">
        <v>4.3</v>
      </c>
      <c r="M121" t="s">
        <v>26</v>
      </c>
      <c r="N121" t="s">
        <v>59</v>
      </c>
      <c r="O121" t="s">
        <v>28</v>
      </c>
      <c r="P121" t="s">
        <v>26</v>
      </c>
      <c r="Q121" t="s">
        <v>26</v>
      </c>
      <c r="R121">
        <v>44</v>
      </c>
      <c r="S121" t="s">
        <v>35</v>
      </c>
      <c r="T121" t="str">
        <f t="shared" si="2"/>
        <v>Annually</v>
      </c>
      <c r="U121">
        <f>VLOOKUP(T121,[1]tablescore!$B$3:$C$8, 2,FALSE)</f>
        <v>1</v>
      </c>
      <c r="V121" t="str">
        <f t="shared" si="3"/>
        <v>Low Loyalty</v>
      </c>
      <c r="W121" t="s">
        <v>50</v>
      </c>
    </row>
    <row r="122" spans="1:23" x14ac:dyDescent="0.25">
      <c r="A122">
        <v>121</v>
      </c>
      <c r="B122">
        <v>64</v>
      </c>
      <c r="C122" t="str" cm="1">
        <f t="array" ref="C122">_xlfn.IFS(
  AND(B122&gt;=18, B122&lt;=24), "18-24",
  AND(B122&gt;=25, B122&lt;=34), "25-34",
  AND(B122&gt;=35, B122&lt;=44), "35-44",
  AND(B122&gt;=45, B122&lt;=54), "45-54",
  B122&gt;=55, "55+"
)</f>
        <v>55+</v>
      </c>
      <c r="D122" t="s">
        <v>19</v>
      </c>
      <c r="E122" t="s">
        <v>125</v>
      </c>
      <c r="F122" t="s">
        <v>69</v>
      </c>
      <c r="G122">
        <v>84</v>
      </c>
      <c r="H122" t="s">
        <v>66</v>
      </c>
      <c r="I122" t="s">
        <v>23</v>
      </c>
      <c r="J122" t="s">
        <v>108</v>
      </c>
      <c r="K122" t="s">
        <v>54</v>
      </c>
      <c r="L122">
        <v>4</v>
      </c>
      <c r="M122" t="s">
        <v>26</v>
      </c>
      <c r="N122" t="s">
        <v>46</v>
      </c>
      <c r="O122" t="s">
        <v>28</v>
      </c>
      <c r="P122" t="s">
        <v>26</v>
      </c>
      <c r="Q122" t="s">
        <v>26</v>
      </c>
      <c r="R122">
        <v>32</v>
      </c>
      <c r="S122" t="s">
        <v>34</v>
      </c>
      <c r="T122" t="str">
        <f t="shared" si="2"/>
        <v>Annually</v>
      </c>
      <c r="U122">
        <f>VLOOKUP(T122,[1]tablescore!$B$3:$C$8, 2,FALSE)</f>
        <v>1</v>
      </c>
      <c r="V122" t="str">
        <f t="shared" si="3"/>
        <v>Low Loyalty</v>
      </c>
      <c r="W122" t="s">
        <v>50</v>
      </c>
    </row>
    <row r="123" spans="1:23" x14ac:dyDescent="0.25">
      <c r="A123">
        <v>122</v>
      </c>
      <c r="B123">
        <v>19</v>
      </c>
      <c r="C123" t="str" cm="1">
        <f t="array" ref="C123">_xlfn.IFS(
  AND(B123&gt;=18, B123&lt;=24), "18-24",
  AND(B123&gt;=25, B123&lt;=34), "25-34",
  AND(B123&gt;=35, B123&lt;=44), "35-44",
  AND(B123&gt;=45, B123&lt;=54), "45-54",
  B123&gt;=55, "55+"
)</f>
        <v>18-24</v>
      </c>
      <c r="D123" t="s">
        <v>19</v>
      </c>
      <c r="E123" t="s">
        <v>61</v>
      </c>
      <c r="F123" t="s">
        <v>21</v>
      </c>
      <c r="G123">
        <v>72</v>
      </c>
      <c r="H123" t="s">
        <v>128</v>
      </c>
      <c r="I123" t="s">
        <v>45</v>
      </c>
      <c r="J123" t="s">
        <v>79</v>
      </c>
      <c r="K123" t="s">
        <v>25</v>
      </c>
      <c r="L123">
        <v>4.2</v>
      </c>
      <c r="M123" t="s">
        <v>26</v>
      </c>
      <c r="N123" t="s">
        <v>35</v>
      </c>
      <c r="O123" t="s">
        <v>55</v>
      </c>
      <c r="P123" t="s">
        <v>26</v>
      </c>
      <c r="Q123" t="s">
        <v>26</v>
      </c>
      <c r="R123">
        <v>11</v>
      </c>
      <c r="S123" t="s">
        <v>35</v>
      </c>
      <c r="T123" t="str">
        <f t="shared" si="2"/>
        <v>2-week</v>
      </c>
      <c r="U123">
        <f>VLOOKUP(T123,[1]tablescore!$B$3:$C$8, 2,FALSE)</f>
        <v>26</v>
      </c>
      <c r="V123" t="str">
        <f t="shared" si="3"/>
        <v>Loyal</v>
      </c>
      <c r="W123" t="s">
        <v>30</v>
      </c>
    </row>
    <row r="124" spans="1:23" x14ac:dyDescent="0.25">
      <c r="A124">
        <v>123</v>
      </c>
      <c r="B124">
        <v>40</v>
      </c>
      <c r="C124" t="str" cm="1">
        <f t="array" ref="C124">_xlfn.IFS(
  AND(B124&gt;=18, B124&lt;=24), "18-24",
  AND(B124&gt;=25, B124&lt;=34), "25-34",
  AND(B124&gt;=35, B124&lt;=44), "35-44",
  AND(B124&gt;=45, B124&lt;=54), "45-54",
  B124&gt;=55, "55+"
)</f>
        <v>35-44</v>
      </c>
      <c r="D124" t="s">
        <v>19</v>
      </c>
      <c r="E124" t="s">
        <v>133</v>
      </c>
      <c r="F124" t="s">
        <v>69</v>
      </c>
      <c r="G124">
        <v>40</v>
      </c>
      <c r="H124" t="s">
        <v>140</v>
      </c>
      <c r="I124" t="s">
        <v>23</v>
      </c>
      <c r="J124" t="s">
        <v>110</v>
      </c>
      <c r="K124" t="s">
        <v>39</v>
      </c>
      <c r="L124">
        <v>4.8</v>
      </c>
      <c r="M124" t="s">
        <v>26</v>
      </c>
      <c r="N124" t="s">
        <v>27</v>
      </c>
      <c r="O124" t="s">
        <v>72</v>
      </c>
      <c r="P124" t="s">
        <v>26</v>
      </c>
      <c r="Q124" t="s">
        <v>26</v>
      </c>
      <c r="R124">
        <v>44</v>
      </c>
      <c r="S124" t="s">
        <v>35</v>
      </c>
      <c r="T124" t="str">
        <f t="shared" si="2"/>
        <v>2-week</v>
      </c>
      <c r="U124">
        <f>VLOOKUP(T124,[1]tablescore!$B$3:$C$8, 2,FALSE)</f>
        <v>26</v>
      </c>
      <c r="V124" t="str">
        <f t="shared" si="3"/>
        <v>Loyal</v>
      </c>
      <c r="W124" t="s">
        <v>30</v>
      </c>
    </row>
    <row r="125" spans="1:23" x14ac:dyDescent="0.25">
      <c r="A125">
        <v>124</v>
      </c>
      <c r="B125">
        <v>57</v>
      </c>
      <c r="C125" t="str" cm="1">
        <f t="array" ref="C125">_xlfn.IFS(
  AND(B125&gt;=18, B125&lt;=24), "18-24",
  AND(B125&gt;=25, B125&lt;=34), "25-34",
  AND(B125&gt;=35, B125&lt;=44), "35-44",
  AND(B125&gt;=45, B125&lt;=54), "45-54",
  B125&gt;=55, "55+"
)</f>
        <v>55+</v>
      </c>
      <c r="D125" t="s">
        <v>19</v>
      </c>
      <c r="E125" t="s">
        <v>31</v>
      </c>
      <c r="F125" t="s">
        <v>21</v>
      </c>
      <c r="G125">
        <v>89</v>
      </c>
      <c r="H125" t="s">
        <v>62</v>
      </c>
      <c r="I125" t="s">
        <v>23</v>
      </c>
      <c r="J125" t="s">
        <v>110</v>
      </c>
      <c r="K125" t="s">
        <v>58</v>
      </c>
      <c r="L125">
        <v>3.1</v>
      </c>
      <c r="M125" t="s">
        <v>26</v>
      </c>
      <c r="N125" t="s">
        <v>59</v>
      </c>
      <c r="O125" t="s">
        <v>40</v>
      </c>
      <c r="P125" t="s">
        <v>26</v>
      </c>
      <c r="Q125" t="s">
        <v>26</v>
      </c>
      <c r="R125">
        <v>46</v>
      </c>
      <c r="S125" t="s">
        <v>35</v>
      </c>
      <c r="T125" t="str">
        <f t="shared" si="2"/>
        <v>Daily</v>
      </c>
      <c r="U125">
        <f>VLOOKUP(T125,[1]tablescore!$B$3:$C$8, 2,FALSE)</f>
        <v>30</v>
      </c>
      <c r="V125" t="str">
        <f t="shared" si="3"/>
        <v>Highly Loyal</v>
      </c>
      <c r="W125" t="s">
        <v>41</v>
      </c>
    </row>
    <row r="126" spans="1:23" x14ac:dyDescent="0.25">
      <c r="A126">
        <v>125</v>
      </c>
      <c r="B126">
        <v>44</v>
      </c>
      <c r="C126" t="str" cm="1">
        <f t="array" ref="C126">_xlfn.IFS(
  AND(B126&gt;=18, B126&lt;=24), "18-24",
  AND(B126&gt;=25, B126&lt;=34), "25-34",
  AND(B126&gt;=35, B126&lt;=44), "35-44",
  AND(B126&gt;=45, B126&lt;=54), "45-54",
  B126&gt;=55, "55+"
)</f>
        <v>35-44</v>
      </c>
      <c r="D126" t="s">
        <v>19</v>
      </c>
      <c r="E126" t="s">
        <v>31</v>
      </c>
      <c r="F126" t="s">
        <v>21</v>
      </c>
      <c r="G126">
        <v>86</v>
      </c>
      <c r="H126" t="s">
        <v>107</v>
      </c>
      <c r="I126" t="s">
        <v>45</v>
      </c>
      <c r="J126" t="s">
        <v>24</v>
      </c>
      <c r="K126" t="s">
        <v>39</v>
      </c>
      <c r="L126">
        <v>3.1</v>
      </c>
      <c r="M126" t="s">
        <v>26</v>
      </c>
      <c r="N126" t="s">
        <v>46</v>
      </c>
      <c r="O126" t="s">
        <v>47</v>
      </c>
      <c r="P126" t="s">
        <v>26</v>
      </c>
      <c r="Q126" t="s">
        <v>26</v>
      </c>
      <c r="R126">
        <v>50</v>
      </c>
      <c r="S126" t="s">
        <v>46</v>
      </c>
      <c r="T126" t="str">
        <f t="shared" si="2"/>
        <v>Annually</v>
      </c>
      <c r="U126">
        <f>VLOOKUP(T126,[1]tablescore!$B$3:$C$8, 2,FALSE)</f>
        <v>1</v>
      </c>
      <c r="V126" t="str">
        <f t="shared" si="3"/>
        <v>Low Loyalty</v>
      </c>
      <c r="W126" t="s">
        <v>50</v>
      </c>
    </row>
    <row r="127" spans="1:23" x14ac:dyDescent="0.25">
      <c r="A127">
        <v>126</v>
      </c>
      <c r="B127">
        <v>49</v>
      </c>
      <c r="C127" t="str" cm="1">
        <f t="array" ref="C127">_xlfn.IFS(
  AND(B127&gt;=18, B127&lt;=24), "18-24",
  AND(B127&gt;=25, B127&lt;=34), "25-34",
  AND(B127&gt;=35, B127&lt;=44), "35-44",
  AND(B127&gt;=45, B127&lt;=54), "45-54",
  B127&gt;=55, "55+"
)</f>
        <v>45-54</v>
      </c>
      <c r="D127" t="s">
        <v>19</v>
      </c>
      <c r="E127" t="s">
        <v>61</v>
      </c>
      <c r="F127" t="s">
        <v>21</v>
      </c>
      <c r="G127">
        <v>54</v>
      </c>
      <c r="H127" t="s">
        <v>99</v>
      </c>
      <c r="I127" t="s">
        <v>45</v>
      </c>
      <c r="J127" t="s">
        <v>129</v>
      </c>
      <c r="K127" t="s">
        <v>25</v>
      </c>
      <c r="L127">
        <v>3.6</v>
      </c>
      <c r="M127" t="s">
        <v>26</v>
      </c>
      <c r="N127" t="s">
        <v>35</v>
      </c>
      <c r="O127" t="s">
        <v>47</v>
      </c>
      <c r="P127" t="s">
        <v>26</v>
      </c>
      <c r="Q127" t="s">
        <v>26</v>
      </c>
      <c r="R127">
        <v>45</v>
      </c>
      <c r="S127" t="s">
        <v>29</v>
      </c>
      <c r="T127" t="str">
        <f t="shared" si="2"/>
        <v>Quarterly</v>
      </c>
      <c r="U127">
        <f>VLOOKUP(T127,[1]tablescore!$B$3:$C$8, 2,FALSE)</f>
        <v>4</v>
      </c>
      <c r="V127" t="str">
        <f t="shared" si="3"/>
        <v>Low Loyalty</v>
      </c>
      <c r="W127" t="s">
        <v>97</v>
      </c>
    </row>
    <row r="128" spans="1:23" x14ac:dyDescent="0.25">
      <c r="A128">
        <v>127</v>
      </c>
      <c r="B128">
        <v>43</v>
      </c>
      <c r="C128" t="str" cm="1">
        <f t="array" ref="C128">_xlfn.IFS(
  AND(B128&gt;=18, B128&lt;=24), "18-24",
  AND(B128&gt;=25, B128&lt;=34), "25-34",
  AND(B128&gt;=35, B128&lt;=44), "35-44",
  AND(B128&gt;=45, B128&lt;=54), "45-54",
  B128&gt;=55, "55+"
)</f>
        <v>35-44</v>
      </c>
      <c r="D128" t="s">
        <v>19</v>
      </c>
      <c r="E128" t="s">
        <v>61</v>
      </c>
      <c r="F128" t="s">
        <v>21</v>
      </c>
      <c r="G128">
        <v>36</v>
      </c>
      <c r="H128" t="s">
        <v>91</v>
      </c>
      <c r="I128" t="s">
        <v>23</v>
      </c>
      <c r="J128" t="s">
        <v>71</v>
      </c>
      <c r="K128" t="s">
        <v>39</v>
      </c>
      <c r="L128">
        <v>3.9</v>
      </c>
      <c r="M128" t="s">
        <v>26</v>
      </c>
      <c r="N128" t="s">
        <v>34</v>
      </c>
      <c r="O128" t="s">
        <v>76</v>
      </c>
      <c r="P128" t="s">
        <v>26</v>
      </c>
      <c r="Q128" t="s">
        <v>26</v>
      </c>
      <c r="R128">
        <v>48</v>
      </c>
      <c r="S128" t="s">
        <v>35</v>
      </c>
      <c r="T128" t="str">
        <f t="shared" si="2"/>
        <v>Quarterly</v>
      </c>
      <c r="U128">
        <f>VLOOKUP(T128,[1]tablescore!$B$3:$C$8, 2,FALSE)</f>
        <v>4</v>
      </c>
      <c r="V128" t="str">
        <f t="shared" si="3"/>
        <v>Low Loyalty</v>
      </c>
      <c r="W128" t="s">
        <v>97</v>
      </c>
    </row>
    <row r="129" spans="1:23" x14ac:dyDescent="0.25">
      <c r="A129">
        <v>128</v>
      </c>
      <c r="B129">
        <v>24</v>
      </c>
      <c r="C129" t="str" cm="1">
        <f t="array" ref="C129">_xlfn.IFS(
  AND(B129&gt;=18, B129&lt;=24), "18-24",
  AND(B129&gt;=25, B129&lt;=34), "25-34",
  AND(B129&gt;=35, B129&lt;=44), "35-44",
  AND(B129&gt;=45, B129&lt;=54), "45-54",
  B129&gt;=55, "55+"
)</f>
        <v>18-24</v>
      </c>
      <c r="D129" t="s">
        <v>19</v>
      </c>
      <c r="E129" t="s">
        <v>31</v>
      </c>
      <c r="F129" t="s">
        <v>21</v>
      </c>
      <c r="G129">
        <v>89</v>
      </c>
      <c r="H129" t="s">
        <v>91</v>
      </c>
      <c r="I129" t="s">
        <v>45</v>
      </c>
      <c r="J129" t="s">
        <v>24</v>
      </c>
      <c r="K129" t="s">
        <v>25</v>
      </c>
      <c r="L129">
        <v>4.8</v>
      </c>
      <c r="M129" t="s">
        <v>26</v>
      </c>
      <c r="N129" t="s">
        <v>29</v>
      </c>
      <c r="O129" t="s">
        <v>47</v>
      </c>
      <c r="P129" t="s">
        <v>26</v>
      </c>
      <c r="Q129" t="s">
        <v>26</v>
      </c>
      <c r="R129">
        <v>26</v>
      </c>
      <c r="S129" t="s">
        <v>27</v>
      </c>
      <c r="T129" t="str">
        <f t="shared" si="2"/>
        <v>Daily</v>
      </c>
      <c r="U129">
        <f>VLOOKUP(T129,[1]tablescore!$B$3:$C$8, 2,FALSE)</f>
        <v>30</v>
      </c>
      <c r="V129" t="str">
        <f t="shared" si="3"/>
        <v>Highly Loyal</v>
      </c>
      <c r="W129" t="s">
        <v>41</v>
      </c>
    </row>
    <row r="130" spans="1:23" x14ac:dyDescent="0.25">
      <c r="A130">
        <v>129</v>
      </c>
      <c r="B130">
        <v>20</v>
      </c>
      <c r="C130" t="str" cm="1">
        <f t="array" ref="C130">_xlfn.IFS(
  AND(B130&gt;=18, B130&lt;=24), "18-24",
  AND(B130&gt;=25, B130&lt;=34), "25-34",
  AND(B130&gt;=35, B130&lt;=44), "35-44",
  AND(B130&gt;=45, B130&lt;=54), "45-54",
  B130&gt;=55, "55+"
)</f>
        <v>18-24</v>
      </c>
      <c r="D130" t="s">
        <v>19</v>
      </c>
      <c r="E130" t="s">
        <v>119</v>
      </c>
      <c r="F130" t="s">
        <v>69</v>
      </c>
      <c r="G130">
        <v>32</v>
      </c>
      <c r="H130" t="s">
        <v>99</v>
      </c>
      <c r="I130" t="s">
        <v>45</v>
      </c>
      <c r="J130" t="s">
        <v>81</v>
      </c>
      <c r="K130" t="s">
        <v>39</v>
      </c>
      <c r="L130">
        <v>4.7</v>
      </c>
      <c r="M130" t="s">
        <v>26</v>
      </c>
      <c r="N130" t="s">
        <v>29</v>
      </c>
      <c r="O130" t="s">
        <v>55</v>
      </c>
      <c r="P130" t="s">
        <v>26</v>
      </c>
      <c r="Q130" t="s">
        <v>26</v>
      </c>
      <c r="R130">
        <v>21</v>
      </c>
      <c r="S130" t="s">
        <v>27</v>
      </c>
      <c r="T130" t="str">
        <f t="shared" si="2"/>
        <v>2-week</v>
      </c>
      <c r="U130">
        <f>VLOOKUP(T130,[1]tablescore!$B$3:$C$8, 2,FALSE)</f>
        <v>26</v>
      </c>
      <c r="V130" t="str">
        <f t="shared" si="3"/>
        <v>Loyal</v>
      </c>
      <c r="W130" t="s">
        <v>30</v>
      </c>
    </row>
    <row r="131" spans="1:23" x14ac:dyDescent="0.25">
      <c r="A131">
        <v>130</v>
      </c>
      <c r="B131">
        <v>24</v>
      </c>
      <c r="C131" t="str" cm="1">
        <f t="array" ref="C131">_xlfn.IFS(
  AND(B131&gt;=18, B131&lt;=24), "18-24",
  AND(B131&gt;=25, B131&lt;=34), "25-34",
  AND(B131&gt;=35, B131&lt;=44), "35-44",
  AND(B131&gt;=45, B131&lt;=54), "45-54",
  B131&gt;=55, "55+"
)</f>
        <v>18-24</v>
      </c>
      <c r="D131" t="s">
        <v>19</v>
      </c>
      <c r="E131" t="s">
        <v>82</v>
      </c>
      <c r="F131" t="s">
        <v>21</v>
      </c>
      <c r="G131">
        <v>67</v>
      </c>
      <c r="H131" t="s">
        <v>141</v>
      </c>
      <c r="I131" t="s">
        <v>92</v>
      </c>
      <c r="J131" t="s">
        <v>79</v>
      </c>
      <c r="K131" t="s">
        <v>54</v>
      </c>
      <c r="L131">
        <v>4.2</v>
      </c>
      <c r="M131" t="s">
        <v>26</v>
      </c>
      <c r="N131" t="s">
        <v>35</v>
      </c>
      <c r="O131" t="s">
        <v>72</v>
      </c>
      <c r="P131" t="s">
        <v>26</v>
      </c>
      <c r="Q131" t="s">
        <v>26</v>
      </c>
      <c r="R131">
        <v>49</v>
      </c>
      <c r="S131" t="s">
        <v>46</v>
      </c>
      <c r="T131" t="str">
        <f t="shared" ref="T131:T194" si="4">IF(TRIM(W131)="Every 3 months","Quarterly",IF(TRIM(W131)="Fortnightly","2-week",IF(TRIM(W131)="Bi-Weekly","2-week",IF(TRIM(W131)="Weekly","Daily",IF(TRIM(W131)="Monthly","Month",TRIM(W131))))))</f>
        <v>2-week</v>
      </c>
      <c r="U131">
        <f>VLOOKUP(T131,[1]tablescore!$B$3:$C$8, 2,FALSE)</f>
        <v>26</v>
      </c>
      <c r="V131" t="str">
        <f t="shared" ref="V131:V194" si="5">_xlfn.IFS(U131&gt;=30, "Highly Loyal", U131&gt;=26, "Loyal", U131&gt;=12, "Moderate", U131&lt;5, "Low Loyalty")</f>
        <v>Loyal</v>
      </c>
      <c r="W131" t="s">
        <v>77</v>
      </c>
    </row>
    <row r="132" spans="1:23" x14ac:dyDescent="0.25">
      <c r="A132">
        <v>131</v>
      </c>
      <c r="B132">
        <v>44</v>
      </c>
      <c r="C132" t="str" cm="1">
        <f t="array" ref="C132">_xlfn.IFS(
  AND(B132&gt;=18, B132&lt;=24), "18-24",
  AND(B132&gt;=25, B132&lt;=34), "25-34",
  AND(B132&gt;=35, B132&lt;=44), "35-44",
  AND(B132&gt;=45, B132&lt;=54), "45-54",
  B132&gt;=55, "55+"
)</f>
        <v>35-44</v>
      </c>
      <c r="D132" t="s">
        <v>19</v>
      </c>
      <c r="E132" t="s">
        <v>119</v>
      </c>
      <c r="F132" t="s">
        <v>69</v>
      </c>
      <c r="G132">
        <v>39</v>
      </c>
      <c r="H132" t="s">
        <v>22</v>
      </c>
      <c r="I132" t="s">
        <v>23</v>
      </c>
      <c r="J132" t="s">
        <v>84</v>
      </c>
      <c r="K132" t="s">
        <v>58</v>
      </c>
      <c r="L132">
        <v>3.7</v>
      </c>
      <c r="M132" t="s">
        <v>26</v>
      </c>
      <c r="N132" t="s">
        <v>27</v>
      </c>
      <c r="O132" t="s">
        <v>47</v>
      </c>
      <c r="P132" t="s">
        <v>26</v>
      </c>
      <c r="Q132" t="s">
        <v>26</v>
      </c>
      <c r="R132">
        <v>13</v>
      </c>
      <c r="S132" t="s">
        <v>46</v>
      </c>
      <c r="T132" t="str">
        <f t="shared" si="4"/>
        <v>2-week</v>
      </c>
      <c r="U132">
        <f>VLOOKUP(T132,[1]tablescore!$B$3:$C$8, 2,FALSE)</f>
        <v>26</v>
      </c>
      <c r="V132" t="str">
        <f t="shared" si="5"/>
        <v>Loyal</v>
      </c>
      <c r="W132" t="s">
        <v>30</v>
      </c>
    </row>
    <row r="133" spans="1:23" x14ac:dyDescent="0.25">
      <c r="A133">
        <v>132</v>
      </c>
      <c r="B133">
        <v>28</v>
      </c>
      <c r="C133" t="str" cm="1">
        <f t="array" ref="C133">_xlfn.IFS(
  AND(B133&gt;=18, B133&lt;=24), "18-24",
  AND(B133&gt;=25, B133&lt;=34), "25-34",
  AND(B133&gt;=35, B133&lt;=44), "35-44",
  AND(B133&gt;=45, B133&lt;=54), "45-54",
  B133&gt;=55, "55+"
)</f>
        <v>25-34</v>
      </c>
      <c r="D133" t="s">
        <v>19</v>
      </c>
      <c r="E133" t="s">
        <v>87</v>
      </c>
      <c r="F133" t="s">
        <v>21</v>
      </c>
      <c r="G133">
        <v>29</v>
      </c>
      <c r="H133" t="s">
        <v>32</v>
      </c>
      <c r="I133" t="s">
        <v>23</v>
      </c>
      <c r="J133" t="s">
        <v>129</v>
      </c>
      <c r="K133" t="s">
        <v>54</v>
      </c>
      <c r="L133">
        <v>3.9</v>
      </c>
      <c r="M133" t="s">
        <v>26</v>
      </c>
      <c r="N133" t="s">
        <v>46</v>
      </c>
      <c r="O133" t="s">
        <v>55</v>
      </c>
      <c r="P133" t="s">
        <v>26</v>
      </c>
      <c r="Q133" t="s">
        <v>26</v>
      </c>
      <c r="R133">
        <v>46</v>
      </c>
      <c r="S133" t="s">
        <v>27</v>
      </c>
      <c r="T133" t="str">
        <f t="shared" si="4"/>
        <v>Daily</v>
      </c>
      <c r="U133">
        <f>VLOOKUP(T133,[1]tablescore!$B$3:$C$8, 2,FALSE)</f>
        <v>30</v>
      </c>
      <c r="V133" t="str">
        <f t="shared" si="5"/>
        <v>Highly Loyal</v>
      </c>
      <c r="W133" t="s">
        <v>41</v>
      </c>
    </row>
    <row r="134" spans="1:23" x14ac:dyDescent="0.25">
      <c r="A134">
        <v>133</v>
      </c>
      <c r="B134">
        <v>30</v>
      </c>
      <c r="C134" t="str" cm="1">
        <f t="array" ref="C134">_xlfn.IFS(
  AND(B134&gt;=18, B134&lt;=24), "18-24",
  AND(B134&gt;=25, B134&lt;=34), "25-34",
  AND(B134&gt;=35, B134&lt;=44), "35-44",
  AND(B134&gt;=45, B134&lt;=54), "45-54",
  B134&gt;=55, "55+"
)</f>
        <v>25-34</v>
      </c>
      <c r="D134" t="s">
        <v>19</v>
      </c>
      <c r="E134" t="s">
        <v>133</v>
      </c>
      <c r="F134" t="s">
        <v>69</v>
      </c>
      <c r="G134">
        <v>58</v>
      </c>
      <c r="H134" t="s">
        <v>123</v>
      </c>
      <c r="I134" t="s">
        <v>45</v>
      </c>
      <c r="J134" t="s">
        <v>121</v>
      </c>
      <c r="K134" t="s">
        <v>58</v>
      </c>
      <c r="L134">
        <v>4.7</v>
      </c>
      <c r="M134" t="s">
        <v>26</v>
      </c>
      <c r="N134" t="s">
        <v>34</v>
      </c>
      <c r="O134" t="s">
        <v>72</v>
      </c>
      <c r="P134" t="s">
        <v>26</v>
      </c>
      <c r="Q134" t="s">
        <v>26</v>
      </c>
      <c r="R134">
        <v>42</v>
      </c>
      <c r="S134" t="s">
        <v>46</v>
      </c>
      <c r="T134" t="str">
        <f t="shared" si="4"/>
        <v>Daily</v>
      </c>
      <c r="U134">
        <f>VLOOKUP(T134,[1]tablescore!$B$3:$C$8, 2,FALSE)</f>
        <v>30</v>
      </c>
      <c r="V134" t="str">
        <f t="shared" si="5"/>
        <v>Highly Loyal</v>
      </c>
      <c r="W134" t="s">
        <v>41</v>
      </c>
    </row>
    <row r="135" spans="1:23" x14ac:dyDescent="0.25">
      <c r="A135">
        <v>134</v>
      </c>
      <c r="B135">
        <v>52</v>
      </c>
      <c r="C135" t="str" cm="1">
        <f t="array" ref="C135">_xlfn.IFS(
  AND(B135&gt;=18, B135&lt;=24), "18-24",
  AND(B135&gt;=25, B135&lt;=34), "25-34",
  AND(B135&gt;=35, B135&lt;=44), "35-44",
  AND(B135&gt;=45, B135&lt;=54), "45-54",
  B135&gt;=55, "55+"
)</f>
        <v>45-54</v>
      </c>
      <c r="D135" t="s">
        <v>19</v>
      </c>
      <c r="E135" t="s">
        <v>31</v>
      </c>
      <c r="F135" t="s">
        <v>21</v>
      </c>
      <c r="G135">
        <v>65</v>
      </c>
      <c r="H135" t="s">
        <v>57</v>
      </c>
      <c r="I135" t="s">
        <v>45</v>
      </c>
      <c r="J135" t="s">
        <v>84</v>
      </c>
      <c r="K135" t="s">
        <v>25</v>
      </c>
      <c r="L135">
        <v>2.5</v>
      </c>
      <c r="M135" t="s">
        <v>26</v>
      </c>
      <c r="N135" t="s">
        <v>34</v>
      </c>
      <c r="O135" t="s">
        <v>47</v>
      </c>
      <c r="P135" t="s">
        <v>26</v>
      </c>
      <c r="Q135" t="s">
        <v>26</v>
      </c>
      <c r="R135">
        <v>25</v>
      </c>
      <c r="S135" t="s">
        <v>29</v>
      </c>
      <c r="T135" t="str">
        <f t="shared" si="4"/>
        <v>Annually</v>
      </c>
      <c r="U135">
        <f>VLOOKUP(T135,[1]tablescore!$B$3:$C$8, 2,FALSE)</f>
        <v>1</v>
      </c>
      <c r="V135" t="str">
        <f t="shared" si="5"/>
        <v>Low Loyalty</v>
      </c>
      <c r="W135" t="s">
        <v>50</v>
      </c>
    </row>
    <row r="136" spans="1:23" x14ac:dyDescent="0.25">
      <c r="A136">
        <v>135</v>
      </c>
      <c r="B136">
        <v>43</v>
      </c>
      <c r="C136" t="str" cm="1">
        <f t="array" ref="C136">_xlfn.IFS(
  AND(B136&gt;=18, B136&lt;=24), "18-24",
  AND(B136&gt;=25, B136&lt;=34), "25-34",
  AND(B136&gt;=35, B136&lt;=44), "35-44",
  AND(B136&gt;=45, B136&lt;=54), "45-54",
  B136&gt;=55, "55+"
)</f>
        <v>35-44</v>
      </c>
      <c r="D136" t="s">
        <v>19</v>
      </c>
      <c r="E136" t="s">
        <v>125</v>
      </c>
      <c r="F136" t="s">
        <v>69</v>
      </c>
      <c r="G136">
        <v>94</v>
      </c>
      <c r="H136" t="s">
        <v>105</v>
      </c>
      <c r="I136" t="s">
        <v>23</v>
      </c>
      <c r="J136" t="s">
        <v>24</v>
      </c>
      <c r="K136" t="s">
        <v>58</v>
      </c>
      <c r="L136">
        <v>4.9000000000000004</v>
      </c>
      <c r="M136" t="s">
        <v>26</v>
      </c>
      <c r="N136" t="s">
        <v>27</v>
      </c>
      <c r="O136" t="s">
        <v>76</v>
      </c>
      <c r="P136" t="s">
        <v>26</v>
      </c>
      <c r="Q136" t="s">
        <v>26</v>
      </c>
      <c r="R136">
        <v>25</v>
      </c>
      <c r="S136" t="s">
        <v>35</v>
      </c>
      <c r="T136" t="str">
        <f t="shared" si="4"/>
        <v>Month</v>
      </c>
      <c r="U136">
        <f>VLOOKUP(T136,[1]tablescore!$B$3:$C$8, 2,FALSE)</f>
        <v>12</v>
      </c>
      <c r="V136" t="str">
        <f t="shared" si="5"/>
        <v>Moderate</v>
      </c>
      <c r="W136" t="s">
        <v>88</v>
      </c>
    </row>
    <row r="137" spans="1:23" x14ac:dyDescent="0.25">
      <c r="A137">
        <v>136</v>
      </c>
      <c r="B137">
        <v>43</v>
      </c>
      <c r="C137" t="str" cm="1">
        <f t="array" ref="C137">_xlfn.IFS(
  AND(B137&gt;=18, B137&lt;=24), "18-24",
  AND(B137&gt;=25, B137&lt;=34), "25-34",
  AND(B137&gt;=35, B137&lt;=44), "35-44",
  AND(B137&gt;=45, B137&lt;=54), "45-54",
  B137&gt;=55, "55+"
)</f>
        <v>35-44</v>
      </c>
      <c r="D137" t="s">
        <v>19</v>
      </c>
      <c r="E137" t="s">
        <v>42</v>
      </c>
      <c r="F137" t="s">
        <v>43</v>
      </c>
      <c r="G137">
        <v>81</v>
      </c>
      <c r="H137" t="s">
        <v>111</v>
      </c>
      <c r="I137" t="s">
        <v>45</v>
      </c>
      <c r="J137" t="s">
        <v>75</v>
      </c>
      <c r="K137" t="s">
        <v>58</v>
      </c>
      <c r="L137">
        <v>4.0999999999999996</v>
      </c>
      <c r="M137" t="s">
        <v>26</v>
      </c>
      <c r="N137" t="s">
        <v>46</v>
      </c>
      <c r="O137" t="s">
        <v>28</v>
      </c>
      <c r="P137" t="s">
        <v>26</v>
      </c>
      <c r="Q137" t="s">
        <v>26</v>
      </c>
      <c r="R137">
        <v>12</v>
      </c>
      <c r="S137" t="s">
        <v>46</v>
      </c>
      <c r="T137" t="str">
        <f t="shared" si="4"/>
        <v>Quarterly</v>
      </c>
      <c r="U137">
        <f>VLOOKUP(T137,[1]tablescore!$B$3:$C$8, 2,FALSE)</f>
        <v>4</v>
      </c>
      <c r="V137" t="str">
        <f t="shared" si="5"/>
        <v>Low Loyalty</v>
      </c>
      <c r="W137" t="s">
        <v>60</v>
      </c>
    </row>
    <row r="138" spans="1:23" x14ac:dyDescent="0.25">
      <c r="A138">
        <v>137</v>
      </c>
      <c r="B138">
        <v>39</v>
      </c>
      <c r="C138" t="str" cm="1">
        <f t="array" ref="C138">_xlfn.IFS(
  AND(B138&gt;=18, B138&lt;=24), "18-24",
  AND(B138&gt;=25, B138&lt;=34), "25-34",
  AND(B138&gt;=35, B138&lt;=44), "35-44",
  AND(B138&gt;=45, B138&lt;=54), "45-54",
  B138&gt;=55, "55+"
)</f>
        <v>35-44</v>
      </c>
      <c r="D138" t="s">
        <v>19</v>
      </c>
      <c r="E138" t="s">
        <v>20</v>
      </c>
      <c r="F138" t="s">
        <v>21</v>
      </c>
      <c r="G138">
        <v>86</v>
      </c>
      <c r="H138" t="s">
        <v>126</v>
      </c>
      <c r="I138" t="s">
        <v>45</v>
      </c>
      <c r="J138" t="s">
        <v>53</v>
      </c>
      <c r="K138" t="s">
        <v>25</v>
      </c>
      <c r="L138">
        <v>3.3</v>
      </c>
      <c r="M138" t="s">
        <v>26</v>
      </c>
      <c r="N138" t="s">
        <v>27</v>
      </c>
      <c r="O138" t="s">
        <v>40</v>
      </c>
      <c r="P138" t="s">
        <v>26</v>
      </c>
      <c r="Q138" t="s">
        <v>26</v>
      </c>
      <c r="R138">
        <v>4</v>
      </c>
      <c r="S138" t="s">
        <v>59</v>
      </c>
      <c r="T138" t="str">
        <f t="shared" si="4"/>
        <v>Quarterly</v>
      </c>
      <c r="U138">
        <f>VLOOKUP(T138,[1]tablescore!$B$3:$C$8, 2,FALSE)</f>
        <v>4</v>
      </c>
      <c r="V138" t="str">
        <f t="shared" si="5"/>
        <v>Low Loyalty</v>
      </c>
      <c r="W138" t="s">
        <v>60</v>
      </c>
    </row>
    <row r="139" spans="1:23" x14ac:dyDescent="0.25">
      <c r="A139">
        <v>138</v>
      </c>
      <c r="B139">
        <v>68</v>
      </c>
      <c r="C139" t="str" cm="1">
        <f t="array" ref="C139">_xlfn.IFS(
  AND(B139&gt;=18, B139&lt;=24), "18-24",
  AND(B139&gt;=25, B139&lt;=34), "25-34",
  AND(B139&gt;=35, B139&lt;=44), "35-44",
  AND(B139&gt;=45, B139&lt;=54), "45-54",
  B139&gt;=55, "55+"
)</f>
        <v>55+</v>
      </c>
      <c r="D139" t="s">
        <v>19</v>
      </c>
      <c r="E139" t="s">
        <v>51</v>
      </c>
      <c r="F139" t="s">
        <v>43</v>
      </c>
      <c r="G139">
        <v>43</v>
      </c>
      <c r="H139" t="s">
        <v>112</v>
      </c>
      <c r="I139" t="s">
        <v>45</v>
      </c>
      <c r="J139" t="s">
        <v>49</v>
      </c>
      <c r="K139" t="s">
        <v>39</v>
      </c>
      <c r="L139">
        <v>4.7</v>
      </c>
      <c r="M139" t="s">
        <v>26</v>
      </c>
      <c r="N139" t="s">
        <v>35</v>
      </c>
      <c r="O139" t="s">
        <v>40</v>
      </c>
      <c r="P139" t="s">
        <v>26</v>
      </c>
      <c r="Q139" t="s">
        <v>26</v>
      </c>
      <c r="R139">
        <v>38</v>
      </c>
      <c r="S139" t="s">
        <v>46</v>
      </c>
      <c r="T139" t="str">
        <f t="shared" si="4"/>
        <v>Daily</v>
      </c>
      <c r="U139">
        <f>VLOOKUP(T139,[1]tablescore!$B$3:$C$8, 2,FALSE)</f>
        <v>30</v>
      </c>
      <c r="V139" t="str">
        <f t="shared" si="5"/>
        <v>Highly Loyal</v>
      </c>
      <c r="W139" t="s">
        <v>41</v>
      </c>
    </row>
    <row r="140" spans="1:23" x14ac:dyDescent="0.25">
      <c r="A140">
        <v>139</v>
      </c>
      <c r="B140">
        <v>68</v>
      </c>
      <c r="C140" t="str" cm="1">
        <f t="array" ref="C140">_xlfn.IFS(
  AND(B140&gt;=18, B140&lt;=24), "18-24",
  AND(B140&gt;=25, B140&lt;=34), "25-34",
  AND(B140&gt;=35, B140&lt;=44), "35-44",
  AND(B140&gt;=45, B140&lt;=54), "45-54",
  B140&gt;=55, "55+"
)</f>
        <v>55+</v>
      </c>
      <c r="D140" t="s">
        <v>19</v>
      </c>
      <c r="E140" t="s">
        <v>87</v>
      </c>
      <c r="F140" t="s">
        <v>21</v>
      </c>
      <c r="G140">
        <v>29</v>
      </c>
      <c r="H140" t="s">
        <v>142</v>
      </c>
      <c r="I140" t="s">
        <v>45</v>
      </c>
      <c r="J140" t="s">
        <v>33</v>
      </c>
      <c r="K140" t="s">
        <v>25</v>
      </c>
      <c r="L140">
        <v>4.4000000000000004</v>
      </c>
      <c r="M140" t="s">
        <v>26</v>
      </c>
      <c r="N140" t="s">
        <v>35</v>
      </c>
      <c r="O140" t="s">
        <v>76</v>
      </c>
      <c r="P140" t="s">
        <v>26</v>
      </c>
      <c r="Q140" t="s">
        <v>26</v>
      </c>
      <c r="R140">
        <v>42</v>
      </c>
      <c r="S140" t="s">
        <v>34</v>
      </c>
      <c r="T140" t="str">
        <f t="shared" si="4"/>
        <v>Daily</v>
      </c>
      <c r="U140">
        <f>VLOOKUP(T140,[1]tablescore!$B$3:$C$8, 2,FALSE)</f>
        <v>30</v>
      </c>
      <c r="V140" t="str">
        <f t="shared" si="5"/>
        <v>Highly Loyal</v>
      </c>
      <c r="W140" t="s">
        <v>41</v>
      </c>
    </row>
    <row r="141" spans="1:23" x14ac:dyDescent="0.25">
      <c r="A141">
        <v>140</v>
      </c>
      <c r="B141">
        <v>49</v>
      </c>
      <c r="C141" t="str" cm="1">
        <f t="array" ref="C141">_xlfn.IFS(
  AND(B141&gt;=18, B141&lt;=24), "18-24",
  AND(B141&gt;=25, B141&lt;=34), "25-34",
  AND(B141&gt;=35, B141&lt;=44), "35-44",
  AND(B141&gt;=45, B141&lt;=54), "45-54",
  B141&gt;=55, "55+"
)</f>
        <v>45-54</v>
      </c>
      <c r="D141" t="s">
        <v>19</v>
      </c>
      <c r="E141" t="s">
        <v>64</v>
      </c>
      <c r="F141" t="s">
        <v>65</v>
      </c>
      <c r="G141">
        <v>95</v>
      </c>
      <c r="H141" t="s">
        <v>103</v>
      </c>
      <c r="I141" t="s">
        <v>45</v>
      </c>
      <c r="J141" t="s">
        <v>53</v>
      </c>
      <c r="K141" t="s">
        <v>58</v>
      </c>
      <c r="L141">
        <v>3.8</v>
      </c>
      <c r="M141" t="s">
        <v>26</v>
      </c>
      <c r="N141" t="s">
        <v>59</v>
      </c>
      <c r="O141" t="s">
        <v>76</v>
      </c>
      <c r="P141" t="s">
        <v>26</v>
      </c>
      <c r="Q141" t="s">
        <v>26</v>
      </c>
      <c r="R141">
        <v>30</v>
      </c>
      <c r="S141" t="s">
        <v>29</v>
      </c>
      <c r="T141" t="str">
        <f t="shared" si="4"/>
        <v>Annually</v>
      </c>
      <c r="U141">
        <f>VLOOKUP(T141,[1]tablescore!$B$3:$C$8, 2,FALSE)</f>
        <v>1</v>
      </c>
      <c r="V141" t="str">
        <f t="shared" si="5"/>
        <v>Low Loyalty</v>
      </c>
      <c r="W141" t="s">
        <v>50</v>
      </c>
    </row>
    <row r="142" spans="1:23" x14ac:dyDescent="0.25">
      <c r="A142">
        <v>141</v>
      </c>
      <c r="B142">
        <v>63</v>
      </c>
      <c r="C142" t="str" cm="1">
        <f t="array" ref="C142">_xlfn.IFS(
  AND(B142&gt;=18, B142&lt;=24), "18-24",
  AND(B142&gt;=25, B142&lt;=34), "25-34",
  AND(B142&gt;=35, B142&lt;=44), "35-44",
  AND(B142&gt;=45, B142&lt;=54), "45-54",
  B142&gt;=55, "55+"
)</f>
        <v>55+</v>
      </c>
      <c r="D142" t="s">
        <v>19</v>
      </c>
      <c r="E142" t="s">
        <v>56</v>
      </c>
      <c r="F142" t="s">
        <v>21</v>
      </c>
      <c r="G142">
        <v>28</v>
      </c>
      <c r="H142" t="s">
        <v>98</v>
      </c>
      <c r="I142" t="s">
        <v>23</v>
      </c>
      <c r="J142" t="s">
        <v>139</v>
      </c>
      <c r="K142" t="s">
        <v>58</v>
      </c>
      <c r="L142">
        <v>3.9</v>
      </c>
      <c r="M142" t="s">
        <v>26</v>
      </c>
      <c r="N142" t="s">
        <v>34</v>
      </c>
      <c r="O142" t="s">
        <v>72</v>
      </c>
      <c r="P142" t="s">
        <v>26</v>
      </c>
      <c r="Q142" t="s">
        <v>26</v>
      </c>
      <c r="R142">
        <v>50</v>
      </c>
      <c r="S142" t="s">
        <v>27</v>
      </c>
      <c r="T142" t="str">
        <f t="shared" si="4"/>
        <v>Daily</v>
      </c>
      <c r="U142">
        <f>VLOOKUP(T142,[1]tablescore!$B$3:$C$8, 2,FALSE)</f>
        <v>30</v>
      </c>
      <c r="V142" t="str">
        <f t="shared" si="5"/>
        <v>Highly Loyal</v>
      </c>
      <c r="W142" t="s">
        <v>41</v>
      </c>
    </row>
    <row r="143" spans="1:23" x14ac:dyDescent="0.25">
      <c r="A143">
        <v>142</v>
      </c>
      <c r="B143">
        <v>56</v>
      </c>
      <c r="C143" t="str" cm="1">
        <f t="array" ref="C143">_xlfn.IFS(
  AND(B143&gt;=18, B143&lt;=24), "18-24",
  AND(B143&gt;=25, B143&lt;=34), "25-34",
  AND(B143&gt;=35, B143&lt;=44), "35-44",
  AND(B143&gt;=45, B143&lt;=54), "45-54",
  B143&gt;=55, "55+"
)</f>
        <v>55+</v>
      </c>
      <c r="D143" t="s">
        <v>19</v>
      </c>
      <c r="E143" t="s">
        <v>127</v>
      </c>
      <c r="F143" t="s">
        <v>69</v>
      </c>
      <c r="G143">
        <v>46</v>
      </c>
      <c r="H143" t="s">
        <v>128</v>
      </c>
      <c r="I143" t="s">
        <v>45</v>
      </c>
      <c r="J143" t="s">
        <v>49</v>
      </c>
      <c r="K143" t="s">
        <v>58</v>
      </c>
      <c r="L143">
        <v>4.9000000000000004</v>
      </c>
      <c r="M143" t="s">
        <v>26</v>
      </c>
      <c r="N143" t="s">
        <v>46</v>
      </c>
      <c r="O143" t="s">
        <v>40</v>
      </c>
      <c r="P143" t="s">
        <v>26</v>
      </c>
      <c r="Q143" t="s">
        <v>26</v>
      </c>
      <c r="R143">
        <v>45</v>
      </c>
      <c r="S143" t="s">
        <v>46</v>
      </c>
      <c r="T143" t="str">
        <f t="shared" si="4"/>
        <v>Daily</v>
      </c>
      <c r="U143">
        <f>VLOOKUP(T143,[1]tablescore!$B$3:$C$8, 2,FALSE)</f>
        <v>30</v>
      </c>
      <c r="V143" t="str">
        <f t="shared" si="5"/>
        <v>Highly Loyal</v>
      </c>
      <c r="W143" t="s">
        <v>41</v>
      </c>
    </row>
    <row r="144" spans="1:23" x14ac:dyDescent="0.25">
      <c r="A144">
        <v>143</v>
      </c>
      <c r="B144">
        <v>37</v>
      </c>
      <c r="C144" t="str" cm="1">
        <f t="array" ref="C144">_xlfn.IFS(
  AND(B144&gt;=18, B144&lt;=24), "18-24",
  AND(B144&gt;=25, B144&lt;=34), "25-34",
  AND(B144&gt;=35, B144&lt;=44), "35-44",
  AND(B144&gt;=45, B144&lt;=54), "45-54",
  B144&gt;=55, "55+"
)</f>
        <v>35-44</v>
      </c>
      <c r="D144" t="s">
        <v>19</v>
      </c>
      <c r="E144" t="s">
        <v>102</v>
      </c>
      <c r="F144" t="s">
        <v>65</v>
      </c>
      <c r="G144">
        <v>58</v>
      </c>
      <c r="H144" t="s">
        <v>143</v>
      </c>
      <c r="I144" t="s">
        <v>23</v>
      </c>
      <c r="J144" t="s">
        <v>84</v>
      </c>
      <c r="K144" t="s">
        <v>58</v>
      </c>
      <c r="L144">
        <v>3.1</v>
      </c>
      <c r="M144" t="s">
        <v>26</v>
      </c>
      <c r="N144" t="s">
        <v>46</v>
      </c>
      <c r="O144" t="s">
        <v>40</v>
      </c>
      <c r="P144" t="s">
        <v>26</v>
      </c>
      <c r="Q144" t="s">
        <v>26</v>
      </c>
      <c r="R144">
        <v>33</v>
      </c>
      <c r="S144" t="s">
        <v>27</v>
      </c>
      <c r="T144" t="str">
        <f t="shared" si="4"/>
        <v>2-week</v>
      </c>
      <c r="U144">
        <f>VLOOKUP(T144,[1]tablescore!$B$3:$C$8, 2,FALSE)</f>
        <v>26</v>
      </c>
      <c r="V144" t="str">
        <f t="shared" si="5"/>
        <v>Loyal</v>
      </c>
      <c r="W144" t="s">
        <v>30</v>
      </c>
    </row>
    <row r="145" spans="1:23" x14ac:dyDescent="0.25">
      <c r="A145">
        <v>144</v>
      </c>
      <c r="B145">
        <v>30</v>
      </c>
      <c r="C145" t="str" cm="1">
        <f t="array" ref="C145">_xlfn.IFS(
  AND(B145&gt;=18, B145&lt;=24), "18-24",
  AND(B145&gt;=25, B145&lt;=34), "25-34",
  AND(B145&gt;=35, B145&lt;=44), "35-44",
  AND(B145&gt;=45, B145&lt;=54), "45-54",
  B145&gt;=55, "55+"
)</f>
        <v>25-34</v>
      </c>
      <c r="D145" t="s">
        <v>19</v>
      </c>
      <c r="E145" t="s">
        <v>64</v>
      </c>
      <c r="F145" t="s">
        <v>65</v>
      </c>
      <c r="G145">
        <v>48</v>
      </c>
      <c r="H145" t="s">
        <v>70</v>
      </c>
      <c r="I145" t="s">
        <v>45</v>
      </c>
      <c r="J145" t="s">
        <v>118</v>
      </c>
      <c r="K145" t="s">
        <v>58</v>
      </c>
      <c r="L145">
        <v>2.7</v>
      </c>
      <c r="M145" t="s">
        <v>26</v>
      </c>
      <c r="N145" t="s">
        <v>34</v>
      </c>
      <c r="O145" t="s">
        <v>76</v>
      </c>
      <c r="P145" t="s">
        <v>26</v>
      </c>
      <c r="Q145" t="s">
        <v>26</v>
      </c>
      <c r="R145">
        <v>25</v>
      </c>
      <c r="S145" t="s">
        <v>46</v>
      </c>
      <c r="T145" t="str">
        <f t="shared" si="4"/>
        <v>Quarterly</v>
      </c>
      <c r="U145">
        <f>VLOOKUP(T145,[1]tablescore!$B$3:$C$8, 2,FALSE)</f>
        <v>4</v>
      </c>
      <c r="V145" t="str">
        <f t="shared" si="5"/>
        <v>Low Loyalty</v>
      </c>
      <c r="W145" t="s">
        <v>60</v>
      </c>
    </row>
    <row r="146" spans="1:23" x14ac:dyDescent="0.25">
      <c r="A146">
        <v>145</v>
      </c>
      <c r="B146">
        <v>19</v>
      </c>
      <c r="C146" t="str" cm="1">
        <f t="array" ref="C146">_xlfn.IFS(
  AND(B146&gt;=18, B146&lt;=24), "18-24",
  AND(B146&gt;=25, B146&lt;=34), "25-34",
  AND(B146&gt;=35, B146&lt;=44), "35-44",
  AND(B146&gt;=45, B146&lt;=54), "45-54",
  B146&gt;=55, "55+"
)</f>
        <v>18-24</v>
      </c>
      <c r="D146" t="s">
        <v>19</v>
      </c>
      <c r="E146" t="s">
        <v>73</v>
      </c>
      <c r="F146" t="s">
        <v>43</v>
      </c>
      <c r="G146">
        <v>43</v>
      </c>
      <c r="H146" t="s">
        <v>137</v>
      </c>
      <c r="I146" t="s">
        <v>45</v>
      </c>
      <c r="J146" t="s">
        <v>67</v>
      </c>
      <c r="K146" t="s">
        <v>58</v>
      </c>
      <c r="L146">
        <v>3.2</v>
      </c>
      <c r="M146" t="s">
        <v>26</v>
      </c>
      <c r="N146" t="s">
        <v>27</v>
      </c>
      <c r="O146" t="s">
        <v>28</v>
      </c>
      <c r="P146" t="s">
        <v>26</v>
      </c>
      <c r="Q146" t="s">
        <v>26</v>
      </c>
      <c r="R146">
        <v>25</v>
      </c>
      <c r="S146" t="s">
        <v>35</v>
      </c>
      <c r="T146" t="str">
        <f t="shared" si="4"/>
        <v>Month</v>
      </c>
      <c r="U146">
        <f>VLOOKUP(T146,[1]tablescore!$B$3:$C$8, 2,FALSE)</f>
        <v>12</v>
      </c>
      <c r="V146" t="str">
        <f t="shared" si="5"/>
        <v>Moderate</v>
      </c>
      <c r="W146" t="s">
        <v>88</v>
      </c>
    </row>
    <row r="147" spans="1:23" x14ac:dyDescent="0.25">
      <c r="A147">
        <v>146</v>
      </c>
      <c r="B147">
        <v>24</v>
      </c>
      <c r="C147" t="str" cm="1">
        <f t="array" ref="C147">_xlfn.IFS(
  AND(B147&gt;=18, B147&lt;=24), "18-24",
  AND(B147&gt;=25, B147&lt;=34), "25-34",
  AND(B147&gt;=35, B147&lt;=44), "35-44",
  AND(B147&gt;=45, B147&lt;=54), "45-54",
  B147&gt;=55, "55+"
)</f>
        <v>18-24</v>
      </c>
      <c r="D147" t="s">
        <v>19</v>
      </c>
      <c r="E147" t="s">
        <v>106</v>
      </c>
      <c r="F147" t="s">
        <v>69</v>
      </c>
      <c r="G147">
        <v>95</v>
      </c>
      <c r="H147" t="s">
        <v>70</v>
      </c>
      <c r="I147" t="s">
        <v>45</v>
      </c>
      <c r="J147" t="s">
        <v>86</v>
      </c>
      <c r="K147" t="s">
        <v>58</v>
      </c>
      <c r="L147">
        <v>4.5</v>
      </c>
      <c r="M147" t="s">
        <v>26</v>
      </c>
      <c r="N147" t="s">
        <v>29</v>
      </c>
      <c r="O147" t="s">
        <v>55</v>
      </c>
      <c r="P147" t="s">
        <v>26</v>
      </c>
      <c r="Q147" t="s">
        <v>26</v>
      </c>
      <c r="R147">
        <v>44</v>
      </c>
      <c r="S147" t="s">
        <v>59</v>
      </c>
      <c r="T147" t="str">
        <f t="shared" si="4"/>
        <v>Quarterly</v>
      </c>
      <c r="U147">
        <f>VLOOKUP(T147,[1]tablescore!$B$3:$C$8, 2,FALSE)</f>
        <v>4</v>
      </c>
      <c r="V147" t="str">
        <f t="shared" si="5"/>
        <v>Low Loyalty</v>
      </c>
      <c r="W147" t="s">
        <v>60</v>
      </c>
    </row>
    <row r="148" spans="1:23" x14ac:dyDescent="0.25">
      <c r="A148">
        <v>147</v>
      </c>
      <c r="B148">
        <v>52</v>
      </c>
      <c r="C148" t="str" cm="1">
        <f t="array" ref="C148">_xlfn.IFS(
  AND(B148&gt;=18, B148&lt;=24), "18-24",
  AND(B148&gt;=25, B148&lt;=34), "25-34",
  AND(B148&gt;=35, B148&lt;=44), "35-44",
  AND(B148&gt;=45, B148&lt;=54), "45-54",
  B148&gt;=55, "55+"
)</f>
        <v>45-54</v>
      </c>
      <c r="D148" t="s">
        <v>19</v>
      </c>
      <c r="E148" t="s">
        <v>87</v>
      </c>
      <c r="F148" t="s">
        <v>21</v>
      </c>
      <c r="G148">
        <v>30</v>
      </c>
      <c r="H148" t="s">
        <v>112</v>
      </c>
      <c r="I148" t="s">
        <v>38</v>
      </c>
      <c r="J148" t="s">
        <v>94</v>
      </c>
      <c r="K148" t="s">
        <v>58</v>
      </c>
      <c r="L148">
        <v>4</v>
      </c>
      <c r="M148" t="s">
        <v>26</v>
      </c>
      <c r="N148" t="s">
        <v>59</v>
      </c>
      <c r="O148" t="s">
        <v>55</v>
      </c>
      <c r="P148" t="s">
        <v>26</v>
      </c>
      <c r="Q148" t="s">
        <v>26</v>
      </c>
      <c r="R148">
        <v>21</v>
      </c>
      <c r="S148" t="s">
        <v>29</v>
      </c>
      <c r="T148" t="str">
        <f t="shared" si="4"/>
        <v>2-week</v>
      </c>
      <c r="U148">
        <f>VLOOKUP(T148,[1]tablescore!$B$3:$C$8, 2,FALSE)</f>
        <v>26</v>
      </c>
      <c r="V148" t="str">
        <f t="shared" si="5"/>
        <v>Loyal</v>
      </c>
      <c r="W148" t="s">
        <v>30</v>
      </c>
    </row>
    <row r="149" spans="1:23" x14ac:dyDescent="0.25">
      <c r="A149">
        <v>148</v>
      </c>
      <c r="B149">
        <v>63</v>
      </c>
      <c r="C149" t="str" cm="1">
        <f t="array" ref="C149">_xlfn.IFS(
  AND(B149&gt;=18, B149&lt;=24), "18-24",
  AND(B149&gt;=25, B149&lt;=34), "25-34",
  AND(B149&gt;=35, B149&lt;=44), "35-44",
  AND(B149&gt;=45, B149&lt;=54), "45-54",
  B149&gt;=55, "55+"
)</f>
        <v>55+</v>
      </c>
      <c r="D149" t="s">
        <v>19</v>
      </c>
      <c r="E149" t="s">
        <v>73</v>
      </c>
      <c r="F149" t="s">
        <v>43</v>
      </c>
      <c r="G149">
        <v>64</v>
      </c>
      <c r="H149" t="s">
        <v>144</v>
      </c>
      <c r="I149" t="s">
        <v>45</v>
      </c>
      <c r="J149" t="s">
        <v>75</v>
      </c>
      <c r="K149" t="s">
        <v>54</v>
      </c>
      <c r="L149">
        <v>3.5</v>
      </c>
      <c r="M149" t="s">
        <v>26</v>
      </c>
      <c r="N149" t="s">
        <v>34</v>
      </c>
      <c r="O149" t="s">
        <v>72</v>
      </c>
      <c r="P149" t="s">
        <v>26</v>
      </c>
      <c r="Q149" t="s">
        <v>26</v>
      </c>
      <c r="R149">
        <v>31</v>
      </c>
      <c r="S149" t="s">
        <v>34</v>
      </c>
      <c r="T149" t="str">
        <f t="shared" si="4"/>
        <v>2-week</v>
      </c>
      <c r="U149">
        <f>VLOOKUP(T149,[1]tablescore!$B$3:$C$8, 2,FALSE)</f>
        <v>26</v>
      </c>
      <c r="V149" t="str">
        <f t="shared" si="5"/>
        <v>Loyal</v>
      </c>
      <c r="W149" t="s">
        <v>30</v>
      </c>
    </row>
    <row r="150" spans="1:23" x14ac:dyDescent="0.25">
      <c r="A150">
        <v>149</v>
      </c>
      <c r="B150">
        <v>37</v>
      </c>
      <c r="C150" t="str" cm="1">
        <f t="array" ref="C150">_xlfn.IFS(
  AND(B150&gt;=18, B150&lt;=24), "18-24",
  AND(B150&gt;=25, B150&lt;=34), "25-34",
  AND(B150&gt;=35, B150&lt;=44), "35-44",
  AND(B150&gt;=45, B150&lt;=54), "45-54",
  B150&gt;=55, "55+"
)</f>
        <v>35-44</v>
      </c>
      <c r="D150" t="s">
        <v>19</v>
      </c>
      <c r="E150" t="s">
        <v>127</v>
      </c>
      <c r="F150" t="s">
        <v>69</v>
      </c>
      <c r="G150">
        <v>90</v>
      </c>
      <c r="H150" t="s">
        <v>52</v>
      </c>
      <c r="I150" t="s">
        <v>45</v>
      </c>
      <c r="J150" t="s">
        <v>24</v>
      </c>
      <c r="K150" t="s">
        <v>58</v>
      </c>
      <c r="L150">
        <v>2.6</v>
      </c>
      <c r="M150" t="s">
        <v>26</v>
      </c>
      <c r="N150" t="s">
        <v>46</v>
      </c>
      <c r="O150" t="s">
        <v>76</v>
      </c>
      <c r="P150" t="s">
        <v>26</v>
      </c>
      <c r="Q150" t="s">
        <v>26</v>
      </c>
      <c r="R150">
        <v>47</v>
      </c>
      <c r="S150" t="s">
        <v>59</v>
      </c>
      <c r="T150" t="str">
        <f t="shared" si="4"/>
        <v>Annually</v>
      </c>
      <c r="U150">
        <f>VLOOKUP(T150,[1]tablescore!$B$3:$C$8, 2,FALSE)</f>
        <v>1</v>
      </c>
      <c r="V150" t="str">
        <f t="shared" si="5"/>
        <v>Low Loyalty</v>
      </c>
      <c r="W150" t="s">
        <v>50</v>
      </c>
    </row>
    <row r="151" spans="1:23" x14ac:dyDescent="0.25">
      <c r="A151">
        <v>150</v>
      </c>
      <c r="B151">
        <v>38</v>
      </c>
      <c r="C151" t="str" cm="1">
        <f t="array" ref="C151">_xlfn.IFS(
  AND(B151&gt;=18, B151&lt;=24), "18-24",
  AND(B151&gt;=25, B151&lt;=34), "25-34",
  AND(B151&gt;=35, B151&lt;=44), "35-44",
  AND(B151&gt;=45, B151&lt;=54), "45-54",
  B151&gt;=55, "55+"
)</f>
        <v>35-44</v>
      </c>
      <c r="D151" t="s">
        <v>19</v>
      </c>
      <c r="E151" t="s">
        <v>95</v>
      </c>
      <c r="F151" t="s">
        <v>21</v>
      </c>
      <c r="G151">
        <v>76</v>
      </c>
      <c r="H151" t="s">
        <v>80</v>
      </c>
      <c r="I151" t="s">
        <v>45</v>
      </c>
      <c r="J151" t="s">
        <v>53</v>
      </c>
      <c r="K151" t="s">
        <v>54</v>
      </c>
      <c r="L151">
        <v>3.2</v>
      </c>
      <c r="M151" t="s">
        <v>26</v>
      </c>
      <c r="N151" t="s">
        <v>29</v>
      </c>
      <c r="O151" t="s">
        <v>40</v>
      </c>
      <c r="P151" t="s">
        <v>26</v>
      </c>
      <c r="Q151" t="s">
        <v>26</v>
      </c>
      <c r="R151">
        <v>14</v>
      </c>
      <c r="S151" t="s">
        <v>46</v>
      </c>
      <c r="T151" t="str">
        <f t="shared" si="4"/>
        <v>Month</v>
      </c>
      <c r="U151">
        <f>VLOOKUP(T151,[1]tablescore!$B$3:$C$8, 2,FALSE)</f>
        <v>12</v>
      </c>
      <c r="V151" t="str">
        <f t="shared" si="5"/>
        <v>Moderate</v>
      </c>
      <c r="W151" t="s">
        <v>88</v>
      </c>
    </row>
    <row r="152" spans="1:23" x14ac:dyDescent="0.25">
      <c r="A152">
        <v>151</v>
      </c>
      <c r="B152">
        <v>35</v>
      </c>
      <c r="C152" t="str" cm="1">
        <f t="array" ref="C152">_xlfn.IFS(
  AND(B152&gt;=18, B152&lt;=24), "18-24",
  AND(B152&gt;=25, B152&lt;=34), "25-34",
  AND(B152&gt;=35, B152&lt;=44), "35-44",
  AND(B152&gt;=45, B152&lt;=54), "45-54",
  B152&gt;=55, "55+"
)</f>
        <v>35-44</v>
      </c>
      <c r="D152" t="s">
        <v>19</v>
      </c>
      <c r="E152" t="s">
        <v>132</v>
      </c>
      <c r="F152" t="s">
        <v>43</v>
      </c>
      <c r="G152">
        <v>96</v>
      </c>
      <c r="H152" t="s">
        <v>99</v>
      </c>
      <c r="I152" t="s">
        <v>23</v>
      </c>
      <c r="J152" t="s">
        <v>109</v>
      </c>
      <c r="K152" t="s">
        <v>58</v>
      </c>
      <c r="L152">
        <v>4.9000000000000004</v>
      </c>
      <c r="M152" t="s">
        <v>26</v>
      </c>
      <c r="N152" t="s">
        <v>34</v>
      </c>
      <c r="O152" t="s">
        <v>55</v>
      </c>
      <c r="P152" t="s">
        <v>26</v>
      </c>
      <c r="Q152" t="s">
        <v>26</v>
      </c>
      <c r="R152">
        <v>17</v>
      </c>
      <c r="S152" t="s">
        <v>59</v>
      </c>
      <c r="T152" t="str">
        <f t="shared" si="4"/>
        <v>Quarterly</v>
      </c>
      <c r="U152">
        <f>VLOOKUP(T152,[1]tablescore!$B$3:$C$8, 2,FALSE)</f>
        <v>4</v>
      </c>
      <c r="V152" t="str">
        <f t="shared" si="5"/>
        <v>Low Loyalty</v>
      </c>
      <c r="W152" t="s">
        <v>97</v>
      </c>
    </row>
    <row r="153" spans="1:23" x14ac:dyDescent="0.25">
      <c r="A153">
        <v>152</v>
      </c>
      <c r="B153">
        <v>28</v>
      </c>
      <c r="C153" t="str" cm="1">
        <f t="array" ref="C153">_xlfn.IFS(
  AND(B153&gt;=18, B153&lt;=24), "18-24",
  AND(B153&gt;=25, B153&lt;=34), "25-34",
  AND(B153&gt;=35, B153&lt;=44), "35-44",
  AND(B153&gt;=45, B153&lt;=54), "45-54",
  B153&gt;=55, "55+"
)</f>
        <v>25-34</v>
      </c>
      <c r="D153" t="s">
        <v>19</v>
      </c>
      <c r="E153" t="s">
        <v>89</v>
      </c>
      <c r="F153" t="s">
        <v>69</v>
      </c>
      <c r="G153">
        <v>47</v>
      </c>
      <c r="H153" t="s">
        <v>114</v>
      </c>
      <c r="I153" t="s">
        <v>23</v>
      </c>
      <c r="J153" t="s">
        <v>49</v>
      </c>
      <c r="K153" t="s">
        <v>58</v>
      </c>
      <c r="L153">
        <v>4.5</v>
      </c>
      <c r="M153" t="s">
        <v>26</v>
      </c>
      <c r="N153" t="s">
        <v>59</v>
      </c>
      <c r="O153" t="s">
        <v>47</v>
      </c>
      <c r="P153" t="s">
        <v>26</v>
      </c>
      <c r="Q153" t="s">
        <v>26</v>
      </c>
      <c r="R153">
        <v>3</v>
      </c>
      <c r="S153" t="s">
        <v>29</v>
      </c>
      <c r="T153" t="str">
        <f t="shared" si="4"/>
        <v>Annually</v>
      </c>
      <c r="U153">
        <f>VLOOKUP(T153,[1]tablescore!$B$3:$C$8, 2,FALSE)</f>
        <v>1</v>
      </c>
      <c r="V153" t="str">
        <f t="shared" si="5"/>
        <v>Low Loyalty</v>
      </c>
      <c r="W153" t="s">
        <v>50</v>
      </c>
    </row>
    <row r="154" spans="1:23" x14ac:dyDescent="0.25">
      <c r="A154">
        <v>153</v>
      </c>
      <c r="B154">
        <v>30</v>
      </c>
      <c r="C154" t="str" cm="1">
        <f t="array" ref="C154">_xlfn.IFS(
  AND(B154&gt;=18, B154&lt;=24), "18-24",
  AND(B154&gt;=25, B154&lt;=34), "25-34",
  AND(B154&gt;=35, B154&lt;=44), "35-44",
  AND(B154&gt;=45, B154&lt;=54), "45-54",
  B154&gt;=55, "55+"
)</f>
        <v>25-34</v>
      </c>
      <c r="D154" t="s">
        <v>19</v>
      </c>
      <c r="E154" t="s">
        <v>56</v>
      </c>
      <c r="F154" t="s">
        <v>21</v>
      </c>
      <c r="G154">
        <v>85</v>
      </c>
      <c r="H154" t="s">
        <v>126</v>
      </c>
      <c r="I154" t="s">
        <v>38</v>
      </c>
      <c r="J154" t="s">
        <v>110</v>
      </c>
      <c r="K154" t="s">
        <v>54</v>
      </c>
      <c r="L154">
        <v>4.3</v>
      </c>
      <c r="M154" t="s">
        <v>26</v>
      </c>
      <c r="N154" t="s">
        <v>46</v>
      </c>
      <c r="O154" t="s">
        <v>28</v>
      </c>
      <c r="P154" t="s">
        <v>26</v>
      </c>
      <c r="Q154" t="s">
        <v>26</v>
      </c>
      <c r="R154">
        <v>42</v>
      </c>
      <c r="S154" t="s">
        <v>29</v>
      </c>
      <c r="T154" t="str">
        <f t="shared" si="4"/>
        <v>Annually</v>
      </c>
      <c r="U154">
        <f>VLOOKUP(T154,[1]tablescore!$B$3:$C$8, 2,FALSE)</f>
        <v>1</v>
      </c>
      <c r="V154" t="str">
        <f t="shared" si="5"/>
        <v>Low Loyalty</v>
      </c>
      <c r="W154" t="s">
        <v>50</v>
      </c>
    </row>
    <row r="155" spans="1:23" x14ac:dyDescent="0.25">
      <c r="A155">
        <v>154</v>
      </c>
      <c r="B155">
        <v>69</v>
      </c>
      <c r="C155" t="str" cm="1">
        <f t="array" ref="C155">_xlfn.IFS(
  AND(B155&gt;=18, B155&lt;=24), "18-24",
  AND(B155&gt;=25, B155&lt;=34), "25-34",
  AND(B155&gt;=35, B155&lt;=44), "35-44",
  AND(B155&gt;=45, B155&lt;=54), "45-54",
  B155&gt;=55, "55+"
)</f>
        <v>55+</v>
      </c>
      <c r="D155" t="s">
        <v>19</v>
      </c>
      <c r="E155" t="s">
        <v>104</v>
      </c>
      <c r="F155" t="s">
        <v>21</v>
      </c>
      <c r="G155">
        <v>55</v>
      </c>
      <c r="H155" t="s">
        <v>98</v>
      </c>
      <c r="I155" t="s">
        <v>45</v>
      </c>
      <c r="J155" t="s">
        <v>33</v>
      </c>
      <c r="K155" t="s">
        <v>25</v>
      </c>
      <c r="L155">
        <v>3.2</v>
      </c>
      <c r="M155" t="s">
        <v>26</v>
      </c>
      <c r="N155" t="s">
        <v>59</v>
      </c>
      <c r="O155" t="s">
        <v>55</v>
      </c>
      <c r="P155" t="s">
        <v>26</v>
      </c>
      <c r="Q155" t="s">
        <v>26</v>
      </c>
      <c r="R155">
        <v>22</v>
      </c>
      <c r="S155" t="s">
        <v>59</v>
      </c>
      <c r="T155" t="str">
        <f t="shared" si="4"/>
        <v>Annually</v>
      </c>
      <c r="U155">
        <f>VLOOKUP(T155,[1]tablescore!$B$3:$C$8, 2,FALSE)</f>
        <v>1</v>
      </c>
      <c r="V155" t="str">
        <f t="shared" si="5"/>
        <v>Low Loyalty</v>
      </c>
      <c r="W155" t="s">
        <v>50</v>
      </c>
    </row>
    <row r="156" spans="1:23" x14ac:dyDescent="0.25">
      <c r="A156">
        <v>155</v>
      </c>
      <c r="B156">
        <v>41</v>
      </c>
      <c r="C156" t="str" cm="1">
        <f t="array" ref="C156">_xlfn.IFS(
  AND(B156&gt;=18, B156&lt;=24), "18-24",
  AND(B156&gt;=25, B156&lt;=34), "25-34",
  AND(B156&gt;=35, B156&lt;=44), "35-44",
  AND(B156&gt;=45, B156&lt;=54), "45-54",
  B156&gt;=55, "55+"
)</f>
        <v>35-44</v>
      </c>
      <c r="D156" t="s">
        <v>19</v>
      </c>
      <c r="E156" t="s">
        <v>82</v>
      </c>
      <c r="F156" t="s">
        <v>21</v>
      </c>
      <c r="G156">
        <v>98</v>
      </c>
      <c r="H156" t="s">
        <v>101</v>
      </c>
      <c r="I156" t="s">
        <v>45</v>
      </c>
      <c r="J156" t="s">
        <v>63</v>
      </c>
      <c r="K156" t="s">
        <v>58</v>
      </c>
      <c r="L156">
        <v>3.6</v>
      </c>
      <c r="M156" t="s">
        <v>26</v>
      </c>
      <c r="N156" t="s">
        <v>59</v>
      </c>
      <c r="O156" t="s">
        <v>47</v>
      </c>
      <c r="P156" t="s">
        <v>26</v>
      </c>
      <c r="Q156" t="s">
        <v>26</v>
      </c>
      <c r="R156">
        <v>21</v>
      </c>
      <c r="S156" t="s">
        <v>29</v>
      </c>
      <c r="T156" t="str">
        <f t="shared" si="4"/>
        <v>Quarterly</v>
      </c>
      <c r="U156">
        <f>VLOOKUP(T156,[1]tablescore!$B$3:$C$8, 2,FALSE)</f>
        <v>4</v>
      </c>
      <c r="V156" t="str">
        <f t="shared" si="5"/>
        <v>Low Loyalty</v>
      </c>
      <c r="W156" t="s">
        <v>60</v>
      </c>
    </row>
    <row r="157" spans="1:23" x14ac:dyDescent="0.25">
      <c r="A157">
        <v>156</v>
      </c>
      <c r="B157">
        <v>63</v>
      </c>
      <c r="C157" t="str" cm="1">
        <f t="array" ref="C157">_xlfn.IFS(
  AND(B157&gt;=18, B157&lt;=24), "18-24",
  AND(B157&gt;=25, B157&lt;=34), "25-34",
  AND(B157&gt;=35, B157&lt;=44), "35-44",
  AND(B157&gt;=45, B157&lt;=54), "45-54",
  B157&gt;=55, "55+"
)</f>
        <v>55+</v>
      </c>
      <c r="D157" t="s">
        <v>19</v>
      </c>
      <c r="E157" t="s">
        <v>131</v>
      </c>
      <c r="F157" t="s">
        <v>21</v>
      </c>
      <c r="G157">
        <v>77</v>
      </c>
      <c r="H157" t="s">
        <v>32</v>
      </c>
      <c r="I157" t="s">
        <v>38</v>
      </c>
      <c r="J157" t="s">
        <v>79</v>
      </c>
      <c r="K157" t="s">
        <v>39</v>
      </c>
      <c r="L157">
        <v>4.3</v>
      </c>
      <c r="M157" t="s">
        <v>26</v>
      </c>
      <c r="N157" t="s">
        <v>35</v>
      </c>
      <c r="O157" t="s">
        <v>40</v>
      </c>
      <c r="P157" t="s">
        <v>26</v>
      </c>
      <c r="Q157" t="s">
        <v>26</v>
      </c>
      <c r="R157">
        <v>21</v>
      </c>
      <c r="S157" t="s">
        <v>34</v>
      </c>
      <c r="T157" t="str">
        <f t="shared" si="4"/>
        <v>Quarterly</v>
      </c>
      <c r="U157">
        <f>VLOOKUP(T157,[1]tablescore!$B$3:$C$8, 2,FALSE)</f>
        <v>4</v>
      </c>
      <c r="V157" t="str">
        <f t="shared" si="5"/>
        <v>Low Loyalty</v>
      </c>
      <c r="W157" t="s">
        <v>60</v>
      </c>
    </row>
    <row r="158" spans="1:23" x14ac:dyDescent="0.25">
      <c r="A158">
        <v>157</v>
      </c>
      <c r="B158">
        <v>35</v>
      </c>
      <c r="C158" t="str" cm="1">
        <f t="array" ref="C158">_xlfn.IFS(
  AND(B158&gt;=18, B158&lt;=24), "18-24",
  AND(B158&gt;=25, B158&lt;=34), "25-34",
  AND(B158&gt;=35, B158&lt;=44), "35-44",
  AND(B158&gt;=45, B158&lt;=54), "45-54",
  B158&gt;=55, "55+"
)</f>
        <v>35-44</v>
      </c>
      <c r="D158" t="s">
        <v>19</v>
      </c>
      <c r="E158" t="s">
        <v>61</v>
      </c>
      <c r="F158" t="s">
        <v>21</v>
      </c>
      <c r="G158">
        <v>26</v>
      </c>
      <c r="H158" t="s">
        <v>70</v>
      </c>
      <c r="I158" t="s">
        <v>45</v>
      </c>
      <c r="J158" t="s">
        <v>93</v>
      </c>
      <c r="K158" t="s">
        <v>58</v>
      </c>
      <c r="L158">
        <v>4</v>
      </c>
      <c r="M158" t="s">
        <v>26</v>
      </c>
      <c r="N158" t="s">
        <v>29</v>
      </c>
      <c r="O158" t="s">
        <v>55</v>
      </c>
      <c r="P158" t="s">
        <v>26</v>
      </c>
      <c r="Q158" t="s">
        <v>26</v>
      </c>
      <c r="R158">
        <v>40</v>
      </c>
      <c r="S158" t="s">
        <v>59</v>
      </c>
      <c r="T158" t="str">
        <f t="shared" si="4"/>
        <v>Annually</v>
      </c>
      <c r="U158">
        <f>VLOOKUP(T158,[1]tablescore!$B$3:$C$8, 2,FALSE)</f>
        <v>1</v>
      </c>
      <c r="V158" t="str">
        <f t="shared" si="5"/>
        <v>Low Loyalty</v>
      </c>
      <c r="W158" t="s">
        <v>50</v>
      </c>
    </row>
    <row r="159" spans="1:23" x14ac:dyDescent="0.25">
      <c r="A159">
        <v>158</v>
      </c>
      <c r="B159">
        <v>36</v>
      </c>
      <c r="C159" t="str" cm="1">
        <f t="array" ref="C159">_xlfn.IFS(
  AND(B159&gt;=18, B159&lt;=24), "18-24",
  AND(B159&gt;=25, B159&lt;=34), "25-34",
  AND(B159&gt;=35, B159&lt;=44), "35-44",
  AND(B159&gt;=45, B159&lt;=54), "45-54",
  B159&gt;=55, "55+"
)</f>
        <v>35-44</v>
      </c>
      <c r="D159" t="s">
        <v>19</v>
      </c>
      <c r="E159" t="s">
        <v>125</v>
      </c>
      <c r="F159" t="s">
        <v>69</v>
      </c>
      <c r="G159">
        <v>68</v>
      </c>
      <c r="H159" t="s">
        <v>145</v>
      </c>
      <c r="I159" t="s">
        <v>38</v>
      </c>
      <c r="J159" t="s">
        <v>139</v>
      </c>
      <c r="K159" t="s">
        <v>58</v>
      </c>
      <c r="L159">
        <v>3</v>
      </c>
      <c r="M159" t="s">
        <v>26</v>
      </c>
      <c r="N159" t="s">
        <v>59</v>
      </c>
      <c r="O159" t="s">
        <v>47</v>
      </c>
      <c r="P159" t="s">
        <v>26</v>
      </c>
      <c r="Q159" t="s">
        <v>26</v>
      </c>
      <c r="R159">
        <v>1</v>
      </c>
      <c r="S159" t="s">
        <v>34</v>
      </c>
      <c r="T159" t="str">
        <f t="shared" si="4"/>
        <v>2-week</v>
      </c>
      <c r="U159">
        <f>VLOOKUP(T159,[1]tablescore!$B$3:$C$8, 2,FALSE)</f>
        <v>26</v>
      </c>
      <c r="V159" t="str">
        <f t="shared" si="5"/>
        <v>Loyal</v>
      </c>
      <c r="W159" t="s">
        <v>30</v>
      </c>
    </row>
    <row r="160" spans="1:23" x14ac:dyDescent="0.25">
      <c r="A160">
        <v>159</v>
      </c>
      <c r="B160">
        <v>25</v>
      </c>
      <c r="C160" t="str" cm="1">
        <f t="array" ref="C160">_xlfn.IFS(
  AND(B160&gt;=18, B160&lt;=24), "18-24",
  AND(B160&gt;=25, B160&lt;=34), "25-34",
  AND(B160&gt;=35, B160&lt;=44), "35-44",
  AND(B160&gt;=45, B160&lt;=54), "45-54",
  B160&gt;=55, "55+"
)</f>
        <v>25-34</v>
      </c>
      <c r="D160" t="s">
        <v>19</v>
      </c>
      <c r="E160" t="s">
        <v>56</v>
      </c>
      <c r="F160" t="s">
        <v>21</v>
      </c>
      <c r="G160">
        <v>73</v>
      </c>
      <c r="H160" t="s">
        <v>146</v>
      </c>
      <c r="I160" t="s">
        <v>92</v>
      </c>
      <c r="J160" t="s">
        <v>86</v>
      </c>
      <c r="K160" t="s">
        <v>58</v>
      </c>
      <c r="L160">
        <v>4.0999999999999996</v>
      </c>
      <c r="M160" t="s">
        <v>26</v>
      </c>
      <c r="N160" t="s">
        <v>34</v>
      </c>
      <c r="O160" t="s">
        <v>55</v>
      </c>
      <c r="P160" t="s">
        <v>26</v>
      </c>
      <c r="Q160" t="s">
        <v>26</v>
      </c>
      <c r="R160">
        <v>50</v>
      </c>
      <c r="S160" t="s">
        <v>34</v>
      </c>
      <c r="T160" t="str">
        <f t="shared" si="4"/>
        <v>Month</v>
      </c>
      <c r="U160">
        <f>VLOOKUP(T160,[1]tablescore!$B$3:$C$8, 2,FALSE)</f>
        <v>12</v>
      </c>
      <c r="V160" t="str">
        <f t="shared" si="5"/>
        <v>Moderate</v>
      </c>
      <c r="W160" t="s">
        <v>88</v>
      </c>
    </row>
    <row r="161" spans="1:23" x14ac:dyDescent="0.25">
      <c r="A161">
        <v>160</v>
      </c>
      <c r="B161">
        <v>58</v>
      </c>
      <c r="C161" t="str" cm="1">
        <f t="array" ref="C161">_xlfn.IFS(
  AND(B161&gt;=18, B161&lt;=24), "18-24",
  AND(B161&gt;=25, B161&lt;=34), "25-34",
  AND(B161&gt;=35, B161&lt;=44), "35-44",
  AND(B161&gt;=45, B161&lt;=54), "45-54",
  B161&gt;=55, "55+"
)</f>
        <v>55+</v>
      </c>
      <c r="D161" t="s">
        <v>19</v>
      </c>
      <c r="E161" t="s">
        <v>127</v>
      </c>
      <c r="F161" t="s">
        <v>69</v>
      </c>
      <c r="G161">
        <v>27</v>
      </c>
      <c r="H161" t="s">
        <v>83</v>
      </c>
      <c r="I161" t="s">
        <v>45</v>
      </c>
      <c r="J161" t="s">
        <v>63</v>
      </c>
      <c r="K161" t="s">
        <v>58</v>
      </c>
      <c r="L161">
        <v>3.8</v>
      </c>
      <c r="M161" t="s">
        <v>26</v>
      </c>
      <c r="N161" t="s">
        <v>59</v>
      </c>
      <c r="O161" t="s">
        <v>76</v>
      </c>
      <c r="P161" t="s">
        <v>26</v>
      </c>
      <c r="Q161" t="s">
        <v>26</v>
      </c>
      <c r="R161">
        <v>39</v>
      </c>
      <c r="S161" t="s">
        <v>34</v>
      </c>
      <c r="T161" t="str">
        <f t="shared" si="4"/>
        <v>Quarterly</v>
      </c>
      <c r="U161">
        <f>VLOOKUP(T161,[1]tablescore!$B$3:$C$8, 2,FALSE)</f>
        <v>4</v>
      </c>
      <c r="V161" t="str">
        <f t="shared" si="5"/>
        <v>Low Loyalty</v>
      </c>
      <c r="W161" t="s">
        <v>97</v>
      </c>
    </row>
    <row r="162" spans="1:23" x14ac:dyDescent="0.25">
      <c r="A162">
        <v>161</v>
      </c>
      <c r="B162">
        <v>27</v>
      </c>
      <c r="C162" t="str" cm="1">
        <f t="array" ref="C162">_xlfn.IFS(
  AND(B162&gt;=18, B162&lt;=24), "18-24",
  AND(B162&gt;=25, B162&lt;=34), "25-34",
  AND(B162&gt;=35, B162&lt;=44), "35-44",
  AND(B162&gt;=45, B162&lt;=54), "45-54",
  B162&gt;=55, "55+"
)</f>
        <v>25-34</v>
      </c>
      <c r="D162" t="s">
        <v>19</v>
      </c>
      <c r="E162" t="s">
        <v>127</v>
      </c>
      <c r="F162" t="s">
        <v>69</v>
      </c>
      <c r="G162">
        <v>23</v>
      </c>
      <c r="H162" t="s">
        <v>105</v>
      </c>
      <c r="I162" t="s">
        <v>45</v>
      </c>
      <c r="J162" t="s">
        <v>121</v>
      </c>
      <c r="K162" t="s">
        <v>54</v>
      </c>
      <c r="L162">
        <v>4.5999999999999996</v>
      </c>
      <c r="M162" t="s">
        <v>26</v>
      </c>
      <c r="N162" t="s">
        <v>34</v>
      </c>
      <c r="O162" t="s">
        <v>40</v>
      </c>
      <c r="P162" t="s">
        <v>26</v>
      </c>
      <c r="Q162" t="s">
        <v>26</v>
      </c>
      <c r="R162">
        <v>34</v>
      </c>
      <c r="S162" t="s">
        <v>29</v>
      </c>
      <c r="T162" t="str">
        <f t="shared" si="4"/>
        <v>Month</v>
      </c>
      <c r="U162">
        <f>VLOOKUP(T162,[1]tablescore!$B$3:$C$8, 2,FALSE)</f>
        <v>12</v>
      </c>
      <c r="V162" t="str">
        <f t="shared" si="5"/>
        <v>Moderate</v>
      </c>
      <c r="W162" t="s">
        <v>88</v>
      </c>
    </row>
    <row r="163" spans="1:23" x14ac:dyDescent="0.25">
      <c r="A163">
        <v>162</v>
      </c>
      <c r="B163">
        <v>65</v>
      </c>
      <c r="C163" t="str" cm="1">
        <f t="array" ref="C163">_xlfn.IFS(
  AND(B163&gt;=18, B163&lt;=24), "18-24",
  AND(B163&gt;=25, B163&lt;=34), "25-34",
  AND(B163&gt;=35, B163&lt;=44), "35-44",
  AND(B163&gt;=45, B163&lt;=54), "45-54",
  B163&gt;=55, "55+"
)</f>
        <v>55+</v>
      </c>
      <c r="D163" t="s">
        <v>19</v>
      </c>
      <c r="E163" t="s">
        <v>133</v>
      </c>
      <c r="F163" t="s">
        <v>69</v>
      </c>
      <c r="G163">
        <v>49</v>
      </c>
      <c r="H163" t="s">
        <v>114</v>
      </c>
      <c r="I163" t="s">
        <v>45</v>
      </c>
      <c r="J163" t="s">
        <v>79</v>
      </c>
      <c r="K163" t="s">
        <v>58</v>
      </c>
      <c r="L163">
        <v>3</v>
      </c>
      <c r="M163" t="s">
        <v>26</v>
      </c>
      <c r="N163" t="s">
        <v>29</v>
      </c>
      <c r="O163" t="s">
        <v>28</v>
      </c>
      <c r="P163" t="s">
        <v>26</v>
      </c>
      <c r="Q163" t="s">
        <v>26</v>
      </c>
      <c r="R163">
        <v>29</v>
      </c>
      <c r="S163" t="s">
        <v>29</v>
      </c>
      <c r="T163" t="str">
        <f t="shared" si="4"/>
        <v>2-week</v>
      </c>
      <c r="U163">
        <f>VLOOKUP(T163,[1]tablescore!$B$3:$C$8, 2,FALSE)</f>
        <v>26</v>
      </c>
      <c r="V163" t="str">
        <f t="shared" si="5"/>
        <v>Loyal</v>
      </c>
      <c r="W163" t="s">
        <v>30</v>
      </c>
    </row>
    <row r="164" spans="1:23" x14ac:dyDescent="0.25">
      <c r="A164">
        <v>163</v>
      </c>
      <c r="B164">
        <v>54</v>
      </c>
      <c r="C164" t="str" cm="1">
        <f t="array" ref="C164">_xlfn.IFS(
  AND(B164&gt;=18, B164&lt;=24), "18-24",
  AND(B164&gt;=25, B164&lt;=34), "25-34",
  AND(B164&gt;=35, B164&lt;=44), "35-44",
  AND(B164&gt;=45, B164&lt;=54), "45-54",
  B164&gt;=55, "55+"
)</f>
        <v>45-54</v>
      </c>
      <c r="D164" t="s">
        <v>19</v>
      </c>
      <c r="E164" t="s">
        <v>89</v>
      </c>
      <c r="F164" t="s">
        <v>69</v>
      </c>
      <c r="G164">
        <v>74</v>
      </c>
      <c r="H164" t="s">
        <v>99</v>
      </c>
      <c r="I164" t="s">
        <v>45</v>
      </c>
      <c r="J164" t="s">
        <v>49</v>
      </c>
      <c r="K164" t="s">
        <v>54</v>
      </c>
      <c r="L164">
        <v>3</v>
      </c>
      <c r="M164" t="s">
        <v>26</v>
      </c>
      <c r="N164" t="s">
        <v>27</v>
      </c>
      <c r="O164" t="s">
        <v>76</v>
      </c>
      <c r="P164" t="s">
        <v>26</v>
      </c>
      <c r="Q164" t="s">
        <v>26</v>
      </c>
      <c r="R164">
        <v>31</v>
      </c>
      <c r="S164" t="s">
        <v>46</v>
      </c>
      <c r="T164" t="str">
        <f t="shared" si="4"/>
        <v>2-week</v>
      </c>
      <c r="U164">
        <f>VLOOKUP(T164,[1]tablescore!$B$3:$C$8, 2,FALSE)</f>
        <v>26</v>
      </c>
      <c r="V164" t="str">
        <f t="shared" si="5"/>
        <v>Loyal</v>
      </c>
      <c r="W164" t="s">
        <v>77</v>
      </c>
    </row>
    <row r="165" spans="1:23" x14ac:dyDescent="0.25">
      <c r="A165">
        <v>164</v>
      </c>
      <c r="B165">
        <v>54</v>
      </c>
      <c r="C165" t="str" cm="1">
        <f t="array" ref="C165">_xlfn.IFS(
  AND(B165&gt;=18, B165&lt;=24), "18-24",
  AND(B165&gt;=25, B165&lt;=34), "25-34",
  AND(B165&gt;=35, B165&lt;=44), "35-44",
  AND(B165&gt;=45, B165&lt;=54), "45-54",
  B165&gt;=55, "55+"
)</f>
        <v>45-54</v>
      </c>
      <c r="D165" t="s">
        <v>19</v>
      </c>
      <c r="E165" t="s">
        <v>87</v>
      </c>
      <c r="F165" t="s">
        <v>21</v>
      </c>
      <c r="G165">
        <v>67</v>
      </c>
      <c r="H165" t="s">
        <v>128</v>
      </c>
      <c r="I165" t="s">
        <v>45</v>
      </c>
      <c r="J165" t="s">
        <v>75</v>
      </c>
      <c r="K165" t="s">
        <v>54</v>
      </c>
      <c r="L165">
        <v>3.4</v>
      </c>
      <c r="M165" t="s">
        <v>26</v>
      </c>
      <c r="N165" t="s">
        <v>46</v>
      </c>
      <c r="O165" t="s">
        <v>55</v>
      </c>
      <c r="P165" t="s">
        <v>26</v>
      </c>
      <c r="Q165" t="s">
        <v>26</v>
      </c>
      <c r="R165">
        <v>8</v>
      </c>
      <c r="S165" t="s">
        <v>59</v>
      </c>
      <c r="T165" t="str">
        <f t="shared" si="4"/>
        <v>Daily</v>
      </c>
      <c r="U165">
        <f>VLOOKUP(T165,[1]tablescore!$B$3:$C$8, 2,FALSE)</f>
        <v>30</v>
      </c>
      <c r="V165" t="str">
        <f t="shared" si="5"/>
        <v>Highly Loyal</v>
      </c>
      <c r="W165" t="s">
        <v>41</v>
      </c>
    </row>
    <row r="166" spans="1:23" x14ac:dyDescent="0.25">
      <c r="A166">
        <v>165</v>
      </c>
      <c r="B166">
        <v>59</v>
      </c>
      <c r="C166" t="str" cm="1">
        <f t="array" ref="C166">_xlfn.IFS(
  AND(B166&gt;=18, B166&lt;=24), "18-24",
  AND(B166&gt;=25, B166&lt;=34), "25-34",
  AND(B166&gt;=35, B166&lt;=44), "35-44",
  AND(B166&gt;=45, B166&lt;=54), "45-54",
  B166&gt;=55, "55+"
)</f>
        <v>55+</v>
      </c>
      <c r="D166" t="s">
        <v>19</v>
      </c>
      <c r="E166" t="s">
        <v>68</v>
      </c>
      <c r="F166" t="s">
        <v>69</v>
      </c>
      <c r="G166">
        <v>65</v>
      </c>
      <c r="H166" t="s">
        <v>80</v>
      </c>
      <c r="I166" t="s">
        <v>38</v>
      </c>
      <c r="J166" t="s">
        <v>75</v>
      </c>
      <c r="K166" t="s">
        <v>39</v>
      </c>
      <c r="L166">
        <v>2.6</v>
      </c>
      <c r="M166" t="s">
        <v>26</v>
      </c>
      <c r="N166" t="s">
        <v>59</v>
      </c>
      <c r="O166" t="s">
        <v>40</v>
      </c>
      <c r="P166" t="s">
        <v>26</v>
      </c>
      <c r="Q166" t="s">
        <v>26</v>
      </c>
      <c r="R166">
        <v>5</v>
      </c>
      <c r="S166" t="s">
        <v>27</v>
      </c>
      <c r="T166" t="str">
        <f t="shared" si="4"/>
        <v>2-week</v>
      </c>
      <c r="U166">
        <f>VLOOKUP(T166,[1]tablescore!$B$3:$C$8, 2,FALSE)</f>
        <v>26</v>
      </c>
      <c r="V166" t="str">
        <f t="shared" si="5"/>
        <v>Loyal</v>
      </c>
      <c r="W166" t="s">
        <v>30</v>
      </c>
    </row>
    <row r="167" spans="1:23" x14ac:dyDescent="0.25">
      <c r="A167">
        <v>166</v>
      </c>
      <c r="B167">
        <v>42</v>
      </c>
      <c r="C167" t="str" cm="1">
        <f t="array" ref="C167">_xlfn.IFS(
  AND(B167&gt;=18, B167&lt;=24), "18-24",
  AND(B167&gt;=25, B167&lt;=34), "25-34",
  AND(B167&gt;=35, B167&lt;=44), "35-44",
  AND(B167&gt;=45, B167&lt;=54), "45-54",
  B167&gt;=55, "55+"
)</f>
        <v>35-44</v>
      </c>
      <c r="D167" t="s">
        <v>19</v>
      </c>
      <c r="E167" t="s">
        <v>68</v>
      </c>
      <c r="F167" t="s">
        <v>69</v>
      </c>
      <c r="G167">
        <v>60</v>
      </c>
      <c r="H167" t="s">
        <v>22</v>
      </c>
      <c r="I167" t="s">
        <v>38</v>
      </c>
      <c r="J167" t="s">
        <v>139</v>
      </c>
      <c r="K167" t="s">
        <v>25</v>
      </c>
      <c r="L167">
        <v>2.8</v>
      </c>
      <c r="M167" t="s">
        <v>26</v>
      </c>
      <c r="N167" t="s">
        <v>27</v>
      </c>
      <c r="O167" t="s">
        <v>76</v>
      </c>
      <c r="P167" t="s">
        <v>26</v>
      </c>
      <c r="Q167" t="s">
        <v>26</v>
      </c>
      <c r="R167">
        <v>7</v>
      </c>
      <c r="S167" t="s">
        <v>35</v>
      </c>
      <c r="T167" t="str">
        <f t="shared" si="4"/>
        <v>Month</v>
      </c>
      <c r="U167">
        <f>VLOOKUP(T167,[1]tablescore!$B$3:$C$8, 2,FALSE)</f>
        <v>12</v>
      </c>
      <c r="V167" t="str">
        <f t="shared" si="5"/>
        <v>Moderate</v>
      </c>
      <c r="W167" t="s">
        <v>88</v>
      </c>
    </row>
    <row r="168" spans="1:23" x14ac:dyDescent="0.25">
      <c r="A168">
        <v>167</v>
      </c>
      <c r="B168">
        <v>46</v>
      </c>
      <c r="C168" t="str" cm="1">
        <f t="array" ref="C168">_xlfn.IFS(
  AND(B168&gt;=18, B168&lt;=24), "18-24",
  AND(B168&gt;=25, B168&lt;=34), "25-34",
  AND(B168&gt;=35, B168&lt;=44), "35-44",
  AND(B168&gt;=45, B168&lt;=54), "45-54",
  B168&gt;=55, "55+"
)</f>
        <v>45-54</v>
      </c>
      <c r="D168" t="s">
        <v>19</v>
      </c>
      <c r="E168" t="s">
        <v>51</v>
      </c>
      <c r="F168" t="s">
        <v>43</v>
      </c>
      <c r="G168">
        <v>31</v>
      </c>
      <c r="H168" t="s">
        <v>80</v>
      </c>
      <c r="I168" t="s">
        <v>92</v>
      </c>
      <c r="J168" t="s">
        <v>129</v>
      </c>
      <c r="K168" t="s">
        <v>58</v>
      </c>
      <c r="L168">
        <v>4</v>
      </c>
      <c r="M168" t="s">
        <v>26</v>
      </c>
      <c r="N168" t="s">
        <v>35</v>
      </c>
      <c r="O168" t="s">
        <v>76</v>
      </c>
      <c r="P168" t="s">
        <v>26</v>
      </c>
      <c r="Q168" t="s">
        <v>26</v>
      </c>
      <c r="R168">
        <v>30</v>
      </c>
      <c r="S168" t="s">
        <v>35</v>
      </c>
      <c r="T168" t="str">
        <f t="shared" si="4"/>
        <v>Month</v>
      </c>
      <c r="U168">
        <f>VLOOKUP(T168,[1]tablescore!$B$3:$C$8, 2,FALSE)</f>
        <v>12</v>
      </c>
      <c r="V168" t="str">
        <f t="shared" si="5"/>
        <v>Moderate</v>
      </c>
      <c r="W168" t="s">
        <v>88</v>
      </c>
    </row>
    <row r="169" spans="1:23" x14ac:dyDescent="0.25">
      <c r="A169">
        <v>168</v>
      </c>
      <c r="B169">
        <v>33</v>
      </c>
      <c r="C169" t="str" cm="1">
        <f t="array" ref="C169">_xlfn.IFS(
  AND(B169&gt;=18, B169&lt;=24), "18-24",
  AND(B169&gt;=25, B169&lt;=34), "25-34",
  AND(B169&gt;=35, B169&lt;=44), "35-44",
  AND(B169&gt;=45, B169&lt;=54), "45-54",
  B169&gt;=55, "55+"
)</f>
        <v>25-34</v>
      </c>
      <c r="D169" t="s">
        <v>19</v>
      </c>
      <c r="E169" t="s">
        <v>127</v>
      </c>
      <c r="F169" t="s">
        <v>69</v>
      </c>
      <c r="G169">
        <v>27</v>
      </c>
      <c r="H169" t="s">
        <v>74</v>
      </c>
      <c r="I169" t="s">
        <v>45</v>
      </c>
      <c r="J169" t="s">
        <v>96</v>
      </c>
      <c r="K169" t="s">
        <v>58</v>
      </c>
      <c r="L169">
        <v>4</v>
      </c>
      <c r="M169" t="s">
        <v>26</v>
      </c>
      <c r="N169" t="s">
        <v>29</v>
      </c>
      <c r="O169" t="s">
        <v>28</v>
      </c>
      <c r="P169" t="s">
        <v>26</v>
      </c>
      <c r="Q169" t="s">
        <v>26</v>
      </c>
      <c r="R169">
        <v>14</v>
      </c>
      <c r="S169" t="s">
        <v>27</v>
      </c>
      <c r="T169" t="str">
        <f t="shared" si="4"/>
        <v>Quarterly</v>
      </c>
      <c r="U169">
        <f>VLOOKUP(T169,[1]tablescore!$B$3:$C$8, 2,FALSE)</f>
        <v>4</v>
      </c>
      <c r="V169" t="str">
        <f t="shared" si="5"/>
        <v>Low Loyalty</v>
      </c>
      <c r="W169" t="s">
        <v>97</v>
      </c>
    </row>
    <row r="170" spans="1:23" x14ac:dyDescent="0.25">
      <c r="A170">
        <v>169</v>
      </c>
      <c r="B170">
        <v>34</v>
      </c>
      <c r="C170" t="str" cm="1">
        <f t="array" ref="C170">_xlfn.IFS(
  AND(B170&gt;=18, B170&lt;=24), "18-24",
  AND(B170&gt;=25, B170&lt;=34), "25-34",
  AND(B170&gt;=35, B170&lt;=44), "35-44",
  AND(B170&gt;=45, B170&lt;=54), "45-54",
  B170&gt;=55, "55+"
)</f>
        <v>25-34</v>
      </c>
      <c r="D170" t="s">
        <v>19</v>
      </c>
      <c r="E170" t="s">
        <v>73</v>
      </c>
      <c r="F170" t="s">
        <v>43</v>
      </c>
      <c r="G170">
        <v>80</v>
      </c>
      <c r="H170" t="s">
        <v>62</v>
      </c>
      <c r="I170" t="s">
        <v>45</v>
      </c>
      <c r="J170" t="s">
        <v>147</v>
      </c>
      <c r="K170" t="s">
        <v>54</v>
      </c>
      <c r="L170">
        <v>3</v>
      </c>
      <c r="M170" t="s">
        <v>26</v>
      </c>
      <c r="N170" t="s">
        <v>34</v>
      </c>
      <c r="O170" t="s">
        <v>28</v>
      </c>
      <c r="P170" t="s">
        <v>26</v>
      </c>
      <c r="Q170" t="s">
        <v>26</v>
      </c>
      <c r="R170">
        <v>5</v>
      </c>
      <c r="S170" t="s">
        <v>35</v>
      </c>
      <c r="T170" t="str">
        <f t="shared" si="4"/>
        <v>2-week</v>
      </c>
      <c r="U170">
        <f>VLOOKUP(T170,[1]tablescore!$B$3:$C$8, 2,FALSE)</f>
        <v>26</v>
      </c>
      <c r="V170" t="str">
        <f t="shared" si="5"/>
        <v>Loyal</v>
      </c>
      <c r="W170" t="s">
        <v>30</v>
      </c>
    </row>
    <row r="171" spans="1:23" x14ac:dyDescent="0.25">
      <c r="A171">
        <v>170</v>
      </c>
      <c r="B171">
        <v>27</v>
      </c>
      <c r="C171" t="str" cm="1">
        <f t="array" ref="C171">_xlfn.IFS(
  AND(B171&gt;=18, B171&lt;=24), "18-24",
  AND(B171&gt;=25, B171&lt;=34), "25-34",
  AND(B171&gt;=35, B171&lt;=44), "35-44",
  AND(B171&gt;=45, B171&lt;=54), "45-54",
  B171&gt;=55, "55+"
)</f>
        <v>25-34</v>
      </c>
      <c r="D171" t="s">
        <v>19</v>
      </c>
      <c r="E171" t="s">
        <v>102</v>
      </c>
      <c r="F171" t="s">
        <v>65</v>
      </c>
      <c r="G171">
        <v>30</v>
      </c>
      <c r="H171" t="s">
        <v>107</v>
      </c>
      <c r="I171" t="s">
        <v>38</v>
      </c>
      <c r="J171" t="s">
        <v>81</v>
      </c>
      <c r="K171" t="s">
        <v>54</v>
      </c>
      <c r="L171">
        <v>3.3</v>
      </c>
      <c r="M171" t="s">
        <v>26</v>
      </c>
      <c r="N171" t="s">
        <v>27</v>
      </c>
      <c r="O171" t="s">
        <v>55</v>
      </c>
      <c r="P171" t="s">
        <v>26</v>
      </c>
      <c r="Q171" t="s">
        <v>26</v>
      </c>
      <c r="R171">
        <v>3</v>
      </c>
      <c r="S171" t="s">
        <v>46</v>
      </c>
      <c r="T171" t="str">
        <f t="shared" si="4"/>
        <v>Quarterly</v>
      </c>
      <c r="U171">
        <f>VLOOKUP(T171,[1]tablescore!$B$3:$C$8, 2,FALSE)</f>
        <v>4</v>
      </c>
      <c r="V171" t="str">
        <f t="shared" si="5"/>
        <v>Low Loyalty</v>
      </c>
      <c r="W171" t="s">
        <v>97</v>
      </c>
    </row>
    <row r="172" spans="1:23" x14ac:dyDescent="0.25">
      <c r="A172">
        <v>171</v>
      </c>
      <c r="B172">
        <v>52</v>
      </c>
      <c r="C172" t="str" cm="1">
        <f t="array" ref="C172">_xlfn.IFS(
  AND(B172&gt;=18, B172&lt;=24), "18-24",
  AND(B172&gt;=25, B172&lt;=34), "25-34",
  AND(B172&gt;=35, B172&lt;=44), "35-44",
  AND(B172&gt;=45, B172&lt;=54), "45-54",
  B172&gt;=55, "55+"
)</f>
        <v>45-54</v>
      </c>
      <c r="D172" t="s">
        <v>19</v>
      </c>
      <c r="E172" t="s">
        <v>56</v>
      </c>
      <c r="F172" t="s">
        <v>21</v>
      </c>
      <c r="G172">
        <v>25</v>
      </c>
      <c r="H172" t="s">
        <v>52</v>
      </c>
      <c r="I172" t="s">
        <v>45</v>
      </c>
      <c r="J172" t="s">
        <v>33</v>
      </c>
      <c r="K172" t="s">
        <v>58</v>
      </c>
      <c r="L172">
        <v>2.6</v>
      </c>
      <c r="M172" t="s">
        <v>26</v>
      </c>
      <c r="N172" t="s">
        <v>29</v>
      </c>
      <c r="O172" t="s">
        <v>76</v>
      </c>
      <c r="P172" t="s">
        <v>26</v>
      </c>
      <c r="Q172" t="s">
        <v>26</v>
      </c>
      <c r="R172">
        <v>46</v>
      </c>
      <c r="S172" t="s">
        <v>29</v>
      </c>
      <c r="T172" t="str">
        <f t="shared" si="4"/>
        <v>2-week</v>
      </c>
      <c r="U172">
        <f>VLOOKUP(T172,[1]tablescore!$B$3:$C$8, 2,FALSE)</f>
        <v>26</v>
      </c>
      <c r="V172" t="str">
        <f t="shared" si="5"/>
        <v>Loyal</v>
      </c>
      <c r="W172" t="s">
        <v>77</v>
      </c>
    </row>
    <row r="173" spans="1:23" x14ac:dyDescent="0.25">
      <c r="A173">
        <v>172</v>
      </c>
      <c r="B173">
        <v>29</v>
      </c>
      <c r="C173" t="str" cm="1">
        <f t="array" ref="C173">_xlfn.IFS(
  AND(B173&gt;=18, B173&lt;=24), "18-24",
  AND(B173&gt;=25, B173&lt;=34), "25-34",
  AND(B173&gt;=35, B173&lt;=44), "35-44",
  AND(B173&gt;=45, B173&lt;=54), "45-54",
  B173&gt;=55, "55+"
)</f>
        <v>25-34</v>
      </c>
      <c r="D173" t="s">
        <v>19</v>
      </c>
      <c r="E173" t="s">
        <v>61</v>
      </c>
      <c r="F173" t="s">
        <v>21</v>
      </c>
      <c r="G173">
        <v>35</v>
      </c>
      <c r="H173" t="s">
        <v>128</v>
      </c>
      <c r="I173" t="s">
        <v>45</v>
      </c>
      <c r="J173" t="s">
        <v>138</v>
      </c>
      <c r="K173" t="s">
        <v>54</v>
      </c>
      <c r="L173">
        <v>3.6</v>
      </c>
      <c r="M173" t="s">
        <v>26</v>
      </c>
      <c r="N173" t="s">
        <v>59</v>
      </c>
      <c r="O173" t="s">
        <v>76</v>
      </c>
      <c r="P173" t="s">
        <v>26</v>
      </c>
      <c r="Q173" t="s">
        <v>26</v>
      </c>
      <c r="R173">
        <v>4</v>
      </c>
      <c r="S173" t="s">
        <v>27</v>
      </c>
      <c r="T173" t="str">
        <f t="shared" si="4"/>
        <v>Daily</v>
      </c>
      <c r="U173">
        <f>VLOOKUP(T173,[1]tablescore!$B$3:$C$8, 2,FALSE)</f>
        <v>30</v>
      </c>
      <c r="V173" t="str">
        <f t="shared" si="5"/>
        <v>Highly Loyal</v>
      </c>
      <c r="W173" t="s">
        <v>41</v>
      </c>
    </row>
    <row r="174" spans="1:23" x14ac:dyDescent="0.25">
      <c r="A174">
        <v>173</v>
      </c>
      <c r="B174">
        <v>54</v>
      </c>
      <c r="C174" t="str" cm="1">
        <f t="array" ref="C174">_xlfn.IFS(
  AND(B174&gt;=18, B174&lt;=24), "18-24",
  AND(B174&gt;=25, B174&lt;=34), "25-34",
  AND(B174&gt;=35, B174&lt;=44), "35-44",
  AND(B174&gt;=45, B174&lt;=54), "45-54",
  B174&gt;=55, "55+"
)</f>
        <v>45-54</v>
      </c>
      <c r="D174" t="s">
        <v>19</v>
      </c>
      <c r="E174" t="s">
        <v>106</v>
      </c>
      <c r="F174" t="s">
        <v>69</v>
      </c>
      <c r="G174">
        <v>67</v>
      </c>
      <c r="H174" t="s">
        <v>143</v>
      </c>
      <c r="I174" t="s">
        <v>45</v>
      </c>
      <c r="J174" t="s">
        <v>84</v>
      </c>
      <c r="K174" t="s">
        <v>54</v>
      </c>
      <c r="L174">
        <v>3.9</v>
      </c>
      <c r="M174" t="s">
        <v>26</v>
      </c>
      <c r="N174" t="s">
        <v>34</v>
      </c>
      <c r="O174" t="s">
        <v>47</v>
      </c>
      <c r="P174" t="s">
        <v>26</v>
      </c>
      <c r="Q174" t="s">
        <v>26</v>
      </c>
      <c r="R174">
        <v>42</v>
      </c>
      <c r="S174" t="s">
        <v>27</v>
      </c>
      <c r="T174" t="str">
        <f t="shared" si="4"/>
        <v>2-week</v>
      </c>
      <c r="U174">
        <f>VLOOKUP(T174,[1]tablescore!$B$3:$C$8, 2,FALSE)</f>
        <v>26</v>
      </c>
      <c r="V174" t="str">
        <f t="shared" si="5"/>
        <v>Loyal</v>
      </c>
      <c r="W174" t="s">
        <v>77</v>
      </c>
    </row>
    <row r="175" spans="1:23" x14ac:dyDescent="0.25">
      <c r="A175">
        <v>174</v>
      </c>
      <c r="B175">
        <v>25</v>
      </c>
      <c r="C175" t="str" cm="1">
        <f t="array" ref="C175">_xlfn.IFS(
  AND(B175&gt;=18, B175&lt;=24), "18-24",
  AND(B175&gt;=25, B175&lt;=34), "25-34",
  AND(B175&gt;=35, B175&lt;=44), "35-44",
  AND(B175&gt;=45, B175&lt;=54), "45-54",
  B175&gt;=55, "55+"
)</f>
        <v>25-34</v>
      </c>
      <c r="D175" t="s">
        <v>19</v>
      </c>
      <c r="E175" t="s">
        <v>125</v>
      </c>
      <c r="F175" t="s">
        <v>69</v>
      </c>
      <c r="G175">
        <v>46</v>
      </c>
      <c r="H175" t="s">
        <v>78</v>
      </c>
      <c r="I175" t="s">
        <v>45</v>
      </c>
      <c r="J175" t="s">
        <v>49</v>
      </c>
      <c r="K175" t="s">
        <v>58</v>
      </c>
      <c r="L175">
        <v>3.4</v>
      </c>
      <c r="M175" t="s">
        <v>26</v>
      </c>
      <c r="N175" t="s">
        <v>46</v>
      </c>
      <c r="O175" t="s">
        <v>55</v>
      </c>
      <c r="P175" t="s">
        <v>26</v>
      </c>
      <c r="Q175" t="s">
        <v>26</v>
      </c>
      <c r="R175">
        <v>30</v>
      </c>
      <c r="S175" t="s">
        <v>35</v>
      </c>
      <c r="T175" t="str">
        <f t="shared" si="4"/>
        <v>Annually</v>
      </c>
      <c r="U175">
        <f>VLOOKUP(T175,[1]tablescore!$B$3:$C$8, 2,FALSE)</f>
        <v>1</v>
      </c>
      <c r="V175" t="str">
        <f t="shared" si="5"/>
        <v>Low Loyalty</v>
      </c>
      <c r="W175" t="s">
        <v>50</v>
      </c>
    </row>
    <row r="176" spans="1:23" x14ac:dyDescent="0.25">
      <c r="A176">
        <v>175</v>
      </c>
      <c r="B176">
        <v>41</v>
      </c>
      <c r="C176" t="str" cm="1">
        <f t="array" ref="C176">_xlfn.IFS(
  AND(B176&gt;=18, B176&lt;=24), "18-24",
  AND(B176&gt;=25, B176&lt;=34), "25-34",
  AND(B176&gt;=35, B176&lt;=44), "35-44",
  AND(B176&gt;=45, B176&lt;=54), "45-54",
  B176&gt;=55, "55+"
)</f>
        <v>35-44</v>
      </c>
      <c r="D176" t="s">
        <v>19</v>
      </c>
      <c r="E176" t="s">
        <v>73</v>
      </c>
      <c r="F176" t="s">
        <v>43</v>
      </c>
      <c r="G176">
        <v>35</v>
      </c>
      <c r="H176" t="s">
        <v>145</v>
      </c>
      <c r="I176" t="s">
        <v>23</v>
      </c>
      <c r="J176" t="s">
        <v>110</v>
      </c>
      <c r="K176" t="s">
        <v>25</v>
      </c>
      <c r="L176">
        <v>3.5</v>
      </c>
      <c r="M176" t="s">
        <v>26</v>
      </c>
      <c r="N176" t="s">
        <v>29</v>
      </c>
      <c r="O176" t="s">
        <v>28</v>
      </c>
      <c r="P176" t="s">
        <v>26</v>
      </c>
      <c r="Q176" t="s">
        <v>26</v>
      </c>
      <c r="R176">
        <v>37</v>
      </c>
      <c r="S176" t="s">
        <v>29</v>
      </c>
      <c r="T176" t="str">
        <f t="shared" si="4"/>
        <v>Annually</v>
      </c>
      <c r="U176">
        <f>VLOOKUP(T176,[1]tablescore!$B$3:$C$8, 2,FALSE)</f>
        <v>1</v>
      </c>
      <c r="V176" t="str">
        <f t="shared" si="5"/>
        <v>Low Loyalty</v>
      </c>
      <c r="W176" t="s">
        <v>50</v>
      </c>
    </row>
    <row r="177" spans="1:23" x14ac:dyDescent="0.25">
      <c r="A177">
        <v>176</v>
      </c>
      <c r="B177">
        <v>53</v>
      </c>
      <c r="C177" t="str" cm="1">
        <f t="array" ref="C177">_xlfn.IFS(
  AND(B177&gt;=18, B177&lt;=24), "18-24",
  AND(B177&gt;=25, B177&lt;=34), "25-34",
  AND(B177&gt;=35, B177&lt;=44), "35-44",
  AND(B177&gt;=45, B177&lt;=54), "45-54",
  B177&gt;=55, "55+"
)</f>
        <v>45-54</v>
      </c>
      <c r="D177" t="s">
        <v>19</v>
      </c>
      <c r="E177" t="s">
        <v>64</v>
      </c>
      <c r="F177" t="s">
        <v>65</v>
      </c>
      <c r="G177">
        <v>86</v>
      </c>
      <c r="H177" t="s">
        <v>101</v>
      </c>
      <c r="I177" t="s">
        <v>23</v>
      </c>
      <c r="J177" t="s">
        <v>84</v>
      </c>
      <c r="K177" t="s">
        <v>58</v>
      </c>
      <c r="L177">
        <v>2.8</v>
      </c>
      <c r="M177" t="s">
        <v>26</v>
      </c>
      <c r="N177" t="s">
        <v>59</v>
      </c>
      <c r="O177" t="s">
        <v>47</v>
      </c>
      <c r="P177" t="s">
        <v>26</v>
      </c>
      <c r="Q177" t="s">
        <v>26</v>
      </c>
      <c r="R177">
        <v>2</v>
      </c>
      <c r="S177" t="s">
        <v>34</v>
      </c>
      <c r="T177" t="str">
        <f t="shared" si="4"/>
        <v>Annually</v>
      </c>
      <c r="U177">
        <f>VLOOKUP(T177,[1]tablescore!$B$3:$C$8, 2,FALSE)</f>
        <v>1</v>
      </c>
      <c r="V177" t="str">
        <f t="shared" si="5"/>
        <v>Low Loyalty</v>
      </c>
      <c r="W177" t="s">
        <v>50</v>
      </c>
    </row>
    <row r="178" spans="1:23" x14ac:dyDescent="0.25">
      <c r="A178">
        <v>177</v>
      </c>
      <c r="B178">
        <v>53</v>
      </c>
      <c r="C178" t="str" cm="1">
        <f t="array" ref="C178">_xlfn.IFS(
  AND(B178&gt;=18, B178&lt;=24), "18-24",
  AND(B178&gt;=25, B178&lt;=34), "25-34",
  AND(B178&gt;=35, B178&lt;=44), "35-44",
  AND(B178&gt;=45, B178&lt;=54), "45-54",
  B178&gt;=55, "55+"
)</f>
        <v>45-54</v>
      </c>
      <c r="D178" t="s">
        <v>19</v>
      </c>
      <c r="E178" t="s">
        <v>133</v>
      </c>
      <c r="F178" t="s">
        <v>69</v>
      </c>
      <c r="G178">
        <v>81</v>
      </c>
      <c r="H178" t="s">
        <v>83</v>
      </c>
      <c r="I178" t="s">
        <v>23</v>
      </c>
      <c r="J178" t="s">
        <v>94</v>
      </c>
      <c r="K178" t="s">
        <v>39</v>
      </c>
      <c r="L178">
        <v>2.7</v>
      </c>
      <c r="M178" t="s">
        <v>26</v>
      </c>
      <c r="N178" t="s">
        <v>34</v>
      </c>
      <c r="O178" t="s">
        <v>47</v>
      </c>
      <c r="P178" t="s">
        <v>26</v>
      </c>
      <c r="Q178" t="s">
        <v>26</v>
      </c>
      <c r="R178">
        <v>30</v>
      </c>
      <c r="S178" t="s">
        <v>27</v>
      </c>
      <c r="T178" t="str">
        <f t="shared" si="4"/>
        <v>Quarterly</v>
      </c>
      <c r="U178">
        <f>VLOOKUP(T178,[1]tablescore!$B$3:$C$8, 2,FALSE)</f>
        <v>4</v>
      </c>
      <c r="V178" t="str">
        <f t="shared" si="5"/>
        <v>Low Loyalty</v>
      </c>
      <c r="W178" t="s">
        <v>60</v>
      </c>
    </row>
    <row r="179" spans="1:23" x14ac:dyDescent="0.25">
      <c r="A179">
        <v>178</v>
      </c>
      <c r="B179">
        <v>21</v>
      </c>
      <c r="C179" t="str" cm="1">
        <f t="array" ref="C179">_xlfn.IFS(
  AND(B179&gt;=18, B179&lt;=24), "18-24",
  AND(B179&gt;=25, B179&lt;=34), "25-34",
  AND(B179&gt;=35, B179&lt;=44), "35-44",
  AND(B179&gt;=45, B179&lt;=54), "45-54",
  B179&gt;=55, "55+"
)</f>
        <v>18-24</v>
      </c>
      <c r="D179" t="s">
        <v>19</v>
      </c>
      <c r="E179" t="s">
        <v>104</v>
      </c>
      <c r="F179" t="s">
        <v>21</v>
      </c>
      <c r="G179">
        <v>42</v>
      </c>
      <c r="H179" t="s">
        <v>111</v>
      </c>
      <c r="I179" t="s">
        <v>23</v>
      </c>
      <c r="J179" t="s">
        <v>147</v>
      </c>
      <c r="K179" t="s">
        <v>58</v>
      </c>
      <c r="L179">
        <v>3.7</v>
      </c>
      <c r="M179" t="s">
        <v>26</v>
      </c>
      <c r="N179" t="s">
        <v>59</v>
      </c>
      <c r="O179" t="s">
        <v>47</v>
      </c>
      <c r="P179" t="s">
        <v>26</v>
      </c>
      <c r="Q179" t="s">
        <v>26</v>
      </c>
      <c r="R179">
        <v>47</v>
      </c>
      <c r="S179" t="s">
        <v>34</v>
      </c>
      <c r="T179" t="str">
        <f t="shared" si="4"/>
        <v>Month</v>
      </c>
      <c r="U179">
        <f>VLOOKUP(T179,[1]tablescore!$B$3:$C$8, 2,FALSE)</f>
        <v>12</v>
      </c>
      <c r="V179" t="str">
        <f t="shared" si="5"/>
        <v>Moderate</v>
      </c>
      <c r="W179" t="s">
        <v>88</v>
      </c>
    </row>
    <row r="180" spans="1:23" x14ac:dyDescent="0.25">
      <c r="A180">
        <v>179</v>
      </c>
      <c r="B180">
        <v>61</v>
      </c>
      <c r="C180" t="str" cm="1">
        <f t="array" ref="C180">_xlfn.IFS(
  AND(B180&gt;=18, B180&lt;=24), "18-24",
  AND(B180&gt;=25, B180&lt;=34), "25-34",
  AND(B180&gt;=35, B180&lt;=44), "35-44",
  AND(B180&gt;=45, B180&lt;=54), "45-54",
  B180&gt;=55, "55+"
)</f>
        <v>55+</v>
      </c>
      <c r="D180" t="s">
        <v>19</v>
      </c>
      <c r="E180" t="s">
        <v>87</v>
      </c>
      <c r="F180" t="s">
        <v>21</v>
      </c>
      <c r="G180">
        <v>43</v>
      </c>
      <c r="H180" t="s">
        <v>144</v>
      </c>
      <c r="I180" t="s">
        <v>23</v>
      </c>
      <c r="J180" t="s">
        <v>93</v>
      </c>
      <c r="K180" t="s">
        <v>58</v>
      </c>
      <c r="L180">
        <v>4.3</v>
      </c>
      <c r="M180" t="s">
        <v>26</v>
      </c>
      <c r="N180" t="s">
        <v>59</v>
      </c>
      <c r="O180" t="s">
        <v>72</v>
      </c>
      <c r="P180" t="s">
        <v>26</v>
      </c>
      <c r="Q180" t="s">
        <v>26</v>
      </c>
      <c r="R180">
        <v>21</v>
      </c>
      <c r="S180" t="s">
        <v>46</v>
      </c>
      <c r="T180" t="str">
        <f t="shared" si="4"/>
        <v>Quarterly</v>
      </c>
      <c r="U180">
        <f>VLOOKUP(T180,[1]tablescore!$B$3:$C$8, 2,FALSE)</f>
        <v>4</v>
      </c>
      <c r="V180" t="str">
        <f t="shared" si="5"/>
        <v>Low Loyalty</v>
      </c>
      <c r="W180" t="s">
        <v>60</v>
      </c>
    </row>
    <row r="181" spans="1:23" x14ac:dyDescent="0.25">
      <c r="A181">
        <v>180</v>
      </c>
      <c r="B181">
        <v>64</v>
      </c>
      <c r="C181" t="str" cm="1">
        <f t="array" ref="C181">_xlfn.IFS(
  AND(B181&gt;=18, B181&lt;=24), "18-24",
  AND(B181&gt;=25, B181&lt;=34), "25-34",
  AND(B181&gt;=35, B181&lt;=44), "35-44",
  AND(B181&gt;=45, B181&lt;=54), "45-54",
  B181&gt;=55, "55+"
)</f>
        <v>55+</v>
      </c>
      <c r="D181" t="s">
        <v>19</v>
      </c>
      <c r="E181" t="s">
        <v>132</v>
      </c>
      <c r="F181" t="s">
        <v>43</v>
      </c>
      <c r="G181">
        <v>31</v>
      </c>
      <c r="H181" t="s">
        <v>115</v>
      </c>
      <c r="I181" t="s">
        <v>45</v>
      </c>
      <c r="J181" t="s">
        <v>84</v>
      </c>
      <c r="K181" t="s">
        <v>58</v>
      </c>
      <c r="L181">
        <v>4.9000000000000004</v>
      </c>
      <c r="M181" t="s">
        <v>26</v>
      </c>
      <c r="N181" t="s">
        <v>59</v>
      </c>
      <c r="O181" t="s">
        <v>76</v>
      </c>
      <c r="P181" t="s">
        <v>26</v>
      </c>
      <c r="Q181" t="s">
        <v>26</v>
      </c>
      <c r="R181">
        <v>9</v>
      </c>
      <c r="S181" t="s">
        <v>34</v>
      </c>
      <c r="T181" t="str">
        <f t="shared" si="4"/>
        <v>2-week</v>
      </c>
      <c r="U181">
        <f>VLOOKUP(T181,[1]tablescore!$B$3:$C$8, 2,FALSE)</f>
        <v>26</v>
      </c>
      <c r="V181" t="str">
        <f t="shared" si="5"/>
        <v>Loyal</v>
      </c>
      <c r="W181" t="s">
        <v>30</v>
      </c>
    </row>
    <row r="182" spans="1:23" x14ac:dyDescent="0.25">
      <c r="A182">
        <v>181</v>
      </c>
      <c r="B182">
        <v>51</v>
      </c>
      <c r="C182" t="str" cm="1">
        <f t="array" ref="C182">_xlfn.IFS(
  AND(B182&gt;=18, B182&lt;=24), "18-24",
  AND(B182&gt;=25, B182&lt;=34), "25-34",
  AND(B182&gt;=35, B182&lt;=44), "35-44",
  AND(B182&gt;=45, B182&lt;=54), "45-54",
  B182&gt;=55, "55+"
)</f>
        <v>45-54</v>
      </c>
      <c r="D182" t="s">
        <v>19</v>
      </c>
      <c r="E182" t="s">
        <v>42</v>
      </c>
      <c r="F182" t="s">
        <v>43</v>
      </c>
      <c r="G182">
        <v>81</v>
      </c>
      <c r="H182" t="s">
        <v>130</v>
      </c>
      <c r="I182" t="s">
        <v>23</v>
      </c>
      <c r="J182" t="s">
        <v>96</v>
      </c>
      <c r="K182" t="s">
        <v>58</v>
      </c>
      <c r="L182">
        <v>3.3</v>
      </c>
      <c r="M182" t="s">
        <v>26</v>
      </c>
      <c r="N182" t="s">
        <v>35</v>
      </c>
      <c r="O182" t="s">
        <v>76</v>
      </c>
      <c r="P182" t="s">
        <v>26</v>
      </c>
      <c r="Q182" t="s">
        <v>26</v>
      </c>
      <c r="R182">
        <v>12</v>
      </c>
      <c r="S182" t="s">
        <v>59</v>
      </c>
      <c r="T182" t="str">
        <f t="shared" si="4"/>
        <v>2-week</v>
      </c>
      <c r="U182">
        <f>VLOOKUP(T182,[1]tablescore!$B$3:$C$8, 2,FALSE)</f>
        <v>26</v>
      </c>
      <c r="V182" t="str">
        <f t="shared" si="5"/>
        <v>Loyal</v>
      </c>
      <c r="W182" t="s">
        <v>30</v>
      </c>
    </row>
    <row r="183" spans="1:23" x14ac:dyDescent="0.25">
      <c r="A183">
        <v>182</v>
      </c>
      <c r="B183">
        <v>32</v>
      </c>
      <c r="C183" t="str" cm="1">
        <f t="array" ref="C183">_xlfn.IFS(
  AND(B183&gt;=18, B183&lt;=24), "18-24",
  AND(B183&gt;=25, B183&lt;=34), "25-34",
  AND(B183&gt;=35, B183&lt;=44), "35-44",
  AND(B183&gt;=45, B183&lt;=54), "45-54",
  B183&gt;=55, "55+"
)</f>
        <v>25-34</v>
      </c>
      <c r="D183" t="s">
        <v>19</v>
      </c>
      <c r="E183" t="s">
        <v>95</v>
      </c>
      <c r="F183" t="s">
        <v>21</v>
      </c>
      <c r="G183">
        <v>61</v>
      </c>
      <c r="H183" t="s">
        <v>37</v>
      </c>
      <c r="I183" t="s">
        <v>45</v>
      </c>
      <c r="J183" t="s">
        <v>118</v>
      </c>
      <c r="K183" t="s">
        <v>54</v>
      </c>
      <c r="L183">
        <v>4.7</v>
      </c>
      <c r="M183" t="s">
        <v>26</v>
      </c>
      <c r="N183" t="s">
        <v>29</v>
      </c>
      <c r="O183" t="s">
        <v>47</v>
      </c>
      <c r="P183" t="s">
        <v>26</v>
      </c>
      <c r="Q183" t="s">
        <v>26</v>
      </c>
      <c r="R183">
        <v>4</v>
      </c>
      <c r="S183" t="s">
        <v>34</v>
      </c>
      <c r="T183" t="str">
        <f t="shared" si="4"/>
        <v>Daily</v>
      </c>
      <c r="U183">
        <f>VLOOKUP(T183,[1]tablescore!$B$3:$C$8, 2,FALSE)</f>
        <v>30</v>
      </c>
      <c r="V183" t="str">
        <f t="shared" si="5"/>
        <v>Highly Loyal</v>
      </c>
      <c r="W183" t="s">
        <v>41</v>
      </c>
    </row>
    <row r="184" spans="1:23" x14ac:dyDescent="0.25">
      <c r="A184">
        <v>183</v>
      </c>
      <c r="B184">
        <v>38</v>
      </c>
      <c r="C184" t="str" cm="1">
        <f t="array" ref="C184">_xlfn.IFS(
  AND(B184&gt;=18, B184&lt;=24), "18-24",
  AND(B184&gt;=25, B184&lt;=34), "25-34",
  AND(B184&gt;=35, B184&lt;=44), "35-44",
  AND(B184&gt;=45, B184&lt;=54), "45-54",
  B184&gt;=55, "55+"
)</f>
        <v>35-44</v>
      </c>
      <c r="D184" t="s">
        <v>19</v>
      </c>
      <c r="E184" t="s">
        <v>127</v>
      </c>
      <c r="F184" t="s">
        <v>69</v>
      </c>
      <c r="G184">
        <v>96</v>
      </c>
      <c r="H184" t="s">
        <v>90</v>
      </c>
      <c r="I184" t="s">
        <v>92</v>
      </c>
      <c r="J184" t="s">
        <v>75</v>
      </c>
      <c r="K184" t="s">
        <v>54</v>
      </c>
      <c r="L184">
        <v>2.8</v>
      </c>
      <c r="M184" t="s">
        <v>26</v>
      </c>
      <c r="N184" t="s">
        <v>29</v>
      </c>
      <c r="O184" t="s">
        <v>76</v>
      </c>
      <c r="P184" t="s">
        <v>26</v>
      </c>
      <c r="Q184" t="s">
        <v>26</v>
      </c>
      <c r="R184">
        <v>10</v>
      </c>
      <c r="S184" t="s">
        <v>59</v>
      </c>
      <c r="T184" t="str">
        <f t="shared" si="4"/>
        <v>Annually</v>
      </c>
      <c r="U184">
        <f>VLOOKUP(T184,[1]tablescore!$B$3:$C$8, 2,FALSE)</f>
        <v>1</v>
      </c>
      <c r="V184" t="str">
        <f t="shared" si="5"/>
        <v>Low Loyalty</v>
      </c>
      <c r="W184" t="s">
        <v>50</v>
      </c>
    </row>
    <row r="185" spans="1:23" x14ac:dyDescent="0.25">
      <c r="A185">
        <v>184</v>
      </c>
      <c r="B185">
        <v>58</v>
      </c>
      <c r="C185" t="str" cm="1">
        <f t="array" ref="C185">_xlfn.IFS(
  AND(B185&gt;=18, B185&lt;=24), "18-24",
  AND(B185&gt;=25, B185&lt;=34), "25-34",
  AND(B185&gt;=35, B185&lt;=44), "35-44",
  AND(B185&gt;=45, B185&lt;=54), "45-54",
  B185&gt;=55, "55+"
)</f>
        <v>55+</v>
      </c>
      <c r="D185" t="s">
        <v>19</v>
      </c>
      <c r="E185" t="s">
        <v>87</v>
      </c>
      <c r="F185" t="s">
        <v>21</v>
      </c>
      <c r="G185">
        <v>29</v>
      </c>
      <c r="H185" t="s">
        <v>124</v>
      </c>
      <c r="I185" t="s">
        <v>92</v>
      </c>
      <c r="J185" t="s">
        <v>118</v>
      </c>
      <c r="K185" t="s">
        <v>39</v>
      </c>
      <c r="L185">
        <v>3.6</v>
      </c>
      <c r="M185" t="s">
        <v>26</v>
      </c>
      <c r="N185" t="s">
        <v>34</v>
      </c>
      <c r="O185" t="s">
        <v>72</v>
      </c>
      <c r="P185" t="s">
        <v>26</v>
      </c>
      <c r="Q185" t="s">
        <v>26</v>
      </c>
      <c r="R185">
        <v>26</v>
      </c>
      <c r="S185" t="s">
        <v>27</v>
      </c>
      <c r="T185" t="str">
        <f t="shared" si="4"/>
        <v>Daily</v>
      </c>
      <c r="U185">
        <f>VLOOKUP(T185,[1]tablescore!$B$3:$C$8, 2,FALSE)</f>
        <v>30</v>
      </c>
      <c r="V185" t="str">
        <f t="shared" si="5"/>
        <v>Highly Loyal</v>
      </c>
      <c r="W185" t="s">
        <v>41</v>
      </c>
    </row>
    <row r="186" spans="1:23" x14ac:dyDescent="0.25">
      <c r="A186">
        <v>185</v>
      </c>
      <c r="B186">
        <v>32</v>
      </c>
      <c r="C186" t="str" cm="1">
        <f t="array" ref="C186">_xlfn.IFS(
  AND(B186&gt;=18, B186&lt;=24), "18-24",
  AND(B186&gt;=25, B186&lt;=34), "25-34",
  AND(B186&gt;=35, B186&lt;=44), "35-44",
  AND(B186&gt;=45, B186&lt;=54), "45-54",
  B186&gt;=55, "55+"
)</f>
        <v>25-34</v>
      </c>
      <c r="D186" t="s">
        <v>19</v>
      </c>
      <c r="E186" t="s">
        <v>51</v>
      </c>
      <c r="F186" t="s">
        <v>43</v>
      </c>
      <c r="G186">
        <v>33</v>
      </c>
      <c r="H186" t="s">
        <v>78</v>
      </c>
      <c r="I186" t="s">
        <v>23</v>
      </c>
      <c r="J186" t="s">
        <v>109</v>
      </c>
      <c r="K186" t="s">
        <v>39</v>
      </c>
      <c r="L186">
        <v>3</v>
      </c>
      <c r="M186" t="s">
        <v>26</v>
      </c>
      <c r="N186" t="s">
        <v>35</v>
      </c>
      <c r="O186" t="s">
        <v>28</v>
      </c>
      <c r="P186" t="s">
        <v>26</v>
      </c>
      <c r="Q186" t="s">
        <v>26</v>
      </c>
      <c r="R186">
        <v>40</v>
      </c>
      <c r="S186" t="s">
        <v>35</v>
      </c>
      <c r="T186" t="str">
        <f t="shared" si="4"/>
        <v>2-week</v>
      </c>
      <c r="U186">
        <f>VLOOKUP(T186,[1]tablescore!$B$3:$C$8, 2,FALSE)</f>
        <v>26</v>
      </c>
      <c r="V186" t="str">
        <f t="shared" si="5"/>
        <v>Loyal</v>
      </c>
      <c r="W186" t="s">
        <v>30</v>
      </c>
    </row>
    <row r="187" spans="1:23" x14ac:dyDescent="0.25">
      <c r="A187">
        <v>186</v>
      </c>
      <c r="B187">
        <v>46</v>
      </c>
      <c r="C187" t="str" cm="1">
        <f t="array" ref="C187">_xlfn.IFS(
  AND(B187&gt;=18, B187&lt;=24), "18-24",
  AND(B187&gt;=25, B187&lt;=34), "25-34",
  AND(B187&gt;=35, B187&lt;=44), "35-44",
  AND(B187&gt;=45, B187&lt;=54), "45-54",
  B187&gt;=55, "55+"
)</f>
        <v>45-54</v>
      </c>
      <c r="D187" t="s">
        <v>19</v>
      </c>
      <c r="E187" t="s">
        <v>113</v>
      </c>
      <c r="F187" t="s">
        <v>21</v>
      </c>
      <c r="G187">
        <v>32</v>
      </c>
      <c r="H187" t="s">
        <v>148</v>
      </c>
      <c r="I187" t="s">
        <v>92</v>
      </c>
      <c r="J187" t="s">
        <v>67</v>
      </c>
      <c r="K187" t="s">
        <v>54</v>
      </c>
      <c r="L187">
        <v>4.5</v>
      </c>
      <c r="M187" t="s">
        <v>26</v>
      </c>
      <c r="N187" t="s">
        <v>34</v>
      </c>
      <c r="O187" t="s">
        <v>76</v>
      </c>
      <c r="P187" t="s">
        <v>26</v>
      </c>
      <c r="Q187" t="s">
        <v>26</v>
      </c>
      <c r="R187">
        <v>34</v>
      </c>
      <c r="S187" t="s">
        <v>34</v>
      </c>
      <c r="T187" t="str">
        <f t="shared" si="4"/>
        <v>2-week</v>
      </c>
      <c r="U187">
        <f>VLOOKUP(T187,[1]tablescore!$B$3:$C$8, 2,FALSE)</f>
        <v>26</v>
      </c>
      <c r="V187" t="str">
        <f t="shared" si="5"/>
        <v>Loyal</v>
      </c>
      <c r="W187" t="s">
        <v>30</v>
      </c>
    </row>
    <row r="188" spans="1:23" x14ac:dyDescent="0.25">
      <c r="A188">
        <v>187</v>
      </c>
      <c r="B188">
        <v>39</v>
      </c>
      <c r="C188" t="str" cm="1">
        <f t="array" ref="C188">_xlfn.IFS(
  AND(B188&gt;=18, B188&lt;=24), "18-24",
  AND(B188&gt;=25, B188&lt;=34), "25-34",
  AND(B188&gt;=35, B188&lt;=44), "35-44",
  AND(B188&gt;=45, B188&lt;=54), "45-54",
  B188&gt;=55, "55+"
)</f>
        <v>35-44</v>
      </c>
      <c r="D188" t="s">
        <v>19</v>
      </c>
      <c r="E188" t="s">
        <v>133</v>
      </c>
      <c r="F188" t="s">
        <v>69</v>
      </c>
      <c r="G188">
        <v>56</v>
      </c>
      <c r="H188" t="s">
        <v>134</v>
      </c>
      <c r="I188" t="s">
        <v>38</v>
      </c>
      <c r="J188" t="s">
        <v>93</v>
      </c>
      <c r="K188" t="s">
        <v>54</v>
      </c>
      <c r="L188">
        <v>2.9</v>
      </c>
      <c r="M188" t="s">
        <v>26</v>
      </c>
      <c r="N188" t="s">
        <v>59</v>
      </c>
      <c r="O188" t="s">
        <v>55</v>
      </c>
      <c r="P188" t="s">
        <v>26</v>
      </c>
      <c r="Q188" t="s">
        <v>26</v>
      </c>
      <c r="R188">
        <v>31</v>
      </c>
      <c r="S188" t="s">
        <v>59</v>
      </c>
      <c r="T188" t="str">
        <f t="shared" si="4"/>
        <v>Annually</v>
      </c>
      <c r="U188">
        <f>VLOOKUP(T188,[1]tablescore!$B$3:$C$8, 2,FALSE)</f>
        <v>1</v>
      </c>
      <c r="V188" t="str">
        <f t="shared" si="5"/>
        <v>Low Loyalty</v>
      </c>
      <c r="W188" t="s">
        <v>50</v>
      </c>
    </row>
    <row r="189" spans="1:23" x14ac:dyDescent="0.25">
      <c r="A189">
        <v>188</v>
      </c>
      <c r="B189">
        <v>19</v>
      </c>
      <c r="C189" t="str" cm="1">
        <f t="array" ref="C189">_xlfn.IFS(
  AND(B189&gt;=18, B189&lt;=24), "18-24",
  AND(B189&gt;=25, B189&lt;=34), "25-34",
  AND(B189&gt;=35, B189&lt;=44), "35-44",
  AND(B189&gt;=45, B189&lt;=54), "45-54",
  B189&gt;=55, "55+"
)</f>
        <v>18-24</v>
      </c>
      <c r="D189" t="s">
        <v>19</v>
      </c>
      <c r="E189" t="s">
        <v>73</v>
      </c>
      <c r="F189" t="s">
        <v>43</v>
      </c>
      <c r="G189">
        <v>94</v>
      </c>
      <c r="H189" t="s">
        <v>142</v>
      </c>
      <c r="I189" t="s">
        <v>38</v>
      </c>
      <c r="J189" t="s">
        <v>75</v>
      </c>
      <c r="K189" t="s">
        <v>39</v>
      </c>
      <c r="L189">
        <v>3.3</v>
      </c>
      <c r="M189" t="s">
        <v>26</v>
      </c>
      <c r="N189" t="s">
        <v>27</v>
      </c>
      <c r="O189" t="s">
        <v>76</v>
      </c>
      <c r="P189" t="s">
        <v>26</v>
      </c>
      <c r="Q189" t="s">
        <v>26</v>
      </c>
      <c r="R189">
        <v>1</v>
      </c>
      <c r="S189" t="s">
        <v>34</v>
      </c>
      <c r="T189" t="str">
        <f t="shared" si="4"/>
        <v>2-week</v>
      </c>
      <c r="U189">
        <f>VLOOKUP(T189,[1]tablescore!$B$3:$C$8, 2,FALSE)</f>
        <v>26</v>
      </c>
      <c r="V189" t="str">
        <f t="shared" si="5"/>
        <v>Loyal</v>
      </c>
      <c r="W189" t="s">
        <v>77</v>
      </c>
    </row>
    <row r="190" spans="1:23" x14ac:dyDescent="0.25">
      <c r="A190">
        <v>189</v>
      </c>
      <c r="B190">
        <v>50</v>
      </c>
      <c r="C190" t="str" cm="1">
        <f t="array" ref="C190">_xlfn.IFS(
  AND(B190&gt;=18, B190&lt;=24), "18-24",
  AND(B190&gt;=25, B190&lt;=34), "25-34",
  AND(B190&gt;=35, B190&lt;=44), "35-44",
  AND(B190&gt;=45, B190&lt;=54), "45-54",
  B190&gt;=55, "55+"
)</f>
        <v>45-54</v>
      </c>
      <c r="D190" t="s">
        <v>19</v>
      </c>
      <c r="E190" t="s">
        <v>104</v>
      </c>
      <c r="F190" t="s">
        <v>21</v>
      </c>
      <c r="G190">
        <v>53</v>
      </c>
      <c r="H190" t="s">
        <v>74</v>
      </c>
      <c r="I190" t="s">
        <v>45</v>
      </c>
      <c r="J190" t="s">
        <v>71</v>
      </c>
      <c r="K190" t="s">
        <v>39</v>
      </c>
      <c r="L190">
        <v>3.1</v>
      </c>
      <c r="M190" t="s">
        <v>26</v>
      </c>
      <c r="N190" t="s">
        <v>27</v>
      </c>
      <c r="O190" t="s">
        <v>28</v>
      </c>
      <c r="P190" t="s">
        <v>26</v>
      </c>
      <c r="Q190" t="s">
        <v>26</v>
      </c>
      <c r="R190">
        <v>5</v>
      </c>
      <c r="S190" t="s">
        <v>34</v>
      </c>
      <c r="T190" t="str">
        <f t="shared" si="4"/>
        <v>2-week</v>
      </c>
      <c r="U190">
        <f>VLOOKUP(T190,[1]tablescore!$B$3:$C$8, 2,FALSE)</f>
        <v>26</v>
      </c>
      <c r="V190" t="str">
        <f t="shared" si="5"/>
        <v>Loyal</v>
      </c>
      <c r="W190" t="s">
        <v>77</v>
      </c>
    </row>
    <row r="191" spans="1:23" x14ac:dyDescent="0.25">
      <c r="A191">
        <v>190</v>
      </c>
      <c r="B191">
        <v>36</v>
      </c>
      <c r="C191" t="str" cm="1">
        <f t="array" ref="C191">_xlfn.IFS(
  AND(B191&gt;=18, B191&lt;=24), "18-24",
  AND(B191&gt;=25, B191&lt;=34), "25-34",
  AND(B191&gt;=35, B191&lt;=44), "35-44",
  AND(B191&gt;=45, B191&lt;=54), "45-54",
  B191&gt;=55, "55+"
)</f>
        <v>35-44</v>
      </c>
      <c r="D191" t="s">
        <v>19</v>
      </c>
      <c r="E191" t="s">
        <v>20</v>
      </c>
      <c r="F191" t="s">
        <v>21</v>
      </c>
      <c r="G191">
        <v>82</v>
      </c>
      <c r="H191" t="s">
        <v>66</v>
      </c>
      <c r="I191" t="s">
        <v>45</v>
      </c>
      <c r="J191" t="s">
        <v>33</v>
      </c>
      <c r="K191" t="s">
        <v>58</v>
      </c>
      <c r="L191">
        <v>4.4000000000000004</v>
      </c>
      <c r="M191" t="s">
        <v>26</v>
      </c>
      <c r="N191" t="s">
        <v>29</v>
      </c>
      <c r="O191" t="s">
        <v>47</v>
      </c>
      <c r="P191" t="s">
        <v>26</v>
      </c>
      <c r="Q191" t="s">
        <v>26</v>
      </c>
      <c r="R191">
        <v>4</v>
      </c>
      <c r="S191" t="s">
        <v>27</v>
      </c>
      <c r="T191" t="str">
        <f t="shared" si="4"/>
        <v>Daily</v>
      </c>
      <c r="U191">
        <f>VLOOKUP(T191,[1]tablescore!$B$3:$C$8, 2,FALSE)</f>
        <v>30</v>
      </c>
      <c r="V191" t="str">
        <f t="shared" si="5"/>
        <v>Highly Loyal</v>
      </c>
      <c r="W191" t="s">
        <v>41</v>
      </c>
    </row>
    <row r="192" spans="1:23" x14ac:dyDescent="0.25">
      <c r="A192">
        <v>191</v>
      </c>
      <c r="B192">
        <v>65</v>
      </c>
      <c r="C192" t="str" cm="1">
        <f t="array" ref="C192">_xlfn.IFS(
  AND(B192&gt;=18, B192&lt;=24), "18-24",
  AND(B192&gt;=25, B192&lt;=34), "25-34",
  AND(B192&gt;=35, B192&lt;=44), "35-44",
  AND(B192&gt;=45, B192&lt;=54), "45-54",
  B192&gt;=55, "55+"
)</f>
        <v>55+</v>
      </c>
      <c r="D192" t="s">
        <v>19</v>
      </c>
      <c r="E192" t="s">
        <v>64</v>
      </c>
      <c r="F192" t="s">
        <v>65</v>
      </c>
      <c r="G192">
        <v>70</v>
      </c>
      <c r="H192" t="s">
        <v>116</v>
      </c>
      <c r="I192" t="s">
        <v>92</v>
      </c>
      <c r="J192" t="s">
        <v>118</v>
      </c>
      <c r="K192" t="s">
        <v>58</v>
      </c>
      <c r="L192">
        <v>3</v>
      </c>
      <c r="M192" t="s">
        <v>26</v>
      </c>
      <c r="N192" t="s">
        <v>29</v>
      </c>
      <c r="O192" t="s">
        <v>40</v>
      </c>
      <c r="P192" t="s">
        <v>26</v>
      </c>
      <c r="Q192" t="s">
        <v>26</v>
      </c>
      <c r="R192">
        <v>48</v>
      </c>
      <c r="S192" t="s">
        <v>29</v>
      </c>
      <c r="T192" t="str">
        <f t="shared" si="4"/>
        <v>Quarterly</v>
      </c>
      <c r="U192">
        <f>VLOOKUP(T192,[1]tablescore!$B$3:$C$8, 2,FALSE)</f>
        <v>4</v>
      </c>
      <c r="V192" t="str">
        <f t="shared" si="5"/>
        <v>Low Loyalty</v>
      </c>
      <c r="W192" t="s">
        <v>60</v>
      </c>
    </row>
    <row r="193" spans="1:23" x14ac:dyDescent="0.25">
      <c r="A193">
        <v>192</v>
      </c>
      <c r="B193">
        <v>64</v>
      </c>
      <c r="C193" t="str" cm="1">
        <f t="array" ref="C193">_xlfn.IFS(
  AND(B193&gt;=18, B193&lt;=24), "18-24",
  AND(B193&gt;=25, B193&lt;=34), "25-34",
  AND(B193&gt;=35, B193&lt;=44), "35-44",
  AND(B193&gt;=45, B193&lt;=54), "45-54",
  B193&gt;=55, "55+"
)</f>
        <v>55+</v>
      </c>
      <c r="D193" t="s">
        <v>19</v>
      </c>
      <c r="E193" t="s">
        <v>125</v>
      </c>
      <c r="F193" t="s">
        <v>69</v>
      </c>
      <c r="G193">
        <v>76</v>
      </c>
      <c r="H193" t="s">
        <v>149</v>
      </c>
      <c r="I193" t="s">
        <v>45</v>
      </c>
      <c r="J193" t="s">
        <v>24</v>
      </c>
      <c r="K193" t="s">
        <v>58</v>
      </c>
      <c r="L193">
        <v>3.9</v>
      </c>
      <c r="M193" t="s">
        <v>26</v>
      </c>
      <c r="N193" t="s">
        <v>27</v>
      </c>
      <c r="O193" t="s">
        <v>40</v>
      </c>
      <c r="P193" t="s">
        <v>26</v>
      </c>
      <c r="Q193" t="s">
        <v>26</v>
      </c>
      <c r="R193">
        <v>29</v>
      </c>
      <c r="S193" t="s">
        <v>35</v>
      </c>
      <c r="T193" t="str">
        <f t="shared" si="4"/>
        <v>Quarterly</v>
      </c>
      <c r="U193">
        <f>VLOOKUP(T193,[1]tablescore!$B$3:$C$8, 2,FALSE)</f>
        <v>4</v>
      </c>
      <c r="V193" t="str">
        <f t="shared" si="5"/>
        <v>Low Loyalty</v>
      </c>
      <c r="W193" t="s">
        <v>97</v>
      </c>
    </row>
    <row r="194" spans="1:23" x14ac:dyDescent="0.25">
      <c r="A194">
        <v>193</v>
      </c>
      <c r="B194">
        <v>46</v>
      </c>
      <c r="C194" t="str" cm="1">
        <f t="array" ref="C194">_xlfn.IFS(
  AND(B194&gt;=18, B194&lt;=24), "18-24",
  AND(B194&gt;=25, B194&lt;=34), "25-34",
  AND(B194&gt;=35, B194&lt;=44), "35-44",
  AND(B194&gt;=45, B194&lt;=54), "45-54",
  B194&gt;=55, "55+"
)</f>
        <v>45-54</v>
      </c>
      <c r="D194" t="s">
        <v>19</v>
      </c>
      <c r="E194" t="s">
        <v>73</v>
      </c>
      <c r="F194" t="s">
        <v>43</v>
      </c>
      <c r="G194">
        <v>29</v>
      </c>
      <c r="H194" t="s">
        <v>143</v>
      </c>
      <c r="I194" t="s">
        <v>23</v>
      </c>
      <c r="J194" t="s">
        <v>49</v>
      </c>
      <c r="K194" t="s">
        <v>54</v>
      </c>
      <c r="L194">
        <v>2.9</v>
      </c>
      <c r="M194" t="s">
        <v>26</v>
      </c>
      <c r="N194" t="s">
        <v>29</v>
      </c>
      <c r="O194" t="s">
        <v>28</v>
      </c>
      <c r="P194" t="s">
        <v>26</v>
      </c>
      <c r="Q194" t="s">
        <v>26</v>
      </c>
      <c r="R194">
        <v>12</v>
      </c>
      <c r="S194" t="s">
        <v>46</v>
      </c>
      <c r="T194" t="str">
        <f t="shared" si="4"/>
        <v>2-week</v>
      </c>
      <c r="U194">
        <f>VLOOKUP(T194,[1]tablescore!$B$3:$C$8, 2,FALSE)</f>
        <v>26</v>
      </c>
      <c r="V194" t="str">
        <f t="shared" si="5"/>
        <v>Loyal</v>
      </c>
      <c r="W194" t="s">
        <v>77</v>
      </c>
    </row>
    <row r="195" spans="1:23" x14ac:dyDescent="0.25">
      <c r="A195">
        <v>194</v>
      </c>
      <c r="B195">
        <v>36</v>
      </c>
      <c r="C195" t="str" cm="1">
        <f t="array" ref="C195">_xlfn.IFS(
  AND(B195&gt;=18, B195&lt;=24), "18-24",
  AND(B195&gt;=25, B195&lt;=34), "25-34",
  AND(B195&gt;=35, B195&lt;=44), "35-44",
  AND(B195&gt;=45, B195&lt;=54), "45-54",
  B195&gt;=55, "55+"
)</f>
        <v>35-44</v>
      </c>
      <c r="D195" t="s">
        <v>19</v>
      </c>
      <c r="E195" t="s">
        <v>136</v>
      </c>
      <c r="F195" t="s">
        <v>69</v>
      </c>
      <c r="G195">
        <v>100</v>
      </c>
      <c r="H195" t="s">
        <v>114</v>
      </c>
      <c r="I195" t="s">
        <v>38</v>
      </c>
      <c r="J195" t="s">
        <v>67</v>
      </c>
      <c r="K195" t="s">
        <v>58</v>
      </c>
      <c r="L195">
        <v>3</v>
      </c>
      <c r="M195" t="s">
        <v>26</v>
      </c>
      <c r="N195" t="s">
        <v>46</v>
      </c>
      <c r="O195" t="s">
        <v>55</v>
      </c>
      <c r="P195" t="s">
        <v>26</v>
      </c>
      <c r="Q195" t="s">
        <v>26</v>
      </c>
      <c r="R195">
        <v>29</v>
      </c>
      <c r="S195" t="s">
        <v>29</v>
      </c>
      <c r="T195" t="str">
        <f t="shared" ref="T195:T258" si="6">IF(TRIM(W195)="Every 3 months","Quarterly",IF(TRIM(W195)="Fortnightly","2-week",IF(TRIM(W195)="Bi-Weekly","2-week",IF(TRIM(W195)="Weekly","Daily",IF(TRIM(W195)="Monthly","Month",TRIM(W195))))))</f>
        <v>Annually</v>
      </c>
      <c r="U195">
        <f>VLOOKUP(T195,[1]tablescore!$B$3:$C$8, 2,FALSE)</f>
        <v>1</v>
      </c>
      <c r="V195" t="str">
        <f t="shared" ref="V195:V258" si="7">_xlfn.IFS(U195&gt;=30, "Highly Loyal", U195&gt;=26, "Loyal", U195&gt;=12, "Moderate", U195&lt;5, "Low Loyalty")</f>
        <v>Low Loyalty</v>
      </c>
      <c r="W195" t="s">
        <v>50</v>
      </c>
    </row>
    <row r="196" spans="1:23" x14ac:dyDescent="0.25">
      <c r="A196">
        <v>195</v>
      </c>
      <c r="B196">
        <v>51</v>
      </c>
      <c r="C196" t="str" cm="1">
        <f t="array" ref="C196">_xlfn.IFS(
  AND(B196&gt;=18, B196&lt;=24), "18-24",
  AND(B196&gt;=25, B196&lt;=34), "25-34",
  AND(B196&gt;=35, B196&lt;=44), "35-44",
  AND(B196&gt;=45, B196&lt;=54), "45-54",
  B196&gt;=55, "55+"
)</f>
        <v>45-54</v>
      </c>
      <c r="D196" t="s">
        <v>19</v>
      </c>
      <c r="E196" t="s">
        <v>133</v>
      </c>
      <c r="F196" t="s">
        <v>69</v>
      </c>
      <c r="G196">
        <v>94</v>
      </c>
      <c r="H196" t="s">
        <v>70</v>
      </c>
      <c r="I196" t="s">
        <v>45</v>
      </c>
      <c r="J196" t="s">
        <v>79</v>
      </c>
      <c r="K196" t="s">
        <v>39</v>
      </c>
      <c r="L196">
        <v>3.1</v>
      </c>
      <c r="M196" t="s">
        <v>26</v>
      </c>
      <c r="N196" t="s">
        <v>29</v>
      </c>
      <c r="O196" t="s">
        <v>28</v>
      </c>
      <c r="P196" t="s">
        <v>26</v>
      </c>
      <c r="Q196" t="s">
        <v>26</v>
      </c>
      <c r="R196">
        <v>15</v>
      </c>
      <c r="S196" t="s">
        <v>59</v>
      </c>
      <c r="T196" t="str">
        <f t="shared" si="6"/>
        <v>Quarterly</v>
      </c>
      <c r="U196">
        <f>VLOOKUP(T196,[1]tablescore!$B$3:$C$8, 2,FALSE)</f>
        <v>4</v>
      </c>
      <c r="V196" t="str">
        <f t="shared" si="7"/>
        <v>Low Loyalty</v>
      </c>
      <c r="W196" t="s">
        <v>60</v>
      </c>
    </row>
    <row r="197" spans="1:23" x14ac:dyDescent="0.25">
      <c r="A197">
        <v>196</v>
      </c>
      <c r="B197">
        <v>51</v>
      </c>
      <c r="C197" t="str" cm="1">
        <f t="array" ref="C197">_xlfn.IFS(
  AND(B197&gt;=18, B197&lt;=24), "18-24",
  AND(B197&gt;=25, B197&lt;=34), "25-34",
  AND(B197&gt;=35, B197&lt;=44), "35-44",
  AND(B197&gt;=45, B197&lt;=54), "45-54",
  B197&gt;=55, "55+"
)</f>
        <v>45-54</v>
      </c>
      <c r="D197" t="s">
        <v>19</v>
      </c>
      <c r="E197" t="s">
        <v>102</v>
      </c>
      <c r="F197" t="s">
        <v>65</v>
      </c>
      <c r="G197">
        <v>25</v>
      </c>
      <c r="H197" t="s">
        <v>85</v>
      </c>
      <c r="I197" t="s">
        <v>45</v>
      </c>
      <c r="J197" t="s">
        <v>147</v>
      </c>
      <c r="K197" t="s">
        <v>58</v>
      </c>
      <c r="L197">
        <v>4.3</v>
      </c>
      <c r="M197" t="s">
        <v>26</v>
      </c>
      <c r="N197" t="s">
        <v>27</v>
      </c>
      <c r="O197" t="s">
        <v>40</v>
      </c>
      <c r="P197" t="s">
        <v>26</v>
      </c>
      <c r="Q197" t="s">
        <v>26</v>
      </c>
      <c r="R197">
        <v>34</v>
      </c>
      <c r="S197" t="s">
        <v>27</v>
      </c>
      <c r="T197" t="str">
        <f t="shared" si="6"/>
        <v>Month</v>
      </c>
      <c r="U197">
        <f>VLOOKUP(T197,[1]tablescore!$B$3:$C$8, 2,FALSE)</f>
        <v>12</v>
      </c>
      <c r="V197" t="str">
        <f t="shared" si="7"/>
        <v>Moderate</v>
      </c>
      <c r="W197" t="s">
        <v>88</v>
      </c>
    </row>
    <row r="198" spans="1:23" x14ac:dyDescent="0.25">
      <c r="A198">
        <v>197</v>
      </c>
      <c r="B198">
        <v>38</v>
      </c>
      <c r="C198" t="str" cm="1">
        <f t="array" ref="C198">_xlfn.IFS(
  AND(B198&gt;=18, B198&lt;=24), "18-24",
  AND(B198&gt;=25, B198&lt;=34), "25-34",
  AND(B198&gt;=35, B198&lt;=44), "35-44",
  AND(B198&gt;=45, B198&lt;=54), "45-54",
  B198&gt;=55, "55+"
)</f>
        <v>35-44</v>
      </c>
      <c r="D198" t="s">
        <v>19</v>
      </c>
      <c r="E198" t="s">
        <v>132</v>
      </c>
      <c r="F198" t="s">
        <v>43</v>
      </c>
      <c r="G198">
        <v>88</v>
      </c>
      <c r="H198" t="s">
        <v>140</v>
      </c>
      <c r="I198" t="s">
        <v>45</v>
      </c>
      <c r="J198" t="s">
        <v>93</v>
      </c>
      <c r="K198" t="s">
        <v>54</v>
      </c>
      <c r="L198">
        <v>3.9</v>
      </c>
      <c r="M198" t="s">
        <v>26</v>
      </c>
      <c r="N198" t="s">
        <v>35</v>
      </c>
      <c r="O198" t="s">
        <v>47</v>
      </c>
      <c r="P198" t="s">
        <v>26</v>
      </c>
      <c r="Q198" t="s">
        <v>26</v>
      </c>
      <c r="R198">
        <v>41</v>
      </c>
      <c r="S198" t="s">
        <v>27</v>
      </c>
      <c r="T198" t="str">
        <f t="shared" si="6"/>
        <v>2-week</v>
      </c>
      <c r="U198">
        <f>VLOOKUP(T198,[1]tablescore!$B$3:$C$8, 2,FALSE)</f>
        <v>26</v>
      </c>
      <c r="V198" t="str">
        <f t="shared" si="7"/>
        <v>Loyal</v>
      </c>
      <c r="W198" t="s">
        <v>30</v>
      </c>
    </row>
    <row r="199" spans="1:23" x14ac:dyDescent="0.25">
      <c r="A199">
        <v>198</v>
      </c>
      <c r="B199">
        <v>59</v>
      </c>
      <c r="C199" t="str" cm="1">
        <f t="array" ref="C199">_xlfn.IFS(
  AND(B199&gt;=18, B199&lt;=24), "18-24",
  AND(B199&gt;=25, B199&lt;=34), "25-34",
  AND(B199&gt;=35, B199&lt;=44), "35-44",
  AND(B199&gt;=45, B199&lt;=54), "45-54",
  B199&gt;=55, "55+"
)</f>
        <v>55+</v>
      </c>
      <c r="D199" t="s">
        <v>19</v>
      </c>
      <c r="E199" t="s">
        <v>119</v>
      </c>
      <c r="F199" t="s">
        <v>69</v>
      </c>
      <c r="G199">
        <v>78</v>
      </c>
      <c r="H199" t="s">
        <v>126</v>
      </c>
      <c r="I199" t="s">
        <v>45</v>
      </c>
      <c r="J199" t="s">
        <v>94</v>
      </c>
      <c r="K199" t="s">
        <v>58</v>
      </c>
      <c r="L199">
        <v>3.2</v>
      </c>
      <c r="M199" t="s">
        <v>26</v>
      </c>
      <c r="N199" t="s">
        <v>59</v>
      </c>
      <c r="O199" t="s">
        <v>72</v>
      </c>
      <c r="P199" t="s">
        <v>26</v>
      </c>
      <c r="Q199" t="s">
        <v>26</v>
      </c>
      <c r="R199">
        <v>41</v>
      </c>
      <c r="S199" t="s">
        <v>27</v>
      </c>
      <c r="T199" t="str">
        <f t="shared" si="6"/>
        <v>Month</v>
      </c>
      <c r="U199">
        <f>VLOOKUP(T199,[1]tablescore!$B$3:$C$8, 2,FALSE)</f>
        <v>12</v>
      </c>
      <c r="V199" t="str">
        <f t="shared" si="7"/>
        <v>Moderate</v>
      </c>
      <c r="W199" t="s">
        <v>88</v>
      </c>
    </row>
    <row r="200" spans="1:23" x14ac:dyDescent="0.25">
      <c r="A200">
        <v>199</v>
      </c>
      <c r="B200">
        <v>57</v>
      </c>
      <c r="C200" t="str" cm="1">
        <f t="array" ref="C200">_xlfn.IFS(
  AND(B200&gt;=18, B200&lt;=24), "18-24",
  AND(B200&gt;=25, B200&lt;=34), "25-34",
  AND(B200&gt;=35, B200&lt;=44), "35-44",
  AND(B200&gt;=45, B200&lt;=54), "45-54",
  B200&gt;=55, "55+"
)</f>
        <v>55+</v>
      </c>
      <c r="D200" t="s">
        <v>19</v>
      </c>
      <c r="E200" t="s">
        <v>106</v>
      </c>
      <c r="F200" t="s">
        <v>69</v>
      </c>
      <c r="G200">
        <v>45</v>
      </c>
      <c r="H200" t="s">
        <v>149</v>
      </c>
      <c r="I200" t="s">
        <v>45</v>
      </c>
      <c r="J200" t="s">
        <v>49</v>
      </c>
      <c r="K200" t="s">
        <v>25</v>
      </c>
      <c r="L200">
        <v>4.8</v>
      </c>
      <c r="M200" t="s">
        <v>26</v>
      </c>
      <c r="N200" t="s">
        <v>35</v>
      </c>
      <c r="O200" t="s">
        <v>55</v>
      </c>
      <c r="P200" t="s">
        <v>26</v>
      </c>
      <c r="Q200" t="s">
        <v>26</v>
      </c>
      <c r="R200">
        <v>39</v>
      </c>
      <c r="S200" t="s">
        <v>27</v>
      </c>
      <c r="T200" t="str">
        <f t="shared" si="6"/>
        <v>2-week</v>
      </c>
      <c r="U200">
        <f>VLOOKUP(T200,[1]tablescore!$B$3:$C$8, 2,FALSE)</f>
        <v>26</v>
      </c>
      <c r="V200" t="str">
        <f t="shared" si="7"/>
        <v>Loyal</v>
      </c>
      <c r="W200" t="s">
        <v>30</v>
      </c>
    </row>
    <row r="201" spans="1:23" x14ac:dyDescent="0.25">
      <c r="A201">
        <v>200</v>
      </c>
      <c r="B201">
        <v>54</v>
      </c>
      <c r="C201" t="str" cm="1">
        <f t="array" ref="C201">_xlfn.IFS(
  AND(B201&gt;=18, B201&lt;=24), "18-24",
  AND(B201&gt;=25, B201&lt;=34), "25-34",
  AND(B201&gt;=35, B201&lt;=44), "35-44",
  AND(B201&gt;=45, B201&lt;=54), "45-54",
  B201&gt;=55, "55+"
)</f>
        <v>45-54</v>
      </c>
      <c r="D201" t="s">
        <v>19</v>
      </c>
      <c r="E201" t="s">
        <v>125</v>
      </c>
      <c r="F201" t="s">
        <v>69</v>
      </c>
      <c r="G201">
        <v>73</v>
      </c>
      <c r="H201" t="s">
        <v>144</v>
      </c>
      <c r="I201" t="s">
        <v>92</v>
      </c>
      <c r="J201" t="s">
        <v>96</v>
      </c>
      <c r="K201" t="s">
        <v>54</v>
      </c>
      <c r="L201">
        <v>3.8</v>
      </c>
      <c r="M201" t="s">
        <v>26</v>
      </c>
      <c r="N201" t="s">
        <v>59</v>
      </c>
      <c r="O201" t="s">
        <v>28</v>
      </c>
      <c r="P201" t="s">
        <v>26</v>
      </c>
      <c r="Q201" t="s">
        <v>26</v>
      </c>
      <c r="R201">
        <v>32</v>
      </c>
      <c r="S201" t="s">
        <v>35</v>
      </c>
      <c r="T201" t="str">
        <f t="shared" si="6"/>
        <v>Daily</v>
      </c>
      <c r="U201">
        <f>VLOOKUP(T201,[1]tablescore!$B$3:$C$8, 2,FALSE)</f>
        <v>30</v>
      </c>
      <c r="V201" t="str">
        <f t="shared" si="7"/>
        <v>Highly Loyal</v>
      </c>
      <c r="W201" t="s">
        <v>41</v>
      </c>
    </row>
    <row r="202" spans="1:23" x14ac:dyDescent="0.25">
      <c r="A202">
        <v>201</v>
      </c>
      <c r="B202">
        <v>25</v>
      </c>
      <c r="C202" t="str" cm="1">
        <f t="array" ref="C202">_xlfn.IFS(
  AND(B202&gt;=18, B202&lt;=24), "18-24",
  AND(B202&gt;=25, B202&lt;=34), "25-34",
  AND(B202&gt;=35, B202&lt;=44), "35-44",
  AND(B202&gt;=45, B202&lt;=54), "45-54",
  B202&gt;=55, "55+"
)</f>
        <v>25-34</v>
      </c>
      <c r="D202" t="s">
        <v>19</v>
      </c>
      <c r="E202" t="s">
        <v>82</v>
      </c>
      <c r="F202" t="s">
        <v>21</v>
      </c>
      <c r="G202">
        <v>61</v>
      </c>
      <c r="H202" t="s">
        <v>141</v>
      </c>
      <c r="I202" t="s">
        <v>38</v>
      </c>
      <c r="J202" t="s">
        <v>86</v>
      </c>
      <c r="K202" t="s">
        <v>54</v>
      </c>
      <c r="L202">
        <v>3.3</v>
      </c>
      <c r="M202" t="s">
        <v>26</v>
      </c>
      <c r="N202" t="s">
        <v>46</v>
      </c>
      <c r="O202" t="s">
        <v>47</v>
      </c>
      <c r="P202" t="s">
        <v>26</v>
      </c>
      <c r="Q202" t="s">
        <v>26</v>
      </c>
      <c r="R202">
        <v>29</v>
      </c>
      <c r="S202" t="s">
        <v>29</v>
      </c>
      <c r="T202" t="str">
        <f t="shared" si="6"/>
        <v>Month</v>
      </c>
      <c r="U202">
        <f>VLOOKUP(T202,[1]tablescore!$B$3:$C$8, 2,FALSE)</f>
        <v>12</v>
      </c>
      <c r="V202" t="str">
        <f t="shared" si="7"/>
        <v>Moderate</v>
      </c>
      <c r="W202" t="s">
        <v>88</v>
      </c>
    </row>
    <row r="203" spans="1:23" x14ac:dyDescent="0.25">
      <c r="A203">
        <v>202</v>
      </c>
      <c r="B203">
        <v>69</v>
      </c>
      <c r="C203" t="str" cm="1">
        <f t="array" ref="C203">_xlfn.IFS(
  AND(B203&gt;=18, B203&lt;=24), "18-24",
  AND(B203&gt;=25, B203&lt;=34), "25-34",
  AND(B203&gt;=35, B203&lt;=44), "35-44",
  AND(B203&gt;=45, B203&lt;=54), "45-54",
  B203&gt;=55, "55+"
)</f>
        <v>55+</v>
      </c>
      <c r="D203" t="s">
        <v>19</v>
      </c>
      <c r="E203" t="s">
        <v>20</v>
      </c>
      <c r="F203" t="s">
        <v>21</v>
      </c>
      <c r="G203">
        <v>22</v>
      </c>
      <c r="H203" t="s">
        <v>70</v>
      </c>
      <c r="I203" t="s">
        <v>38</v>
      </c>
      <c r="J203" t="s">
        <v>118</v>
      </c>
      <c r="K203" t="s">
        <v>58</v>
      </c>
      <c r="L203">
        <v>4.3</v>
      </c>
      <c r="M203" t="s">
        <v>26</v>
      </c>
      <c r="N203" t="s">
        <v>34</v>
      </c>
      <c r="O203" t="s">
        <v>40</v>
      </c>
      <c r="P203" t="s">
        <v>26</v>
      </c>
      <c r="Q203" t="s">
        <v>26</v>
      </c>
      <c r="R203">
        <v>15</v>
      </c>
      <c r="S203" t="s">
        <v>34</v>
      </c>
      <c r="T203" t="str">
        <f t="shared" si="6"/>
        <v>Annually</v>
      </c>
      <c r="U203">
        <f>VLOOKUP(T203,[1]tablescore!$B$3:$C$8, 2,FALSE)</f>
        <v>1</v>
      </c>
      <c r="V203" t="str">
        <f t="shared" si="7"/>
        <v>Low Loyalty</v>
      </c>
      <c r="W203" t="s">
        <v>50</v>
      </c>
    </row>
    <row r="204" spans="1:23" x14ac:dyDescent="0.25">
      <c r="A204">
        <v>203</v>
      </c>
      <c r="B204">
        <v>57</v>
      </c>
      <c r="C204" t="str" cm="1">
        <f t="array" ref="C204">_xlfn.IFS(
  AND(B204&gt;=18, B204&lt;=24), "18-24",
  AND(B204&gt;=25, B204&lt;=34), "25-34",
  AND(B204&gt;=35, B204&lt;=44), "35-44",
  AND(B204&gt;=45, B204&lt;=54), "45-54",
  B204&gt;=55, "55+"
)</f>
        <v>55+</v>
      </c>
      <c r="D204" t="s">
        <v>19</v>
      </c>
      <c r="E204" t="s">
        <v>125</v>
      </c>
      <c r="F204" t="s">
        <v>69</v>
      </c>
      <c r="G204">
        <v>38</v>
      </c>
      <c r="H204" t="s">
        <v>143</v>
      </c>
      <c r="I204" t="s">
        <v>23</v>
      </c>
      <c r="J204" t="s">
        <v>147</v>
      </c>
      <c r="K204" t="s">
        <v>39</v>
      </c>
      <c r="L204">
        <v>2.7</v>
      </c>
      <c r="M204" t="s">
        <v>26</v>
      </c>
      <c r="N204" t="s">
        <v>34</v>
      </c>
      <c r="O204" t="s">
        <v>28</v>
      </c>
      <c r="P204" t="s">
        <v>26</v>
      </c>
      <c r="Q204" t="s">
        <v>26</v>
      </c>
      <c r="R204">
        <v>33</v>
      </c>
      <c r="S204" t="s">
        <v>29</v>
      </c>
      <c r="T204" t="str">
        <f t="shared" si="6"/>
        <v>Annually</v>
      </c>
      <c r="U204">
        <f>VLOOKUP(T204,[1]tablescore!$B$3:$C$8, 2,FALSE)</f>
        <v>1</v>
      </c>
      <c r="V204" t="str">
        <f t="shared" si="7"/>
        <v>Low Loyalty</v>
      </c>
      <c r="W204" t="s">
        <v>50</v>
      </c>
    </row>
    <row r="205" spans="1:23" x14ac:dyDescent="0.25">
      <c r="A205">
        <v>204</v>
      </c>
      <c r="B205">
        <v>70</v>
      </c>
      <c r="C205" t="str" cm="1">
        <f t="array" ref="C205">_xlfn.IFS(
  AND(B205&gt;=18, B205&lt;=24), "18-24",
  AND(B205&gt;=25, B205&lt;=34), "25-34",
  AND(B205&gt;=35, B205&lt;=44), "35-44",
  AND(B205&gt;=45, B205&lt;=54), "45-54",
  B205&gt;=55, "55+"
)</f>
        <v>55+</v>
      </c>
      <c r="D205" t="s">
        <v>19</v>
      </c>
      <c r="E205" t="s">
        <v>119</v>
      </c>
      <c r="F205" t="s">
        <v>69</v>
      </c>
      <c r="G205">
        <v>38</v>
      </c>
      <c r="H205" t="s">
        <v>116</v>
      </c>
      <c r="I205" t="s">
        <v>38</v>
      </c>
      <c r="J205" t="s">
        <v>139</v>
      </c>
      <c r="K205" t="s">
        <v>58</v>
      </c>
      <c r="L205">
        <v>3.2</v>
      </c>
      <c r="M205" t="s">
        <v>26</v>
      </c>
      <c r="N205" t="s">
        <v>46</v>
      </c>
      <c r="O205" t="s">
        <v>47</v>
      </c>
      <c r="P205" t="s">
        <v>26</v>
      </c>
      <c r="Q205" t="s">
        <v>26</v>
      </c>
      <c r="R205">
        <v>18</v>
      </c>
      <c r="S205" t="s">
        <v>34</v>
      </c>
      <c r="T205" t="str">
        <f t="shared" si="6"/>
        <v>Daily</v>
      </c>
      <c r="U205">
        <f>VLOOKUP(T205,[1]tablescore!$B$3:$C$8, 2,FALSE)</f>
        <v>30</v>
      </c>
      <c r="V205" t="str">
        <f t="shared" si="7"/>
        <v>Highly Loyal</v>
      </c>
      <c r="W205" t="s">
        <v>41</v>
      </c>
    </row>
    <row r="206" spans="1:23" x14ac:dyDescent="0.25">
      <c r="A206">
        <v>205</v>
      </c>
      <c r="B206">
        <v>24</v>
      </c>
      <c r="C206" t="str" cm="1">
        <f t="array" ref="C206">_xlfn.IFS(
  AND(B206&gt;=18, B206&lt;=24), "18-24",
  AND(B206&gt;=25, B206&lt;=34), "25-34",
  AND(B206&gt;=35, B206&lt;=44), "35-44",
  AND(B206&gt;=45, B206&lt;=54), "45-54",
  B206&gt;=55, "55+"
)</f>
        <v>18-24</v>
      </c>
      <c r="D206" t="s">
        <v>19</v>
      </c>
      <c r="E206" t="s">
        <v>51</v>
      </c>
      <c r="F206" t="s">
        <v>43</v>
      </c>
      <c r="G206">
        <v>100</v>
      </c>
      <c r="H206" t="s">
        <v>117</v>
      </c>
      <c r="I206" t="s">
        <v>45</v>
      </c>
      <c r="J206" t="s">
        <v>139</v>
      </c>
      <c r="K206" t="s">
        <v>58</v>
      </c>
      <c r="L206">
        <v>4</v>
      </c>
      <c r="M206" t="s">
        <v>26</v>
      </c>
      <c r="N206" t="s">
        <v>46</v>
      </c>
      <c r="O206" t="s">
        <v>76</v>
      </c>
      <c r="P206" t="s">
        <v>26</v>
      </c>
      <c r="Q206" t="s">
        <v>26</v>
      </c>
      <c r="R206">
        <v>35</v>
      </c>
      <c r="S206" t="s">
        <v>35</v>
      </c>
      <c r="T206" t="str">
        <f t="shared" si="6"/>
        <v>2-week</v>
      </c>
      <c r="U206">
        <f>VLOOKUP(T206,[1]tablescore!$B$3:$C$8, 2,FALSE)</f>
        <v>26</v>
      </c>
      <c r="V206" t="str">
        <f t="shared" si="7"/>
        <v>Loyal</v>
      </c>
      <c r="W206" t="s">
        <v>77</v>
      </c>
    </row>
    <row r="207" spans="1:23" x14ac:dyDescent="0.25">
      <c r="A207">
        <v>206</v>
      </c>
      <c r="B207">
        <v>67</v>
      </c>
      <c r="C207" t="str" cm="1">
        <f t="array" ref="C207">_xlfn.IFS(
  AND(B207&gt;=18, B207&lt;=24), "18-24",
  AND(B207&gt;=25, B207&lt;=34), "25-34",
  AND(B207&gt;=35, B207&lt;=44), "35-44",
  AND(B207&gt;=45, B207&lt;=54), "45-54",
  B207&gt;=55, "55+"
)</f>
        <v>55+</v>
      </c>
      <c r="D207" t="s">
        <v>19</v>
      </c>
      <c r="E207" t="s">
        <v>56</v>
      </c>
      <c r="F207" t="s">
        <v>21</v>
      </c>
      <c r="G207">
        <v>64</v>
      </c>
      <c r="H207" t="s">
        <v>78</v>
      </c>
      <c r="I207" t="s">
        <v>45</v>
      </c>
      <c r="J207" t="s">
        <v>67</v>
      </c>
      <c r="K207" t="s">
        <v>25</v>
      </c>
      <c r="L207">
        <v>3</v>
      </c>
      <c r="M207" t="s">
        <v>26</v>
      </c>
      <c r="N207" t="s">
        <v>34</v>
      </c>
      <c r="O207" t="s">
        <v>55</v>
      </c>
      <c r="P207" t="s">
        <v>26</v>
      </c>
      <c r="Q207" t="s">
        <v>26</v>
      </c>
      <c r="R207">
        <v>25</v>
      </c>
      <c r="S207" t="s">
        <v>46</v>
      </c>
      <c r="T207" t="str">
        <f t="shared" si="6"/>
        <v>Daily</v>
      </c>
      <c r="U207">
        <f>VLOOKUP(T207,[1]tablescore!$B$3:$C$8, 2,FALSE)</f>
        <v>30</v>
      </c>
      <c r="V207" t="str">
        <f t="shared" si="7"/>
        <v>Highly Loyal</v>
      </c>
      <c r="W207" t="s">
        <v>41</v>
      </c>
    </row>
    <row r="208" spans="1:23" x14ac:dyDescent="0.25">
      <c r="A208">
        <v>207</v>
      </c>
      <c r="B208">
        <v>24</v>
      </c>
      <c r="C208" t="str" cm="1">
        <f t="array" ref="C208">_xlfn.IFS(
  AND(B208&gt;=18, B208&lt;=24), "18-24",
  AND(B208&gt;=25, B208&lt;=34), "25-34",
  AND(B208&gt;=35, B208&lt;=44), "35-44",
  AND(B208&gt;=45, B208&lt;=54), "45-54",
  B208&gt;=55, "55+"
)</f>
        <v>18-24</v>
      </c>
      <c r="D208" t="s">
        <v>19</v>
      </c>
      <c r="E208" t="s">
        <v>113</v>
      </c>
      <c r="F208" t="s">
        <v>21</v>
      </c>
      <c r="G208">
        <v>55</v>
      </c>
      <c r="H208" t="s">
        <v>148</v>
      </c>
      <c r="I208" t="s">
        <v>23</v>
      </c>
      <c r="J208" t="s">
        <v>67</v>
      </c>
      <c r="K208" t="s">
        <v>54</v>
      </c>
      <c r="L208">
        <v>4.2</v>
      </c>
      <c r="M208" t="s">
        <v>26</v>
      </c>
      <c r="N208" t="s">
        <v>29</v>
      </c>
      <c r="O208" t="s">
        <v>40</v>
      </c>
      <c r="P208" t="s">
        <v>26</v>
      </c>
      <c r="Q208" t="s">
        <v>26</v>
      </c>
      <c r="R208">
        <v>6</v>
      </c>
      <c r="S208" t="s">
        <v>29</v>
      </c>
      <c r="T208" t="str">
        <f t="shared" si="6"/>
        <v>2-week</v>
      </c>
      <c r="U208">
        <f>VLOOKUP(T208,[1]tablescore!$B$3:$C$8, 2,FALSE)</f>
        <v>26</v>
      </c>
      <c r="V208" t="str">
        <f t="shared" si="7"/>
        <v>Loyal</v>
      </c>
      <c r="W208" t="s">
        <v>30</v>
      </c>
    </row>
    <row r="209" spans="1:23" x14ac:dyDescent="0.25">
      <c r="A209">
        <v>208</v>
      </c>
      <c r="B209">
        <v>62</v>
      </c>
      <c r="C209" t="str" cm="1">
        <f t="array" ref="C209">_xlfn.IFS(
  AND(B209&gt;=18, B209&lt;=24), "18-24",
  AND(B209&gt;=25, B209&lt;=34), "25-34",
  AND(B209&gt;=35, B209&lt;=44), "35-44",
  AND(B209&gt;=45, B209&lt;=54), "45-54",
  B209&gt;=55, "55+"
)</f>
        <v>55+</v>
      </c>
      <c r="D209" t="s">
        <v>19</v>
      </c>
      <c r="E209" t="s">
        <v>127</v>
      </c>
      <c r="F209" t="s">
        <v>69</v>
      </c>
      <c r="G209">
        <v>91</v>
      </c>
      <c r="H209" t="s">
        <v>44</v>
      </c>
      <c r="I209" t="s">
        <v>45</v>
      </c>
      <c r="J209" t="s">
        <v>67</v>
      </c>
      <c r="K209" t="s">
        <v>54</v>
      </c>
      <c r="L209">
        <v>2.9</v>
      </c>
      <c r="M209" t="s">
        <v>26</v>
      </c>
      <c r="N209" t="s">
        <v>29</v>
      </c>
      <c r="O209" t="s">
        <v>28</v>
      </c>
      <c r="P209" t="s">
        <v>26</v>
      </c>
      <c r="Q209" t="s">
        <v>26</v>
      </c>
      <c r="R209">
        <v>17</v>
      </c>
      <c r="S209" t="s">
        <v>34</v>
      </c>
      <c r="T209" t="str">
        <f t="shared" si="6"/>
        <v>2-week</v>
      </c>
      <c r="U209">
        <f>VLOOKUP(T209,[1]tablescore!$B$3:$C$8, 2,FALSE)</f>
        <v>26</v>
      </c>
      <c r="V209" t="str">
        <f t="shared" si="7"/>
        <v>Loyal</v>
      </c>
      <c r="W209" t="s">
        <v>77</v>
      </c>
    </row>
    <row r="210" spans="1:23" x14ac:dyDescent="0.25">
      <c r="A210">
        <v>209</v>
      </c>
      <c r="B210">
        <v>57</v>
      </c>
      <c r="C210" t="str" cm="1">
        <f t="array" ref="C210">_xlfn.IFS(
  AND(B210&gt;=18, B210&lt;=24), "18-24",
  AND(B210&gt;=25, B210&lt;=34), "25-34",
  AND(B210&gt;=35, B210&lt;=44), "35-44",
  AND(B210&gt;=45, B210&lt;=54), "45-54",
  B210&gt;=55, "55+"
)</f>
        <v>55+</v>
      </c>
      <c r="D210" t="s">
        <v>19</v>
      </c>
      <c r="E210" t="s">
        <v>87</v>
      </c>
      <c r="F210" t="s">
        <v>21</v>
      </c>
      <c r="G210">
        <v>38</v>
      </c>
      <c r="H210" t="s">
        <v>148</v>
      </c>
      <c r="I210" t="s">
        <v>45</v>
      </c>
      <c r="J210" t="s">
        <v>81</v>
      </c>
      <c r="K210" t="s">
        <v>39</v>
      </c>
      <c r="L210">
        <v>4.0999999999999996</v>
      </c>
      <c r="M210" t="s">
        <v>26</v>
      </c>
      <c r="N210" t="s">
        <v>35</v>
      </c>
      <c r="O210" t="s">
        <v>76</v>
      </c>
      <c r="P210" t="s">
        <v>26</v>
      </c>
      <c r="Q210" t="s">
        <v>26</v>
      </c>
      <c r="R210">
        <v>17</v>
      </c>
      <c r="S210" t="s">
        <v>27</v>
      </c>
      <c r="T210" t="str">
        <f t="shared" si="6"/>
        <v>Month</v>
      </c>
      <c r="U210">
        <f>VLOOKUP(T210,[1]tablescore!$B$3:$C$8, 2,FALSE)</f>
        <v>12</v>
      </c>
      <c r="V210" t="str">
        <f t="shared" si="7"/>
        <v>Moderate</v>
      </c>
      <c r="W210" t="s">
        <v>88</v>
      </c>
    </row>
    <row r="211" spans="1:23" x14ac:dyDescent="0.25">
      <c r="A211">
        <v>210</v>
      </c>
      <c r="B211">
        <v>55</v>
      </c>
      <c r="C211" t="str" cm="1">
        <f t="array" ref="C211">_xlfn.IFS(
  AND(B211&gt;=18, B211&lt;=24), "18-24",
  AND(B211&gt;=25, B211&lt;=34), "25-34",
  AND(B211&gt;=35, B211&lt;=44), "35-44",
  AND(B211&gt;=45, B211&lt;=54), "45-54",
  B211&gt;=55, "55+"
)</f>
        <v>55+</v>
      </c>
      <c r="D211" t="s">
        <v>19</v>
      </c>
      <c r="E211" t="s">
        <v>42</v>
      </c>
      <c r="F211" t="s">
        <v>43</v>
      </c>
      <c r="G211">
        <v>97</v>
      </c>
      <c r="H211" t="s">
        <v>134</v>
      </c>
      <c r="I211" t="s">
        <v>38</v>
      </c>
      <c r="J211" t="s">
        <v>79</v>
      </c>
      <c r="K211" t="s">
        <v>25</v>
      </c>
      <c r="L211">
        <v>3.2</v>
      </c>
      <c r="M211" t="s">
        <v>26</v>
      </c>
      <c r="N211" t="s">
        <v>34</v>
      </c>
      <c r="O211" t="s">
        <v>76</v>
      </c>
      <c r="P211" t="s">
        <v>26</v>
      </c>
      <c r="Q211" t="s">
        <v>26</v>
      </c>
      <c r="R211">
        <v>44</v>
      </c>
      <c r="S211" t="s">
        <v>35</v>
      </c>
      <c r="T211" t="str">
        <f t="shared" si="6"/>
        <v>Quarterly</v>
      </c>
      <c r="U211">
        <f>VLOOKUP(T211,[1]tablescore!$B$3:$C$8, 2,FALSE)</f>
        <v>4</v>
      </c>
      <c r="V211" t="str">
        <f t="shared" si="7"/>
        <v>Low Loyalty</v>
      </c>
      <c r="W211" t="s">
        <v>97</v>
      </c>
    </row>
    <row r="212" spans="1:23" x14ac:dyDescent="0.25">
      <c r="A212">
        <v>211</v>
      </c>
      <c r="B212">
        <v>45</v>
      </c>
      <c r="C212" t="str" cm="1">
        <f t="array" ref="C212">_xlfn.IFS(
  AND(B212&gt;=18, B212&lt;=24), "18-24",
  AND(B212&gt;=25, B212&lt;=34), "25-34",
  AND(B212&gt;=35, B212&lt;=44), "35-44",
  AND(B212&gt;=45, B212&lt;=54), "45-54",
  B212&gt;=55, "55+"
)</f>
        <v>45-54</v>
      </c>
      <c r="D212" t="s">
        <v>19</v>
      </c>
      <c r="E212" t="s">
        <v>102</v>
      </c>
      <c r="F212" t="s">
        <v>65</v>
      </c>
      <c r="G212">
        <v>22</v>
      </c>
      <c r="H212" t="s">
        <v>145</v>
      </c>
      <c r="I212" t="s">
        <v>23</v>
      </c>
      <c r="J212" t="s">
        <v>86</v>
      </c>
      <c r="K212" t="s">
        <v>58</v>
      </c>
      <c r="L212">
        <v>3</v>
      </c>
      <c r="M212" t="s">
        <v>26</v>
      </c>
      <c r="N212" t="s">
        <v>29</v>
      </c>
      <c r="O212" t="s">
        <v>72</v>
      </c>
      <c r="P212" t="s">
        <v>26</v>
      </c>
      <c r="Q212" t="s">
        <v>26</v>
      </c>
      <c r="R212">
        <v>6</v>
      </c>
      <c r="S212" t="s">
        <v>46</v>
      </c>
      <c r="T212" t="str">
        <f t="shared" si="6"/>
        <v>2-week</v>
      </c>
      <c r="U212">
        <f>VLOOKUP(T212,[1]tablescore!$B$3:$C$8, 2,FALSE)</f>
        <v>26</v>
      </c>
      <c r="V212" t="str">
        <f t="shared" si="7"/>
        <v>Loyal</v>
      </c>
      <c r="W212" t="s">
        <v>30</v>
      </c>
    </row>
    <row r="213" spans="1:23" x14ac:dyDescent="0.25">
      <c r="A213">
        <v>212</v>
      </c>
      <c r="B213">
        <v>69</v>
      </c>
      <c r="C213" t="str" cm="1">
        <f t="array" ref="C213">_xlfn.IFS(
  AND(B213&gt;=18, B213&lt;=24), "18-24",
  AND(B213&gt;=25, B213&lt;=34), "25-34",
  AND(B213&gt;=35, B213&lt;=44), "35-44",
  AND(B213&gt;=45, B213&lt;=54), "45-54",
  B213&gt;=55, "55+"
)</f>
        <v>55+</v>
      </c>
      <c r="D213" t="s">
        <v>19</v>
      </c>
      <c r="E213" t="s">
        <v>87</v>
      </c>
      <c r="F213" t="s">
        <v>21</v>
      </c>
      <c r="G213">
        <v>92</v>
      </c>
      <c r="H213" t="s">
        <v>130</v>
      </c>
      <c r="I213" t="s">
        <v>23</v>
      </c>
      <c r="J213" t="s">
        <v>33</v>
      </c>
      <c r="K213" t="s">
        <v>58</v>
      </c>
      <c r="L213">
        <v>4.2</v>
      </c>
      <c r="M213" t="s">
        <v>26</v>
      </c>
      <c r="N213" t="s">
        <v>29</v>
      </c>
      <c r="O213" t="s">
        <v>72</v>
      </c>
      <c r="P213" t="s">
        <v>26</v>
      </c>
      <c r="Q213" t="s">
        <v>26</v>
      </c>
      <c r="R213">
        <v>45</v>
      </c>
      <c r="S213" t="s">
        <v>59</v>
      </c>
      <c r="T213" t="str">
        <f t="shared" si="6"/>
        <v>2-week</v>
      </c>
      <c r="U213">
        <f>VLOOKUP(T213,[1]tablescore!$B$3:$C$8, 2,FALSE)</f>
        <v>26</v>
      </c>
      <c r="V213" t="str">
        <f t="shared" si="7"/>
        <v>Loyal</v>
      </c>
      <c r="W213" t="s">
        <v>30</v>
      </c>
    </row>
    <row r="214" spans="1:23" x14ac:dyDescent="0.25">
      <c r="A214">
        <v>213</v>
      </c>
      <c r="B214">
        <v>67</v>
      </c>
      <c r="C214" t="str" cm="1">
        <f t="array" ref="C214">_xlfn.IFS(
  AND(B214&gt;=18, B214&lt;=24), "18-24",
  AND(B214&gt;=25, B214&lt;=34), "25-34",
  AND(B214&gt;=35, B214&lt;=44), "35-44",
  AND(B214&gt;=45, B214&lt;=54), "45-54",
  B214&gt;=55, "55+"
)</f>
        <v>55+</v>
      </c>
      <c r="D214" t="s">
        <v>19</v>
      </c>
      <c r="E214" t="s">
        <v>68</v>
      </c>
      <c r="F214" t="s">
        <v>69</v>
      </c>
      <c r="G214">
        <v>84</v>
      </c>
      <c r="H214" t="s">
        <v>128</v>
      </c>
      <c r="I214" t="s">
        <v>23</v>
      </c>
      <c r="J214" t="s">
        <v>138</v>
      </c>
      <c r="K214" t="s">
        <v>58</v>
      </c>
      <c r="L214">
        <v>4.2</v>
      </c>
      <c r="M214" t="s">
        <v>26</v>
      </c>
      <c r="N214" t="s">
        <v>29</v>
      </c>
      <c r="O214" t="s">
        <v>28</v>
      </c>
      <c r="P214" t="s">
        <v>26</v>
      </c>
      <c r="Q214" t="s">
        <v>26</v>
      </c>
      <c r="R214">
        <v>7</v>
      </c>
      <c r="S214" t="s">
        <v>59</v>
      </c>
      <c r="T214" t="str">
        <f t="shared" si="6"/>
        <v>Annually</v>
      </c>
      <c r="U214">
        <f>VLOOKUP(T214,[1]tablescore!$B$3:$C$8, 2,FALSE)</f>
        <v>1</v>
      </c>
      <c r="V214" t="str">
        <f t="shared" si="7"/>
        <v>Low Loyalty</v>
      </c>
      <c r="W214" t="s">
        <v>50</v>
      </c>
    </row>
    <row r="215" spans="1:23" x14ac:dyDescent="0.25">
      <c r="A215">
        <v>214</v>
      </c>
      <c r="B215">
        <v>30</v>
      </c>
      <c r="C215" t="str" cm="1">
        <f t="array" ref="C215">_xlfn.IFS(
  AND(B215&gt;=18, B215&lt;=24), "18-24",
  AND(B215&gt;=25, B215&lt;=34), "25-34",
  AND(B215&gt;=35, B215&lt;=44), "35-44",
  AND(B215&gt;=45, B215&lt;=54), "45-54",
  B215&gt;=55, "55+"
)</f>
        <v>25-34</v>
      </c>
      <c r="D215" t="s">
        <v>19</v>
      </c>
      <c r="E215" t="s">
        <v>68</v>
      </c>
      <c r="F215" t="s">
        <v>69</v>
      </c>
      <c r="G215">
        <v>93</v>
      </c>
      <c r="H215" t="s">
        <v>107</v>
      </c>
      <c r="I215" t="s">
        <v>23</v>
      </c>
      <c r="J215" t="s">
        <v>100</v>
      </c>
      <c r="K215" t="s">
        <v>58</v>
      </c>
      <c r="L215">
        <v>4.4000000000000004</v>
      </c>
      <c r="M215" t="s">
        <v>26</v>
      </c>
      <c r="N215" t="s">
        <v>35</v>
      </c>
      <c r="O215" t="s">
        <v>76</v>
      </c>
      <c r="P215" t="s">
        <v>26</v>
      </c>
      <c r="Q215" t="s">
        <v>26</v>
      </c>
      <c r="R215">
        <v>11</v>
      </c>
      <c r="S215" t="s">
        <v>59</v>
      </c>
      <c r="T215" t="str">
        <f t="shared" si="6"/>
        <v>Quarterly</v>
      </c>
      <c r="U215">
        <f>VLOOKUP(T215,[1]tablescore!$B$3:$C$8, 2,FALSE)</f>
        <v>4</v>
      </c>
      <c r="V215" t="str">
        <f t="shared" si="7"/>
        <v>Low Loyalty</v>
      </c>
      <c r="W215" t="s">
        <v>97</v>
      </c>
    </row>
    <row r="216" spans="1:23" x14ac:dyDescent="0.25">
      <c r="A216">
        <v>215</v>
      </c>
      <c r="B216">
        <v>24</v>
      </c>
      <c r="C216" t="str" cm="1">
        <f t="array" ref="C216">_xlfn.IFS(
  AND(B216&gt;=18, B216&lt;=24), "18-24",
  AND(B216&gt;=25, B216&lt;=34), "25-34",
  AND(B216&gt;=35, B216&lt;=44), "35-44",
  AND(B216&gt;=45, B216&lt;=54), "45-54",
  B216&gt;=55, "55+"
)</f>
        <v>18-24</v>
      </c>
      <c r="D216" t="s">
        <v>19</v>
      </c>
      <c r="E216" t="s">
        <v>102</v>
      </c>
      <c r="F216" t="s">
        <v>65</v>
      </c>
      <c r="G216">
        <v>50</v>
      </c>
      <c r="H216" t="s">
        <v>78</v>
      </c>
      <c r="I216" t="s">
        <v>23</v>
      </c>
      <c r="J216" t="s">
        <v>138</v>
      </c>
      <c r="K216" t="s">
        <v>54</v>
      </c>
      <c r="L216">
        <v>4.2</v>
      </c>
      <c r="M216" t="s">
        <v>26</v>
      </c>
      <c r="N216" t="s">
        <v>35</v>
      </c>
      <c r="O216" t="s">
        <v>47</v>
      </c>
      <c r="P216" t="s">
        <v>26</v>
      </c>
      <c r="Q216" t="s">
        <v>26</v>
      </c>
      <c r="R216">
        <v>41</v>
      </c>
      <c r="S216" t="s">
        <v>35</v>
      </c>
      <c r="T216" t="str">
        <f t="shared" si="6"/>
        <v>Quarterly</v>
      </c>
      <c r="U216">
        <f>VLOOKUP(T216,[1]tablescore!$B$3:$C$8, 2,FALSE)</f>
        <v>4</v>
      </c>
      <c r="V216" t="str">
        <f t="shared" si="7"/>
        <v>Low Loyalty</v>
      </c>
      <c r="W216" t="s">
        <v>97</v>
      </c>
    </row>
    <row r="217" spans="1:23" x14ac:dyDescent="0.25">
      <c r="A217">
        <v>216</v>
      </c>
      <c r="B217">
        <v>62</v>
      </c>
      <c r="C217" t="str" cm="1">
        <f t="array" ref="C217">_xlfn.IFS(
  AND(B217&gt;=18, B217&lt;=24), "18-24",
  AND(B217&gt;=25, B217&lt;=34), "25-34",
  AND(B217&gt;=35, B217&lt;=44), "35-44",
  AND(B217&gt;=45, B217&lt;=54), "45-54",
  B217&gt;=55, "55+"
)</f>
        <v>55+</v>
      </c>
      <c r="D217" t="s">
        <v>19</v>
      </c>
      <c r="E217" t="s">
        <v>119</v>
      </c>
      <c r="F217" t="s">
        <v>69</v>
      </c>
      <c r="G217">
        <v>64</v>
      </c>
      <c r="H217" t="s">
        <v>137</v>
      </c>
      <c r="I217" t="s">
        <v>38</v>
      </c>
      <c r="J217" t="s">
        <v>121</v>
      </c>
      <c r="K217" t="s">
        <v>39</v>
      </c>
      <c r="L217">
        <v>2.8</v>
      </c>
      <c r="M217" t="s">
        <v>26</v>
      </c>
      <c r="N217" t="s">
        <v>34</v>
      </c>
      <c r="O217" t="s">
        <v>72</v>
      </c>
      <c r="P217" t="s">
        <v>26</v>
      </c>
      <c r="Q217" t="s">
        <v>26</v>
      </c>
      <c r="R217">
        <v>24</v>
      </c>
      <c r="S217" t="s">
        <v>46</v>
      </c>
      <c r="T217" t="str">
        <f t="shared" si="6"/>
        <v>2-week</v>
      </c>
      <c r="U217">
        <f>VLOOKUP(T217,[1]tablescore!$B$3:$C$8, 2,FALSE)</f>
        <v>26</v>
      </c>
      <c r="V217" t="str">
        <f t="shared" si="7"/>
        <v>Loyal</v>
      </c>
      <c r="W217" t="s">
        <v>77</v>
      </c>
    </row>
    <row r="218" spans="1:23" x14ac:dyDescent="0.25">
      <c r="A218">
        <v>217</v>
      </c>
      <c r="B218">
        <v>43</v>
      </c>
      <c r="C218" t="str" cm="1">
        <f t="array" ref="C218">_xlfn.IFS(
  AND(B218&gt;=18, B218&lt;=24), "18-24",
  AND(B218&gt;=25, B218&lt;=34), "25-34",
  AND(B218&gt;=35, B218&lt;=44), "35-44",
  AND(B218&gt;=45, B218&lt;=54), "45-54",
  B218&gt;=55, "55+"
)</f>
        <v>35-44</v>
      </c>
      <c r="D218" t="s">
        <v>19</v>
      </c>
      <c r="E218" t="s">
        <v>61</v>
      </c>
      <c r="F218" t="s">
        <v>21</v>
      </c>
      <c r="G218">
        <v>61</v>
      </c>
      <c r="H218" t="s">
        <v>37</v>
      </c>
      <c r="I218" t="s">
        <v>23</v>
      </c>
      <c r="J218" t="s">
        <v>139</v>
      </c>
      <c r="K218" t="s">
        <v>39</v>
      </c>
      <c r="L218">
        <v>3.7</v>
      </c>
      <c r="M218" t="s">
        <v>26</v>
      </c>
      <c r="N218" t="s">
        <v>35</v>
      </c>
      <c r="O218" t="s">
        <v>40</v>
      </c>
      <c r="P218" t="s">
        <v>26</v>
      </c>
      <c r="Q218" t="s">
        <v>26</v>
      </c>
      <c r="R218">
        <v>21</v>
      </c>
      <c r="S218" t="s">
        <v>29</v>
      </c>
      <c r="T218" t="str">
        <f t="shared" si="6"/>
        <v>Daily</v>
      </c>
      <c r="U218">
        <f>VLOOKUP(T218,[1]tablescore!$B$3:$C$8, 2,FALSE)</f>
        <v>30</v>
      </c>
      <c r="V218" t="str">
        <f t="shared" si="7"/>
        <v>Highly Loyal</v>
      </c>
      <c r="W218" t="s">
        <v>41</v>
      </c>
    </row>
    <row r="219" spans="1:23" x14ac:dyDescent="0.25">
      <c r="A219">
        <v>218</v>
      </c>
      <c r="B219">
        <v>35</v>
      </c>
      <c r="C219" t="str" cm="1">
        <f t="array" ref="C219">_xlfn.IFS(
  AND(B219&gt;=18, B219&lt;=24), "18-24",
  AND(B219&gt;=25, B219&lt;=34), "25-34",
  AND(B219&gt;=35, B219&lt;=44), "35-44",
  AND(B219&gt;=45, B219&lt;=54), "45-54",
  B219&gt;=55, "55+"
)</f>
        <v>35-44</v>
      </c>
      <c r="D219" t="s">
        <v>19</v>
      </c>
      <c r="E219" t="s">
        <v>89</v>
      </c>
      <c r="F219" t="s">
        <v>69</v>
      </c>
      <c r="G219">
        <v>48</v>
      </c>
      <c r="H219" t="s">
        <v>101</v>
      </c>
      <c r="I219" t="s">
        <v>45</v>
      </c>
      <c r="J219" t="s">
        <v>75</v>
      </c>
      <c r="K219" t="s">
        <v>25</v>
      </c>
      <c r="L219">
        <v>3.5</v>
      </c>
      <c r="M219" t="s">
        <v>26</v>
      </c>
      <c r="N219" t="s">
        <v>29</v>
      </c>
      <c r="O219" t="s">
        <v>47</v>
      </c>
      <c r="P219" t="s">
        <v>26</v>
      </c>
      <c r="Q219" t="s">
        <v>26</v>
      </c>
      <c r="R219">
        <v>24</v>
      </c>
      <c r="S219" t="s">
        <v>34</v>
      </c>
      <c r="T219" t="str">
        <f t="shared" si="6"/>
        <v>Annually</v>
      </c>
      <c r="U219">
        <f>VLOOKUP(T219,[1]tablescore!$B$3:$C$8, 2,FALSE)</f>
        <v>1</v>
      </c>
      <c r="V219" t="str">
        <f t="shared" si="7"/>
        <v>Low Loyalty</v>
      </c>
      <c r="W219" t="s">
        <v>50</v>
      </c>
    </row>
    <row r="220" spans="1:23" x14ac:dyDescent="0.25">
      <c r="A220">
        <v>219</v>
      </c>
      <c r="B220">
        <v>28</v>
      </c>
      <c r="C220" t="str" cm="1">
        <f t="array" ref="C220">_xlfn.IFS(
  AND(B220&gt;=18, B220&lt;=24), "18-24",
  AND(B220&gt;=25, B220&lt;=34), "25-34",
  AND(B220&gt;=35, B220&lt;=44), "35-44",
  AND(B220&gt;=45, B220&lt;=54), "45-54",
  B220&gt;=55, "55+"
)</f>
        <v>25-34</v>
      </c>
      <c r="D220" t="s">
        <v>19</v>
      </c>
      <c r="E220" t="s">
        <v>113</v>
      </c>
      <c r="F220" t="s">
        <v>21</v>
      </c>
      <c r="G220">
        <v>45</v>
      </c>
      <c r="H220" t="s">
        <v>99</v>
      </c>
      <c r="I220" t="s">
        <v>38</v>
      </c>
      <c r="J220" t="s">
        <v>147</v>
      </c>
      <c r="K220" t="s">
        <v>39</v>
      </c>
      <c r="L220">
        <v>2.9</v>
      </c>
      <c r="M220" t="s">
        <v>26</v>
      </c>
      <c r="N220" t="s">
        <v>27</v>
      </c>
      <c r="O220" t="s">
        <v>76</v>
      </c>
      <c r="P220" t="s">
        <v>26</v>
      </c>
      <c r="Q220" t="s">
        <v>26</v>
      </c>
      <c r="R220">
        <v>8</v>
      </c>
      <c r="S220" t="s">
        <v>27</v>
      </c>
      <c r="T220" t="str">
        <f t="shared" si="6"/>
        <v>Quarterly</v>
      </c>
      <c r="U220">
        <f>VLOOKUP(T220,[1]tablescore!$B$3:$C$8, 2,FALSE)</f>
        <v>4</v>
      </c>
      <c r="V220" t="str">
        <f t="shared" si="7"/>
        <v>Low Loyalty</v>
      </c>
      <c r="W220" t="s">
        <v>60</v>
      </c>
    </row>
    <row r="221" spans="1:23" x14ac:dyDescent="0.25">
      <c r="A221">
        <v>220</v>
      </c>
      <c r="B221">
        <v>32</v>
      </c>
      <c r="C221" t="str" cm="1">
        <f t="array" ref="C221">_xlfn.IFS(
  AND(B221&gt;=18, B221&lt;=24), "18-24",
  AND(B221&gt;=25, B221&lt;=34), "25-34",
  AND(B221&gt;=35, B221&lt;=44), "35-44",
  AND(B221&gt;=45, B221&lt;=54), "45-54",
  B221&gt;=55, "55+"
)</f>
        <v>25-34</v>
      </c>
      <c r="D221" t="s">
        <v>19</v>
      </c>
      <c r="E221" t="s">
        <v>136</v>
      </c>
      <c r="F221" t="s">
        <v>69</v>
      </c>
      <c r="G221">
        <v>88</v>
      </c>
      <c r="H221" t="s">
        <v>107</v>
      </c>
      <c r="I221" t="s">
        <v>45</v>
      </c>
      <c r="J221" t="s">
        <v>109</v>
      </c>
      <c r="K221" t="s">
        <v>39</v>
      </c>
      <c r="L221">
        <v>3</v>
      </c>
      <c r="M221" t="s">
        <v>26</v>
      </c>
      <c r="N221" t="s">
        <v>29</v>
      </c>
      <c r="O221" t="s">
        <v>40</v>
      </c>
      <c r="P221" t="s">
        <v>26</v>
      </c>
      <c r="Q221" t="s">
        <v>26</v>
      </c>
      <c r="R221">
        <v>12</v>
      </c>
      <c r="S221" t="s">
        <v>35</v>
      </c>
      <c r="T221" t="str">
        <f t="shared" si="6"/>
        <v>2-week</v>
      </c>
      <c r="U221">
        <f>VLOOKUP(T221,[1]tablescore!$B$3:$C$8, 2,FALSE)</f>
        <v>26</v>
      </c>
      <c r="V221" t="str">
        <f t="shared" si="7"/>
        <v>Loyal</v>
      </c>
      <c r="W221" t="s">
        <v>30</v>
      </c>
    </row>
    <row r="222" spans="1:23" x14ac:dyDescent="0.25">
      <c r="A222">
        <v>221</v>
      </c>
      <c r="B222">
        <v>39</v>
      </c>
      <c r="C222" t="str" cm="1">
        <f t="array" ref="C222">_xlfn.IFS(
  AND(B222&gt;=18, B222&lt;=24), "18-24",
  AND(B222&gt;=25, B222&lt;=34), "25-34",
  AND(B222&gt;=35, B222&lt;=44), "35-44",
  AND(B222&gt;=45, B222&lt;=54), "45-54",
  B222&gt;=55, "55+"
)</f>
        <v>35-44</v>
      </c>
      <c r="D222" t="s">
        <v>19</v>
      </c>
      <c r="E222" t="s">
        <v>51</v>
      </c>
      <c r="F222" t="s">
        <v>43</v>
      </c>
      <c r="G222">
        <v>57</v>
      </c>
      <c r="H222" t="s">
        <v>117</v>
      </c>
      <c r="I222" t="s">
        <v>38</v>
      </c>
      <c r="J222" t="s">
        <v>129</v>
      </c>
      <c r="K222" t="s">
        <v>39</v>
      </c>
      <c r="L222">
        <v>3.7</v>
      </c>
      <c r="M222" t="s">
        <v>26</v>
      </c>
      <c r="N222" t="s">
        <v>59</v>
      </c>
      <c r="O222" t="s">
        <v>28</v>
      </c>
      <c r="P222" t="s">
        <v>26</v>
      </c>
      <c r="Q222" t="s">
        <v>26</v>
      </c>
      <c r="R222">
        <v>48</v>
      </c>
      <c r="S222" t="s">
        <v>59</v>
      </c>
      <c r="T222" t="str">
        <f t="shared" si="6"/>
        <v>2-week</v>
      </c>
      <c r="U222">
        <f>VLOOKUP(T222,[1]tablescore!$B$3:$C$8, 2,FALSE)</f>
        <v>26</v>
      </c>
      <c r="V222" t="str">
        <f t="shared" si="7"/>
        <v>Loyal</v>
      </c>
      <c r="W222" t="s">
        <v>30</v>
      </c>
    </row>
    <row r="223" spans="1:23" x14ac:dyDescent="0.25">
      <c r="A223">
        <v>222</v>
      </c>
      <c r="B223">
        <v>28</v>
      </c>
      <c r="C223" t="str" cm="1">
        <f t="array" ref="C223">_xlfn.IFS(
  AND(B223&gt;=18, B223&lt;=24), "18-24",
  AND(B223&gt;=25, B223&lt;=34), "25-34",
  AND(B223&gt;=35, B223&lt;=44), "35-44",
  AND(B223&gt;=45, B223&lt;=54), "45-54",
  B223&gt;=55, "55+"
)</f>
        <v>25-34</v>
      </c>
      <c r="D223" t="s">
        <v>19</v>
      </c>
      <c r="E223" t="s">
        <v>125</v>
      </c>
      <c r="F223" t="s">
        <v>69</v>
      </c>
      <c r="G223">
        <v>68</v>
      </c>
      <c r="H223" t="s">
        <v>98</v>
      </c>
      <c r="I223" t="s">
        <v>92</v>
      </c>
      <c r="J223" t="s">
        <v>147</v>
      </c>
      <c r="K223" t="s">
        <v>54</v>
      </c>
      <c r="L223">
        <v>4.4000000000000004</v>
      </c>
      <c r="M223" t="s">
        <v>26</v>
      </c>
      <c r="N223" t="s">
        <v>59</v>
      </c>
      <c r="O223" t="s">
        <v>76</v>
      </c>
      <c r="P223" t="s">
        <v>26</v>
      </c>
      <c r="Q223" t="s">
        <v>26</v>
      </c>
      <c r="R223">
        <v>6</v>
      </c>
      <c r="S223" t="s">
        <v>34</v>
      </c>
      <c r="T223" t="str">
        <f t="shared" si="6"/>
        <v>Quarterly</v>
      </c>
      <c r="U223">
        <f>VLOOKUP(T223,[1]tablescore!$B$3:$C$8, 2,FALSE)</f>
        <v>4</v>
      </c>
      <c r="V223" t="str">
        <f t="shared" si="7"/>
        <v>Low Loyalty</v>
      </c>
      <c r="W223" t="s">
        <v>60</v>
      </c>
    </row>
    <row r="224" spans="1:23" x14ac:dyDescent="0.25">
      <c r="A224">
        <v>223</v>
      </c>
      <c r="B224">
        <v>47</v>
      </c>
      <c r="C224" t="str" cm="1">
        <f t="array" ref="C224">_xlfn.IFS(
  AND(B224&gt;=18, B224&lt;=24), "18-24",
  AND(B224&gt;=25, B224&lt;=34), "25-34",
  AND(B224&gt;=35, B224&lt;=44), "35-44",
  AND(B224&gt;=45, B224&lt;=54), "45-54",
  B224&gt;=55, "55+"
)</f>
        <v>45-54</v>
      </c>
      <c r="D224" t="s">
        <v>19</v>
      </c>
      <c r="E224" t="s">
        <v>127</v>
      </c>
      <c r="F224" t="s">
        <v>69</v>
      </c>
      <c r="G224">
        <v>94</v>
      </c>
      <c r="H224" t="s">
        <v>85</v>
      </c>
      <c r="I224" t="s">
        <v>92</v>
      </c>
      <c r="J224" t="s">
        <v>24</v>
      </c>
      <c r="K224" t="s">
        <v>39</v>
      </c>
      <c r="L224">
        <v>4.5</v>
      </c>
      <c r="M224" t="s">
        <v>26</v>
      </c>
      <c r="N224" t="s">
        <v>29</v>
      </c>
      <c r="O224" t="s">
        <v>72</v>
      </c>
      <c r="P224" t="s">
        <v>26</v>
      </c>
      <c r="Q224" t="s">
        <v>26</v>
      </c>
      <c r="R224">
        <v>14</v>
      </c>
      <c r="S224" t="s">
        <v>46</v>
      </c>
      <c r="T224" t="str">
        <f t="shared" si="6"/>
        <v>2-week</v>
      </c>
      <c r="U224">
        <f>VLOOKUP(T224,[1]tablescore!$B$3:$C$8, 2,FALSE)</f>
        <v>26</v>
      </c>
      <c r="V224" t="str">
        <f t="shared" si="7"/>
        <v>Loyal</v>
      </c>
      <c r="W224" t="s">
        <v>30</v>
      </c>
    </row>
    <row r="225" spans="1:23" x14ac:dyDescent="0.25">
      <c r="A225">
        <v>224</v>
      </c>
      <c r="B225">
        <v>20</v>
      </c>
      <c r="C225" t="str" cm="1">
        <f t="array" ref="C225">_xlfn.IFS(
  AND(B225&gt;=18, B225&lt;=24), "18-24",
  AND(B225&gt;=25, B225&lt;=34), "25-34",
  AND(B225&gt;=35, B225&lt;=44), "35-44",
  AND(B225&gt;=45, B225&lt;=54), "45-54",
  B225&gt;=55, "55+"
)</f>
        <v>18-24</v>
      </c>
      <c r="D225" t="s">
        <v>19</v>
      </c>
      <c r="E225" t="s">
        <v>95</v>
      </c>
      <c r="F225" t="s">
        <v>21</v>
      </c>
      <c r="G225">
        <v>41</v>
      </c>
      <c r="H225" t="s">
        <v>52</v>
      </c>
      <c r="I225" t="s">
        <v>45</v>
      </c>
      <c r="J225" t="s">
        <v>49</v>
      </c>
      <c r="K225" t="s">
        <v>39</v>
      </c>
      <c r="L225">
        <v>4.8</v>
      </c>
      <c r="M225" t="s">
        <v>26</v>
      </c>
      <c r="N225" t="s">
        <v>29</v>
      </c>
      <c r="O225" t="s">
        <v>40</v>
      </c>
      <c r="P225" t="s">
        <v>26</v>
      </c>
      <c r="Q225" t="s">
        <v>26</v>
      </c>
      <c r="R225">
        <v>34</v>
      </c>
      <c r="S225" t="s">
        <v>46</v>
      </c>
      <c r="T225" t="str">
        <f t="shared" si="6"/>
        <v>Annually</v>
      </c>
      <c r="U225">
        <f>VLOOKUP(T225,[1]tablescore!$B$3:$C$8, 2,FALSE)</f>
        <v>1</v>
      </c>
      <c r="V225" t="str">
        <f t="shared" si="7"/>
        <v>Low Loyalty</v>
      </c>
      <c r="W225" t="s">
        <v>50</v>
      </c>
    </row>
    <row r="226" spans="1:23" x14ac:dyDescent="0.25">
      <c r="A226">
        <v>225</v>
      </c>
      <c r="B226">
        <v>63</v>
      </c>
      <c r="C226" t="str" cm="1">
        <f t="array" ref="C226">_xlfn.IFS(
  AND(B226&gt;=18, B226&lt;=24), "18-24",
  AND(B226&gt;=25, B226&lt;=34), "25-34",
  AND(B226&gt;=35, B226&lt;=44), "35-44",
  AND(B226&gt;=45, B226&lt;=54), "45-54",
  B226&gt;=55, "55+"
)</f>
        <v>55+</v>
      </c>
      <c r="D226" t="s">
        <v>19</v>
      </c>
      <c r="E226" t="s">
        <v>131</v>
      </c>
      <c r="F226" t="s">
        <v>21</v>
      </c>
      <c r="G226">
        <v>83</v>
      </c>
      <c r="H226" t="s">
        <v>130</v>
      </c>
      <c r="I226" t="s">
        <v>38</v>
      </c>
      <c r="J226" t="s">
        <v>118</v>
      </c>
      <c r="K226" t="s">
        <v>54</v>
      </c>
      <c r="L226">
        <v>2.9</v>
      </c>
      <c r="M226" t="s">
        <v>26</v>
      </c>
      <c r="N226" t="s">
        <v>46</v>
      </c>
      <c r="O226" t="s">
        <v>40</v>
      </c>
      <c r="P226" t="s">
        <v>26</v>
      </c>
      <c r="Q226" t="s">
        <v>26</v>
      </c>
      <c r="R226">
        <v>12</v>
      </c>
      <c r="S226" t="s">
        <v>35</v>
      </c>
      <c r="T226" t="str">
        <f t="shared" si="6"/>
        <v>Quarterly</v>
      </c>
      <c r="U226">
        <f>VLOOKUP(T226,[1]tablescore!$B$3:$C$8, 2,FALSE)</f>
        <v>4</v>
      </c>
      <c r="V226" t="str">
        <f t="shared" si="7"/>
        <v>Low Loyalty</v>
      </c>
      <c r="W226" t="s">
        <v>97</v>
      </c>
    </row>
    <row r="227" spans="1:23" x14ac:dyDescent="0.25">
      <c r="A227">
        <v>226</v>
      </c>
      <c r="B227">
        <v>25</v>
      </c>
      <c r="C227" t="str" cm="1">
        <f t="array" ref="C227">_xlfn.IFS(
  AND(B227&gt;=18, B227&lt;=24), "18-24",
  AND(B227&gt;=25, B227&lt;=34), "25-34",
  AND(B227&gt;=35, B227&lt;=44), "35-44",
  AND(B227&gt;=45, B227&lt;=54), "45-54",
  B227&gt;=55, "55+"
)</f>
        <v>25-34</v>
      </c>
      <c r="D227" t="s">
        <v>19</v>
      </c>
      <c r="E227" t="s">
        <v>102</v>
      </c>
      <c r="F227" t="s">
        <v>65</v>
      </c>
      <c r="G227">
        <v>22</v>
      </c>
      <c r="H227" t="s">
        <v>74</v>
      </c>
      <c r="I227" t="s">
        <v>45</v>
      </c>
      <c r="J227" t="s">
        <v>79</v>
      </c>
      <c r="K227" t="s">
        <v>39</v>
      </c>
      <c r="L227">
        <v>3.2</v>
      </c>
      <c r="M227" t="s">
        <v>26</v>
      </c>
      <c r="N227" t="s">
        <v>59</v>
      </c>
      <c r="O227" t="s">
        <v>47</v>
      </c>
      <c r="P227" t="s">
        <v>26</v>
      </c>
      <c r="Q227" t="s">
        <v>26</v>
      </c>
      <c r="R227">
        <v>11</v>
      </c>
      <c r="S227" t="s">
        <v>34</v>
      </c>
      <c r="T227" t="str">
        <f t="shared" si="6"/>
        <v>Annually</v>
      </c>
      <c r="U227">
        <f>VLOOKUP(T227,[1]tablescore!$B$3:$C$8, 2,FALSE)</f>
        <v>1</v>
      </c>
      <c r="V227" t="str">
        <f t="shared" si="7"/>
        <v>Low Loyalty</v>
      </c>
      <c r="W227" t="s">
        <v>50</v>
      </c>
    </row>
    <row r="228" spans="1:23" x14ac:dyDescent="0.25">
      <c r="A228">
        <v>227</v>
      </c>
      <c r="B228">
        <v>29</v>
      </c>
      <c r="C228" t="str" cm="1">
        <f t="array" ref="C228">_xlfn.IFS(
  AND(B228&gt;=18, B228&lt;=24), "18-24",
  AND(B228&gt;=25, B228&lt;=34), "25-34",
  AND(B228&gt;=35, B228&lt;=44), "35-44",
  AND(B228&gt;=45, B228&lt;=54), "45-54",
  B228&gt;=55, "55+"
)</f>
        <v>25-34</v>
      </c>
      <c r="D228" t="s">
        <v>19</v>
      </c>
      <c r="E228" t="s">
        <v>73</v>
      </c>
      <c r="F228" t="s">
        <v>43</v>
      </c>
      <c r="G228">
        <v>74</v>
      </c>
      <c r="H228" t="s">
        <v>105</v>
      </c>
      <c r="I228" t="s">
        <v>23</v>
      </c>
      <c r="J228" t="s">
        <v>84</v>
      </c>
      <c r="K228" t="s">
        <v>39</v>
      </c>
      <c r="L228">
        <v>3.3</v>
      </c>
      <c r="M228" t="s">
        <v>26</v>
      </c>
      <c r="N228" t="s">
        <v>35</v>
      </c>
      <c r="O228" t="s">
        <v>40</v>
      </c>
      <c r="P228" t="s">
        <v>26</v>
      </c>
      <c r="Q228" t="s">
        <v>26</v>
      </c>
      <c r="R228">
        <v>5</v>
      </c>
      <c r="S228" t="s">
        <v>46</v>
      </c>
      <c r="T228" t="str">
        <f t="shared" si="6"/>
        <v>Month</v>
      </c>
      <c r="U228">
        <f>VLOOKUP(T228,[1]tablescore!$B$3:$C$8, 2,FALSE)</f>
        <v>12</v>
      </c>
      <c r="V228" t="str">
        <f t="shared" si="7"/>
        <v>Moderate</v>
      </c>
      <c r="W228" t="s">
        <v>88</v>
      </c>
    </row>
    <row r="229" spans="1:23" x14ac:dyDescent="0.25">
      <c r="A229">
        <v>228</v>
      </c>
      <c r="B229">
        <v>50</v>
      </c>
      <c r="C229" t="str" cm="1">
        <f t="array" ref="C229">_xlfn.IFS(
  AND(B229&gt;=18, B229&lt;=24), "18-24",
  AND(B229&gt;=25, B229&lt;=34), "25-34",
  AND(B229&gt;=35, B229&lt;=44), "35-44",
  AND(B229&gt;=45, B229&lt;=54), "45-54",
  B229&gt;=55, "55+"
)</f>
        <v>45-54</v>
      </c>
      <c r="D229" t="s">
        <v>19</v>
      </c>
      <c r="E229" t="s">
        <v>36</v>
      </c>
      <c r="F229" t="s">
        <v>21</v>
      </c>
      <c r="G229">
        <v>90</v>
      </c>
      <c r="H229" t="s">
        <v>44</v>
      </c>
      <c r="I229" t="s">
        <v>45</v>
      </c>
      <c r="J229" t="s">
        <v>49</v>
      </c>
      <c r="K229" t="s">
        <v>25</v>
      </c>
      <c r="L229">
        <v>4.2</v>
      </c>
      <c r="M229" t="s">
        <v>26</v>
      </c>
      <c r="N229" t="s">
        <v>29</v>
      </c>
      <c r="O229" t="s">
        <v>55</v>
      </c>
      <c r="P229" t="s">
        <v>26</v>
      </c>
      <c r="Q229" t="s">
        <v>26</v>
      </c>
      <c r="R229">
        <v>25</v>
      </c>
      <c r="S229" t="s">
        <v>29</v>
      </c>
      <c r="T229" t="str">
        <f t="shared" si="6"/>
        <v>2-week</v>
      </c>
      <c r="U229">
        <f>VLOOKUP(T229,[1]tablescore!$B$3:$C$8, 2,FALSE)</f>
        <v>26</v>
      </c>
      <c r="V229" t="str">
        <f t="shared" si="7"/>
        <v>Loyal</v>
      </c>
      <c r="W229" t="s">
        <v>30</v>
      </c>
    </row>
    <row r="230" spans="1:23" x14ac:dyDescent="0.25">
      <c r="A230">
        <v>229</v>
      </c>
      <c r="B230">
        <v>18</v>
      </c>
      <c r="C230" t="str" cm="1">
        <f t="array" ref="C230">_xlfn.IFS(
  AND(B230&gt;=18, B230&lt;=24), "18-24",
  AND(B230&gt;=25, B230&lt;=34), "25-34",
  AND(B230&gt;=35, B230&lt;=44), "35-44",
  AND(B230&gt;=45, B230&lt;=54), "45-54",
  B230&gt;=55, "55+"
)</f>
        <v>18-24</v>
      </c>
      <c r="D230" t="s">
        <v>19</v>
      </c>
      <c r="E230" t="s">
        <v>131</v>
      </c>
      <c r="F230" t="s">
        <v>21</v>
      </c>
      <c r="G230">
        <v>79</v>
      </c>
      <c r="H230" t="s">
        <v>83</v>
      </c>
      <c r="I230" t="s">
        <v>45</v>
      </c>
      <c r="J230" t="s">
        <v>53</v>
      </c>
      <c r="K230" t="s">
        <v>39</v>
      </c>
      <c r="L230">
        <v>2.9</v>
      </c>
      <c r="M230" t="s">
        <v>26</v>
      </c>
      <c r="N230" t="s">
        <v>27</v>
      </c>
      <c r="O230" t="s">
        <v>76</v>
      </c>
      <c r="P230" t="s">
        <v>26</v>
      </c>
      <c r="Q230" t="s">
        <v>26</v>
      </c>
      <c r="R230">
        <v>11</v>
      </c>
      <c r="S230" t="s">
        <v>27</v>
      </c>
      <c r="T230" t="str">
        <f t="shared" si="6"/>
        <v>Annually</v>
      </c>
      <c r="U230">
        <f>VLOOKUP(T230,[1]tablescore!$B$3:$C$8, 2,FALSE)</f>
        <v>1</v>
      </c>
      <c r="V230" t="str">
        <f t="shared" si="7"/>
        <v>Low Loyalty</v>
      </c>
      <c r="W230" t="s">
        <v>50</v>
      </c>
    </row>
    <row r="231" spans="1:23" x14ac:dyDescent="0.25">
      <c r="A231">
        <v>230</v>
      </c>
      <c r="B231">
        <v>70</v>
      </c>
      <c r="C231" t="str" cm="1">
        <f t="array" ref="C231">_xlfn.IFS(
  AND(B231&gt;=18, B231&lt;=24), "18-24",
  AND(B231&gt;=25, B231&lt;=34), "25-34",
  AND(B231&gt;=35, B231&lt;=44), "35-44",
  AND(B231&gt;=45, B231&lt;=54), "45-54",
  B231&gt;=55, "55+"
)</f>
        <v>55+</v>
      </c>
      <c r="D231" t="s">
        <v>19</v>
      </c>
      <c r="E231" t="s">
        <v>42</v>
      </c>
      <c r="F231" t="s">
        <v>43</v>
      </c>
      <c r="G231">
        <v>28</v>
      </c>
      <c r="H231" t="s">
        <v>124</v>
      </c>
      <c r="I231" t="s">
        <v>38</v>
      </c>
      <c r="J231" t="s">
        <v>67</v>
      </c>
      <c r="K231" t="s">
        <v>39</v>
      </c>
      <c r="L231">
        <v>4.5999999999999996</v>
      </c>
      <c r="M231" t="s">
        <v>26</v>
      </c>
      <c r="N231" t="s">
        <v>35</v>
      </c>
      <c r="O231" t="s">
        <v>47</v>
      </c>
      <c r="P231" t="s">
        <v>26</v>
      </c>
      <c r="Q231" t="s">
        <v>26</v>
      </c>
      <c r="R231">
        <v>27</v>
      </c>
      <c r="S231" t="s">
        <v>46</v>
      </c>
      <c r="T231" t="str">
        <f t="shared" si="6"/>
        <v>Quarterly</v>
      </c>
      <c r="U231">
        <f>VLOOKUP(T231,[1]tablescore!$B$3:$C$8, 2,FALSE)</f>
        <v>4</v>
      </c>
      <c r="V231" t="str">
        <f t="shared" si="7"/>
        <v>Low Loyalty</v>
      </c>
      <c r="W231" t="s">
        <v>97</v>
      </c>
    </row>
    <row r="232" spans="1:23" x14ac:dyDescent="0.25">
      <c r="A232">
        <v>231</v>
      </c>
      <c r="B232">
        <v>66</v>
      </c>
      <c r="C232" t="str" cm="1">
        <f t="array" ref="C232">_xlfn.IFS(
  AND(B232&gt;=18, B232&lt;=24), "18-24",
  AND(B232&gt;=25, B232&lt;=34), "25-34",
  AND(B232&gt;=35, B232&lt;=44), "35-44",
  AND(B232&gt;=45, B232&lt;=54), "45-54",
  B232&gt;=55, "55+"
)</f>
        <v>55+</v>
      </c>
      <c r="D232" t="s">
        <v>19</v>
      </c>
      <c r="E232" t="s">
        <v>119</v>
      </c>
      <c r="F232" t="s">
        <v>69</v>
      </c>
      <c r="G232">
        <v>88</v>
      </c>
      <c r="H232" t="s">
        <v>149</v>
      </c>
      <c r="I232" t="s">
        <v>23</v>
      </c>
      <c r="J232" t="s">
        <v>79</v>
      </c>
      <c r="K232" t="s">
        <v>58</v>
      </c>
      <c r="L232">
        <v>4.0999999999999996</v>
      </c>
      <c r="M232" t="s">
        <v>26</v>
      </c>
      <c r="N232" t="s">
        <v>29</v>
      </c>
      <c r="O232" t="s">
        <v>55</v>
      </c>
      <c r="P232" t="s">
        <v>26</v>
      </c>
      <c r="Q232" t="s">
        <v>26</v>
      </c>
      <c r="R232">
        <v>43</v>
      </c>
      <c r="S232" t="s">
        <v>27</v>
      </c>
      <c r="T232" t="str">
        <f t="shared" si="6"/>
        <v>Annually</v>
      </c>
      <c r="U232">
        <f>VLOOKUP(T232,[1]tablescore!$B$3:$C$8, 2,FALSE)</f>
        <v>1</v>
      </c>
      <c r="V232" t="str">
        <f t="shared" si="7"/>
        <v>Low Loyalty</v>
      </c>
      <c r="W232" t="s">
        <v>50</v>
      </c>
    </row>
    <row r="233" spans="1:23" x14ac:dyDescent="0.25">
      <c r="A233">
        <v>232</v>
      </c>
      <c r="B233">
        <v>28</v>
      </c>
      <c r="C233" t="str" cm="1">
        <f t="array" ref="C233">_xlfn.IFS(
  AND(B233&gt;=18, B233&lt;=24), "18-24",
  AND(B233&gt;=25, B233&lt;=34), "25-34",
  AND(B233&gt;=35, B233&lt;=44), "35-44",
  AND(B233&gt;=45, B233&lt;=54), "45-54",
  B233&gt;=55, "55+"
)</f>
        <v>25-34</v>
      </c>
      <c r="D233" t="s">
        <v>19</v>
      </c>
      <c r="E233" t="s">
        <v>20</v>
      </c>
      <c r="F233" t="s">
        <v>21</v>
      </c>
      <c r="G233">
        <v>26</v>
      </c>
      <c r="H233" t="s">
        <v>122</v>
      </c>
      <c r="I233" t="s">
        <v>45</v>
      </c>
      <c r="J233" t="s">
        <v>138</v>
      </c>
      <c r="K233" t="s">
        <v>39</v>
      </c>
      <c r="L233">
        <v>3.1</v>
      </c>
      <c r="M233" t="s">
        <v>26</v>
      </c>
      <c r="N233" t="s">
        <v>34</v>
      </c>
      <c r="O233" t="s">
        <v>72</v>
      </c>
      <c r="P233" t="s">
        <v>26</v>
      </c>
      <c r="Q233" t="s">
        <v>26</v>
      </c>
      <c r="R233">
        <v>18</v>
      </c>
      <c r="S233" t="s">
        <v>59</v>
      </c>
      <c r="T233" t="str">
        <f t="shared" si="6"/>
        <v>Quarterly</v>
      </c>
      <c r="U233">
        <f>VLOOKUP(T233,[1]tablescore!$B$3:$C$8, 2,FALSE)</f>
        <v>4</v>
      </c>
      <c r="V233" t="str">
        <f t="shared" si="7"/>
        <v>Low Loyalty</v>
      </c>
      <c r="W233" t="s">
        <v>97</v>
      </c>
    </row>
    <row r="234" spans="1:23" x14ac:dyDescent="0.25">
      <c r="A234">
        <v>233</v>
      </c>
      <c r="B234">
        <v>54</v>
      </c>
      <c r="C234" t="str" cm="1">
        <f t="array" ref="C234">_xlfn.IFS(
  AND(B234&gt;=18, B234&lt;=24), "18-24",
  AND(B234&gt;=25, B234&lt;=34), "25-34",
  AND(B234&gt;=35, B234&lt;=44), "35-44",
  AND(B234&gt;=45, B234&lt;=54), "45-54",
  B234&gt;=55, "55+"
)</f>
        <v>45-54</v>
      </c>
      <c r="D234" t="s">
        <v>19</v>
      </c>
      <c r="E234" t="s">
        <v>106</v>
      </c>
      <c r="F234" t="s">
        <v>69</v>
      </c>
      <c r="G234">
        <v>27</v>
      </c>
      <c r="H234" t="s">
        <v>78</v>
      </c>
      <c r="I234" t="s">
        <v>23</v>
      </c>
      <c r="J234" t="s">
        <v>75</v>
      </c>
      <c r="K234" t="s">
        <v>25</v>
      </c>
      <c r="L234">
        <v>4.2</v>
      </c>
      <c r="M234" t="s">
        <v>26</v>
      </c>
      <c r="N234" t="s">
        <v>34</v>
      </c>
      <c r="O234" t="s">
        <v>28</v>
      </c>
      <c r="P234" t="s">
        <v>26</v>
      </c>
      <c r="Q234" t="s">
        <v>26</v>
      </c>
      <c r="R234">
        <v>32</v>
      </c>
      <c r="S234" t="s">
        <v>34</v>
      </c>
      <c r="T234" t="str">
        <f t="shared" si="6"/>
        <v>2-week</v>
      </c>
      <c r="U234">
        <f>VLOOKUP(T234,[1]tablescore!$B$3:$C$8, 2,FALSE)</f>
        <v>26</v>
      </c>
      <c r="V234" t="str">
        <f t="shared" si="7"/>
        <v>Loyal</v>
      </c>
      <c r="W234" t="s">
        <v>77</v>
      </c>
    </row>
    <row r="235" spans="1:23" x14ac:dyDescent="0.25">
      <c r="A235">
        <v>234</v>
      </c>
      <c r="B235">
        <v>19</v>
      </c>
      <c r="C235" t="str" cm="1">
        <f t="array" ref="C235">_xlfn.IFS(
  AND(B235&gt;=18, B235&lt;=24), "18-24",
  AND(B235&gt;=25, B235&lt;=34), "25-34",
  AND(B235&gt;=35, B235&lt;=44), "35-44",
  AND(B235&gt;=45, B235&lt;=54), "45-54",
  B235&gt;=55, "55+"
)</f>
        <v>18-24</v>
      </c>
      <c r="D235" t="s">
        <v>19</v>
      </c>
      <c r="E235" t="s">
        <v>31</v>
      </c>
      <c r="F235" t="s">
        <v>21</v>
      </c>
      <c r="G235">
        <v>83</v>
      </c>
      <c r="H235" t="s">
        <v>117</v>
      </c>
      <c r="I235" t="s">
        <v>92</v>
      </c>
      <c r="J235" t="s">
        <v>139</v>
      </c>
      <c r="K235" t="s">
        <v>58</v>
      </c>
      <c r="L235">
        <v>4.5</v>
      </c>
      <c r="M235" t="s">
        <v>26</v>
      </c>
      <c r="N235" t="s">
        <v>46</v>
      </c>
      <c r="O235" t="s">
        <v>47</v>
      </c>
      <c r="P235" t="s">
        <v>26</v>
      </c>
      <c r="Q235" t="s">
        <v>26</v>
      </c>
      <c r="R235">
        <v>27</v>
      </c>
      <c r="S235" t="s">
        <v>34</v>
      </c>
      <c r="T235" t="str">
        <f t="shared" si="6"/>
        <v>Quarterly</v>
      </c>
      <c r="U235">
        <f>VLOOKUP(T235,[1]tablescore!$B$3:$C$8, 2,FALSE)</f>
        <v>4</v>
      </c>
      <c r="V235" t="str">
        <f t="shared" si="7"/>
        <v>Low Loyalty</v>
      </c>
      <c r="W235" t="s">
        <v>97</v>
      </c>
    </row>
    <row r="236" spans="1:23" x14ac:dyDescent="0.25">
      <c r="A236">
        <v>235</v>
      </c>
      <c r="B236">
        <v>20</v>
      </c>
      <c r="C236" t="str" cm="1">
        <f t="array" ref="C236">_xlfn.IFS(
  AND(B236&gt;=18, B236&lt;=24), "18-24",
  AND(B236&gt;=25, B236&lt;=34), "25-34",
  AND(B236&gt;=35, B236&lt;=44), "35-44",
  AND(B236&gt;=45, B236&lt;=54), "45-54",
  B236&gt;=55, "55+"
)</f>
        <v>18-24</v>
      </c>
      <c r="D236" t="s">
        <v>19</v>
      </c>
      <c r="E236" t="s">
        <v>127</v>
      </c>
      <c r="F236" t="s">
        <v>69</v>
      </c>
      <c r="G236">
        <v>39</v>
      </c>
      <c r="H236" t="s">
        <v>130</v>
      </c>
      <c r="I236" t="s">
        <v>38</v>
      </c>
      <c r="J236" t="s">
        <v>67</v>
      </c>
      <c r="K236" t="s">
        <v>54</v>
      </c>
      <c r="L236">
        <v>3.7</v>
      </c>
      <c r="M236" t="s">
        <v>26</v>
      </c>
      <c r="N236" t="s">
        <v>46</v>
      </c>
      <c r="O236" t="s">
        <v>47</v>
      </c>
      <c r="P236" t="s">
        <v>26</v>
      </c>
      <c r="Q236" t="s">
        <v>26</v>
      </c>
      <c r="R236">
        <v>24</v>
      </c>
      <c r="S236" t="s">
        <v>27</v>
      </c>
      <c r="T236" t="str">
        <f t="shared" si="6"/>
        <v>Daily</v>
      </c>
      <c r="U236">
        <f>VLOOKUP(T236,[1]tablescore!$B$3:$C$8, 2,FALSE)</f>
        <v>30</v>
      </c>
      <c r="V236" t="str">
        <f t="shared" si="7"/>
        <v>Highly Loyal</v>
      </c>
      <c r="W236" t="s">
        <v>41</v>
      </c>
    </row>
    <row r="237" spans="1:23" x14ac:dyDescent="0.25">
      <c r="A237">
        <v>236</v>
      </c>
      <c r="B237">
        <v>43</v>
      </c>
      <c r="C237" t="str" cm="1">
        <f t="array" ref="C237">_xlfn.IFS(
  AND(B237&gt;=18, B237&lt;=24), "18-24",
  AND(B237&gt;=25, B237&lt;=34), "25-34",
  AND(B237&gt;=35, B237&lt;=44), "35-44",
  AND(B237&gt;=45, B237&lt;=54), "45-54",
  B237&gt;=55, "55+"
)</f>
        <v>35-44</v>
      </c>
      <c r="D237" t="s">
        <v>19</v>
      </c>
      <c r="E237" t="s">
        <v>89</v>
      </c>
      <c r="F237" t="s">
        <v>69</v>
      </c>
      <c r="G237">
        <v>89</v>
      </c>
      <c r="H237" t="s">
        <v>137</v>
      </c>
      <c r="I237" t="s">
        <v>45</v>
      </c>
      <c r="J237" t="s">
        <v>109</v>
      </c>
      <c r="K237" t="s">
        <v>25</v>
      </c>
      <c r="L237">
        <v>3.7</v>
      </c>
      <c r="M237" t="s">
        <v>26</v>
      </c>
      <c r="N237" t="s">
        <v>35</v>
      </c>
      <c r="O237" t="s">
        <v>40</v>
      </c>
      <c r="P237" t="s">
        <v>26</v>
      </c>
      <c r="Q237" t="s">
        <v>26</v>
      </c>
      <c r="R237">
        <v>31</v>
      </c>
      <c r="S237" t="s">
        <v>59</v>
      </c>
      <c r="T237" t="str">
        <f t="shared" si="6"/>
        <v>Quarterly</v>
      </c>
      <c r="U237">
        <f>VLOOKUP(T237,[1]tablescore!$B$3:$C$8, 2,FALSE)</f>
        <v>4</v>
      </c>
      <c r="V237" t="str">
        <f t="shared" si="7"/>
        <v>Low Loyalty</v>
      </c>
      <c r="W237" t="s">
        <v>60</v>
      </c>
    </row>
    <row r="238" spans="1:23" x14ac:dyDescent="0.25">
      <c r="A238">
        <v>237</v>
      </c>
      <c r="B238">
        <v>38</v>
      </c>
      <c r="C238" t="str" cm="1">
        <f t="array" ref="C238">_xlfn.IFS(
  AND(B238&gt;=18, B238&lt;=24), "18-24",
  AND(B238&gt;=25, B238&lt;=34), "25-34",
  AND(B238&gt;=35, B238&lt;=44), "35-44",
  AND(B238&gt;=45, B238&lt;=54), "45-54",
  B238&gt;=55, "55+"
)</f>
        <v>35-44</v>
      </c>
      <c r="D238" t="s">
        <v>19</v>
      </c>
      <c r="E238" t="s">
        <v>64</v>
      </c>
      <c r="F238" t="s">
        <v>65</v>
      </c>
      <c r="G238">
        <v>68</v>
      </c>
      <c r="H238" t="s">
        <v>114</v>
      </c>
      <c r="I238" t="s">
        <v>23</v>
      </c>
      <c r="J238" t="s">
        <v>96</v>
      </c>
      <c r="K238" t="s">
        <v>25</v>
      </c>
      <c r="L238">
        <v>3.4</v>
      </c>
      <c r="M238" t="s">
        <v>26</v>
      </c>
      <c r="N238" t="s">
        <v>59</v>
      </c>
      <c r="O238" t="s">
        <v>47</v>
      </c>
      <c r="P238" t="s">
        <v>26</v>
      </c>
      <c r="Q238" t="s">
        <v>26</v>
      </c>
      <c r="R238">
        <v>39</v>
      </c>
      <c r="S238" t="s">
        <v>46</v>
      </c>
      <c r="T238" t="str">
        <f t="shared" si="6"/>
        <v>2-week</v>
      </c>
      <c r="U238">
        <f>VLOOKUP(T238,[1]tablescore!$B$3:$C$8, 2,FALSE)</f>
        <v>26</v>
      </c>
      <c r="V238" t="str">
        <f t="shared" si="7"/>
        <v>Loyal</v>
      </c>
      <c r="W238" t="s">
        <v>30</v>
      </c>
    </row>
    <row r="239" spans="1:23" x14ac:dyDescent="0.25">
      <c r="A239">
        <v>238</v>
      </c>
      <c r="B239">
        <v>50</v>
      </c>
      <c r="C239" t="str" cm="1">
        <f t="array" ref="C239">_xlfn.IFS(
  AND(B239&gt;=18, B239&lt;=24), "18-24",
  AND(B239&gt;=25, B239&lt;=34), "25-34",
  AND(B239&gt;=35, B239&lt;=44), "35-44",
  AND(B239&gt;=45, B239&lt;=54), "45-54",
  B239&gt;=55, "55+"
)</f>
        <v>45-54</v>
      </c>
      <c r="D239" t="s">
        <v>19</v>
      </c>
      <c r="E239" t="s">
        <v>82</v>
      </c>
      <c r="F239" t="s">
        <v>21</v>
      </c>
      <c r="G239">
        <v>90</v>
      </c>
      <c r="H239" t="s">
        <v>150</v>
      </c>
      <c r="I239" t="s">
        <v>45</v>
      </c>
      <c r="J239" t="s">
        <v>118</v>
      </c>
      <c r="K239" t="s">
        <v>54</v>
      </c>
      <c r="L239">
        <v>3</v>
      </c>
      <c r="M239" t="s">
        <v>26</v>
      </c>
      <c r="N239" t="s">
        <v>29</v>
      </c>
      <c r="O239" t="s">
        <v>76</v>
      </c>
      <c r="P239" t="s">
        <v>26</v>
      </c>
      <c r="Q239" t="s">
        <v>26</v>
      </c>
      <c r="R239">
        <v>36</v>
      </c>
      <c r="S239" t="s">
        <v>59</v>
      </c>
      <c r="T239" t="str">
        <f t="shared" si="6"/>
        <v>2-week</v>
      </c>
      <c r="U239">
        <f>VLOOKUP(T239,[1]tablescore!$B$3:$C$8, 2,FALSE)</f>
        <v>26</v>
      </c>
      <c r="V239" t="str">
        <f t="shared" si="7"/>
        <v>Loyal</v>
      </c>
      <c r="W239" t="s">
        <v>30</v>
      </c>
    </row>
    <row r="240" spans="1:23" x14ac:dyDescent="0.25">
      <c r="A240">
        <v>239</v>
      </c>
      <c r="B240">
        <v>64</v>
      </c>
      <c r="C240" t="str" cm="1">
        <f t="array" ref="C240">_xlfn.IFS(
  AND(B240&gt;=18, B240&lt;=24), "18-24",
  AND(B240&gt;=25, B240&lt;=34), "25-34",
  AND(B240&gt;=35, B240&lt;=44), "35-44",
  AND(B240&gt;=45, B240&lt;=54), "45-54",
  B240&gt;=55, "55+"
)</f>
        <v>55+</v>
      </c>
      <c r="D240" t="s">
        <v>19</v>
      </c>
      <c r="E240" t="s">
        <v>87</v>
      </c>
      <c r="F240" t="s">
        <v>21</v>
      </c>
      <c r="G240">
        <v>34</v>
      </c>
      <c r="H240" t="s">
        <v>124</v>
      </c>
      <c r="I240" t="s">
        <v>45</v>
      </c>
      <c r="J240" t="s">
        <v>100</v>
      </c>
      <c r="K240" t="s">
        <v>58</v>
      </c>
      <c r="L240">
        <v>4.2</v>
      </c>
      <c r="M240" t="s">
        <v>26</v>
      </c>
      <c r="N240" t="s">
        <v>59</v>
      </c>
      <c r="O240" t="s">
        <v>40</v>
      </c>
      <c r="P240" t="s">
        <v>26</v>
      </c>
      <c r="Q240" t="s">
        <v>26</v>
      </c>
      <c r="R240">
        <v>5</v>
      </c>
      <c r="S240" t="s">
        <v>35</v>
      </c>
      <c r="T240" t="str">
        <f t="shared" si="6"/>
        <v>Annually</v>
      </c>
      <c r="U240">
        <f>VLOOKUP(T240,[1]tablescore!$B$3:$C$8, 2,FALSE)</f>
        <v>1</v>
      </c>
      <c r="V240" t="str">
        <f t="shared" si="7"/>
        <v>Low Loyalty</v>
      </c>
      <c r="W240" t="s">
        <v>50</v>
      </c>
    </row>
    <row r="241" spans="1:23" x14ac:dyDescent="0.25">
      <c r="A241">
        <v>240</v>
      </c>
      <c r="B241">
        <v>49</v>
      </c>
      <c r="C241" t="str" cm="1">
        <f t="array" ref="C241">_xlfn.IFS(
  AND(B241&gt;=18, B241&lt;=24), "18-24",
  AND(B241&gt;=25, B241&lt;=34), "25-34",
  AND(B241&gt;=35, B241&lt;=44), "35-44",
  AND(B241&gt;=45, B241&lt;=54), "45-54",
  B241&gt;=55, "55+"
)</f>
        <v>45-54</v>
      </c>
      <c r="D241" t="s">
        <v>19</v>
      </c>
      <c r="E241" t="s">
        <v>95</v>
      </c>
      <c r="F241" t="s">
        <v>21</v>
      </c>
      <c r="G241">
        <v>51</v>
      </c>
      <c r="H241" t="s">
        <v>145</v>
      </c>
      <c r="I241" t="s">
        <v>23</v>
      </c>
      <c r="J241" t="s">
        <v>139</v>
      </c>
      <c r="K241" t="s">
        <v>54</v>
      </c>
      <c r="L241">
        <v>2.9</v>
      </c>
      <c r="M241" t="s">
        <v>26</v>
      </c>
      <c r="N241" t="s">
        <v>46</v>
      </c>
      <c r="O241" t="s">
        <v>28</v>
      </c>
      <c r="P241" t="s">
        <v>26</v>
      </c>
      <c r="Q241" t="s">
        <v>26</v>
      </c>
      <c r="R241">
        <v>47</v>
      </c>
      <c r="S241" t="s">
        <v>27</v>
      </c>
      <c r="T241" t="str">
        <f t="shared" si="6"/>
        <v>2-week</v>
      </c>
      <c r="U241">
        <f>VLOOKUP(T241,[1]tablescore!$B$3:$C$8, 2,FALSE)</f>
        <v>26</v>
      </c>
      <c r="V241" t="str">
        <f t="shared" si="7"/>
        <v>Loyal</v>
      </c>
      <c r="W241" t="s">
        <v>77</v>
      </c>
    </row>
    <row r="242" spans="1:23" x14ac:dyDescent="0.25">
      <c r="A242">
        <v>241</v>
      </c>
      <c r="B242">
        <v>47</v>
      </c>
      <c r="C242" t="str" cm="1">
        <f t="array" ref="C242">_xlfn.IFS(
  AND(B242&gt;=18, B242&lt;=24), "18-24",
  AND(B242&gt;=25, B242&lt;=34), "25-34",
  AND(B242&gt;=35, B242&lt;=44), "35-44",
  AND(B242&gt;=45, B242&lt;=54), "45-54",
  B242&gt;=55, "55+"
)</f>
        <v>45-54</v>
      </c>
      <c r="D242" t="s">
        <v>19</v>
      </c>
      <c r="E242" t="s">
        <v>31</v>
      </c>
      <c r="F242" t="s">
        <v>21</v>
      </c>
      <c r="G242">
        <v>45</v>
      </c>
      <c r="H242" t="s">
        <v>57</v>
      </c>
      <c r="I242" t="s">
        <v>92</v>
      </c>
      <c r="J242" t="s">
        <v>49</v>
      </c>
      <c r="K242" t="s">
        <v>25</v>
      </c>
      <c r="L242">
        <v>3.5</v>
      </c>
      <c r="M242" t="s">
        <v>26</v>
      </c>
      <c r="N242" t="s">
        <v>27</v>
      </c>
      <c r="O242" t="s">
        <v>40</v>
      </c>
      <c r="P242" t="s">
        <v>26</v>
      </c>
      <c r="Q242" t="s">
        <v>26</v>
      </c>
      <c r="R242">
        <v>29</v>
      </c>
      <c r="S242" t="s">
        <v>34</v>
      </c>
      <c r="T242" t="str">
        <f t="shared" si="6"/>
        <v>2-week</v>
      </c>
      <c r="U242">
        <f>VLOOKUP(T242,[1]tablescore!$B$3:$C$8, 2,FALSE)</f>
        <v>26</v>
      </c>
      <c r="V242" t="str">
        <f t="shared" si="7"/>
        <v>Loyal</v>
      </c>
      <c r="W242" t="s">
        <v>30</v>
      </c>
    </row>
    <row r="243" spans="1:23" x14ac:dyDescent="0.25">
      <c r="A243">
        <v>242</v>
      </c>
      <c r="B243">
        <v>36</v>
      </c>
      <c r="C243" t="str" cm="1">
        <f t="array" ref="C243">_xlfn.IFS(
  AND(B243&gt;=18, B243&lt;=24), "18-24",
  AND(B243&gt;=25, B243&lt;=34), "25-34",
  AND(B243&gt;=35, B243&lt;=44), "35-44",
  AND(B243&gt;=45, B243&lt;=54), "45-54",
  B243&gt;=55, "55+"
)</f>
        <v>35-44</v>
      </c>
      <c r="D243" t="s">
        <v>19</v>
      </c>
      <c r="E243" t="s">
        <v>104</v>
      </c>
      <c r="F243" t="s">
        <v>21</v>
      </c>
      <c r="G243">
        <v>88</v>
      </c>
      <c r="H243" t="s">
        <v>80</v>
      </c>
      <c r="I243" t="s">
        <v>45</v>
      </c>
      <c r="J243" t="s">
        <v>100</v>
      </c>
      <c r="K243" t="s">
        <v>25</v>
      </c>
      <c r="L243">
        <v>4.0999999999999996</v>
      </c>
      <c r="M243" t="s">
        <v>26</v>
      </c>
      <c r="N243" t="s">
        <v>46</v>
      </c>
      <c r="O243" t="s">
        <v>40</v>
      </c>
      <c r="P243" t="s">
        <v>26</v>
      </c>
      <c r="Q243" t="s">
        <v>26</v>
      </c>
      <c r="R243">
        <v>43</v>
      </c>
      <c r="S243" t="s">
        <v>29</v>
      </c>
      <c r="T243" t="str">
        <f t="shared" si="6"/>
        <v>2-week</v>
      </c>
      <c r="U243">
        <f>VLOOKUP(T243,[1]tablescore!$B$3:$C$8, 2,FALSE)</f>
        <v>26</v>
      </c>
      <c r="V243" t="str">
        <f t="shared" si="7"/>
        <v>Loyal</v>
      </c>
      <c r="W243" t="s">
        <v>77</v>
      </c>
    </row>
    <row r="244" spans="1:23" x14ac:dyDescent="0.25">
      <c r="A244">
        <v>243</v>
      </c>
      <c r="B244">
        <v>55</v>
      </c>
      <c r="C244" t="str" cm="1">
        <f t="array" ref="C244">_xlfn.IFS(
  AND(B244&gt;=18, B244&lt;=24), "18-24",
  AND(B244&gt;=25, B244&lt;=34), "25-34",
  AND(B244&gt;=35, B244&lt;=44), "35-44",
  AND(B244&gt;=45, B244&lt;=54), "45-54",
  B244&gt;=55, "55+"
)</f>
        <v>55+</v>
      </c>
      <c r="D244" t="s">
        <v>19</v>
      </c>
      <c r="E244" t="s">
        <v>64</v>
      </c>
      <c r="F244" t="s">
        <v>65</v>
      </c>
      <c r="G244">
        <v>85</v>
      </c>
      <c r="H244" t="s">
        <v>85</v>
      </c>
      <c r="I244" t="s">
        <v>23</v>
      </c>
      <c r="J244" t="s">
        <v>24</v>
      </c>
      <c r="K244" t="s">
        <v>54</v>
      </c>
      <c r="L244">
        <v>4.3</v>
      </c>
      <c r="M244" t="s">
        <v>26</v>
      </c>
      <c r="N244" t="s">
        <v>27</v>
      </c>
      <c r="O244" t="s">
        <v>76</v>
      </c>
      <c r="P244" t="s">
        <v>26</v>
      </c>
      <c r="Q244" t="s">
        <v>26</v>
      </c>
      <c r="R244">
        <v>40</v>
      </c>
      <c r="S244" t="s">
        <v>59</v>
      </c>
      <c r="T244" t="str">
        <f t="shared" si="6"/>
        <v>Quarterly</v>
      </c>
      <c r="U244">
        <f>VLOOKUP(T244,[1]tablescore!$B$3:$C$8, 2,FALSE)</f>
        <v>4</v>
      </c>
      <c r="V244" t="str">
        <f t="shared" si="7"/>
        <v>Low Loyalty</v>
      </c>
      <c r="W244" t="s">
        <v>97</v>
      </c>
    </row>
    <row r="245" spans="1:23" x14ac:dyDescent="0.25">
      <c r="A245">
        <v>244</v>
      </c>
      <c r="B245">
        <v>25</v>
      </c>
      <c r="C245" t="str" cm="1">
        <f t="array" ref="C245">_xlfn.IFS(
  AND(B245&gt;=18, B245&lt;=24), "18-24",
  AND(B245&gt;=25, B245&lt;=34), "25-34",
  AND(B245&gt;=35, B245&lt;=44), "35-44",
  AND(B245&gt;=45, B245&lt;=54), "45-54",
  B245&gt;=55, "55+"
)</f>
        <v>25-34</v>
      </c>
      <c r="D245" t="s">
        <v>19</v>
      </c>
      <c r="E245" t="s">
        <v>106</v>
      </c>
      <c r="F245" t="s">
        <v>69</v>
      </c>
      <c r="G245">
        <v>100</v>
      </c>
      <c r="H245" t="s">
        <v>22</v>
      </c>
      <c r="I245" t="s">
        <v>45</v>
      </c>
      <c r="J245" t="s">
        <v>79</v>
      </c>
      <c r="K245" t="s">
        <v>25</v>
      </c>
      <c r="L245">
        <v>2.8</v>
      </c>
      <c r="M245" t="s">
        <v>26</v>
      </c>
      <c r="N245" t="s">
        <v>27</v>
      </c>
      <c r="O245" t="s">
        <v>72</v>
      </c>
      <c r="P245" t="s">
        <v>26</v>
      </c>
      <c r="Q245" t="s">
        <v>26</v>
      </c>
      <c r="R245">
        <v>4</v>
      </c>
      <c r="S245" t="s">
        <v>59</v>
      </c>
      <c r="T245" t="str">
        <f t="shared" si="6"/>
        <v>Month</v>
      </c>
      <c r="U245">
        <f>VLOOKUP(T245,[1]tablescore!$B$3:$C$8, 2,FALSE)</f>
        <v>12</v>
      </c>
      <c r="V245" t="str">
        <f t="shared" si="7"/>
        <v>Moderate</v>
      </c>
      <c r="W245" t="s">
        <v>88</v>
      </c>
    </row>
    <row r="246" spans="1:23" x14ac:dyDescent="0.25">
      <c r="A246">
        <v>245</v>
      </c>
      <c r="B246">
        <v>53</v>
      </c>
      <c r="C246" t="str" cm="1">
        <f t="array" ref="C246">_xlfn.IFS(
  AND(B246&gt;=18, B246&lt;=24), "18-24",
  AND(B246&gt;=25, B246&lt;=34), "25-34",
  AND(B246&gt;=35, B246&lt;=44), "35-44",
  AND(B246&gt;=45, B246&lt;=54), "45-54",
  B246&gt;=55, "55+"
)</f>
        <v>45-54</v>
      </c>
      <c r="D246" t="s">
        <v>19</v>
      </c>
      <c r="E246" t="s">
        <v>136</v>
      </c>
      <c r="F246" t="s">
        <v>69</v>
      </c>
      <c r="G246">
        <v>42</v>
      </c>
      <c r="H246" t="s">
        <v>48</v>
      </c>
      <c r="I246" t="s">
        <v>38</v>
      </c>
      <c r="J246" t="s">
        <v>129</v>
      </c>
      <c r="K246" t="s">
        <v>39</v>
      </c>
      <c r="L246">
        <v>4.9000000000000004</v>
      </c>
      <c r="M246" t="s">
        <v>26</v>
      </c>
      <c r="N246" t="s">
        <v>59</v>
      </c>
      <c r="O246" t="s">
        <v>72</v>
      </c>
      <c r="P246" t="s">
        <v>26</v>
      </c>
      <c r="Q246" t="s">
        <v>26</v>
      </c>
      <c r="R246">
        <v>39</v>
      </c>
      <c r="S246" t="s">
        <v>46</v>
      </c>
      <c r="T246" t="str">
        <f t="shared" si="6"/>
        <v>Daily</v>
      </c>
      <c r="U246">
        <f>VLOOKUP(T246,[1]tablescore!$B$3:$C$8, 2,FALSE)</f>
        <v>30</v>
      </c>
      <c r="V246" t="str">
        <f t="shared" si="7"/>
        <v>Highly Loyal</v>
      </c>
      <c r="W246" t="s">
        <v>41</v>
      </c>
    </row>
    <row r="247" spans="1:23" x14ac:dyDescent="0.25">
      <c r="A247">
        <v>246</v>
      </c>
      <c r="B247">
        <v>49</v>
      </c>
      <c r="C247" t="str" cm="1">
        <f t="array" ref="C247">_xlfn.IFS(
  AND(B247&gt;=18, B247&lt;=24), "18-24",
  AND(B247&gt;=25, B247&lt;=34), "25-34",
  AND(B247&gt;=35, B247&lt;=44), "35-44",
  AND(B247&gt;=45, B247&lt;=54), "45-54",
  B247&gt;=55, "55+"
)</f>
        <v>45-54</v>
      </c>
      <c r="D247" t="s">
        <v>19</v>
      </c>
      <c r="E247" t="s">
        <v>42</v>
      </c>
      <c r="F247" t="s">
        <v>43</v>
      </c>
      <c r="G247">
        <v>53</v>
      </c>
      <c r="H247" t="s">
        <v>44</v>
      </c>
      <c r="I247" t="s">
        <v>23</v>
      </c>
      <c r="J247" t="s">
        <v>63</v>
      </c>
      <c r="K247" t="s">
        <v>54</v>
      </c>
      <c r="L247">
        <v>3.3</v>
      </c>
      <c r="M247" t="s">
        <v>26</v>
      </c>
      <c r="N247" t="s">
        <v>35</v>
      </c>
      <c r="O247" t="s">
        <v>47</v>
      </c>
      <c r="P247" t="s">
        <v>26</v>
      </c>
      <c r="Q247" t="s">
        <v>26</v>
      </c>
      <c r="R247">
        <v>45</v>
      </c>
      <c r="S247" t="s">
        <v>29</v>
      </c>
      <c r="T247" t="str">
        <f t="shared" si="6"/>
        <v>2-week</v>
      </c>
      <c r="U247">
        <f>VLOOKUP(T247,[1]tablescore!$B$3:$C$8, 2,FALSE)</f>
        <v>26</v>
      </c>
      <c r="V247" t="str">
        <f t="shared" si="7"/>
        <v>Loyal</v>
      </c>
      <c r="W247" t="s">
        <v>30</v>
      </c>
    </row>
    <row r="248" spans="1:23" x14ac:dyDescent="0.25">
      <c r="A248">
        <v>247</v>
      </c>
      <c r="B248">
        <v>35</v>
      </c>
      <c r="C248" t="str" cm="1">
        <f t="array" ref="C248">_xlfn.IFS(
  AND(B248&gt;=18, B248&lt;=24), "18-24",
  AND(B248&gt;=25, B248&lt;=34), "25-34",
  AND(B248&gt;=35, B248&lt;=44), "35-44",
  AND(B248&gt;=45, B248&lt;=54), "45-54",
  B248&gt;=55, "55+"
)</f>
        <v>35-44</v>
      </c>
      <c r="D248" t="s">
        <v>19</v>
      </c>
      <c r="E248" t="s">
        <v>89</v>
      </c>
      <c r="F248" t="s">
        <v>69</v>
      </c>
      <c r="G248">
        <v>86</v>
      </c>
      <c r="H248" t="s">
        <v>107</v>
      </c>
      <c r="I248" t="s">
        <v>92</v>
      </c>
      <c r="J248" t="s">
        <v>118</v>
      </c>
      <c r="K248" t="s">
        <v>39</v>
      </c>
      <c r="L248">
        <v>3.2</v>
      </c>
      <c r="M248" t="s">
        <v>26</v>
      </c>
      <c r="N248" t="s">
        <v>27</v>
      </c>
      <c r="O248" t="s">
        <v>28</v>
      </c>
      <c r="P248" t="s">
        <v>26</v>
      </c>
      <c r="Q248" t="s">
        <v>26</v>
      </c>
      <c r="R248">
        <v>20</v>
      </c>
      <c r="S248" t="s">
        <v>29</v>
      </c>
      <c r="T248" t="str">
        <f t="shared" si="6"/>
        <v>2-week</v>
      </c>
      <c r="U248">
        <f>VLOOKUP(T248,[1]tablescore!$B$3:$C$8, 2,FALSE)</f>
        <v>26</v>
      </c>
      <c r="V248" t="str">
        <f t="shared" si="7"/>
        <v>Loyal</v>
      </c>
      <c r="W248" t="s">
        <v>77</v>
      </c>
    </row>
    <row r="249" spans="1:23" x14ac:dyDescent="0.25">
      <c r="A249">
        <v>248</v>
      </c>
      <c r="B249">
        <v>29</v>
      </c>
      <c r="C249" t="str" cm="1">
        <f t="array" ref="C249">_xlfn.IFS(
  AND(B249&gt;=18, B249&lt;=24), "18-24",
  AND(B249&gt;=25, B249&lt;=34), "25-34",
  AND(B249&gt;=35, B249&lt;=44), "35-44",
  AND(B249&gt;=45, B249&lt;=54), "45-54",
  B249&gt;=55, "55+"
)</f>
        <v>25-34</v>
      </c>
      <c r="D249" t="s">
        <v>19</v>
      </c>
      <c r="E249" t="s">
        <v>31</v>
      </c>
      <c r="F249" t="s">
        <v>21</v>
      </c>
      <c r="G249">
        <v>66</v>
      </c>
      <c r="H249" t="s">
        <v>57</v>
      </c>
      <c r="I249" t="s">
        <v>92</v>
      </c>
      <c r="J249" t="s">
        <v>110</v>
      </c>
      <c r="K249" t="s">
        <v>39</v>
      </c>
      <c r="L249">
        <v>4.4000000000000004</v>
      </c>
      <c r="M249" t="s">
        <v>26</v>
      </c>
      <c r="N249" t="s">
        <v>27</v>
      </c>
      <c r="O249" t="s">
        <v>55</v>
      </c>
      <c r="P249" t="s">
        <v>26</v>
      </c>
      <c r="Q249" t="s">
        <v>26</v>
      </c>
      <c r="R249">
        <v>14</v>
      </c>
      <c r="S249" t="s">
        <v>59</v>
      </c>
      <c r="T249" t="str">
        <f t="shared" si="6"/>
        <v>Daily</v>
      </c>
      <c r="U249">
        <f>VLOOKUP(T249,[1]tablescore!$B$3:$C$8, 2,FALSE)</f>
        <v>30</v>
      </c>
      <c r="V249" t="str">
        <f t="shared" si="7"/>
        <v>Highly Loyal</v>
      </c>
      <c r="W249" t="s">
        <v>41</v>
      </c>
    </row>
    <row r="250" spans="1:23" x14ac:dyDescent="0.25">
      <c r="A250">
        <v>249</v>
      </c>
      <c r="B250">
        <v>47</v>
      </c>
      <c r="C250" t="str" cm="1">
        <f t="array" ref="C250">_xlfn.IFS(
  AND(B250&gt;=18, B250&lt;=24), "18-24",
  AND(B250&gt;=25, B250&lt;=34), "25-34",
  AND(B250&gt;=35, B250&lt;=44), "35-44",
  AND(B250&gt;=45, B250&lt;=54), "45-54",
  B250&gt;=55, "55+"
)</f>
        <v>45-54</v>
      </c>
      <c r="D250" t="s">
        <v>19</v>
      </c>
      <c r="E250" t="s">
        <v>136</v>
      </c>
      <c r="F250" t="s">
        <v>69</v>
      </c>
      <c r="G250">
        <v>100</v>
      </c>
      <c r="H250" t="s">
        <v>141</v>
      </c>
      <c r="I250" t="s">
        <v>45</v>
      </c>
      <c r="J250" t="s">
        <v>138</v>
      </c>
      <c r="K250" t="s">
        <v>25</v>
      </c>
      <c r="L250">
        <v>4.8</v>
      </c>
      <c r="M250" t="s">
        <v>26</v>
      </c>
      <c r="N250" t="s">
        <v>29</v>
      </c>
      <c r="O250" t="s">
        <v>28</v>
      </c>
      <c r="P250" t="s">
        <v>26</v>
      </c>
      <c r="Q250" t="s">
        <v>26</v>
      </c>
      <c r="R250">
        <v>33</v>
      </c>
      <c r="S250" t="s">
        <v>46</v>
      </c>
      <c r="T250" t="str">
        <f t="shared" si="6"/>
        <v>Daily</v>
      </c>
      <c r="U250">
        <f>VLOOKUP(T250,[1]tablescore!$B$3:$C$8, 2,FALSE)</f>
        <v>30</v>
      </c>
      <c r="V250" t="str">
        <f t="shared" si="7"/>
        <v>Highly Loyal</v>
      </c>
      <c r="W250" t="s">
        <v>41</v>
      </c>
    </row>
    <row r="251" spans="1:23" x14ac:dyDescent="0.25">
      <c r="A251">
        <v>250</v>
      </c>
      <c r="B251">
        <v>53</v>
      </c>
      <c r="C251" t="str" cm="1">
        <f t="array" ref="C251">_xlfn.IFS(
  AND(B251&gt;=18, B251&lt;=24), "18-24",
  AND(B251&gt;=25, B251&lt;=34), "25-34",
  AND(B251&gt;=35, B251&lt;=44), "35-44",
  AND(B251&gt;=45, B251&lt;=54), "45-54",
  B251&gt;=55, "55+"
)</f>
        <v>45-54</v>
      </c>
      <c r="D251" t="s">
        <v>19</v>
      </c>
      <c r="E251" t="s">
        <v>68</v>
      </c>
      <c r="F251" t="s">
        <v>69</v>
      </c>
      <c r="G251">
        <v>47</v>
      </c>
      <c r="H251" t="s">
        <v>120</v>
      </c>
      <c r="I251" t="s">
        <v>38</v>
      </c>
      <c r="J251" t="s">
        <v>86</v>
      </c>
      <c r="K251" t="s">
        <v>58</v>
      </c>
      <c r="L251">
        <v>4.2</v>
      </c>
      <c r="M251" t="s">
        <v>26</v>
      </c>
      <c r="N251" t="s">
        <v>35</v>
      </c>
      <c r="O251" t="s">
        <v>55</v>
      </c>
      <c r="P251" t="s">
        <v>26</v>
      </c>
      <c r="Q251" t="s">
        <v>26</v>
      </c>
      <c r="R251">
        <v>18</v>
      </c>
      <c r="S251" t="s">
        <v>27</v>
      </c>
      <c r="T251" t="str">
        <f t="shared" si="6"/>
        <v>Annually</v>
      </c>
      <c r="U251">
        <f>VLOOKUP(T251,[1]tablescore!$B$3:$C$8, 2,FALSE)</f>
        <v>1</v>
      </c>
      <c r="V251" t="str">
        <f t="shared" si="7"/>
        <v>Low Loyalty</v>
      </c>
      <c r="W251" t="s">
        <v>50</v>
      </c>
    </row>
    <row r="252" spans="1:23" x14ac:dyDescent="0.25">
      <c r="A252">
        <v>251</v>
      </c>
      <c r="B252">
        <v>33</v>
      </c>
      <c r="C252" t="str" cm="1">
        <f t="array" ref="C252">_xlfn.IFS(
  AND(B252&gt;=18, B252&lt;=24), "18-24",
  AND(B252&gt;=25, B252&lt;=34), "25-34",
  AND(B252&gt;=35, B252&lt;=44), "35-44",
  AND(B252&gt;=45, B252&lt;=54), "45-54",
  B252&gt;=55, "55+"
)</f>
        <v>25-34</v>
      </c>
      <c r="D252" t="s">
        <v>19</v>
      </c>
      <c r="E252" t="s">
        <v>87</v>
      </c>
      <c r="F252" t="s">
        <v>21</v>
      </c>
      <c r="G252">
        <v>25</v>
      </c>
      <c r="H252" t="s">
        <v>91</v>
      </c>
      <c r="I252" t="s">
        <v>23</v>
      </c>
      <c r="J252" t="s">
        <v>94</v>
      </c>
      <c r="K252" t="s">
        <v>58</v>
      </c>
      <c r="L252">
        <v>4</v>
      </c>
      <c r="M252" t="s">
        <v>26</v>
      </c>
      <c r="N252" t="s">
        <v>59</v>
      </c>
      <c r="O252" t="s">
        <v>28</v>
      </c>
      <c r="P252" t="s">
        <v>26</v>
      </c>
      <c r="Q252" t="s">
        <v>26</v>
      </c>
      <c r="R252">
        <v>9</v>
      </c>
      <c r="S252" t="s">
        <v>34</v>
      </c>
      <c r="T252" t="str">
        <f t="shared" si="6"/>
        <v>Daily</v>
      </c>
      <c r="U252">
        <f>VLOOKUP(T252,[1]tablescore!$B$3:$C$8, 2,FALSE)</f>
        <v>30</v>
      </c>
      <c r="V252" t="str">
        <f t="shared" si="7"/>
        <v>Highly Loyal</v>
      </c>
      <c r="W252" t="s">
        <v>41</v>
      </c>
    </row>
    <row r="253" spans="1:23" x14ac:dyDescent="0.25">
      <c r="A253">
        <v>252</v>
      </c>
      <c r="B253">
        <v>21</v>
      </c>
      <c r="C253" t="str" cm="1">
        <f t="array" ref="C253">_xlfn.IFS(
  AND(B253&gt;=18, B253&lt;=24), "18-24",
  AND(B253&gt;=25, B253&lt;=34), "25-34",
  AND(B253&gt;=35, B253&lt;=44), "35-44",
  AND(B253&gt;=45, B253&lt;=54), "45-54",
  B253&gt;=55, "55+"
)</f>
        <v>18-24</v>
      </c>
      <c r="D253" t="s">
        <v>19</v>
      </c>
      <c r="E253" t="s">
        <v>68</v>
      </c>
      <c r="F253" t="s">
        <v>69</v>
      </c>
      <c r="G253">
        <v>51</v>
      </c>
      <c r="H253" t="s">
        <v>52</v>
      </c>
      <c r="I253" t="s">
        <v>92</v>
      </c>
      <c r="J253" t="s">
        <v>81</v>
      </c>
      <c r="K253" t="s">
        <v>25</v>
      </c>
      <c r="L253">
        <v>2.5</v>
      </c>
      <c r="M253" t="s">
        <v>26</v>
      </c>
      <c r="N253" t="s">
        <v>46</v>
      </c>
      <c r="O253" t="s">
        <v>55</v>
      </c>
      <c r="P253" t="s">
        <v>26</v>
      </c>
      <c r="Q253" t="s">
        <v>26</v>
      </c>
      <c r="R253">
        <v>34</v>
      </c>
      <c r="S253" t="s">
        <v>46</v>
      </c>
      <c r="T253" t="str">
        <f t="shared" si="6"/>
        <v>Annually</v>
      </c>
      <c r="U253">
        <f>VLOOKUP(T253,[1]tablescore!$B$3:$C$8, 2,FALSE)</f>
        <v>1</v>
      </c>
      <c r="V253" t="str">
        <f t="shared" si="7"/>
        <v>Low Loyalty</v>
      </c>
      <c r="W253" t="s">
        <v>50</v>
      </c>
    </row>
    <row r="254" spans="1:23" x14ac:dyDescent="0.25">
      <c r="A254">
        <v>253</v>
      </c>
      <c r="B254">
        <v>32</v>
      </c>
      <c r="C254" t="str" cm="1">
        <f t="array" ref="C254">_xlfn.IFS(
  AND(B254&gt;=18, B254&lt;=24), "18-24",
  AND(B254&gt;=25, B254&lt;=34), "25-34",
  AND(B254&gt;=35, B254&lt;=44), "35-44",
  AND(B254&gt;=45, B254&lt;=54), "45-54",
  B254&gt;=55, "55+"
)</f>
        <v>25-34</v>
      </c>
      <c r="D254" t="s">
        <v>19</v>
      </c>
      <c r="E254" t="s">
        <v>61</v>
      </c>
      <c r="F254" t="s">
        <v>21</v>
      </c>
      <c r="G254">
        <v>41</v>
      </c>
      <c r="H254" t="s">
        <v>80</v>
      </c>
      <c r="I254" t="s">
        <v>45</v>
      </c>
      <c r="J254" t="s">
        <v>84</v>
      </c>
      <c r="K254" t="s">
        <v>54</v>
      </c>
      <c r="L254">
        <v>3.9</v>
      </c>
      <c r="M254" t="s">
        <v>26</v>
      </c>
      <c r="N254" t="s">
        <v>35</v>
      </c>
      <c r="O254" t="s">
        <v>40</v>
      </c>
      <c r="P254" t="s">
        <v>26</v>
      </c>
      <c r="Q254" t="s">
        <v>26</v>
      </c>
      <c r="R254">
        <v>33</v>
      </c>
      <c r="S254" t="s">
        <v>29</v>
      </c>
      <c r="T254" t="str">
        <f t="shared" si="6"/>
        <v>2-week</v>
      </c>
      <c r="U254">
        <f>VLOOKUP(T254,[1]tablescore!$B$3:$C$8, 2,FALSE)</f>
        <v>26</v>
      </c>
      <c r="V254" t="str">
        <f t="shared" si="7"/>
        <v>Loyal</v>
      </c>
      <c r="W254" t="s">
        <v>30</v>
      </c>
    </row>
    <row r="255" spans="1:23" x14ac:dyDescent="0.25">
      <c r="A255">
        <v>254</v>
      </c>
      <c r="B255">
        <v>52</v>
      </c>
      <c r="C255" t="str" cm="1">
        <f t="array" ref="C255">_xlfn.IFS(
  AND(B255&gt;=18, B255&lt;=24), "18-24",
  AND(B255&gt;=25, B255&lt;=34), "25-34",
  AND(B255&gt;=35, B255&lt;=44), "35-44",
  AND(B255&gt;=45, B255&lt;=54), "45-54",
  B255&gt;=55, "55+"
)</f>
        <v>45-54</v>
      </c>
      <c r="D255" t="s">
        <v>19</v>
      </c>
      <c r="E255" t="s">
        <v>132</v>
      </c>
      <c r="F255" t="s">
        <v>43</v>
      </c>
      <c r="G255">
        <v>73</v>
      </c>
      <c r="H255" t="s">
        <v>101</v>
      </c>
      <c r="I255" t="s">
        <v>23</v>
      </c>
      <c r="J255" t="s">
        <v>109</v>
      </c>
      <c r="K255" t="s">
        <v>25</v>
      </c>
      <c r="L255">
        <v>4.9000000000000004</v>
      </c>
      <c r="M255" t="s">
        <v>26</v>
      </c>
      <c r="N255" t="s">
        <v>46</v>
      </c>
      <c r="O255" t="s">
        <v>72</v>
      </c>
      <c r="P255" t="s">
        <v>26</v>
      </c>
      <c r="Q255" t="s">
        <v>26</v>
      </c>
      <c r="R255">
        <v>15</v>
      </c>
      <c r="S255" t="s">
        <v>34</v>
      </c>
      <c r="T255" t="str">
        <f t="shared" si="6"/>
        <v>2-week</v>
      </c>
      <c r="U255">
        <f>VLOOKUP(T255,[1]tablescore!$B$3:$C$8, 2,FALSE)</f>
        <v>26</v>
      </c>
      <c r="V255" t="str">
        <f t="shared" si="7"/>
        <v>Loyal</v>
      </c>
      <c r="W255" t="s">
        <v>77</v>
      </c>
    </row>
    <row r="256" spans="1:23" x14ac:dyDescent="0.25">
      <c r="A256">
        <v>255</v>
      </c>
      <c r="B256">
        <v>67</v>
      </c>
      <c r="C256" t="str" cm="1">
        <f t="array" ref="C256">_xlfn.IFS(
  AND(B256&gt;=18, B256&lt;=24), "18-24",
  AND(B256&gt;=25, B256&lt;=34), "25-34",
  AND(B256&gt;=35, B256&lt;=44), "35-44",
  AND(B256&gt;=45, B256&lt;=54), "45-54",
  B256&gt;=55, "55+"
)</f>
        <v>55+</v>
      </c>
      <c r="D256" t="s">
        <v>19</v>
      </c>
      <c r="E256" t="s">
        <v>89</v>
      </c>
      <c r="F256" t="s">
        <v>69</v>
      </c>
      <c r="G256">
        <v>42</v>
      </c>
      <c r="H256" t="s">
        <v>116</v>
      </c>
      <c r="I256" t="s">
        <v>45</v>
      </c>
      <c r="J256" t="s">
        <v>53</v>
      </c>
      <c r="K256" t="s">
        <v>25</v>
      </c>
      <c r="L256">
        <v>3.5</v>
      </c>
      <c r="M256" t="s">
        <v>26</v>
      </c>
      <c r="N256" t="s">
        <v>27</v>
      </c>
      <c r="O256" t="s">
        <v>76</v>
      </c>
      <c r="P256" t="s">
        <v>26</v>
      </c>
      <c r="Q256" t="s">
        <v>26</v>
      </c>
      <c r="R256">
        <v>4</v>
      </c>
      <c r="S256" t="s">
        <v>46</v>
      </c>
      <c r="T256" t="str">
        <f t="shared" si="6"/>
        <v>2-week</v>
      </c>
      <c r="U256">
        <f>VLOOKUP(T256,[1]tablescore!$B$3:$C$8, 2,FALSE)</f>
        <v>26</v>
      </c>
      <c r="V256" t="str">
        <f t="shared" si="7"/>
        <v>Loyal</v>
      </c>
      <c r="W256" t="s">
        <v>77</v>
      </c>
    </row>
    <row r="257" spans="1:23" x14ac:dyDescent="0.25">
      <c r="A257">
        <v>256</v>
      </c>
      <c r="B257">
        <v>43</v>
      </c>
      <c r="C257" t="str" cm="1">
        <f t="array" ref="C257">_xlfn.IFS(
  AND(B257&gt;=18, B257&lt;=24), "18-24",
  AND(B257&gt;=25, B257&lt;=34), "25-34",
  AND(B257&gt;=35, B257&lt;=44), "35-44",
  AND(B257&gt;=45, B257&lt;=54), "45-54",
  B257&gt;=55, "55+"
)</f>
        <v>35-44</v>
      </c>
      <c r="D257" t="s">
        <v>19</v>
      </c>
      <c r="E257" t="s">
        <v>119</v>
      </c>
      <c r="F257" t="s">
        <v>69</v>
      </c>
      <c r="G257">
        <v>20</v>
      </c>
      <c r="H257" t="s">
        <v>135</v>
      </c>
      <c r="I257" t="s">
        <v>45</v>
      </c>
      <c r="J257" t="s">
        <v>63</v>
      </c>
      <c r="K257" t="s">
        <v>39</v>
      </c>
      <c r="L257">
        <v>4.2</v>
      </c>
      <c r="M257" t="s">
        <v>26</v>
      </c>
      <c r="N257" t="s">
        <v>59</v>
      </c>
      <c r="O257" t="s">
        <v>40</v>
      </c>
      <c r="P257" t="s">
        <v>26</v>
      </c>
      <c r="Q257" t="s">
        <v>26</v>
      </c>
      <c r="R257">
        <v>25</v>
      </c>
      <c r="S257" t="s">
        <v>59</v>
      </c>
      <c r="T257" t="str">
        <f t="shared" si="6"/>
        <v>Annually</v>
      </c>
      <c r="U257">
        <f>VLOOKUP(T257,[1]tablescore!$B$3:$C$8, 2,FALSE)</f>
        <v>1</v>
      </c>
      <c r="V257" t="str">
        <f t="shared" si="7"/>
        <v>Low Loyalty</v>
      </c>
      <c r="W257" t="s">
        <v>50</v>
      </c>
    </row>
    <row r="258" spans="1:23" x14ac:dyDescent="0.25">
      <c r="A258">
        <v>257</v>
      </c>
      <c r="B258">
        <v>58</v>
      </c>
      <c r="C258" t="str" cm="1">
        <f t="array" ref="C258">_xlfn.IFS(
  AND(B258&gt;=18, B258&lt;=24), "18-24",
  AND(B258&gt;=25, B258&lt;=34), "25-34",
  AND(B258&gt;=35, B258&lt;=44), "35-44",
  AND(B258&gt;=45, B258&lt;=54), "45-54",
  B258&gt;=55, "55+"
)</f>
        <v>55+</v>
      </c>
      <c r="D258" t="s">
        <v>19</v>
      </c>
      <c r="E258" t="s">
        <v>106</v>
      </c>
      <c r="F258" t="s">
        <v>69</v>
      </c>
      <c r="G258">
        <v>30</v>
      </c>
      <c r="H258" t="s">
        <v>130</v>
      </c>
      <c r="I258" t="s">
        <v>92</v>
      </c>
      <c r="J258" t="s">
        <v>84</v>
      </c>
      <c r="K258" t="s">
        <v>39</v>
      </c>
      <c r="L258">
        <v>4.7</v>
      </c>
      <c r="M258" t="s">
        <v>26</v>
      </c>
      <c r="N258" t="s">
        <v>29</v>
      </c>
      <c r="O258" t="s">
        <v>28</v>
      </c>
      <c r="P258" t="s">
        <v>26</v>
      </c>
      <c r="Q258" t="s">
        <v>26</v>
      </c>
      <c r="R258">
        <v>20</v>
      </c>
      <c r="S258" t="s">
        <v>27</v>
      </c>
      <c r="T258" t="str">
        <f t="shared" si="6"/>
        <v>Quarterly</v>
      </c>
      <c r="U258">
        <f>VLOOKUP(T258,[1]tablescore!$B$3:$C$8, 2,FALSE)</f>
        <v>4</v>
      </c>
      <c r="V258" t="str">
        <f t="shared" si="7"/>
        <v>Low Loyalty</v>
      </c>
      <c r="W258" t="s">
        <v>97</v>
      </c>
    </row>
    <row r="259" spans="1:23" x14ac:dyDescent="0.25">
      <c r="A259">
        <v>258</v>
      </c>
      <c r="B259">
        <v>20</v>
      </c>
      <c r="C259" t="str" cm="1">
        <f t="array" ref="C259">_xlfn.IFS(
  AND(B259&gt;=18, B259&lt;=24), "18-24",
  AND(B259&gt;=25, B259&lt;=34), "25-34",
  AND(B259&gt;=35, B259&lt;=44), "35-44",
  AND(B259&gt;=45, B259&lt;=54), "45-54",
  B259&gt;=55, "55+"
)</f>
        <v>18-24</v>
      </c>
      <c r="D259" t="s">
        <v>19</v>
      </c>
      <c r="E259" t="s">
        <v>68</v>
      </c>
      <c r="F259" t="s">
        <v>69</v>
      </c>
      <c r="G259">
        <v>53</v>
      </c>
      <c r="H259" t="s">
        <v>66</v>
      </c>
      <c r="I259" t="s">
        <v>45</v>
      </c>
      <c r="J259" t="s">
        <v>108</v>
      </c>
      <c r="K259" t="s">
        <v>54</v>
      </c>
      <c r="L259">
        <v>4.5</v>
      </c>
      <c r="M259" t="s">
        <v>26</v>
      </c>
      <c r="N259" t="s">
        <v>46</v>
      </c>
      <c r="O259" t="s">
        <v>28</v>
      </c>
      <c r="P259" t="s">
        <v>26</v>
      </c>
      <c r="Q259" t="s">
        <v>26</v>
      </c>
      <c r="R259">
        <v>5</v>
      </c>
      <c r="S259" t="s">
        <v>27</v>
      </c>
      <c r="T259" t="str">
        <f t="shared" ref="T259:T322" si="8">IF(TRIM(W259)="Every 3 months","Quarterly",IF(TRIM(W259)="Fortnightly","2-week",IF(TRIM(W259)="Bi-Weekly","2-week",IF(TRIM(W259)="Weekly","Daily",IF(TRIM(W259)="Monthly","Month",TRIM(W259))))))</f>
        <v>Quarterly</v>
      </c>
      <c r="U259">
        <f>VLOOKUP(T259,[1]tablescore!$B$3:$C$8, 2,FALSE)</f>
        <v>4</v>
      </c>
      <c r="V259" t="str">
        <f t="shared" ref="V259:V322" si="9">_xlfn.IFS(U259&gt;=30, "Highly Loyal", U259&gt;=26, "Loyal", U259&gt;=12, "Moderate", U259&lt;5, "Low Loyalty")</f>
        <v>Low Loyalty</v>
      </c>
      <c r="W259" t="s">
        <v>60</v>
      </c>
    </row>
    <row r="260" spans="1:23" x14ac:dyDescent="0.25">
      <c r="A260">
        <v>259</v>
      </c>
      <c r="B260">
        <v>61</v>
      </c>
      <c r="C260" t="str" cm="1">
        <f t="array" ref="C260">_xlfn.IFS(
  AND(B260&gt;=18, B260&lt;=24), "18-24",
  AND(B260&gt;=25, B260&lt;=34), "25-34",
  AND(B260&gt;=35, B260&lt;=44), "35-44",
  AND(B260&gt;=45, B260&lt;=54), "45-54",
  B260&gt;=55, "55+"
)</f>
        <v>55+</v>
      </c>
      <c r="D260" t="s">
        <v>19</v>
      </c>
      <c r="E260" t="s">
        <v>127</v>
      </c>
      <c r="F260" t="s">
        <v>69</v>
      </c>
      <c r="G260">
        <v>74</v>
      </c>
      <c r="H260" t="s">
        <v>90</v>
      </c>
      <c r="I260" t="s">
        <v>38</v>
      </c>
      <c r="J260" t="s">
        <v>93</v>
      </c>
      <c r="K260" t="s">
        <v>39</v>
      </c>
      <c r="L260">
        <v>2.8</v>
      </c>
      <c r="M260" t="s">
        <v>26</v>
      </c>
      <c r="N260" t="s">
        <v>29</v>
      </c>
      <c r="O260" t="s">
        <v>28</v>
      </c>
      <c r="P260" t="s">
        <v>26</v>
      </c>
      <c r="Q260" t="s">
        <v>26</v>
      </c>
      <c r="R260">
        <v>16</v>
      </c>
      <c r="S260" t="s">
        <v>35</v>
      </c>
      <c r="T260" t="str">
        <f t="shared" si="8"/>
        <v>Quarterly</v>
      </c>
      <c r="U260">
        <f>VLOOKUP(T260,[1]tablescore!$B$3:$C$8, 2,FALSE)</f>
        <v>4</v>
      </c>
      <c r="V260" t="str">
        <f t="shared" si="9"/>
        <v>Low Loyalty</v>
      </c>
      <c r="W260" t="s">
        <v>60</v>
      </c>
    </row>
    <row r="261" spans="1:23" x14ac:dyDescent="0.25">
      <c r="A261">
        <v>260</v>
      </c>
      <c r="B261">
        <v>32</v>
      </c>
      <c r="C261" t="str" cm="1">
        <f t="array" ref="C261">_xlfn.IFS(
  AND(B261&gt;=18, B261&lt;=24), "18-24",
  AND(B261&gt;=25, B261&lt;=34), "25-34",
  AND(B261&gt;=35, B261&lt;=44), "35-44",
  AND(B261&gt;=45, B261&lt;=54), "45-54",
  B261&gt;=55, "55+"
)</f>
        <v>25-34</v>
      </c>
      <c r="D261" t="s">
        <v>19</v>
      </c>
      <c r="E261" t="s">
        <v>36</v>
      </c>
      <c r="F261" t="s">
        <v>21</v>
      </c>
      <c r="G261">
        <v>57</v>
      </c>
      <c r="H261" t="s">
        <v>62</v>
      </c>
      <c r="I261" t="s">
        <v>45</v>
      </c>
      <c r="J261" t="s">
        <v>81</v>
      </c>
      <c r="K261" t="s">
        <v>58</v>
      </c>
      <c r="L261">
        <v>2.9</v>
      </c>
      <c r="M261" t="s">
        <v>26</v>
      </c>
      <c r="N261" t="s">
        <v>27</v>
      </c>
      <c r="O261" t="s">
        <v>55</v>
      </c>
      <c r="P261" t="s">
        <v>26</v>
      </c>
      <c r="Q261" t="s">
        <v>26</v>
      </c>
      <c r="R261">
        <v>13</v>
      </c>
      <c r="S261" t="s">
        <v>59</v>
      </c>
      <c r="T261" t="str">
        <f t="shared" si="8"/>
        <v>Annually</v>
      </c>
      <c r="U261">
        <f>VLOOKUP(T261,[1]tablescore!$B$3:$C$8, 2,FALSE)</f>
        <v>1</v>
      </c>
      <c r="V261" t="str">
        <f t="shared" si="9"/>
        <v>Low Loyalty</v>
      </c>
      <c r="W261" t="s">
        <v>50</v>
      </c>
    </row>
    <row r="262" spans="1:23" x14ac:dyDescent="0.25">
      <c r="A262">
        <v>261</v>
      </c>
      <c r="B262">
        <v>38</v>
      </c>
      <c r="C262" t="str" cm="1">
        <f t="array" ref="C262">_xlfn.IFS(
  AND(B262&gt;=18, B262&lt;=24), "18-24",
  AND(B262&gt;=25, B262&lt;=34), "25-34",
  AND(B262&gt;=35, B262&lt;=44), "35-44",
  AND(B262&gt;=45, B262&lt;=54), "45-54",
  B262&gt;=55, "55+"
)</f>
        <v>35-44</v>
      </c>
      <c r="D262" t="s">
        <v>19</v>
      </c>
      <c r="E262" t="s">
        <v>125</v>
      </c>
      <c r="F262" t="s">
        <v>69</v>
      </c>
      <c r="G262">
        <v>57</v>
      </c>
      <c r="H262" t="s">
        <v>57</v>
      </c>
      <c r="I262" t="s">
        <v>38</v>
      </c>
      <c r="J262" t="s">
        <v>108</v>
      </c>
      <c r="K262" t="s">
        <v>25</v>
      </c>
      <c r="L262">
        <v>3.2</v>
      </c>
      <c r="M262" t="s">
        <v>26</v>
      </c>
      <c r="N262" t="s">
        <v>34</v>
      </c>
      <c r="O262" t="s">
        <v>72</v>
      </c>
      <c r="P262" t="s">
        <v>26</v>
      </c>
      <c r="Q262" t="s">
        <v>26</v>
      </c>
      <c r="R262">
        <v>11</v>
      </c>
      <c r="S262" t="s">
        <v>27</v>
      </c>
      <c r="T262" t="str">
        <f t="shared" si="8"/>
        <v>Quarterly</v>
      </c>
      <c r="U262">
        <f>VLOOKUP(T262,[1]tablescore!$B$3:$C$8, 2,FALSE)</f>
        <v>4</v>
      </c>
      <c r="V262" t="str">
        <f t="shared" si="9"/>
        <v>Low Loyalty</v>
      </c>
      <c r="W262" t="s">
        <v>97</v>
      </c>
    </row>
    <row r="263" spans="1:23" x14ac:dyDescent="0.25">
      <c r="A263">
        <v>262</v>
      </c>
      <c r="B263">
        <v>21</v>
      </c>
      <c r="C263" t="str" cm="1">
        <f t="array" ref="C263">_xlfn.IFS(
  AND(B263&gt;=18, B263&lt;=24), "18-24",
  AND(B263&gt;=25, B263&lt;=34), "25-34",
  AND(B263&gt;=35, B263&lt;=44), "35-44",
  AND(B263&gt;=45, B263&lt;=54), "45-54",
  B263&gt;=55, "55+"
)</f>
        <v>18-24</v>
      </c>
      <c r="D263" t="s">
        <v>19</v>
      </c>
      <c r="E263" t="s">
        <v>36</v>
      </c>
      <c r="F263" t="s">
        <v>21</v>
      </c>
      <c r="G263">
        <v>77</v>
      </c>
      <c r="H263" t="s">
        <v>99</v>
      </c>
      <c r="I263" t="s">
        <v>23</v>
      </c>
      <c r="J263" t="s">
        <v>147</v>
      </c>
      <c r="K263" t="s">
        <v>25</v>
      </c>
      <c r="L263">
        <v>4.9000000000000004</v>
      </c>
      <c r="M263" t="s">
        <v>26</v>
      </c>
      <c r="N263" t="s">
        <v>35</v>
      </c>
      <c r="O263" t="s">
        <v>55</v>
      </c>
      <c r="P263" t="s">
        <v>26</v>
      </c>
      <c r="Q263" t="s">
        <v>26</v>
      </c>
      <c r="R263">
        <v>21</v>
      </c>
      <c r="S263" t="s">
        <v>27</v>
      </c>
      <c r="T263" t="str">
        <f t="shared" si="8"/>
        <v>Annually</v>
      </c>
      <c r="U263">
        <f>VLOOKUP(T263,[1]tablescore!$B$3:$C$8, 2,FALSE)</f>
        <v>1</v>
      </c>
      <c r="V263" t="str">
        <f t="shared" si="9"/>
        <v>Low Loyalty</v>
      </c>
      <c r="W263" t="s">
        <v>50</v>
      </c>
    </row>
    <row r="264" spans="1:23" x14ac:dyDescent="0.25">
      <c r="A264">
        <v>263</v>
      </c>
      <c r="B264">
        <v>37</v>
      </c>
      <c r="C264" t="str" cm="1">
        <f t="array" ref="C264">_xlfn.IFS(
  AND(B264&gt;=18, B264&lt;=24), "18-24",
  AND(B264&gt;=25, B264&lt;=34), "25-34",
  AND(B264&gt;=35, B264&lt;=44), "35-44",
  AND(B264&gt;=45, B264&lt;=54), "45-54",
  B264&gt;=55, "55+"
)</f>
        <v>35-44</v>
      </c>
      <c r="D264" t="s">
        <v>19</v>
      </c>
      <c r="E264" t="s">
        <v>95</v>
      </c>
      <c r="F264" t="s">
        <v>21</v>
      </c>
      <c r="G264">
        <v>40</v>
      </c>
      <c r="H264" t="s">
        <v>78</v>
      </c>
      <c r="I264" t="s">
        <v>45</v>
      </c>
      <c r="J264" t="s">
        <v>86</v>
      </c>
      <c r="K264" t="s">
        <v>54</v>
      </c>
      <c r="L264">
        <v>3.7</v>
      </c>
      <c r="M264" t="s">
        <v>26</v>
      </c>
      <c r="N264" t="s">
        <v>35</v>
      </c>
      <c r="O264" t="s">
        <v>47</v>
      </c>
      <c r="P264" t="s">
        <v>26</v>
      </c>
      <c r="Q264" t="s">
        <v>26</v>
      </c>
      <c r="R264">
        <v>6</v>
      </c>
      <c r="S264" t="s">
        <v>59</v>
      </c>
      <c r="T264" t="str">
        <f t="shared" si="8"/>
        <v>Annually</v>
      </c>
      <c r="U264">
        <f>VLOOKUP(T264,[1]tablescore!$B$3:$C$8, 2,FALSE)</f>
        <v>1</v>
      </c>
      <c r="V264" t="str">
        <f t="shared" si="9"/>
        <v>Low Loyalty</v>
      </c>
      <c r="W264" t="s">
        <v>50</v>
      </c>
    </row>
    <row r="265" spans="1:23" x14ac:dyDescent="0.25">
      <c r="A265">
        <v>264</v>
      </c>
      <c r="B265">
        <v>27</v>
      </c>
      <c r="C265" t="str" cm="1">
        <f t="array" ref="C265">_xlfn.IFS(
  AND(B265&gt;=18, B265&lt;=24), "18-24",
  AND(B265&gt;=25, B265&lt;=34), "25-34",
  AND(B265&gt;=35, B265&lt;=44), "35-44",
  AND(B265&gt;=45, B265&lt;=54), "45-54",
  B265&gt;=55, "55+"
)</f>
        <v>25-34</v>
      </c>
      <c r="D265" t="s">
        <v>19</v>
      </c>
      <c r="E265" t="s">
        <v>61</v>
      </c>
      <c r="F265" t="s">
        <v>21</v>
      </c>
      <c r="G265">
        <v>46</v>
      </c>
      <c r="H265" t="s">
        <v>150</v>
      </c>
      <c r="I265" t="s">
        <v>45</v>
      </c>
      <c r="J265" t="s">
        <v>75</v>
      </c>
      <c r="K265" t="s">
        <v>54</v>
      </c>
      <c r="L265">
        <v>4.3</v>
      </c>
      <c r="M265" t="s">
        <v>26</v>
      </c>
      <c r="N265" t="s">
        <v>27</v>
      </c>
      <c r="O265" t="s">
        <v>76</v>
      </c>
      <c r="P265" t="s">
        <v>26</v>
      </c>
      <c r="Q265" t="s">
        <v>26</v>
      </c>
      <c r="R265">
        <v>29</v>
      </c>
      <c r="S265" t="s">
        <v>29</v>
      </c>
      <c r="T265" t="str">
        <f t="shared" si="8"/>
        <v>Month</v>
      </c>
      <c r="U265">
        <f>VLOOKUP(T265,[1]tablescore!$B$3:$C$8, 2,FALSE)</f>
        <v>12</v>
      </c>
      <c r="V265" t="str">
        <f t="shared" si="9"/>
        <v>Moderate</v>
      </c>
      <c r="W265" t="s">
        <v>88</v>
      </c>
    </row>
    <row r="266" spans="1:23" x14ac:dyDescent="0.25">
      <c r="A266">
        <v>265</v>
      </c>
      <c r="B266">
        <v>36</v>
      </c>
      <c r="C266" t="str" cm="1">
        <f t="array" ref="C266">_xlfn.IFS(
  AND(B266&gt;=18, B266&lt;=24), "18-24",
  AND(B266&gt;=25, B266&lt;=34), "25-34",
  AND(B266&gt;=35, B266&lt;=44), "35-44",
  AND(B266&gt;=45, B266&lt;=54), "45-54",
  B266&gt;=55, "55+"
)</f>
        <v>35-44</v>
      </c>
      <c r="D266" t="s">
        <v>19</v>
      </c>
      <c r="E266" t="s">
        <v>95</v>
      </c>
      <c r="F266" t="s">
        <v>21</v>
      </c>
      <c r="G266">
        <v>78</v>
      </c>
      <c r="H266" t="s">
        <v>112</v>
      </c>
      <c r="I266" t="s">
        <v>38</v>
      </c>
      <c r="J266" t="s">
        <v>63</v>
      </c>
      <c r="K266" t="s">
        <v>58</v>
      </c>
      <c r="L266">
        <v>3.9</v>
      </c>
      <c r="M266" t="s">
        <v>26</v>
      </c>
      <c r="N266" t="s">
        <v>29</v>
      </c>
      <c r="O266" t="s">
        <v>76</v>
      </c>
      <c r="P266" t="s">
        <v>26</v>
      </c>
      <c r="Q266" t="s">
        <v>26</v>
      </c>
      <c r="R266">
        <v>15</v>
      </c>
      <c r="S266" t="s">
        <v>35</v>
      </c>
      <c r="T266" t="str">
        <f t="shared" si="8"/>
        <v>Annually</v>
      </c>
      <c r="U266">
        <f>VLOOKUP(T266,[1]tablescore!$B$3:$C$8, 2,FALSE)</f>
        <v>1</v>
      </c>
      <c r="V266" t="str">
        <f t="shared" si="9"/>
        <v>Low Loyalty</v>
      </c>
      <c r="W266" t="s">
        <v>50</v>
      </c>
    </row>
    <row r="267" spans="1:23" x14ac:dyDescent="0.25">
      <c r="A267">
        <v>266</v>
      </c>
      <c r="B267">
        <v>32</v>
      </c>
      <c r="C267" t="str" cm="1">
        <f t="array" ref="C267">_xlfn.IFS(
  AND(B267&gt;=18, B267&lt;=24), "18-24",
  AND(B267&gt;=25, B267&lt;=34), "25-34",
  AND(B267&gt;=35, B267&lt;=44), "35-44",
  AND(B267&gt;=45, B267&lt;=54), "45-54",
  B267&gt;=55, "55+"
)</f>
        <v>25-34</v>
      </c>
      <c r="D267" t="s">
        <v>19</v>
      </c>
      <c r="E267" t="s">
        <v>133</v>
      </c>
      <c r="F267" t="s">
        <v>69</v>
      </c>
      <c r="G267">
        <v>59</v>
      </c>
      <c r="H267" t="s">
        <v>151</v>
      </c>
      <c r="I267" t="s">
        <v>45</v>
      </c>
      <c r="J267" t="s">
        <v>24</v>
      </c>
      <c r="K267" t="s">
        <v>39</v>
      </c>
      <c r="L267">
        <v>3.2</v>
      </c>
      <c r="M267" t="s">
        <v>26</v>
      </c>
      <c r="N267" t="s">
        <v>29</v>
      </c>
      <c r="O267" t="s">
        <v>72</v>
      </c>
      <c r="P267" t="s">
        <v>26</v>
      </c>
      <c r="Q267" t="s">
        <v>26</v>
      </c>
      <c r="R267">
        <v>17</v>
      </c>
      <c r="S267" t="s">
        <v>34</v>
      </c>
      <c r="T267" t="str">
        <f t="shared" si="8"/>
        <v>2-week</v>
      </c>
      <c r="U267">
        <f>VLOOKUP(T267,[1]tablescore!$B$3:$C$8, 2,FALSE)</f>
        <v>26</v>
      </c>
      <c r="V267" t="str">
        <f t="shared" si="9"/>
        <v>Loyal</v>
      </c>
      <c r="W267" t="s">
        <v>77</v>
      </c>
    </row>
    <row r="268" spans="1:23" x14ac:dyDescent="0.25">
      <c r="A268">
        <v>267</v>
      </c>
      <c r="B268">
        <v>51</v>
      </c>
      <c r="C268" t="str" cm="1">
        <f t="array" ref="C268">_xlfn.IFS(
  AND(B268&gt;=18, B268&lt;=24), "18-24",
  AND(B268&gt;=25, B268&lt;=34), "25-34",
  AND(B268&gt;=35, B268&lt;=44), "35-44",
  AND(B268&gt;=45, B268&lt;=54), "45-54",
  B268&gt;=55, "55+"
)</f>
        <v>45-54</v>
      </c>
      <c r="D268" t="s">
        <v>19</v>
      </c>
      <c r="E268" t="s">
        <v>106</v>
      </c>
      <c r="F268" t="s">
        <v>69</v>
      </c>
      <c r="G268">
        <v>75</v>
      </c>
      <c r="H268" t="s">
        <v>62</v>
      </c>
      <c r="I268" t="s">
        <v>23</v>
      </c>
      <c r="J268" t="s">
        <v>53</v>
      </c>
      <c r="K268" t="s">
        <v>54</v>
      </c>
      <c r="L268">
        <v>3.1</v>
      </c>
      <c r="M268" t="s">
        <v>26</v>
      </c>
      <c r="N268" t="s">
        <v>35</v>
      </c>
      <c r="O268" t="s">
        <v>28</v>
      </c>
      <c r="P268" t="s">
        <v>26</v>
      </c>
      <c r="Q268" t="s">
        <v>26</v>
      </c>
      <c r="R268">
        <v>32</v>
      </c>
      <c r="S268" t="s">
        <v>27</v>
      </c>
      <c r="T268" t="str">
        <f t="shared" si="8"/>
        <v>Daily</v>
      </c>
      <c r="U268">
        <f>VLOOKUP(T268,[1]tablescore!$B$3:$C$8, 2,FALSE)</f>
        <v>30</v>
      </c>
      <c r="V268" t="str">
        <f t="shared" si="9"/>
        <v>Highly Loyal</v>
      </c>
      <c r="W268" t="s">
        <v>41</v>
      </c>
    </row>
    <row r="269" spans="1:23" x14ac:dyDescent="0.25">
      <c r="A269">
        <v>268</v>
      </c>
      <c r="B269">
        <v>64</v>
      </c>
      <c r="C269" t="str" cm="1">
        <f t="array" ref="C269">_xlfn.IFS(
  AND(B269&gt;=18, B269&lt;=24), "18-24",
  AND(B269&gt;=25, B269&lt;=34), "25-34",
  AND(B269&gt;=35, B269&lt;=44), "35-44",
  AND(B269&gt;=45, B269&lt;=54), "45-54",
  B269&gt;=55, "55+"
)</f>
        <v>55+</v>
      </c>
      <c r="D269" t="s">
        <v>19</v>
      </c>
      <c r="E269" t="s">
        <v>31</v>
      </c>
      <c r="F269" t="s">
        <v>21</v>
      </c>
      <c r="G269">
        <v>54</v>
      </c>
      <c r="H269" t="s">
        <v>135</v>
      </c>
      <c r="I269" t="s">
        <v>45</v>
      </c>
      <c r="J269" t="s">
        <v>79</v>
      </c>
      <c r="K269" t="s">
        <v>39</v>
      </c>
      <c r="L269">
        <v>3.9</v>
      </c>
      <c r="M269" t="s">
        <v>26</v>
      </c>
      <c r="N269" t="s">
        <v>29</v>
      </c>
      <c r="O269" t="s">
        <v>72</v>
      </c>
      <c r="P269" t="s">
        <v>26</v>
      </c>
      <c r="Q269" t="s">
        <v>26</v>
      </c>
      <c r="R269">
        <v>42</v>
      </c>
      <c r="S269" t="s">
        <v>29</v>
      </c>
      <c r="T269" t="str">
        <f t="shared" si="8"/>
        <v>Annually</v>
      </c>
      <c r="U269">
        <f>VLOOKUP(T269,[1]tablescore!$B$3:$C$8, 2,FALSE)</f>
        <v>1</v>
      </c>
      <c r="V269" t="str">
        <f t="shared" si="9"/>
        <v>Low Loyalty</v>
      </c>
      <c r="W269" t="s">
        <v>50</v>
      </c>
    </row>
    <row r="270" spans="1:23" x14ac:dyDescent="0.25">
      <c r="A270">
        <v>269</v>
      </c>
      <c r="B270">
        <v>68</v>
      </c>
      <c r="C270" t="str" cm="1">
        <f t="array" ref="C270">_xlfn.IFS(
  AND(B270&gt;=18, B270&lt;=24), "18-24",
  AND(B270&gt;=25, B270&lt;=34), "25-34",
  AND(B270&gt;=35, B270&lt;=44), "35-44",
  AND(B270&gt;=45, B270&lt;=54), "45-54",
  B270&gt;=55, "55+"
)</f>
        <v>55+</v>
      </c>
      <c r="D270" t="s">
        <v>19</v>
      </c>
      <c r="E270" t="s">
        <v>73</v>
      </c>
      <c r="F270" t="s">
        <v>43</v>
      </c>
      <c r="G270">
        <v>42</v>
      </c>
      <c r="H270" t="s">
        <v>142</v>
      </c>
      <c r="I270" t="s">
        <v>45</v>
      </c>
      <c r="J270" t="s">
        <v>63</v>
      </c>
      <c r="K270" t="s">
        <v>39</v>
      </c>
      <c r="L270">
        <v>2.6</v>
      </c>
      <c r="M270" t="s">
        <v>26</v>
      </c>
      <c r="N270" t="s">
        <v>29</v>
      </c>
      <c r="O270" t="s">
        <v>76</v>
      </c>
      <c r="P270" t="s">
        <v>26</v>
      </c>
      <c r="Q270" t="s">
        <v>26</v>
      </c>
      <c r="R270">
        <v>21</v>
      </c>
      <c r="S270" t="s">
        <v>35</v>
      </c>
      <c r="T270" t="str">
        <f t="shared" si="8"/>
        <v>Month</v>
      </c>
      <c r="U270">
        <f>VLOOKUP(T270,[1]tablescore!$B$3:$C$8, 2,FALSE)</f>
        <v>12</v>
      </c>
      <c r="V270" t="str">
        <f t="shared" si="9"/>
        <v>Moderate</v>
      </c>
      <c r="W270" t="s">
        <v>88</v>
      </c>
    </row>
    <row r="271" spans="1:23" x14ac:dyDescent="0.25">
      <c r="A271">
        <v>270</v>
      </c>
      <c r="B271">
        <v>68</v>
      </c>
      <c r="C271" t="str" cm="1">
        <f t="array" ref="C271">_xlfn.IFS(
  AND(B271&gt;=18, B271&lt;=24), "18-24",
  AND(B271&gt;=25, B271&lt;=34), "25-34",
  AND(B271&gt;=35, B271&lt;=44), "35-44",
  AND(B271&gt;=45, B271&lt;=54), "45-54",
  B271&gt;=55, "55+"
)</f>
        <v>55+</v>
      </c>
      <c r="D271" t="s">
        <v>19</v>
      </c>
      <c r="E271" t="s">
        <v>20</v>
      </c>
      <c r="F271" t="s">
        <v>21</v>
      </c>
      <c r="G271">
        <v>44</v>
      </c>
      <c r="H271" t="s">
        <v>142</v>
      </c>
      <c r="I271" t="s">
        <v>45</v>
      </c>
      <c r="J271" t="s">
        <v>63</v>
      </c>
      <c r="K271" t="s">
        <v>25</v>
      </c>
      <c r="L271">
        <v>3.3</v>
      </c>
      <c r="M271" t="s">
        <v>26</v>
      </c>
      <c r="N271" t="s">
        <v>46</v>
      </c>
      <c r="O271" t="s">
        <v>47</v>
      </c>
      <c r="P271" t="s">
        <v>26</v>
      </c>
      <c r="Q271" t="s">
        <v>26</v>
      </c>
      <c r="R271">
        <v>9</v>
      </c>
      <c r="S271" t="s">
        <v>35</v>
      </c>
      <c r="T271" t="str">
        <f t="shared" si="8"/>
        <v>2-week</v>
      </c>
      <c r="U271">
        <f>VLOOKUP(T271,[1]tablescore!$B$3:$C$8, 2,FALSE)</f>
        <v>26</v>
      </c>
      <c r="V271" t="str">
        <f t="shared" si="9"/>
        <v>Loyal</v>
      </c>
      <c r="W271" t="s">
        <v>77</v>
      </c>
    </row>
    <row r="272" spans="1:23" x14ac:dyDescent="0.25">
      <c r="A272">
        <v>271</v>
      </c>
      <c r="B272">
        <v>33</v>
      </c>
      <c r="C272" t="str" cm="1">
        <f t="array" ref="C272">_xlfn.IFS(
  AND(B272&gt;=18, B272&lt;=24), "18-24",
  AND(B272&gt;=25, B272&lt;=34), "25-34",
  AND(B272&gt;=35, B272&lt;=44), "35-44",
  AND(B272&gt;=45, B272&lt;=54), "45-54",
  B272&gt;=55, "55+"
)</f>
        <v>25-34</v>
      </c>
      <c r="D272" t="s">
        <v>19</v>
      </c>
      <c r="E272" t="s">
        <v>36</v>
      </c>
      <c r="F272" t="s">
        <v>21</v>
      </c>
      <c r="G272">
        <v>52</v>
      </c>
      <c r="H272" t="s">
        <v>114</v>
      </c>
      <c r="I272" t="s">
        <v>92</v>
      </c>
      <c r="J272" t="s">
        <v>121</v>
      </c>
      <c r="K272" t="s">
        <v>58</v>
      </c>
      <c r="L272">
        <v>4.5999999999999996</v>
      </c>
      <c r="M272" t="s">
        <v>26</v>
      </c>
      <c r="N272" t="s">
        <v>59</v>
      </c>
      <c r="O272" t="s">
        <v>40</v>
      </c>
      <c r="P272" t="s">
        <v>26</v>
      </c>
      <c r="Q272" t="s">
        <v>26</v>
      </c>
      <c r="R272">
        <v>16</v>
      </c>
      <c r="S272" t="s">
        <v>34</v>
      </c>
      <c r="T272" t="str">
        <f t="shared" si="8"/>
        <v>Annually</v>
      </c>
      <c r="U272">
        <f>VLOOKUP(T272,[1]tablescore!$B$3:$C$8, 2,FALSE)</f>
        <v>1</v>
      </c>
      <c r="V272" t="str">
        <f t="shared" si="9"/>
        <v>Low Loyalty</v>
      </c>
      <c r="W272" t="s">
        <v>50</v>
      </c>
    </row>
    <row r="273" spans="1:23" x14ac:dyDescent="0.25">
      <c r="A273">
        <v>272</v>
      </c>
      <c r="B273">
        <v>65</v>
      </c>
      <c r="C273" t="str" cm="1">
        <f t="array" ref="C273">_xlfn.IFS(
  AND(B273&gt;=18, B273&lt;=24), "18-24",
  AND(B273&gt;=25, B273&lt;=34), "25-34",
  AND(B273&gt;=35, B273&lt;=44), "35-44",
  AND(B273&gt;=45, B273&lt;=54), "45-54",
  B273&gt;=55, "55+"
)</f>
        <v>55+</v>
      </c>
      <c r="D273" t="s">
        <v>19</v>
      </c>
      <c r="E273" t="s">
        <v>89</v>
      </c>
      <c r="F273" t="s">
        <v>69</v>
      </c>
      <c r="G273">
        <v>69</v>
      </c>
      <c r="H273" t="s">
        <v>135</v>
      </c>
      <c r="I273" t="s">
        <v>92</v>
      </c>
      <c r="J273" t="s">
        <v>139</v>
      </c>
      <c r="K273" t="s">
        <v>54</v>
      </c>
      <c r="L273">
        <v>4.5999999999999996</v>
      </c>
      <c r="M273" t="s">
        <v>26</v>
      </c>
      <c r="N273" t="s">
        <v>27</v>
      </c>
      <c r="O273" t="s">
        <v>28</v>
      </c>
      <c r="P273" t="s">
        <v>26</v>
      </c>
      <c r="Q273" t="s">
        <v>26</v>
      </c>
      <c r="R273">
        <v>42</v>
      </c>
      <c r="S273" t="s">
        <v>27</v>
      </c>
      <c r="T273" t="str">
        <f t="shared" si="8"/>
        <v>2-week</v>
      </c>
      <c r="U273">
        <f>VLOOKUP(T273,[1]tablescore!$B$3:$C$8, 2,FALSE)</f>
        <v>26</v>
      </c>
      <c r="V273" t="str">
        <f t="shared" si="9"/>
        <v>Loyal</v>
      </c>
      <c r="W273" t="s">
        <v>30</v>
      </c>
    </row>
    <row r="274" spans="1:23" x14ac:dyDescent="0.25">
      <c r="A274">
        <v>273</v>
      </c>
      <c r="B274">
        <v>48</v>
      </c>
      <c r="C274" t="str" cm="1">
        <f t="array" ref="C274">_xlfn.IFS(
  AND(B274&gt;=18, B274&lt;=24), "18-24",
  AND(B274&gt;=25, B274&lt;=34), "25-34",
  AND(B274&gt;=35, B274&lt;=44), "35-44",
  AND(B274&gt;=45, B274&lt;=54), "45-54",
  B274&gt;=55, "55+"
)</f>
        <v>45-54</v>
      </c>
      <c r="D274" t="s">
        <v>19</v>
      </c>
      <c r="E274" t="s">
        <v>106</v>
      </c>
      <c r="F274" t="s">
        <v>69</v>
      </c>
      <c r="G274">
        <v>26</v>
      </c>
      <c r="H274" t="s">
        <v>48</v>
      </c>
      <c r="I274" t="s">
        <v>45</v>
      </c>
      <c r="J274" t="s">
        <v>118</v>
      </c>
      <c r="K274" t="s">
        <v>54</v>
      </c>
      <c r="L274">
        <v>4.4000000000000004</v>
      </c>
      <c r="M274" t="s">
        <v>26</v>
      </c>
      <c r="N274" t="s">
        <v>46</v>
      </c>
      <c r="O274" t="s">
        <v>72</v>
      </c>
      <c r="P274" t="s">
        <v>26</v>
      </c>
      <c r="Q274" t="s">
        <v>26</v>
      </c>
      <c r="R274">
        <v>37</v>
      </c>
      <c r="S274" t="s">
        <v>59</v>
      </c>
      <c r="T274" t="str">
        <f t="shared" si="8"/>
        <v>2-week</v>
      </c>
      <c r="U274">
        <f>VLOOKUP(T274,[1]tablescore!$B$3:$C$8, 2,FALSE)</f>
        <v>26</v>
      </c>
      <c r="V274" t="str">
        <f t="shared" si="9"/>
        <v>Loyal</v>
      </c>
      <c r="W274" t="s">
        <v>77</v>
      </c>
    </row>
    <row r="275" spans="1:23" x14ac:dyDescent="0.25">
      <c r="A275">
        <v>274</v>
      </c>
      <c r="B275">
        <v>69</v>
      </c>
      <c r="C275" t="str" cm="1">
        <f t="array" ref="C275">_xlfn.IFS(
  AND(B275&gt;=18, B275&lt;=24), "18-24",
  AND(B275&gt;=25, B275&lt;=34), "25-34",
  AND(B275&gt;=35, B275&lt;=44), "35-44",
  AND(B275&gt;=45, B275&lt;=54), "45-54",
  B275&gt;=55, "55+"
)</f>
        <v>55+</v>
      </c>
      <c r="D275" t="s">
        <v>19</v>
      </c>
      <c r="E275" t="s">
        <v>64</v>
      </c>
      <c r="F275" t="s">
        <v>65</v>
      </c>
      <c r="G275">
        <v>33</v>
      </c>
      <c r="H275" t="s">
        <v>114</v>
      </c>
      <c r="I275" t="s">
        <v>38</v>
      </c>
      <c r="J275" t="s">
        <v>67</v>
      </c>
      <c r="K275" t="s">
        <v>39</v>
      </c>
      <c r="L275">
        <v>4.2</v>
      </c>
      <c r="M275" t="s">
        <v>26</v>
      </c>
      <c r="N275" t="s">
        <v>35</v>
      </c>
      <c r="O275" t="s">
        <v>28</v>
      </c>
      <c r="P275" t="s">
        <v>26</v>
      </c>
      <c r="Q275" t="s">
        <v>26</v>
      </c>
      <c r="R275">
        <v>32</v>
      </c>
      <c r="S275" t="s">
        <v>59</v>
      </c>
      <c r="T275" t="str">
        <f t="shared" si="8"/>
        <v>Quarterly</v>
      </c>
      <c r="U275">
        <f>VLOOKUP(T275,[1]tablescore!$B$3:$C$8, 2,FALSE)</f>
        <v>4</v>
      </c>
      <c r="V275" t="str">
        <f t="shared" si="9"/>
        <v>Low Loyalty</v>
      </c>
      <c r="W275" t="s">
        <v>60</v>
      </c>
    </row>
    <row r="276" spans="1:23" x14ac:dyDescent="0.25">
      <c r="A276">
        <v>275</v>
      </c>
      <c r="B276">
        <v>59</v>
      </c>
      <c r="C276" t="str" cm="1">
        <f t="array" ref="C276">_xlfn.IFS(
  AND(B276&gt;=18, B276&lt;=24), "18-24",
  AND(B276&gt;=25, B276&lt;=34), "25-34",
  AND(B276&gt;=35, B276&lt;=44), "35-44",
  AND(B276&gt;=45, B276&lt;=54), "45-54",
  B276&gt;=55, "55+"
)</f>
        <v>55+</v>
      </c>
      <c r="D276" t="s">
        <v>19</v>
      </c>
      <c r="E276" t="s">
        <v>106</v>
      </c>
      <c r="F276" t="s">
        <v>69</v>
      </c>
      <c r="G276">
        <v>32</v>
      </c>
      <c r="H276" t="s">
        <v>135</v>
      </c>
      <c r="I276" t="s">
        <v>45</v>
      </c>
      <c r="J276" t="s">
        <v>129</v>
      </c>
      <c r="K276" t="s">
        <v>39</v>
      </c>
      <c r="L276">
        <v>3</v>
      </c>
      <c r="M276" t="s">
        <v>26</v>
      </c>
      <c r="N276" t="s">
        <v>27</v>
      </c>
      <c r="O276" t="s">
        <v>28</v>
      </c>
      <c r="P276" t="s">
        <v>26</v>
      </c>
      <c r="Q276" t="s">
        <v>26</v>
      </c>
      <c r="R276">
        <v>28</v>
      </c>
      <c r="S276" t="s">
        <v>35</v>
      </c>
      <c r="T276" t="str">
        <f t="shared" si="8"/>
        <v>2-week</v>
      </c>
      <c r="U276">
        <f>VLOOKUP(T276,[1]tablescore!$B$3:$C$8, 2,FALSE)</f>
        <v>26</v>
      </c>
      <c r="V276" t="str">
        <f t="shared" si="9"/>
        <v>Loyal</v>
      </c>
      <c r="W276" t="s">
        <v>77</v>
      </c>
    </row>
    <row r="277" spans="1:23" x14ac:dyDescent="0.25">
      <c r="A277">
        <v>276</v>
      </c>
      <c r="B277">
        <v>48</v>
      </c>
      <c r="C277" t="str" cm="1">
        <f t="array" ref="C277">_xlfn.IFS(
  AND(B277&gt;=18, B277&lt;=24), "18-24",
  AND(B277&gt;=25, B277&lt;=34), "25-34",
  AND(B277&gt;=35, B277&lt;=44), "35-44",
  AND(B277&gt;=45, B277&lt;=54), "45-54",
  B277&gt;=55, "55+"
)</f>
        <v>45-54</v>
      </c>
      <c r="D277" t="s">
        <v>19</v>
      </c>
      <c r="E277" t="s">
        <v>133</v>
      </c>
      <c r="F277" t="s">
        <v>69</v>
      </c>
      <c r="G277">
        <v>85</v>
      </c>
      <c r="H277" t="s">
        <v>128</v>
      </c>
      <c r="I277" t="s">
        <v>92</v>
      </c>
      <c r="J277" t="s">
        <v>93</v>
      </c>
      <c r="K277" t="s">
        <v>25</v>
      </c>
      <c r="L277">
        <v>4</v>
      </c>
      <c r="M277" t="s">
        <v>26</v>
      </c>
      <c r="N277" t="s">
        <v>59</v>
      </c>
      <c r="O277" t="s">
        <v>28</v>
      </c>
      <c r="P277" t="s">
        <v>26</v>
      </c>
      <c r="Q277" t="s">
        <v>26</v>
      </c>
      <c r="R277">
        <v>13</v>
      </c>
      <c r="S277" t="s">
        <v>27</v>
      </c>
      <c r="T277" t="str">
        <f t="shared" si="8"/>
        <v>Daily</v>
      </c>
      <c r="U277">
        <f>VLOOKUP(T277,[1]tablescore!$B$3:$C$8, 2,FALSE)</f>
        <v>30</v>
      </c>
      <c r="V277" t="str">
        <f t="shared" si="9"/>
        <v>Highly Loyal</v>
      </c>
      <c r="W277" t="s">
        <v>41</v>
      </c>
    </row>
    <row r="278" spans="1:23" x14ac:dyDescent="0.25">
      <c r="A278">
        <v>277</v>
      </c>
      <c r="B278">
        <v>25</v>
      </c>
      <c r="C278" t="str" cm="1">
        <f t="array" ref="C278">_xlfn.IFS(
  AND(B278&gt;=18, B278&lt;=24), "18-24",
  AND(B278&gt;=25, B278&lt;=34), "25-34",
  AND(B278&gt;=35, B278&lt;=44), "35-44",
  AND(B278&gt;=45, B278&lt;=54), "45-54",
  B278&gt;=55, "55+"
)</f>
        <v>25-34</v>
      </c>
      <c r="D278" t="s">
        <v>19</v>
      </c>
      <c r="E278" t="s">
        <v>87</v>
      </c>
      <c r="F278" t="s">
        <v>21</v>
      </c>
      <c r="G278">
        <v>30</v>
      </c>
      <c r="H278" t="s">
        <v>130</v>
      </c>
      <c r="I278" t="s">
        <v>92</v>
      </c>
      <c r="J278" t="s">
        <v>49</v>
      </c>
      <c r="K278" t="s">
        <v>58</v>
      </c>
      <c r="L278">
        <v>3.5</v>
      </c>
      <c r="M278" t="s">
        <v>26</v>
      </c>
      <c r="N278" t="s">
        <v>59</v>
      </c>
      <c r="O278" t="s">
        <v>28</v>
      </c>
      <c r="P278" t="s">
        <v>26</v>
      </c>
      <c r="Q278" t="s">
        <v>26</v>
      </c>
      <c r="R278">
        <v>11</v>
      </c>
      <c r="S278" t="s">
        <v>34</v>
      </c>
      <c r="T278" t="str">
        <f t="shared" si="8"/>
        <v>2-week</v>
      </c>
      <c r="U278">
        <f>VLOOKUP(T278,[1]tablescore!$B$3:$C$8, 2,FALSE)</f>
        <v>26</v>
      </c>
      <c r="V278" t="str">
        <f t="shared" si="9"/>
        <v>Loyal</v>
      </c>
      <c r="W278" t="s">
        <v>30</v>
      </c>
    </row>
    <row r="279" spans="1:23" x14ac:dyDescent="0.25">
      <c r="A279">
        <v>278</v>
      </c>
      <c r="B279">
        <v>29</v>
      </c>
      <c r="C279" t="str" cm="1">
        <f t="array" ref="C279">_xlfn.IFS(
  AND(B279&gt;=18, B279&lt;=24), "18-24",
  AND(B279&gt;=25, B279&lt;=34), "25-34",
  AND(B279&gt;=35, B279&lt;=44), "35-44",
  AND(B279&gt;=45, B279&lt;=54), "45-54",
  B279&gt;=55, "55+"
)</f>
        <v>25-34</v>
      </c>
      <c r="D279" t="s">
        <v>19</v>
      </c>
      <c r="E279" t="s">
        <v>56</v>
      </c>
      <c r="F279" t="s">
        <v>21</v>
      </c>
      <c r="G279">
        <v>29</v>
      </c>
      <c r="H279" t="s">
        <v>142</v>
      </c>
      <c r="I279" t="s">
        <v>45</v>
      </c>
      <c r="J279" t="s">
        <v>96</v>
      </c>
      <c r="K279" t="s">
        <v>25</v>
      </c>
      <c r="L279">
        <v>3</v>
      </c>
      <c r="M279" t="s">
        <v>26</v>
      </c>
      <c r="N279" t="s">
        <v>27</v>
      </c>
      <c r="O279" t="s">
        <v>76</v>
      </c>
      <c r="P279" t="s">
        <v>26</v>
      </c>
      <c r="Q279" t="s">
        <v>26</v>
      </c>
      <c r="R279">
        <v>36</v>
      </c>
      <c r="S279" t="s">
        <v>34</v>
      </c>
      <c r="T279" t="str">
        <f t="shared" si="8"/>
        <v>2-week</v>
      </c>
      <c r="U279">
        <f>VLOOKUP(T279,[1]tablescore!$B$3:$C$8, 2,FALSE)</f>
        <v>26</v>
      </c>
      <c r="V279" t="str">
        <f t="shared" si="9"/>
        <v>Loyal</v>
      </c>
      <c r="W279" t="s">
        <v>77</v>
      </c>
    </row>
    <row r="280" spans="1:23" x14ac:dyDescent="0.25">
      <c r="A280">
        <v>279</v>
      </c>
      <c r="B280">
        <v>57</v>
      </c>
      <c r="C280" t="str" cm="1">
        <f t="array" ref="C280">_xlfn.IFS(
  AND(B280&gt;=18, B280&lt;=24), "18-24",
  AND(B280&gt;=25, B280&lt;=34), "25-34",
  AND(B280&gt;=35, B280&lt;=44), "35-44",
  AND(B280&gt;=45, B280&lt;=54), "45-54",
  B280&gt;=55, "55+"
)</f>
        <v>55+</v>
      </c>
      <c r="D280" t="s">
        <v>19</v>
      </c>
      <c r="E280" t="s">
        <v>31</v>
      </c>
      <c r="F280" t="s">
        <v>21</v>
      </c>
      <c r="G280">
        <v>95</v>
      </c>
      <c r="H280" t="s">
        <v>78</v>
      </c>
      <c r="I280" t="s">
        <v>45</v>
      </c>
      <c r="J280" t="s">
        <v>121</v>
      </c>
      <c r="K280" t="s">
        <v>39</v>
      </c>
      <c r="L280">
        <v>3.7</v>
      </c>
      <c r="M280" t="s">
        <v>26</v>
      </c>
      <c r="N280" t="s">
        <v>34</v>
      </c>
      <c r="O280" t="s">
        <v>28</v>
      </c>
      <c r="P280" t="s">
        <v>26</v>
      </c>
      <c r="Q280" t="s">
        <v>26</v>
      </c>
      <c r="R280">
        <v>23</v>
      </c>
      <c r="S280" t="s">
        <v>59</v>
      </c>
      <c r="T280" t="str">
        <f t="shared" si="8"/>
        <v>Annually</v>
      </c>
      <c r="U280">
        <f>VLOOKUP(T280,[1]tablescore!$B$3:$C$8, 2,FALSE)</f>
        <v>1</v>
      </c>
      <c r="V280" t="str">
        <f t="shared" si="9"/>
        <v>Low Loyalty</v>
      </c>
      <c r="W280" t="s">
        <v>50</v>
      </c>
    </row>
    <row r="281" spans="1:23" x14ac:dyDescent="0.25">
      <c r="A281">
        <v>280</v>
      </c>
      <c r="B281">
        <v>23</v>
      </c>
      <c r="C281" t="str" cm="1">
        <f t="array" ref="C281">_xlfn.IFS(
  AND(B281&gt;=18, B281&lt;=24), "18-24",
  AND(B281&gt;=25, B281&lt;=34), "25-34",
  AND(B281&gt;=35, B281&lt;=44), "35-44",
  AND(B281&gt;=45, B281&lt;=54), "45-54",
  B281&gt;=55, "55+"
)</f>
        <v>18-24</v>
      </c>
      <c r="D281" t="s">
        <v>19</v>
      </c>
      <c r="E281" t="s">
        <v>51</v>
      </c>
      <c r="F281" t="s">
        <v>43</v>
      </c>
      <c r="G281">
        <v>69</v>
      </c>
      <c r="H281" t="s">
        <v>74</v>
      </c>
      <c r="I281" t="s">
        <v>23</v>
      </c>
      <c r="J281" t="s">
        <v>49</v>
      </c>
      <c r="K281" t="s">
        <v>54</v>
      </c>
      <c r="L281">
        <v>4</v>
      </c>
      <c r="M281" t="s">
        <v>26</v>
      </c>
      <c r="N281" t="s">
        <v>27</v>
      </c>
      <c r="O281" t="s">
        <v>55</v>
      </c>
      <c r="P281" t="s">
        <v>26</v>
      </c>
      <c r="Q281" t="s">
        <v>26</v>
      </c>
      <c r="R281">
        <v>37</v>
      </c>
      <c r="S281" t="s">
        <v>34</v>
      </c>
      <c r="T281" t="str">
        <f t="shared" si="8"/>
        <v>Month</v>
      </c>
      <c r="U281">
        <f>VLOOKUP(T281,[1]tablescore!$B$3:$C$8, 2,FALSE)</f>
        <v>12</v>
      </c>
      <c r="V281" t="str">
        <f t="shared" si="9"/>
        <v>Moderate</v>
      </c>
      <c r="W281" t="s">
        <v>88</v>
      </c>
    </row>
    <row r="282" spans="1:23" x14ac:dyDescent="0.25">
      <c r="A282">
        <v>281</v>
      </c>
      <c r="B282">
        <v>45</v>
      </c>
      <c r="C282" t="str" cm="1">
        <f t="array" ref="C282">_xlfn.IFS(
  AND(B282&gt;=18, B282&lt;=24), "18-24",
  AND(B282&gt;=25, B282&lt;=34), "25-34",
  AND(B282&gt;=35, B282&lt;=44), "35-44",
  AND(B282&gt;=45, B282&lt;=54), "45-54",
  B282&gt;=55, "55+"
)</f>
        <v>45-54</v>
      </c>
      <c r="D282" t="s">
        <v>19</v>
      </c>
      <c r="E282" t="s">
        <v>42</v>
      </c>
      <c r="F282" t="s">
        <v>43</v>
      </c>
      <c r="G282">
        <v>69</v>
      </c>
      <c r="H282" t="s">
        <v>57</v>
      </c>
      <c r="I282" t="s">
        <v>38</v>
      </c>
      <c r="J282" t="s">
        <v>109</v>
      </c>
      <c r="K282" t="s">
        <v>58</v>
      </c>
      <c r="L282">
        <v>4.2</v>
      </c>
      <c r="M282" t="s">
        <v>26</v>
      </c>
      <c r="N282" t="s">
        <v>59</v>
      </c>
      <c r="O282" t="s">
        <v>72</v>
      </c>
      <c r="P282" t="s">
        <v>26</v>
      </c>
      <c r="Q282" t="s">
        <v>26</v>
      </c>
      <c r="R282">
        <v>21</v>
      </c>
      <c r="S282" t="s">
        <v>35</v>
      </c>
      <c r="T282" t="str">
        <f t="shared" si="8"/>
        <v>2-week</v>
      </c>
      <c r="U282">
        <f>VLOOKUP(T282,[1]tablescore!$B$3:$C$8, 2,FALSE)</f>
        <v>26</v>
      </c>
      <c r="V282" t="str">
        <f t="shared" si="9"/>
        <v>Loyal</v>
      </c>
      <c r="W282" t="s">
        <v>77</v>
      </c>
    </row>
    <row r="283" spans="1:23" x14ac:dyDescent="0.25">
      <c r="A283">
        <v>282</v>
      </c>
      <c r="B283">
        <v>38</v>
      </c>
      <c r="C283" t="str" cm="1">
        <f t="array" ref="C283">_xlfn.IFS(
  AND(B283&gt;=18, B283&lt;=24), "18-24",
  AND(B283&gt;=25, B283&lt;=34), "25-34",
  AND(B283&gt;=35, B283&lt;=44), "35-44",
  AND(B283&gt;=45, B283&lt;=54), "45-54",
  B283&gt;=55, "55+"
)</f>
        <v>35-44</v>
      </c>
      <c r="D283" t="s">
        <v>19</v>
      </c>
      <c r="E283" t="s">
        <v>136</v>
      </c>
      <c r="F283" t="s">
        <v>69</v>
      </c>
      <c r="G283">
        <v>61</v>
      </c>
      <c r="H283" t="s">
        <v>101</v>
      </c>
      <c r="I283" t="s">
        <v>92</v>
      </c>
      <c r="J283" t="s">
        <v>63</v>
      </c>
      <c r="K283" t="s">
        <v>39</v>
      </c>
      <c r="L283">
        <v>2.5</v>
      </c>
      <c r="M283" t="s">
        <v>26</v>
      </c>
      <c r="N283" t="s">
        <v>34</v>
      </c>
      <c r="O283" t="s">
        <v>55</v>
      </c>
      <c r="P283" t="s">
        <v>26</v>
      </c>
      <c r="Q283" t="s">
        <v>26</v>
      </c>
      <c r="R283">
        <v>22</v>
      </c>
      <c r="S283" t="s">
        <v>59</v>
      </c>
      <c r="T283" t="str">
        <f t="shared" si="8"/>
        <v>2-week</v>
      </c>
      <c r="U283">
        <f>VLOOKUP(T283,[1]tablescore!$B$3:$C$8, 2,FALSE)</f>
        <v>26</v>
      </c>
      <c r="V283" t="str">
        <f t="shared" si="9"/>
        <v>Loyal</v>
      </c>
      <c r="W283" t="s">
        <v>77</v>
      </c>
    </row>
    <row r="284" spans="1:23" x14ac:dyDescent="0.25">
      <c r="A284">
        <v>283</v>
      </c>
      <c r="B284">
        <v>21</v>
      </c>
      <c r="C284" t="str" cm="1">
        <f t="array" ref="C284">_xlfn.IFS(
  AND(B284&gt;=18, B284&lt;=24), "18-24",
  AND(B284&gt;=25, B284&lt;=34), "25-34",
  AND(B284&gt;=35, B284&lt;=44), "35-44",
  AND(B284&gt;=45, B284&lt;=54), "45-54",
  B284&gt;=55, "55+"
)</f>
        <v>18-24</v>
      </c>
      <c r="D284" t="s">
        <v>19</v>
      </c>
      <c r="E284" t="s">
        <v>87</v>
      </c>
      <c r="F284" t="s">
        <v>21</v>
      </c>
      <c r="G284">
        <v>94</v>
      </c>
      <c r="H284" t="s">
        <v>134</v>
      </c>
      <c r="I284" t="s">
        <v>45</v>
      </c>
      <c r="J284" t="s">
        <v>86</v>
      </c>
      <c r="K284" t="s">
        <v>54</v>
      </c>
      <c r="L284">
        <v>3</v>
      </c>
      <c r="M284" t="s">
        <v>26</v>
      </c>
      <c r="N284" t="s">
        <v>59</v>
      </c>
      <c r="O284" t="s">
        <v>72</v>
      </c>
      <c r="P284" t="s">
        <v>26</v>
      </c>
      <c r="Q284" t="s">
        <v>26</v>
      </c>
      <c r="R284">
        <v>9</v>
      </c>
      <c r="S284" t="s">
        <v>35</v>
      </c>
      <c r="T284" t="str">
        <f t="shared" si="8"/>
        <v>Month</v>
      </c>
      <c r="U284">
        <f>VLOOKUP(T284,[1]tablescore!$B$3:$C$8, 2,FALSE)</f>
        <v>12</v>
      </c>
      <c r="V284" t="str">
        <f t="shared" si="9"/>
        <v>Moderate</v>
      </c>
      <c r="W284" t="s">
        <v>88</v>
      </c>
    </row>
    <row r="285" spans="1:23" x14ac:dyDescent="0.25">
      <c r="A285">
        <v>284</v>
      </c>
      <c r="B285">
        <v>32</v>
      </c>
      <c r="C285" t="str" cm="1">
        <f t="array" ref="C285">_xlfn.IFS(
  AND(B285&gt;=18, B285&lt;=24), "18-24",
  AND(B285&gt;=25, B285&lt;=34), "25-34",
  AND(B285&gt;=35, B285&lt;=44), "35-44",
  AND(B285&gt;=45, B285&lt;=54), "45-54",
  B285&gt;=55, "55+"
)</f>
        <v>25-34</v>
      </c>
      <c r="D285" t="s">
        <v>19</v>
      </c>
      <c r="E285" t="s">
        <v>31</v>
      </c>
      <c r="F285" t="s">
        <v>21</v>
      </c>
      <c r="G285">
        <v>30</v>
      </c>
      <c r="H285" t="s">
        <v>57</v>
      </c>
      <c r="I285" t="s">
        <v>38</v>
      </c>
      <c r="J285" t="s">
        <v>33</v>
      </c>
      <c r="K285" t="s">
        <v>58</v>
      </c>
      <c r="L285">
        <v>3.2</v>
      </c>
      <c r="M285" t="s">
        <v>26</v>
      </c>
      <c r="N285" t="s">
        <v>59</v>
      </c>
      <c r="O285" t="s">
        <v>47</v>
      </c>
      <c r="P285" t="s">
        <v>26</v>
      </c>
      <c r="Q285" t="s">
        <v>26</v>
      </c>
      <c r="R285">
        <v>16</v>
      </c>
      <c r="S285" t="s">
        <v>29</v>
      </c>
      <c r="T285" t="str">
        <f t="shared" si="8"/>
        <v>Annually</v>
      </c>
      <c r="U285">
        <f>VLOOKUP(T285,[1]tablescore!$B$3:$C$8, 2,FALSE)</f>
        <v>1</v>
      </c>
      <c r="V285" t="str">
        <f t="shared" si="9"/>
        <v>Low Loyalty</v>
      </c>
      <c r="W285" t="s">
        <v>50</v>
      </c>
    </row>
    <row r="286" spans="1:23" x14ac:dyDescent="0.25">
      <c r="A286">
        <v>285</v>
      </c>
      <c r="B286">
        <v>63</v>
      </c>
      <c r="C286" t="str" cm="1">
        <f t="array" ref="C286">_xlfn.IFS(
  AND(B286&gt;=18, B286&lt;=24), "18-24",
  AND(B286&gt;=25, B286&lt;=34), "25-34",
  AND(B286&gt;=35, B286&lt;=44), "35-44",
  AND(B286&gt;=45, B286&lt;=54), "45-54",
  B286&gt;=55, "55+"
)</f>
        <v>55+</v>
      </c>
      <c r="D286" t="s">
        <v>19</v>
      </c>
      <c r="E286" t="s">
        <v>87</v>
      </c>
      <c r="F286" t="s">
        <v>21</v>
      </c>
      <c r="G286">
        <v>45</v>
      </c>
      <c r="H286" t="s">
        <v>124</v>
      </c>
      <c r="I286" t="s">
        <v>45</v>
      </c>
      <c r="J286" t="s">
        <v>108</v>
      </c>
      <c r="K286" t="s">
        <v>54</v>
      </c>
      <c r="L286">
        <v>3.5</v>
      </c>
      <c r="M286" t="s">
        <v>26</v>
      </c>
      <c r="N286" t="s">
        <v>46</v>
      </c>
      <c r="O286" t="s">
        <v>55</v>
      </c>
      <c r="P286" t="s">
        <v>26</v>
      </c>
      <c r="Q286" t="s">
        <v>26</v>
      </c>
      <c r="R286">
        <v>4</v>
      </c>
      <c r="S286" t="s">
        <v>46</v>
      </c>
      <c r="T286" t="str">
        <f t="shared" si="8"/>
        <v>Quarterly</v>
      </c>
      <c r="U286">
        <f>VLOOKUP(T286,[1]tablescore!$B$3:$C$8, 2,FALSE)</f>
        <v>4</v>
      </c>
      <c r="V286" t="str">
        <f t="shared" si="9"/>
        <v>Low Loyalty</v>
      </c>
      <c r="W286" t="s">
        <v>60</v>
      </c>
    </row>
    <row r="287" spans="1:23" x14ac:dyDescent="0.25">
      <c r="A287">
        <v>286</v>
      </c>
      <c r="B287">
        <v>29</v>
      </c>
      <c r="C287" t="str" cm="1">
        <f t="array" ref="C287">_xlfn.IFS(
  AND(B287&gt;=18, B287&lt;=24), "18-24",
  AND(B287&gt;=25, B287&lt;=34), "25-34",
  AND(B287&gt;=35, B287&lt;=44), "35-44",
  AND(B287&gt;=45, B287&lt;=54), "45-54",
  B287&gt;=55, "55+"
)</f>
        <v>25-34</v>
      </c>
      <c r="D287" t="s">
        <v>19</v>
      </c>
      <c r="E287" t="s">
        <v>68</v>
      </c>
      <c r="F287" t="s">
        <v>69</v>
      </c>
      <c r="G287">
        <v>39</v>
      </c>
      <c r="H287" t="s">
        <v>22</v>
      </c>
      <c r="I287" t="s">
        <v>92</v>
      </c>
      <c r="J287" t="s">
        <v>139</v>
      </c>
      <c r="K287" t="s">
        <v>54</v>
      </c>
      <c r="L287">
        <v>4.8</v>
      </c>
      <c r="M287" t="s">
        <v>26</v>
      </c>
      <c r="N287" t="s">
        <v>27</v>
      </c>
      <c r="O287" t="s">
        <v>28</v>
      </c>
      <c r="P287" t="s">
        <v>26</v>
      </c>
      <c r="Q287" t="s">
        <v>26</v>
      </c>
      <c r="R287">
        <v>3</v>
      </c>
      <c r="S287" t="s">
        <v>59</v>
      </c>
      <c r="T287" t="str">
        <f t="shared" si="8"/>
        <v>2-week</v>
      </c>
      <c r="U287">
        <f>VLOOKUP(T287,[1]tablescore!$B$3:$C$8, 2,FALSE)</f>
        <v>26</v>
      </c>
      <c r="V287" t="str">
        <f t="shared" si="9"/>
        <v>Loyal</v>
      </c>
      <c r="W287" t="s">
        <v>77</v>
      </c>
    </row>
    <row r="288" spans="1:23" x14ac:dyDescent="0.25">
      <c r="A288">
        <v>287</v>
      </c>
      <c r="B288">
        <v>27</v>
      </c>
      <c r="C288" t="str" cm="1">
        <f t="array" ref="C288">_xlfn.IFS(
  AND(B288&gt;=18, B288&lt;=24), "18-24",
  AND(B288&gt;=25, B288&lt;=34), "25-34",
  AND(B288&gt;=35, B288&lt;=44), "35-44",
  AND(B288&gt;=45, B288&lt;=54), "45-54",
  B288&gt;=55, "55+"
)</f>
        <v>25-34</v>
      </c>
      <c r="D288" t="s">
        <v>19</v>
      </c>
      <c r="E288" t="s">
        <v>106</v>
      </c>
      <c r="F288" t="s">
        <v>69</v>
      </c>
      <c r="G288">
        <v>51</v>
      </c>
      <c r="H288" t="s">
        <v>143</v>
      </c>
      <c r="I288" t="s">
        <v>23</v>
      </c>
      <c r="J288" t="s">
        <v>24</v>
      </c>
      <c r="K288" t="s">
        <v>54</v>
      </c>
      <c r="L288">
        <v>2.6</v>
      </c>
      <c r="M288" t="s">
        <v>26</v>
      </c>
      <c r="N288" t="s">
        <v>35</v>
      </c>
      <c r="O288" t="s">
        <v>76</v>
      </c>
      <c r="P288" t="s">
        <v>26</v>
      </c>
      <c r="Q288" t="s">
        <v>26</v>
      </c>
      <c r="R288">
        <v>6</v>
      </c>
      <c r="S288" t="s">
        <v>59</v>
      </c>
      <c r="T288" t="str">
        <f t="shared" si="8"/>
        <v>Annually</v>
      </c>
      <c r="U288">
        <f>VLOOKUP(T288,[1]tablescore!$B$3:$C$8, 2,FALSE)</f>
        <v>1</v>
      </c>
      <c r="V288" t="str">
        <f t="shared" si="9"/>
        <v>Low Loyalty</v>
      </c>
      <c r="W288" t="s">
        <v>50</v>
      </c>
    </row>
    <row r="289" spans="1:23" x14ac:dyDescent="0.25">
      <c r="A289">
        <v>288</v>
      </c>
      <c r="B289">
        <v>56</v>
      </c>
      <c r="C289" t="str" cm="1">
        <f t="array" ref="C289">_xlfn.IFS(
  AND(B289&gt;=18, B289&lt;=24), "18-24",
  AND(B289&gt;=25, B289&lt;=34), "25-34",
  AND(B289&gt;=35, B289&lt;=44), "35-44",
  AND(B289&gt;=45, B289&lt;=54), "45-54",
  B289&gt;=55, "55+"
)</f>
        <v>55+</v>
      </c>
      <c r="D289" t="s">
        <v>19</v>
      </c>
      <c r="E289" t="s">
        <v>119</v>
      </c>
      <c r="F289" t="s">
        <v>69</v>
      </c>
      <c r="G289">
        <v>37</v>
      </c>
      <c r="H289" t="s">
        <v>80</v>
      </c>
      <c r="I289" t="s">
        <v>23</v>
      </c>
      <c r="J289" t="s">
        <v>138</v>
      </c>
      <c r="K289" t="s">
        <v>39</v>
      </c>
      <c r="L289">
        <v>3.4</v>
      </c>
      <c r="M289" t="s">
        <v>26</v>
      </c>
      <c r="N289" t="s">
        <v>35</v>
      </c>
      <c r="O289" t="s">
        <v>72</v>
      </c>
      <c r="P289" t="s">
        <v>26</v>
      </c>
      <c r="Q289" t="s">
        <v>26</v>
      </c>
      <c r="R289">
        <v>18</v>
      </c>
      <c r="S289" t="s">
        <v>29</v>
      </c>
      <c r="T289" t="str">
        <f t="shared" si="8"/>
        <v>2-week</v>
      </c>
      <c r="U289">
        <f>VLOOKUP(T289,[1]tablescore!$B$3:$C$8, 2,FALSE)</f>
        <v>26</v>
      </c>
      <c r="V289" t="str">
        <f t="shared" si="9"/>
        <v>Loyal</v>
      </c>
      <c r="W289" t="s">
        <v>30</v>
      </c>
    </row>
    <row r="290" spans="1:23" x14ac:dyDescent="0.25">
      <c r="A290">
        <v>289</v>
      </c>
      <c r="B290">
        <v>30</v>
      </c>
      <c r="C290" t="str" cm="1">
        <f t="array" ref="C290">_xlfn.IFS(
  AND(B290&gt;=18, B290&lt;=24), "18-24",
  AND(B290&gt;=25, B290&lt;=34), "25-34",
  AND(B290&gt;=35, B290&lt;=44), "35-44",
  AND(B290&gt;=45, B290&lt;=54), "45-54",
  B290&gt;=55, "55+"
)</f>
        <v>25-34</v>
      </c>
      <c r="D290" t="s">
        <v>19</v>
      </c>
      <c r="E290" t="s">
        <v>113</v>
      </c>
      <c r="F290" t="s">
        <v>21</v>
      </c>
      <c r="G290">
        <v>62</v>
      </c>
      <c r="H290" t="s">
        <v>98</v>
      </c>
      <c r="I290" t="s">
        <v>45</v>
      </c>
      <c r="J290" t="s">
        <v>93</v>
      </c>
      <c r="K290" t="s">
        <v>25</v>
      </c>
      <c r="L290">
        <v>3.7</v>
      </c>
      <c r="M290" t="s">
        <v>26</v>
      </c>
      <c r="N290" t="s">
        <v>27</v>
      </c>
      <c r="O290" t="s">
        <v>72</v>
      </c>
      <c r="P290" t="s">
        <v>26</v>
      </c>
      <c r="Q290" t="s">
        <v>26</v>
      </c>
      <c r="R290">
        <v>34</v>
      </c>
      <c r="S290" t="s">
        <v>29</v>
      </c>
      <c r="T290" t="str">
        <f t="shared" si="8"/>
        <v>2-week</v>
      </c>
      <c r="U290">
        <f>VLOOKUP(T290,[1]tablescore!$B$3:$C$8, 2,FALSE)</f>
        <v>26</v>
      </c>
      <c r="V290" t="str">
        <f t="shared" si="9"/>
        <v>Loyal</v>
      </c>
      <c r="W290" t="s">
        <v>77</v>
      </c>
    </row>
    <row r="291" spans="1:23" x14ac:dyDescent="0.25">
      <c r="A291">
        <v>290</v>
      </c>
      <c r="B291">
        <v>49</v>
      </c>
      <c r="C291" t="str" cm="1">
        <f t="array" ref="C291">_xlfn.IFS(
  AND(B291&gt;=18, B291&lt;=24), "18-24",
  AND(B291&gt;=25, B291&lt;=34), "25-34",
  AND(B291&gt;=35, B291&lt;=44), "35-44",
  AND(B291&gt;=45, B291&lt;=54), "45-54",
  B291&gt;=55, "55+"
)</f>
        <v>45-54</v>
      </c>
      <c r="D291" t="s">
        <v>19</v>
      </c>
      <c r="E291" t="s">
        <v>64</v>
      </c>
      <c r="F291" t="s">
        <v>65</v>
      </c>
      <c r="G291">
        <v>85</v>
      </c>
      <c r="H291" t="s">
        <v>85</v>
      </c>
      <c r="I291" t="s">
        <v>45</v>
      </c>
      <c r="J291" t="s">
        <v>139</v>
      </c>
      <c r="K291" t="s">
        <v>58</v>
      </c>
      <c r="L291">
        <v>4.5</v>
      </c>
      <c r="M291" t="s">
        <v>26</v>
      </c>
      <c r="N291" t="s">
        <v>59</v>
      </c>
      <c r="O291" t="s">
        <v>72</v>
      </c>
      <c r="P291" t="s">
        <v>26</v>
      </c>
      <c r="Q291" t="s">
        <v>26</v>
      </c>
      <c r="R291">
        <v>26</v>
      </c>
      <c r="S291" t="s">
        <v>27</v>
      </c>
      <c r="T291" t="str">
        <f t="shared" si="8"/>
        <v>Month</v>
      </c>
      <c r="U291">
        <f>VLOOKUP(T291,[1]tablescore!$B$3:$C$8, 2,FALSE)</f>
        <v>12</v>
      </c>
      <c r="V291" t="str">
        <f t="shared" si="9"/>
        <v>Moderate</v>
      </c>
      <c r="W291" t="s">
        <v>88</v>
      </c>
    </row>
    <row r="292" spans="1:23" x14ac:dyDescent="0.25">
      <c r="A292">
        <v>291</v>
      </c>
      <c r="B292">
        <v>58</v>
      </c>
      <c r="C292" t="str" cm="1">
        <f t="array" ref="C292">_xlfn.IFS(
  AND(B292&gt;=18, B292&lt;=24), "18-24",
  AND(B292&gt;=25, B292&lt;=34), "25-34",
  AND(B292&gt;=35, B292&lt;=44), "35-44",
  AND(B292&gt;=45, B292&lt;=54), "45-54",
  B292&gt;=55, "55+"
)</f>
        <v>55+</v>
      </c>
      <c r="D292" t="s">
        <v>19</v>
      </c>
      <c r="E292" t="s">
        <v>113</v>
      </c>
      <c r="F292" t="s">
        <v>21</v>
      </c>
      <c r="G292">
        <v>33</v>
      </c>
      <c r="H292" t="s">
        <v>112</v>
      </c>
      <c r="I292" t="s">
        <v>45</v>
      </c>
      <c r="J292" t="s">
        <v>129</v>
      </c>
      <c r="K292" t="s">
        <v>25</v>
      </c>
      <c r="L292">
        <v>3.7</v>
      </c>
      <c r="M292" t="s">
        <v>26</v>
      </c>
      <c r="N292" t="s">
        <v>34</v>
      </c>
      <c r="O292" t="s">
        <v>55</v>
      </c>
      <c r="P292" t="s">
        <v>26</v>
      </c>
      <c r="Q292" t="s">
        <v>26</v>
      </c>
      <c r="R292">
        <v>50</v>
      </c>
      <c r="S292" t="s">
        <v>46</v>
      </c>
      <c r="T292" t="str">
        <f t="shared" si="8"/>
        <v>Daily</v>
      </c>
      <c r="U292">
        <f>VLOOKUP(T292,[1]tablescore!$B$3:$C$8, 2,FALSE)</f>
        <v>30</v>
      </c>
      <c r="V292" t="str">
        <f t="shared" si="9"/>
        <v>Highly Loyal</v>
      </c>
      <c r="W292" t="s">
        <v>41</v>
      </c>
    </row>
    <row r="293" spans="1:23" x14ac:dyDescent="0.25">
      <c r="A293">
        <v>292</v>
      </c>
      <c r="B293">
        <v>57</v>
      </c>
      <c r="C293" t="str" cm="1">
        <f t="array" ref="C293">_xlfn.IFS(
  AND(B293&gt;=18, B293&lt;=24), "18-24",
  AND(B293&gt;=25, B293&lt;=34), "25-34",
  AND(B293&gt;=35, B293&lt;=44), "35-44",
  AND(B293&gt;=45, B293&lt;=54), "45-54",
  B293&gt;=55, "55+"
)</f>
        <v>55+</v>
      </c>
      <c r="D293" t="s">
        <v>19</v>
      </c>
      <c r="E293" t="s">
        <v>82</v>
      </c>
      <c r="F293" t="s">
        <v>21</v>
      </c>
      <c r="G293">
        <v>26</v>
      </c>
      <c r="H293" t="s">
        <v>80</v>
      </c>
      <c r="I293" t="s">
        <v>92</v>
      </c>
      <c r="J293" t="s">
        <v>84</v>
      </c>
      <c r="K293" t="s">
        <v>58</v>
      </c>
      <c r="L293">
        <v>3.3</v>
      </c>
      <c r="M293" t="s">
        <v>26</v>
      </c>
      <c r="N293" t="s">
        <v>27</v>
      </c>
      <c r="O293" t="s">
        <v>47</v>
      </c>
      <c r="P293" t="s">
        <v>26</v>
      </c>
      <c r="Q293" t="s">
        <v>26</v>
      </c>
      <c r="R293">
        <v>40</v>
      </c>
      <c r="S293" t="s">
        <v>34</v>
      </c>
      <c r="T293" t="str">
        <f t="shared" si="8"/>
        <v>Month</v>
      </c>
      <c r="U293">
        <f>VLOOKUP(T293,[1]tablescore!$B$3:$C$8, 2,FALSE)</f>
        <v>12</v>
      </c>
      <c r="V293" t="str">
        <f t="shared" si="9"/>
        <v>Moderate</v>
      </c>
      <c r="W293" t="s">
        <v>88</v>
      </c>
    </row>
    <row r="294" spans="1:23" x14ac:dyDescent="0.25">
      <c r="A294">
        <v>293</v>
      </c>
      <c r="B294">
        <v>60</v>
      </c>
      <c r="C294" t="str" cm="1">
        <f t="array" ref="C294">_xlfn.IFS(
  AND(B294&gt;=18, B294&lt;=24), "18-24",
  AND(B294&gt;=25, B294&lt;=34), "25-34",
  AND(B294&gt;=35, B294&lt;=44), "35-44",
  AND(B294&gt;=45, B294&lt;=54), "45-54",
  B294&gt;=55, "55+"
)</f>
        <v>55+</v>
      </c>
      <c r="D294" t="s">
        <v>19</v>
      </c>
      <c r="E294" t="s">
        <v>73</v>
      </c>
      <c r="F294" t="s">
        <v>43</v>
      </c>
      <c r="G294">
        <v>99</v>
      </c>
      <c r="H294" t="s">
        <v>149</v>
      </c>
      <c r="I294" t="s">
        <v>45</v>
      </c>
      <c r="J294" t="s">
        <v>96</v>
      </c>
      <c r="K294" t="s">
        <v>39</v>
      </c>
      <c r="L294">
        <v>4.7</v>
      </c>
      <c r="M294" t="s">
        <v>26</v>
      </c>
      <c r="N294" t="s">
        <v>27</v>
      </c>
      <c r="O294" t="s">
        <v>40</v>
      </c>
      <c r="P294" t="s">
        <v>26</v>
      </c>
      <c r="Q294" t="s">
        <v>26</v>
      </c>
      <c r="R294">
        <v>24</v>
      </c>
      <c r="S294" t="s">
        <v>35</v>
      </c>
      <c r="T294" t="str">
        <f t="shared" si="8"/>
        <v>Quarterly</v>
      </c>
      <c r="U294">
        <f>VLOOKUP(T294,[1]tablescore!$B$3:$C$8, 2,FALSE)</f>
        <v>4</v>
      </c>
      <c r="V294" t="str">
        <f t="shared" si="9"/>
        <v>Low Loyalty</v>
      </c>
      <c r="W294" t="s">
        <v>60</v>
      </c>
    </row>
    <row r="295" spans="1:23" x14ac:dyDescent="0.25">
      <c r="A295">
        <v>294</v>
      </c>
      <c r="B295">
        <v>69</v>
      </c>
      <c r="C295" t="str" cm="1">
        <f t="array" ref="C295">_xlfn.IFS(
  AND(B295&gt;=18, B295&lt;=24), "18-24",
  AND(B295&gt;=25, B295&lt;=34), "25-34",
  AND(B295&gt;=35, B295&lt;=44), "35-44",
  AND(B295&gt;=45, B295&lt;=54), "45-54",
  B295&gt;=55, "55+"
)</f>
        <v>55+</v>
      </c>
      <c r="D295" t="s">
        <v>19</v>
      </c>
      <c r="E295" t="s">
        <v>68</v>
      </c>
      <c r="F295" t="s">
        <v>69</v>
      </c>
      <c r="G295">
        <v>39</v>
      </c>
      <c r="H295" t="s">
        <v>146</v>
      </c>
      <c r="I295" t="s">
        <v>45</v>
      </c>
      <c r="J295" t="s">
        <v>53</v>
      </c>
      <c r="K295" t="s">
        <v>39</v>
      </c>
      <c r="L295">
        <v>2.7</v>
      </c>
      <c r="M295" t="s">
        <v>26</v>
      </c>
      <c r="N295" t="s">
        <v>46</v>
      </c>
      <c r="O295" t="s">
        <v>28</v>
      </c>
      <c r="P295" t="s">
        <v>26</v>
      </c>
      <c r="Q295" t="s">
        <v>26</v>
      </c>
      <c r="R295">
        <v>33</v>
      </c>
      <c r="S295" t="s">
        <v>46</v>
      </c>
      <c r="T295" t="str">
        <f t="shared" si="8"/>
        <v>Annually</v>
      </c>
      <c r="U295">
        <f>VLOOKUP(T295,[1]tablescore!$B$3:$C$8, 2,FALSE)</f>
        <v>1</v>
      </c>
      <c r="V295" t="str">
        <f t="shared" si="9"/>
        <v>Low Loyalty</v>
      </c>
      <c r="W295" t="s">
        <v>50</v>
      </c>
    </row>
    <row r="296" spans="1:23" x14ac:dyDescent="0.25">
      <c r="A296">
        <v>295</v>
      </c>
      <c r="B296">
        <v>70</v>
      </c>
      <c r="C296" t="str" cm="1">
        <f t="array" ref="C296">_xlfn.IFS(
  AND(B296&gt;=18, B296&lt;=24), "18-24",
  AND(B296&gt;=25, B296&lt;=34), "25-34",
  AND(B296&gt;=35, B296&lt;=44), "35-44",
  AND(B296&gt;=45, B296&lt;=54), "45-54",
  B296&gt;=55, "55+"
)</f>
        <v>55+</v>
      </c>
      <c r="D296" t="s">
        <v>19</v>
      </c>
      <c r="E296" t="s">
        <v>87</v>
      </c>
      <c r="F296" t="s">
        <v>21</v>
      </c>
      <c r="G296">
        <v>20</v>
      </c>
      <c r="H296" t="s">
        <v>137</v>
      </c>
      <c r="I296" t="s">
        <v>45</v>
      </c>
      <c r="J296" t="s">
        <v>81</v>
      </c>
      <c r="K296" t="s">
        <v>39</v>
      </c>
      <c r="L296">
        <v>4.5999999999999996</v>
      </c>
      <c r="M296" t="s">
        <v>26</v>
      </c>
      <c r="N296" t="s">
        <v>35</v>
      </c>
      <c r="O296" t="s">
        <v>76</v>
      </c>
      <c r="P296" t="s">
        <v>26</v>
      </c>
      <c r="Q296" t="s">
        <v>26</v>
      </c>
      <c r="R296">
        <v>19</v>
      </c>
      <c r="S296" t="s">
        <v>27</v>
      </c>
      <c r="T296" t="str">
        <f t="shared" si="8"/>
        <v>Quarterly</v>
      </c>
      <c r="U296">
        <f>VLOOKUP(T296,[1]tablescore!$B$3:$C$8, 2,FALSE)</f>
        <v>4</v>
      </c>
      <c r="V296" t="str">
        <f t="shared" si="9"/>
        <v>Low Loyalty</v>
      </c>
      <c r="W296" t="s">
        <v>97</v>
      </c>
    </row>
    <row r="297" spans="1:23" x14ac:dyDescent="0.25">
      <c r="A297">
        <v>296</v>
      </c>
      <c r="B297">
        <v>53</v>
      </c>
      <c r="C297" t="str" cm="1">
        <f t="array" ref="C297">_xlfn.IFS(
  AND(B297&gt;=18, B297&lt;=24), "18-24",
  AND(B297&gt;=25, B297&lt;=34), "25-34",
  AND(B297&gt;=35, B297&lt;=44), "35-44",
  AND(B297&gt;=45, B297&lt;=54), "45-54",
  B297&gt;=55, "55+"
)</f>
        <v>45-54</v>
      </c>
      <c r="D297" t="s">
        <v>19</v>
      </c>
      <c r="E297" t="s">
        <v>89</v>
      </c>
      <c r="F297" t="s">
        <v>69</v>
      </c>
      <c r="G297">
        <v>42</v>
      </c>
      <c r="H297" t="s">
        <v>66</v>
      </c>
      <c r="I297" t="s">
        <v>45</v>
      </c>
      <c r="J297" t="s">
        <v>129</v>
      </c>
      <c r="K297" t="s">
        <v>25</v>
      </c>
      <c r="L297">
        <v>2.7</v>
      </c>
      <c r="M297" t="s">
        <v>26</v>
      </c>
      <c r="N297" t="s">
        <v>29</v>
      </c>
      <c r="O297" t="s">
        <v>76</v>
      </c>
      <c r="P297" t="s">
        <v>26</v>
      </c>
      <c r="Q297" t="s">
        <v>26</v>
      </c>
      <c r="R297">
        <v>24</v>
      </c>
      <c r="S297" t="s">
        <v>27</v>
      </c>
      <c r="T297" t="str">
        <f t="shared" si="8"/>
        <v>Quarterly</v>
      </c>
      <c r="U297">
        <f>VLOOKUP(T297,[1]tablescore!$B$3:$C$8, 2,FALSE)</f>
        <v>4</v>
      </c>
      <c r="V297" t="str">
        <f t="shared" si="9"/>
        <v>Low Loyalty</v>
      </c>
      <c r="W297" t="s">
        <v>60</v>
      </c>
    </row>
    <row r="298" spans="1:23" x14ac:dyDescent="0.25">
      <c r="A298">
        <v>297</v>
      </c>
      <c r="B298">
        <v>25</v>
      </c>
      <c r="C298" t="str" cm="1">
        <f t="array" ref="C298">_xlfn.IFS(
  AND(B298&gt;=18, B298&lt;=24), "18-24",
  AND(B298&gt;=25, B298&lt;=34), "25-34",
  AND(B298&gt;=35, B298&lt;=44), "35-44",
  AND(B298&gt;=45, B298&lt;=54), "45-54",
  B298&gt;=55, "55+"
)</f>
        <v>25-34</v>
      </c>
      <c r="D298" t="s">
        <v>19</v>
      </c>
      <c r="E298" t="s">
        <v>42</v>
      </c>
      <c r="F298" t="s">
        <v>43</v>
      </c>
      <c r="G298">
        <v>74</v>
      </c>
      <c r="H298" t="s">
        <v>116</v>
      </c>
      <c r="I298" t="s">
        <v>38</v>
      </c>
      <c r="J298" t="s">
        <v>93</v>
      </c>
      <c r="K298" t="s">
        <v>39</v>
      </c>
      <c r="L298">
        <v>4.8</v>
      </c>
      <c r="M298" t="s">
        <v>26</v>
      </c>
      <c r="N298" t="s">
        <v>46</v>
      </c>
      <c r="O298" t="s">
        <v>72</v>
      </c>
      <c r="P298" t="s">
        <v>26</v>
      </c>
      <c r="Q298" t="s">
        <v>26</v>
      </c>
      <c r="R298">
        <v>19</v>
      </c>
      <c r="S298" t="s">
        <v>27</v>
      </c>
      <c r="T298" t="str">
        <f t="shared" si="8"/>
        <v>Daily</v>
      </c>
      <c r="U298">
        <f>VLOOKUP(T298,[1]tablescore!$B$3:$C$8, 2,FALSE)</f>
        <v>30</v>
      </c>
      <c r="V298" t="str">
        <f t="shared" si="9"/>
        <v>Highly Loyal</v>
      </c>
      <c r="W298" t="s">
        <v>41</v>
      </c>
    </row>
    <row r="299" spans="1:23" x14ac:dyDescent="0.25">
      <c r="A299">
        <v>298</v>
      </c>
      <c r="B299">
        <v>48</v>
      </c>
      <c r="C299" t="str" cm="1">
        <f t="array" ref="C299">_xlfn.IFS(
  AND(B299&gt;=18, B299&lt;=24), "18-24",
  AND(B299&gt;=25, B299&lt;=34), "25-34",
  AND(B299&gt;=35, B299&lt;=44), "35-44",
  AND(B299&gt;=45, B299&lt;=54), "45-54",
  B299&gt;=55, "55+"
)</f>
        <v>45-54</v>
      </c>
      <c r="D299" t="s">
        <v>19</v>
      </c>
      <c r="E299" t="s">
        <v>73</v>
      </c>
      <c r="F299" t="s">
        <v>43</v>
      </c>
      <c r="G299">
        <v>26</v>
      </c>
      <c r="H299" t="s">
        <v>80</v>
      </c>
      <c r="I299" t="s">
        <v>92</v>
      </c>
      <c r="J299" t="s">
        <v>75</v>
      </c>
      <c r="K299" t="s">
        <v>54</v>
      </c>
      <c r="L299">
        <v>4.4000000000000004</v>
      </c>
      <c r="M299" t="s">
        <v>26</v>
      </c>
      <c r="N299" t="s">
        <v>34</v>
      </c>
      <c r="O299" t="s">
        <v>55</v>
      </c>
      <c r="P299" t="s">
        <v>26</v>
      </c>
      <c r="Q299" t="s">
        <v>26</v>
      </c>
      <c r="R299">
        <v>4</v>
      </c>
      <c r="S299" t="s">
        <v>27</v>
      </c>
      <c r="T299" t="str">
        <f t="shared" si="8"/>
        <v>2-week</v>
      </c>
      <c r="U299">
        <f>VLOOKUP(T299,[1]tablescore!$B$3:$C$8, 2,FALSE)</f>
        <v>26</v>
      </c>
      <c r="V299" t="str">
        <f t="shared" si="9"/>
        <v>Loyal</v>
      </c>
      <c r="W299" t="s">
        <v>77</v>
      </c>
    </row>
    <row r="300" spans="1:23" x14ac:dyDescent="0.25">
      <c r="A300">
        <v>299</v>
      </c>
      <c r="B300">
        <v>69</v>
      </c>
      <c r="C300" t="str" cm="1">
        <f t="array" ref="C300">_xlfn.IFS(
  AND(B300&gt;=18, B300&lt;=24), "18-24",
  AND(B300&gt;=25, B300&lt;=34), "25-34",
  AND(B300&gt;=35, B300&lt;=44), "35-44",
  AND(B300&gt;=45, B300&lt;=54), "45-54",
  B300&gt;=55, "55+"
)</f>
        <v>55+</v>
      </c>
      <c r="D300" t="s">
        <v>19</v>
      </c>
      <c r="E300" t="s">
        <v>113</v>
      </c>
      <c r="F300" t="s">
        <v>21</v>
      </c>
      <c r="G300">
        <v>53</v>
      </c>
      <c r="H300" t="s">
        <v>135</v>
      </c>
      <c r="I300" t="s">
        <v>45</v>
      </c>
      <c r="J300" t="s">
        <v>93</v>
      </c>
      <c r="K300" t="s">
        <v>25</v>
      </c>
      <c r="L300">
        <v>4</v>
      </c>
      <c r="M300" t="s">
        <v>26</v>
      </c>
      <c r="N300" t="s">
        <v>35</v>
      </c>
      <c r="O300" t="s">
        <v>55</v>
      </c>
      <c r="P300" t="s">
        <v>26</v>
      </c>
      <c r="Q300" t="s">
        <v>26</v>
      </c>
      <c r="R300">
        <v>11</v>
      </c>
      <c r="S300" t="s">
        <v>29</v>
      </c>
      <c r="T300" t="str">
        <f t="shared" si="8"/>
        <v>Quarterly</v>
      </c>
      <c r="U300">
        <f>VLOOKUP(T300,[1]tablescore!$B$3:$C$8, 2,FALSE)</f>
        <v>4</v>
      </c>
      <c r="V300" t="str">
        <f t="shared" si="9"/>
        <v>Low Loyalty</v>
      </c>
      <c r="W300" t="s">
        <v>97</v>
      </c>
    </row>
    <row r="301" spans="1:23" x14ac:dyDescent="0.25">
      <c r="A301">
        <v>300</v>
      </c>
      <c r="B301">
        <v>25</v>
      </c>
      <c r="C301" t="str" cm="1">
        <f t="array" ref="C301">_xlfn.IFS(
  AND(B301&gt;=18, B301&lt;=24), "18-24",
  AND(B301&gt;=25, B301&lt;=34), "25-34",
  AND(B301&gt;=35, B301&lt;=44), "35-44",
  AND(B301&gt;=45, B301&lt;=54), "45-54",
  B301&gt;=55, "55+"
)</f>
        <v>25-34</v>
      </c>
      <c r="D301" t="s">
        <v>19</v>
      </c>
      <c r="E301" t="s">
        <v>51</v>
      </c>
      <c r="F301" t="s">
        <v>43</v>
      </c>
      <c r="G301">
        <v>80</v>
      </c>
      <c r="H301" t="s">
        <v>141</v>
      </c>
      <c r="I301" t="s">
        <v>45</v>
      </c>
      <c r="J301" t="s">
        <v>33</v>
      </c>
      <c r="K301" t="s">
        <v>54</v>
      </c>
      <c r="L301">
        <v>3.2</v>
      </c>
      <c r="M301" t="s">
        <v>26</v>
      </c>
      <c r="N301" t="s">
        <v>27</v>
      </c>
      <c r="O301" t="s">
        <v>47</v>
      </c>
      <c r="P301" t="s">
        <v>26</v>
      </c>
      <c r="Q301" t="s">
        <v>26</v>
      </c>
      <c r="R301">
        <v>28</v>
      </c>
      <c r="S301" t="s">
        <v>46</v>
      </c>
      <c r="T301" t="str">
        <f t="shared" si="8"/>
        <v>2-week</v>
      </c>
      <c r="U301">
        <f>VLOOKUP(T301,[1]tablescore!$B$3:$C$8, 2,FALSE)</f>
        <v>26</v>
      </c>
      <c r="V301" t="str">
        <f t="shared" si="9"/>
        <v>Loyal</v>
      </c>
      <c r="W301" t="s">
        <v>30</v>
      </c>
    </row>
    <row r="302" spans="1:23" x14ac:dyDescent="0.25">
      <c r="A302">
        <v>301</v>
      </c>
      <c r="B302">
        <v>29</v>
      </c>
      <c r="C302" t="str" cm="1">
        <f t="array" ref="C302">_xlfn.IFS(
  AND(B302&gt;=18, B302&lt;=24), "18-24",
  AND(B302&gt;=25, B302&lt;=34), "25-34",
  AND(B302&gt;=35, B302&lt;=44), "35-44",
  AND(B302&gt;=45, B302&lt;=54), "45-54",
  B302&gt;=55, "55+"
)</f>
        <v>25-34</v>
      </c>
      <c r="D302" t="s">
        <v>19</v>
      </c>
      <c r="E302" t="s">
        <v>125</v>
      </c>
      <c r="F302" t="s">
        <v>69</v>
      </c>
      <c r="G302">
        <v>98</v>
      </c>
      <c r="H302" t="s">
        <v>150</v>
      </c>
      <c r="I302" t="s">
        <v>45</v>
      </c>
      <c r="J302" t="s">
        <v>86</v>
      </c>
      <c r="K302" t="s">
        <v>39</v>
      </c>
      <c r="L302">
        <v>4.4000000000000004</v>
      </c>
      <c r="M302" t="s">
        <v>26</v>
      </c>
      <c r="N302" t="s">
        <v>35</v>
      </c>
      <c r="O302" t="s">
        <v>76</v>
      </c>
      <c r="P302" t="s">
        <v>26</v>
      </c>
      <c r="Q302" t="s">
        <v>26</v>
      </c>
      <c r="R302">
        <v>24</v>
      </c>
      <c r="S302" t="s">
        <v>46</v>
      </c>
      <c r="T302" t="str">
        <f t="shared" si="8"/>
        <v>Daily</v>
      </c>
      <c r="U302">
        <f>VLOOKUP(T302,[1]tablescore!$B$3:$C$8, 2,FALSE)</f>
        <v>30</v>
      </c>
      <c r="V302" t="str">
        <f t="shared" si="9"/>
        <v>Highly Loyal</v>
      </c>
      <c r="W302" t="s">
        <v>41</v>
      </c>
    </row>
    <row r="303" spans="1:23" x14ac:dyDescent="0.25">
      <c r="A303">
        <v>302</v>
      </c>
      <c r="B303">
        <v>46</v>
      </c>
      <c r="C303" t="str" cm="1">
        <f t="array" ref="C303">_xlfn.IFS(
  AND(B303&gt;=18, B303&lt;=24), "18-24",
  AND(B303&gt;=25, B303&lt;=34), "25-34",
  AND(B303&gt;=35, B303&lt;=44), "35-44",
  AND(B303&gt;=45, B303&lt;=54), "45-54",
  B303&gt;=55, "55+"
)</f>
        <v>45-54</v>
      </c>
      <c r="D303" t="s">
        <v>19</v>
      </c>
      <c r="E303" t="s">
        <v>87</v>
      </c>
      <c r="F303" t="s">
        <v>21</v>
      </c>
      <c r="G303">
        <v>95</v>
      </c>
      <c r="H303" t="s">
        <v>141</v>
      </c>
      <c r="I303" t="s">
        <v>45</v>
      </c>
      <c r="J303" t="s">
        <v>96</v>
      </c>
      <c r="K303" t="s">
        <v>39</v>
      </c>
      <c r="L303">
        <v>3.8</v>
      </c>
      <c r="M303" t="s">
        <v>26</v>
      </c>
      <c r="N303" t="s">
        <v>59</v>
      </c>
      <c r="O303" t="s">
        <v>55</v>
      </c>
      <c r="P303" t="s">
        <v>26</v>
      </c>
      <c r="Q303" t="s">
        <v>26</v>
      </c>
      <c r="R303">
        <v>25</v>
      </c>
      <c r="S303" t="s">
        <v>27</v>
      </c>
      <c r="T303" t="str">
        <f t="shared" si="8"/>
        <v>Quarterly</v>
      </c>
      <c r="U303">
        <f>VLOOKUP(T303,[1]tablescore!$B$3:$C$8, 2,FALSE)</f>
        <v>4</v>
      </c>
      <c r="V303" t="str">
        <f t="shared" si="9"/>
        <v>Low Loyalty</v>
      </c>
      <c r="W303" t="s">
        <v>97</v>
      </c>
    </row>
    <row r="304" spans="1:23" x14ac:dyDescent="0.25">
      <c r="A304">
        <v>303</v>
      </c>
      <c r="B304">
        <v>37</v>
      </c>
      <c r="C304" t="str" cm="1">
        <f t="array" ref="C304">_xlfn.IFS(
  AND(B304&gt;=18, B304&lt;=24), "18-24",
  AND(B304&gt;=25, B304&lt;=34), "25-34",
  AND(B304&gt;=35, B304&lt;=44), "35-44",
  AND(B304&gt;=45, B304&lt;=54), "45-54",
  B304&gt;=55, "55+"
)</f>
        <v>35-44</v>
      </c>
      <c r="D304" t="s">
        <v>19</v>
      </c>
      <c r="E304" t="s">
        <v>31</v>
      </c>
      <c r="F304" t="s">
        <v>21</v>
      </c>
      <c r="G304">
        <v>44</v>
      </c>
      <c r="H304" t="s">
        <v>80</v>
      </c>
      <c r="I304" t="s">
        <v>23</v>
      </c>
      <c r="J304" t="s">
        <v>79</v>
      </c>
      <c r="K304" t="s">
        <v>54</v>
      </c>
      <c r="L304">
        <v>3.6</v>
      </c>
      <c r="M304" t="s">
        <v>26</v>
      </c>
      <c r="N304" t="s">
        <v>29</v>
      </c>
      <c r="O304" t="s">
        <v>28</v>
      </c>
      <c r="P304" t="s">
        <v>26</v>
      </c>
      <c r="Q304" t="s">
        <v>26</v>
      </c>
      <c r="R304">
        <v>27</v>
      </c>
      <c r="S304" t="s">
        <v>34</v>
      </c>
      <c r="T304" t="str">
        <f t="shared" si="8"/>
        <v>Quarterly</v>
      </c>
      <c r="U304">
        <f>VLOOKUP(T304,[1]tablescore!$B$3:$C$8, 2,FALSE)</f>
        <v>4</v>
      </c>
      <c r="V304" t="str">
        <f t="shared" si="9"/>
        <v>Low Loyalty</v>
      </c>
      <c r="W304" t="s">
        <v>97</v>
      </c>
    </row>
    <row r="305" spans="1:23" x14ac:dyDescent="0.25">
      <c r="A305">
        <v>304</v>
      </c>
      <c r="B305">
        <v>20</v>
      </c>
      <c r="C305" t="str" cm="1">
        <f t="array" ref="C305">_xlfn.IFS(
  AND(B305&gt;=18, B305&lt;=24), "18-24",
  AND(B305&gt;=25, B305&lt;=34), "25-34",
  AND(B305&gt;=35, B305&lt;=44), "35-44",
  AND(B305&gt;=45, B305&lt;=54), "45-54",
  B305&gt;=55, "55+"
)</f>
        <v>18-24</v>
      </c>
      <c r="D305" t="s">
        <v>19</v>
      </c>
      <c r="E305" t="s">
        <v>42</v>
      </c>
      <c r="F305" t="s">
        <v>43</v>
      </c>
      <c r="G305">
        <v>60</v>
      </c>
      <c r="H305" t="s">
        <v>48</v>
      </c>
      <c r="I305" t="s">
        <v>45</v>
      </c>
      <c r="J305" t="s">
        <v>49</v>
      </c>
      <c r="K305" t="s">
        <v>54</v>
      </c>
      <c r="L305">
        <v>3.3</v>
      </c>
      <c r="M305" t="s">
        <v>26</v>
      </c>
      <c r="N305" t="s">
        <v>35</v>
      </c>
      <c r="O305" t="s">
        <v>47</v>
      </c>
      <c r="P305" t="s">
        <v>26</v>
      </c>
      <c r="Q305" t="s">
        <v>26</v>
      </c>
      <c r="R305">
        <v>49</v>
      </c>
      <c r="S305" t="s">
        <v>29</v>
      </c>
      <c r="T305" t="str">
        <f t="shared" si="8"/>
        <v>Daily</v>
      </c>
      <c r="U305">
        <f>VLOOKUP(T305,[1]tablescore!$B$3:$C$8, 2,FALSE)</f>
        <v>30</v>
      </c>
      <c r="V305" t="str">
        <f t="shared" si="9"/>
        <v>Highly Loyal</v>
      </c>
      <c r="W305" t="s">
        <v>41</v>
      </c>
    </row>
    <row r="306" spans="1:23" x14ac:dyDescent="0.25">
      <c r="A306">
        <v>305</v>
      </c>
      <c r="B306">
        <v>40</v>
      </c>
      <c r="C306" t="str" cm="1">
        <f t="array" ref="C306">_xlfn.IFS(
  AND(B306&gt;=18, B306&lt;=24), "18-24",
  AND(B306&gt;=25, B306&lt;=34), "25-34",
  AND(B306&gt;=35, B306&lt;=44), "35-44",
  AND(B306&gt;=45, B306&lt;=54), "45-54",
  B306&gt;=55, "55+"
)</f>
        <v>35-44</v>
      </c>
      <c r="D306" t="s">
        <v>19</v>
      </c>
      <c r="E306" t="s">
        <v>82</v>
      </c>
      <c r="F306" t="s">
        <v>21</v>
      </c>
      <c r="G306">
        <v>84</v>
      </c>
      <c r="H306" t="s">
        <v>48</v>
      </c>
      <c r="I306" t="s">
        <v>45</v>
      </c>
      <c r="J306" t="s">
        <v>96</v>
      </c>
      <c r="K306" t="s">
        <v>25</v>
      </c>
      <c r="L306">
        <v>3.4</v>
      </c>
      <c r="M306" t="s">
        <v>26</v>
      </c>
      <c r="N306" t="s">
        <v>29</v>
      </c>
      <c r="O306" t="s">
        <v>47</v>
      </c>
      <c r="P306" t="s">
        <v>26</v>
      </c>
      <c r="Q306" t="s">
        <v>26</v>
      </c>
      <c r="R306">
        <v>45</v>
      </c>
      <c r="S306" t="s">
        <v>27</v>
      </c>
      <c r="T306" t="str">
        <f t="shared" si="8"/>
        <v>2-week</v>
      </c>
      <c r="U306">
        <f>VLOOKUP(T306,[1]tablescore!$B$3:$C$8, 2,FALSE)</f>
        <v>26</v>
      </c>
      <c r="V306" t="str">
        <f t="shared" si="9"/>
        <v>Loyal</v>
      </c>
      <c r="W306" t="s">
        <v>77</v>
      </c>
    </row>
    <row r="307" spans="1:23" x14ac:dyDescent="0.25">
      <c r="A307">
        <v>306</v>
      </c>
      <c r="B307">
        <v>60</v>
      </c>
      <c r="C307" t="str" cm="1">
        <f t="array" ref="C307">_xlfn.IFS(
  AND(B307&gt;=18, B307&lt;=24), "18-24",
  AND(B307&gt;=25, B307&lt;=34), "25-34",
  AND(B307&gt;=35, B307&lt;=44), "35-44",
  AND(B307&gt;=45, B307&lt;=54), "45-54",
  B307&gt;=55, "55+"
)</f>
        <v>55+</v>
      </c>
      <c r="D307" t="s">
        <v>19</v>
      </c>
      <c r="E307" t="s">
        <v>31</v>
      </c>
      <c r="F307" t="s">
        <v>21</v>
      </c>
      <c r="G307">
        <v>59</v>
      </c>
      <c r="H307" t="s">
        <v>149</v>
      </c>
      <c r="I307" t="s">
        <v>45</v>
      </c>
      <c r="J307" t="s">
        <v>86</v>
      </c>
      <c r="K307" t="s">
        <v>58</v>
      </c>
      <c r="L307">
        <v>3.5</v>
      </c>
      <c r="M307" t="s">
        <v>26</v>
      </c>
      <c r="N307" t="s">
        <v>59</v>
      </c>
      <c r="O307" t="s">
        <v>72</v>
      </c>
      <c r="P307" t="s">
        <v>26</v>
      </c>
      <c r="Q307" t="s">
        <v>26</v>
      </c>
      <c r="R307">
        <v>26</v>
      </c>
      <c r="S307" t="s">
        <v>46</v>
      </c>
      <c r="T307" t="str">
        <f t="shared" si="8"/>
        <v>Annually</v>
      </c>
      <c r="U307">
        <f>VLOOKUP(T307,[1]tablescore!$B$3:$C$8, 2,FALSE)</f>
        <v>1</v>
      </c>
      <c r="V307" t="str">
        <f t="shared" si="9"/>
        <v>Low Loyalty</v>
      </c>
      <c r="W307" t="s">
        <v>50</v>
      </c>
    </row>
    <row r="308" spans="1:23" x14ac:dyDescent="0.25">
      <c r="A308">
        <v>307</v>
      </c>
      <c r="B308">
        <v>26</v>
      </c>
      <c r="C308" t="str" cm="1">
        <f t="array" ref="C308">_xlfn.IFS(
  AND(B308&gt;=18, B308&lt;=24), "18-24",
  AND(B308&gt;=25, B308&lt;=34), "25-34",
  AND(B308&gt;=35, B308&lt;=44), "35-44",
  AND(B308&gt;=45, B308&lt;=54), "45-54",
  B308&gt;=55, "55+"
)</f>
        <v>25-34</v>
      </c>
      <c r="D308" t="s">
        <v>19</v>
      </c>
      <c r="E308" t="s">
        <v>102</v>
      </c>
      <c r="F308" t="s">
        <v>65</v>
      </c>
      <c r="G308">
        <v>49</v>
      </c>
      <c r="H308" t="s">
        <v>114</v>
      </c>
      <c r="I308" t="s">
        <v>38</v>
      </c>
      <c r="J308" t="s">
        <v>53</v>
      </c>
      <c r="K308" t="s">
        <v>54</v>
      </c>
      <c r="L308">
        <v>3.6</v>
      </c>
      <c r="M308" t="s">
        <v>26</v>
      </c>
      <c r="N308" t="s">
        <v>59</v>
      </c>
      <c r="O308" t="s">
        <v>28</v>
      </c>
      <c r="P308" t="s">
        <v>26</v>
      </c>
      <c r="Q308" t="s">
        <v>26</v>
      </c>
      <c r="R308">
        <v>4</v>
      </c>
      <c r="S308" t="s">
        <v>35</v>
      </c>
      <c r="T308" t="str">
        <f t="shared" si="8"/>
        <v>Annually</v>
      </c>
      <c r="U308">
        <f>VLOOKUP(T308,[1]tablescore!$B$3:$C$8, 2,FALSE)</f>
        <v>1</v>
      </c>
      <c r="V308" t="str">
        <f t="shared" si="9"/>
        <v>Low Loyalty</v>
      </c>
      <c r="W308" t="s">
        <v>50</v>
      </c>
    </row>
    <row r="309" spans="1:23" x14ac:dyDescent="0.25">
      <c r="A309">
        <v>308</v>
      </c>
      <c r="B309">
        <v>29</v>
      </c>
      <c r="C309" t="str" cm="1">
        <f t="array" ref="C309">_xlfn.IFS(
  AND(B309&gt;=18, B309&lt;=24), "18-24",
  AND(B309&gt;=25, B309&lt;=34), "25-34",
  AND(B309&gt;=35, B309&lt;=44), "35-44",
  AND(B309&gt;=45, B309&lt;=54), "45-54",
  B309&gt;=55, "55+"
)</f>
        <v>25-34</v>
      </c>
      <c r="D309" t="s">
        <v>19</v>
      </c>
      <c r="E309" t="s">
        <v>127</v>
      </c>
      <c r="F309" t="s">
        <v>69</v>
      </c>
      <c r="G309">
        <v>32</v>
      </c>
      <c r="H309" t="s">
        <v>103</v>
      </c>
      <c r="I309" t="s">
        <v>45</v>
      </c>
      <c r="J309" t="s">
        <v>121</v>
      </c>
      <c r="K309" t="s">
        <v>25</v>
      </c>
      <c r="L309">
        <v>3.2</v>
      </c>
      <c r="M309" t="s">
        <v>26</v>
      </c>
      <c r="N309" t="s">
        <v>35</v>
      </c>
      <c r="O309" t="s">
        <v>40</v>
      </c>
      <c r="P309" t="s">
        <v>26</v>
      </c>
      <c r="Q309" t="s">
        <v>26</v>
      </c>
      <c r="R309">
        <v>3</v>
      </c>
      <c r="S309" t="s">
        <v>27</v>
      </c>
      <c r="T309" t="str">
        <f t="shared" si="8"/>
        <v>Quarterly</v>
      </c>
      <c r="U309">
        <f>VLOOKUP(T309,[1]tablescore!$B$3:$C$8, 2,FALSE)</f>
        <v>4</v>
      </c>
      <c r="V309" t="str">
        <f t="shared" si="9"/>
        <v>Low Loyalty</v>
      </c>
      <c r="W309" t="s">
        <v>97</v>
      </c>
    </row>
    <row r="310" spans="1:23" x14ac:dyDescent="0.25">
      <c r="A310">
        <v>309</v>
      </c>
      <c r="B310">
        <v>66</v>
      </c>
      <c r="C310" t="str" cm="1">
        <f t="array" ref="C310">_xlfn.IFS(
  AND(B310&gt;=18, B310&lt;=24), "18-24",
  AND(B310&gt;=25, B310&lt;=34), "25-34",
  AND(B310&gt;=35, B310&lt;=44), "35-44",
  AND(B310&gt;=45, B310&lt;=54), "45-54",
  B310&gt;=55, "55+"
)</f>
        <v>55+</v>
      </c>
      <c r="D310" t="s">
        <v>19</v>
      </c>
      <c r="E310" t="s">
        <v>68</v>
      </c>
      <c r="F310" t="s">
        <v>69</v>
      </c>
      <c r="G310">
        <v>29</v>
      </c>
      <c r="H310" t="s">
        <v>135</v>
      </c>
      <c r="I310" t="s">
        <v>45</v>
      </c>
      <c r="J310" t="s">
        <v>118</v>
      </c>
      <c r="K310" t="s">
        <v>58</v>
      </c>
      <c r="L310">
        <v>3.7</v>
      </c>
      <c r="M310" t="s">
        <v>26</v>
      </c>
      <c r="N310" t="s">
        <v>34</v>
      </c>
      <c r="O310" t="s">
        <v>55</v>
      </c>
      <c r="P310" t="s">
        <v>26</v>
      </c>
      <c r="Q310" t="s">
        <v>26</v>
      </c>
      <c r="R310">
        <v>45</v>
      </c>
      <c r="S310" t="s">
        <v>29</v>
      </c>
      <c r="T310" t="str">
        <f t="shared" si="8"/>
        <v>2-week</v>
      </c>
      <c r="U310">
        <f>VLOOKUP(T310,[1]tablescore!$B$3:$C$8, 2,FALSE)</f>
        <v>26</v>
      </c>
      <c r="V310" t="str">
        <f t="shared" si="9"/>
        <v>Loyal</v>
      </c>
      <c r="W310" t="s">
        <v>77</v>
      </c>
    </row>
    <row r="311" spans="1:23" x14ac:dyDescent="0.25">
      <c r="A311">
        <v>310</v>
      </c>
      <c r="B311">
        <v>66</v>
      </c>
      <c r="C311" t="str" cm="1">
        <f t="array" ref="C311">_xlfn.IFS(
  AND(B311&gt;=18, B311&lt;=24), "18-24",
  AND(B311&gt;=25, B311&lt;=34), "25-34",
  AND(B311&gt;=35, B311&lt;=44), "35-44",
  AND(B311&gt;=45, B311&lt;=54), "45-54",
  B311&gt;=55, "55+"
)</f>
        <v>55+</v>
      </c>
      <c r="D311" t="s">
        <v>19</v>
      </c>
      <c r="E311" t="s">
        <v>82</v>
      </c>
      <c r="F311" t="s">
        <v>21</v>
      </c>
      <c r="G311">
        <v>22</v>
      </c>
      <c r="H311" t="s">
        <v>134</v>
      </c>
      <c r="I311" t="s">
        <v>45</v>
      </c>
      <c r="J311" t="s">
        <v>139</v>
      </c>
      <c r="K311" t="s">
        <v>39</v>
      </c>
      <c r="L311">
        <v>4.5</v>
      </c>
      <c r="M311" t="s">
        <v>26</v>
      </c>
      <c r="N311" t="s">
        <v>34</v>
      </c>
      <c r="O311" t="s">
        <v>55</v>
      </c>
      <c r="P311" t="s">
        <v>26</v>
      </c>
      <c r="Q311" t="s">
        <v>26</v>
      </c>
      <c r="R311">
        <v>21</v>
      </c>
      <c r="S311" t="s">
        <v>35</v>
      </c>
      <c r="T311" t="str">
        <f t="shared" si="8"/>
        <v>2-week</v>
      </c>
      <c r="U311">
        <f>VLOOKUP(T311,[1]tablescore!$B$3:$C$8, 2,FALSE)</f>
        <v>26</v>
      </c>
      <c r="V311" t="str">
        <f t="shared" si="9"/>
        <v>Loyal</v>
      </c>
      <c r="W311" t="s">
        <v>30</v>
      </c>
    </row>
    <row r="312" spans="1:23" x14ac:dyDescent="0.25">
      <c r="A312">
        <v>311</v>
      </c>
      <c r="B312">
        <v>56</v>
      </c>
      <c r="C312" t="str" cm="1">
        <f t="array" ref="C312">_xlfn.IFS(
  AND(B312&gt;=18, B312&lt;=24), "18-24",
  AND(B312&gt;=25, B312&lt;=34), "25-34",
  AND(B312&gt;=35, B312&lt;=44), "35-44",
  AND(B312&gt;=45, B312&lt;=54), "45-54",
  B312&gt;=55, "55+"
)</f>
        <v>55+</v>
      </c>
      <c r="D312" t="s">
        <v>19</v>
      </c>
      <c r="E312" t="s">
        <v>95</v>
      </c>
      <c r="F312" t="s">
        <v>21</v>
      </c>
      <c r="G312">
        <v>85</v>
      </c>
      <c r="H312" t="s">
        <v>57</v>
      </c>
      <c r="I312" t="s">
        <v>45</v>
      </c>
      <c r="J312" t="s">
        <v>63</v>
      </c>
      <c r="K312" t="s">
        <v>25</v>
      </c>
      <c r="L312">
        <v>4.5999999999999996</v>
      </c>
      <c r="M312" t="s">
        <v>26</v>
      </c>
      <c r="N312" t="s">
        <v>59</v>
      </c>
      <c r="O312" t="s">
        <v>55</v>
      </c>
      <c r="P312" t="s">
        <v>26</v>
      </c>
      <c r="Q312" t="s">
        <v>26</v>
      </c>
      <c r="R312">
        <v>50</v>
      </c>
      <c r="S312" t="s">
        <v>35</v>
      </c>
      <c r="T312" t="str">
        <f t="shared" si="8"/>
        <v>2-week</v>
      </c>
      <c r="U312">
        <f>VLOOKUP(T312,[1]tablescore!$B$3:$C$8, 2,FALSE)</f>
        <v>26</v>
      </c>
      <c r="V312" t="str">
        <f t="shared" si="9"/>
        <v>Loyal</v>
      </c>
      <c r="W312" t="s">
        <v>30</v>
      </c>
    </row>
    <row r="313" spans="1:23" x14ac:dyDescent="0.25">
      <c r="A313">
        <v>312</v>
      </c>
      <c r="B313">
        <v>69</v>
      </c>
      <c r="C313" t="str" cm="1">
        <f t="array" ref="C313">_xlfn.IFS(
  AND(B313&gt;=18, B313&lt;=24), "18-24",
  AND(B313&gt;=25, B313&lt;=34), "25-34",
  AND(B313&gt;=35, B313&lt;=44), "35-44",
  AND(B313&gt;=45, B313&lt;=54), "45-54",
  B313&gt;=55, "55+"
)</f>
        <v>55+</v>
      </c>
      <c r="D313" t="s">
        <v>19</v>
      </c>
      <c r="E313" t="s">
        <v>36</v>
      </c>
      <c r="F313" t="s">
        <v>21</v>
      </c>
      <c r="G313">
        <v>52</v>
      </c>
      <c r="H313" t="s">
        <v>44</v>
      </c>
      <c r="I313" t="s">
        <v>23</v>
      </c>
      <c r="J313" t="s">
        <v>67</v>
      </c>
      <c r="K313" t="s">
        <v>25</v>
      </c>
      <c r="L313">
        <v>4.0999999999999996</v>
      </c>
      <c r="M313" t="s">
        <v>26</v>
      </c>
      <c r="N313" t="s">
        <v>59</v>
      </c>
      <c r="O313" t="s">
        <v>76</v>
      </c>
      <c r="P313" t="s">
        <v>26</v>
      </c>
      <c r="Q313" t="s">
        <v>26</v>
      </c>
      <c r="R313">
        <v>19</v>
      </c>
      <c r="S313" t="s">
        <v>34</v>
      </c>
      <c r="T313" t="str">
        <f t="shared" si="8"/>
        <v>Month</v>
      </c>
      <c r="U313">
        <f>VLOOKUP(T313,[1]tablescore!$B$3:$C$8, 2,FALSE)</f>
        <v>12</v>
      </c>
      <c r="V313" t="str">
        <f t="shared" si="9"/>
        <v>Moderate</v>
      </c>
      <c r="W313" t="s">
        <v>88</v>
      </c>
    </row>
    <row r="314" spans="1:23" x14ac:dyDescent="0.25">
      <c r="A314">
        <v>313</v>
      </c>
      <c r="B314">
        <v>38</v>
      </c>
      <c r="C314" t="str" cm="1">
        <f t="array" ref="C314">_xlfn.IFS(
  AND(B314&gt;=18, B314&lt;=24), "18-24",
  AND(B314&gt;=25, B314&lt;=34), "25-34",
  AND(B314&gt;=35, B314&lt;=44), "35-44",
  AND(B314&gt;=45, B314&lt;=54), "45-54",
  B314&gt;=55, "55+"
)</f>
        <v>35-44</v>
      </c>
      <c r="D314" t="s">
        <v>19</v>
      </c>
      <c r="E314" t="s">
        <v>95</v>
      </c>
      <c r="F314" t="s">
        <v>21</v>
      </c>
      <c r="G314">
        <v>89</v>
      </c>
      <c r="H314" t="s">
        <v>37</v>
      </c>
      <c r="I314" t="s">
        <v>23</v>
      </c>
      <c r="J314" t="s">
        <v>96</v>
      </c>
      <c r="K314" t="s">
        <v>39</v>
      </c>
      <c r="L314">
        <v>3.4</v>
      </c>
      <c r="M314" t="s">
        <v>26</v>
      </c>
      <c r="N314" t="s">
        <v>34</v>
      </c>
      <c r="O314" t="s">
        <v>47</v>
      </c>
      <c r="P314" t="s">
        <v>26</v>
      </c>
      <c r="Q314" t="s">
        <v>26</v>
      </c>
      <c r="R314">
        <v>6</v>
      </c>
      <c r="S314" t="s">
        <v>46</v>
      </c>
      <c r="T314" t="str">
        <f t="shared" si="8"/>
        <v>Annually</v>
      </c>
      <c r="U314">
        <f>VLOOKUP(T314,[1]tablescore!$B$3:$C$8, 2,FALSE)</f>
        <v>1</v>
      </c>
      <c r="V314" t="str">
        <f t="shared" si="9"/>
        <v>Low Loyalty</v>
      </c>
      <c r="W314" t="s">
        <v>50</v>
      </c>
    </row>
    <row r="315" spans="1:23" x14ac:dyDescent="0.25">
      <c r="A315">
        <v>314</v>
      </c>
      <c r="B315">
        <v>42</v>
      </c>
      <c r="C315" t="str" cm="1">
        <f t="array" ref="C315">_xlfn.IFS(
  AND(B315&gt;=18, B315&lt;=24), "18-24",
  AND(B315&gt;=25, B315&lt;=34), "25-34",
  AND(B315&gt;=35, B315&lt;=44), "35-44",
  AND(B315&gt;=45, B315&lt;=54), "45-54",
  B315&gt;=55, "55+"
)</f>
        <v>35-44</v>
      </c>
      <c r="D315" t="s">
        <v>19</v>
      </c>
      <c r="E315" t="s">
        <v>82</v>
      </c>
      <c r="F315" t="s">
        <v>21</v>
      </c>
      <c r="G315">
        <v>77</v>
      </c>
      <c r="H315" t="s">
        <v>145</v>
      </c>
      <c r="I315" t="s">
        <v>45</v>
      </c>
      <c r="J315" t="s">
        <v>71</v>
      </c>
      <c r="K315" t="s">
        <v>39</v>
      </c>
      <c r="L315">
        <v>3.7</v>
      </c>
      <c r="M315" t="s">
        <v>26</v>
      </c>
      <c r="N315" t="s">
        <v>46</v>
      </c>
      <c r="O315" t="s">
        <v>28</v>
      </c>
      <c r="P315" t="s">
        <v>26</v>
      </c>
      <c r="Q315" t="s">
        <v>26</v>
      </c>
      <c r="R315">
        <v>50</v>
      </c>
      <c r="S315" t="s">
        <v>27</v>
      </c>
      <c r="T315" t="str">
        <f t="shared" si="8"/>
        <v>Quarterly</v>
      </c>
      <c r="U315">
        <f>VLOOKUP(T315,[1]tablescore!$B$3:$C$8, 2,FALSE)</f>
        <v>4</v>
      </c>
      <c r="V315" t="str">
        <f t="shared" si="9"/>
        <v>Low Loyalty</v>
      </c>
      <c r="W315" t="s">
        <v>97</v>
      </c>
    </row>
    <row r="316" spans="1:23" x14ac:dyDescent="0.25">
      <c r="A316">
        <v>315</v>
      </c>
      <c r="B316">
        <v>30</v>
      </c>
      <c r="C316" t="str" cm="1">
        <f t="array" ref="C316">_xlfn.IFS(
  AND(B316&gt;=18, B316&lt;=24), "18-24",
  AND(B316&gt;=25, B316&lt;=34), "25-34",
  AND(B316&gt;=35, B316&lt;=44), "35-44",
  AND(B316&gt;=45, B316&lt;=54), "45-54",
  B316&gt;=55, "55+"
)</f>
        <v>25-34</v>
      </c>
      <c r="D316" t="s">
        <v>19</v>
      </c>
      <c r="E316" t="s">
        <v>95</v>
      </c>
      <c r="F316" t="s">
        <v>21</v>
      </c>
      <c r="G316">
        <v>24</v>
      </c>
      <c r="H316" t="s">
        <v>137</v>
      </c>
      <c r="I316" t="s">
        <v>45</v>
      </c>
      <c r="J316" t="s">
        <v>75</v>
      </c>
      <c r="K316" t="s">
        <v>54</v>
      </c>
      <c r="L316">
        <v>3.3</v>
      </c>
      <c r="M316" t="s">
        <v>26</v>
      </c>
      <c r="N316" t="s">
        <v>46</v>
      </c>
      <c r="O316" t="s">
        <v>76</v>
      </c>
      <c r="P316" t="s">
        <v>26</v>
      </c>
      <c r="Q316" t="s">
        <v>26</v>
      </c>
      <c r="R316">
        <v>17</v>
      </c>
      <c r="S316" t="s">
        <v>59</v>
      </c>
      <c r="T316" t="str">
        <f t="shared" si="8"/>
        <v>Quarterly</v>
      </c>
      <c r="U316">
        <f>VLOOKUP(T316,[1]tablescore!$B$3:$C$8, 2,FALSE)</f>
        <v>4</v>
      </c>
      <c r="V316" t="str">
        <f t="shared" si="9"/>
        <v>Low Loyalty</v>
      </c>
      <c r="W316" t="s">
        <v>97</v>
      </c>
    </row>
    <row r="317" spans="1:23" x14ac:dyDescent="0.25">
      <c r="A317">
        <v>316</v>
      </c>
      <c r="B317">
        <v>66</v>
      </c>
      <c r="C317" t="str" cm="1">
        <f t="array" ref="C317">_xlfn.IFS(
  AND(B317&gt;=18, B317&lt;=24), "18-24",
  AND(B317&gt;=25, B317&lt;=34), "25-34",
  AND(B317&gt;=35, B317&lt;=44), "35-44",
  AND(B317&gt;=45, B317&lt;=54), "45-54",
  B317&gt;=55, "55+"
)</f>
        <v>55+</v>
      </c>
      <c r="D317" t="s">
        <v>19</v>
      </c>
      <c r="E317" t="s">
        <v>106</v>
      </c>
      <c r="F317" t="s">
        <v>69</v>
      </c>
      <c r="G317">
        <v>24</v>
      </c>
      <c r="H317" t="s">
        <v>148</v>
      </c>
      <c r="I317" t="s">
        <v>92</v>
      </c>
      <c r="J317" t="s">
        <v>121</v>
      </c>
      <c r="K317" t="s">
        <v>39</v>
      </c>
      <c r="L317">
        <v>4.5</v>
      </c>
      <c r="M317" t="s">
        <v>26</v>
      </c>
      <c r="N317" t="s">
        <v>29</v>
      </c>
      <c r="O317" t="s">
        <v>28</v>
      </c>
      <c r="P317" t="s">
        <v>26</v>
      </c>
      <c r="Q317" t="s">
        <v>26</v>
      </c>
      <c r="R317">
        <v>24</v>
      </c>
      <c r="S317" t="s">
        <v>59</v>
      </c>
      <c r="T317" t="str">
        <f t="shared" si="8"/>
        <v>Annually</v>
      </c>
      <c r="U317">
        <f>VLOOKUP(T317,[1]tablescore!$B$3:$C$8, 2,FALSE)</f>
        <v>1</v>
      </c>
      <c r="V317" t="str">
        <f t="shared" si="9"/>
        <v>Low Loyalty</v>
      </c>
      <c r="W317" t="s">
        <v>50</v>
      </c>
    </row>
    <row r="318" spans="1:23" x14ac:dyDescent="0.25">
      <c r="A318">
        <v>317</v>
      </c>
      <c r="B318">
        <v>36</v>
      </c>
      <c r="C318" t="str" cm="1">
        <f t="array" ref="C318">_xlfn.IFS(
  AND(B318&gt;=18, B318&lt;=24), "18-24",
  AND(B318&gt;=25, B318&lt;=34), "25-34",
  AND(B318&gt;=35, B318&lt;=44), "35-44",
  AND(B318&gt;=45, B318&lt;=54), "45-54",
  B318&gt;=55, "55+"
)</f>
        <v>35-44</v>
      </c>
      <c r="D318" t="s">
        <v>19</v>
      </c>
      <c r="E318" t="s">
        <v>68</v>
      </c>
      <c r="F318" t="s">
        <v>69</v>
      </c>
      <c r="G318">
        <v>22</v>
      </c>
      <c r="H318" t="s">
        <v>99</v>
      </c>
      <c r="I318" t="s">
        <v>45</v>
      </c>
      <c r="J318" t="s">
        <v>63</v>
      </c>
      <c r="K318" t="s">
        <v>58</v>
      </c>
      <c r="L318">
        <v>3.3</v>
      </c>
      <c r="M318" t="s">
        <v>26</v>
      </c>
      <c r="N318" t="s">
        <v>34</v>
      </c>
      <c r="O318" t="s">
        <v>40</v>
      </c>
      <c r="P318" t="s">
        <v>26</v>
      </c>
      <c r="Q318" t="s">
        <v>26</v>
      </c>
      <c r="R318">
        <v>46</v>
      </c>
      <c r="S318" t="s">
        <v>29</v>
      </c>
      <c r="T318" t="str">
        <f t="shared" si="8"/>
        <v>Month</v>
      </c>
      <c r="U318">
        <f>VLOOKUP(T318,[1]tablescore!$B$3:$C$8, 2,FALSE)</f>
        <v>12</v>
      </c>
      <c r="V318" t="str">
        <f t="shared" si="9"/>
        <v>Moderate</v>
      </c>
      <c r="W318" t="s">
        <v>88</v>
      </c>
    </row>
    <row r="319" spans="1:23" x14ac:dyDescent="0.25">
      <c r="A319">
        <v>318</v>
      </c>
      <c r="B319">
        <v>58</v>
      </c>
      <c r="C319" t="str" cm="1">
        <f t="array" ref="C319">_xlfn.IFS(
  AND(B319&gt;=18, B319&lt;=24), "18-24",
  AND(B319&gt;=25, B319&lt;=34), "25-34",
  AND(B319&gt;=35, B319&lt;=44), "35-44",
  AND(B319&gt;=45, B319&lt;=54), "45-54",
  B319&gt;=55, "55+"
)</f>
        <v>55+</v>
      </c>
      <c r="D319" t="s">
        <v>19</v>
      </c>
      <c r="E319" t="s">
        <v>31</v>
      </c>
      <c r="F319" t="s">
        <v>21</v>
      </c>
      <c r="G319">
        <v>82</v>
      </c>
      <c r="H319" t="s">
        <v>66</v>
      </c>
      <c r="I319" t="s">
        <v>23</v>
      </c>
      <c r="J319" t="s">
        <v>86</v>
      </c>
      <c r="K319" t="s">
        <v>58</v>
      </c>
      <c r="L319">
        <v>4.3</v>
      </c>
      <c r="M319" t="s">
        <v>26</v>
      </c>
      <c r="N319" t="s">
        <v>34</v>
      </c>
      <c r="O319" t="s">
        <v>55</v>
      </c>
      <c r="P319" t="s">
        <v>26</v>
      </c>
      <c r="Q319" t="s">
        <v>26</v>
      </c>
      <c r="R319">
        <v>42</v>
      </c>
      <c r="S319" t="s">
        <v>35</v>
      </c>
      <c r="T319" t="str">
        <f t="shared" si="8"/>
        <v>Quarterly</v>
      </c>
      <c r="U319">
        <f>VLOOKUP(T319,[1]tablescore!$B$3:$C$8, 2,FALSE)</f>
        <v>4</v>
      </c>
      <c r="V319" t="str">
        <f t="shared" si="9"/>
        <v>Low Loyalty</v>
      </c>
      <c r="W319" t="s">
        <v>97</v>
      </c>
    </row>
    <row r="320" spans="1:23" x14ac:dyDescent="0.25">
      <c r="A320">
        <v>319</v>
      </c>
      <c r="B320">
        <v>45</v>
      </c>
      <c r="C320" t="str" cm="1">
        <f t="array" ref="C320">_xlfn.IFS(
  AND(B320&gt;=18, B320&lt;=24), "18-24",
  AND(B320&gt;=25, B320&lt;=34), "25-34",
  AND(B320&gt;=35, B320&lt;=44), "35-44",
  AND(B320&gt;=45, B320&lt;=54), "45-54",
  B320&gt;=55, "55+"
)</f>
        <v>45-54</v>
      </c>
      <c r="D320" t="s">
        <v>19</v>
      </c>
      <c r="E320" t="s">
        <v>133</v>
      </c>
      <c r="F320" t="s">
        <v>69</v>
      </c>
      <c r="G320">
        <v>67</v>
      </c>
      <c r="H320" t="s">
        <v>130</v>
      </c>
      <c r="I320" t="s">
        <v>45</v>
      </c>
      <c r="J320" t="s">
        <v>118</v>
      </c>
      <c r="K320" t="s">
        <v>25</v>
      </c>
      <c r="L320">
        <v>2.5</v>
      </c>
      <c r="M320" t="s">
        <v>26</v>
      </c>
      <c r="N320" t="s">
        <v>46</v>
      </c>
      <c r="O320" t="s">
        <v>55</v>
      </c>
      <c r="P320" t="s">
        <v>26</v>
      </c>
      <c r="Q320" t="s">
        <v>26</v>
      </c>
      <c r="R320">
        <v>10</v>
      </c>
      <c r="S320" t="s">
        <v>35</v>
      </c>
      <c r="T320" t="str">
        <f t="shared" si="8"/>
        <v>Annually</v>
      </c>
      <c r="U320">
        <f>VLOOKUP(T320,[1]tablescore!$B$3:$C$8, 2,FALSE)</f>
        <v>1</v>
      </c>
      <c r="V320" t="str">
        <f t="shared" si="9"/>
        <v>Low Loyalty</v>
      </c>
      <c r="W320" t="s">
        <v>50</v>
      </c>
    </row>
    <row r="321" spans="1:23" x14ac:dyDescent="0.25">
      <c r="A321">
        <v>320</v>
      </c>
      <c r="B321">
        <v>47</v>
      </c>
      <c r="C321" t="str" cm="1">
        <f t="array" ref="C321">_xlfn.IFS(
  AND(B321&gt;=18, B321&lt;=24), "18-24",
  AND(B321&gt;=25, B321&lt;=34), "25-34",
  AND(B321&gt;=35, B321&lt;=44), "35-44",
  AND(B321&gt;=45, B321&lt;=54), "45-54",
  B321&gt;=55, "55+"
)</f>
        <v>45-54</v>
      </c>
      <c r="D321" t="s">
        <v>19</v>
      </c>
      <c r="E321" t="s">
        <v>61</v>
      </c>
      <c r="F321" t="s">
        <v>21</v>
      </c>
      <c r="G321">
        <v>74</v>
      </c>
      <c r="H321" t="s">
        <v>32</v>
      </c>
      <c r="I321" t="s">
        <v>92</v>
      </c>
      <c r="J321" t="s">
        <v>53</v>
      </c>
      <c r="K321" t="s">
        <v>39</v>
      </c>
      <c r="L321">
        <v>2.6</v>
      </c>
      <c r="M321" t="s">
        <v>26</v>
      </c>
      <c r="N321" t="s">
        <v>29</v>
      </c>
      <c r="O321" t="s">
        <v>55</v>
      </c>
      <c r="P321" t="s">
        <v>26</v>
      </c>
      <c r="Q321" t="s">
        <v>26</v>
      </c>
      <c r="R321">
        <v>1</v>
      </c>
      <c r="S321" t="s">
        <v>35</v>
      </c>
      <c r="T321" t="str">
        <f t="shared" si="8"/>
        <v>Quarterly</v>
      </c>
      <c r="U321">
        <f>VLOOKUP(T321,[1]tablescore!$B$3:$C$8, 2,FALSE)</f>
        <v>4</v>
      </c>
      <c r="V321" t="str">
        <f t="shared" si="9"/>
        <v>Low Loyalty</v>
      </c>
      <c r="W321" t="s">
        <v>97</v>
      </c>
    </row>
    <row r="322" spans="1:23" x14ac:dyDescent="0.25">
      <c r="A322">
        <v>321</v>
      </c>
      <c r="B322">
        <v>66</v>
      </c>
      <c r="C322" t="str" cm="1">
        <f t="array" ref="C322">_xlfn.IFS(
  AND(B322&gt;=18, B322&lt;=24), "18-24",
  AND(B322&gt;=25, B322&lt;=34), "25-34",
  AND(B322&gt;=35, B322&lt;=44), "35-44",
  AND(B322&gt;=45, B322&lt;=54), "45-54",
  B322&gt;=55, "55+"
)</f>
        <v>55+</v>
      </c>
      <c r="D322" t="s">
        <v>19</v>
      </c>
      <c r="E322" t="s">
        <v>106</v>
      </c>
      <c r="F322" t="s">
        <v>69</v>
      </c>
      <c r="G322">
        <v>72</v>
      </c>
      <c r="H322" t="s">
        <v>111</v>
      </c>
      <c r="I322" t="s">
        <v>23</v>
      </c>
      <c r="J322" t="s">
        <v>53</v>
      </c>
      <c r="K322" t="s">
        <v>54</v>
      </c>
      <c r="L322">
        <v>4.9000000000000004</v>
      </c>
      <c r="M322" t="s">
        <v>26</v>
      </c>
      <c r="N322" t="s">
        <v>46</v>
      </c>
      <c r="O322" t="s">
        <v>55</v>
      </c>
      <c r="P322" t="s">
        <v>26</v>
      </c>
      <c r="Q322" t="s">
        <v>26</v>
      </c>
      <c r="R322">
        <v>28</v>
      </c>
      <c r="S322" t="s">
        <v>59</v>
      </c>
      <c r="T322" t="str">
        <f t="shared" si="8"/>
        <v>Quarterly</v>
      </c>
      <c r="U322">
        <f>VLOOKUP(T322,[1]tablescore!$B$3:$C$8, 2,FALSE)</f>
        <v>4</v>
      </c>
      <c r="V322" t="str">
        <f t="shared" si="9"/>
        <v>Low Loyalty</v>
      </c>
      <c r="W322" t="s">
        <v>60</v>
      </c>
    </row>
    <row r="323" spans="1:23" x14ac:dyDescent="0.25">
      <c r="A323">
        <v>322</v>
      </c>
      <c r="B323">
        <v>41</v>
      </c>
      <c r="C323" t="str" cm="1">
        <f t="array" ref="C323">_xlfn.IFS(
  AND(B323&gt;=18, B323&lt;=24), "18-24",
  AND(B323&gt;=25, B323&lt;=34), "25-34",
  AND(B323&gt;=35, B323&lt;=44), "35-44",
  AND(B323&gt;=45, B323&lt;=54), "45-54",
  B323&gt;=55, "55+"
)</f>
        <v>35-44</v>
      </c>
      <c r="D323" t="s">
        <v>19</v>
      </c>
      <c r="E323" t="s">
        <v>51</v>
      </c>
      <c r="F323" t="s">
        <v>43</v>
      </c>
      <c r="G323">
        <v>36</v>
      </c>
      <c r="H323" t="s">
        <v>145</v>
      </c>
      <c r="I323" t="s">
        <v>23</v>
      </c>
      <c r="J323" t="s">
        <v>121</v>
      </c>
      <c r="K323" t="s">
        <v>54</v>
      </c>
      <c r="L323">
        <v>4.7</v>
      </c>
      <c r="M323" t="s">
        <v>26</v>
      </c>
      <c r="N323" t="s">
        <v>27</v>
      </c>
      <c r="O323" t="s">
        <v>40</v>
      </c>
      <c r="P323" t="s">
        <v>26</v>
      </c>
      <c r="Q323" t="s">
        <v>26</v>
      </c>
      <c r="R323">
        <v>48</v>
      </c>
      <c r="S323" t="s">
        <v>59</v>
      </c>
      <c r="T323" t="str">
        <f t="shared" ref="T323:T386" si="10">IF(TRIM(W323)="Every 3 months","Quarterly",IF(TRIM(W323)="Fortnightly","2-week",IF(TRIM(W323)="Bi-Weekly","2-week",IF(TRIM(W323)="Weekly","Daily",IF(TRIM(W323)="Monthly","Month",TRIM(W323))))))</f>
        <v>Quarterly</v>
      </c>
      <c r="U323">
        <f>VLOOKUP(T323,[1]tablescore!$B$3:$C$8, 2,FALSE)</f>
        <v>4</v>
      </c>
      <c r="V323" t="str">
        <f t="shared" ref="V323:V386" si="11">_xlfn.IFS(U323&gt;=30, "Highly Loyal", U323&gt;=26, "Loyal", U323&gt;=12, "Moderate", U323&lt;5, "Low Loyalty")</f>
        <v>Low Loyalty</v>
      </c>
      <c r="W323" t="s">
        <v>60</v>
      </c>
    </row>
    <row r="324" spans="1:23" x14ac:dyDescent="0.25">
      <c r="A324">
        <v>323</v>
      </c>
      <c r="B324">
        <v>41</v>
      </c>
      <c r="C324" t="str" cm="1">
        <f t="array" ref="C324">_xlfn.IFS(
  AND(B324&gt;=18, B324&lt;=24), "18-24",
  AND(B324&gt;=25, B324&lt;=34), "25-34",
  AND(B324&gt;=35, B324&lt;=44), "35-44",
  AND(B324&gt;=45, B324&lt;=54), "45-54",
  B324&gt;=55, "55+"
)</f>
        <v>35-44</v>
      </c>
      <c r="D324" t="s">
        <v>19</v>
      </c>
      <c r="E324" t="s">
        <v>136</v>
      </c>
      <c r="F324" t="s">
        <v>69</v>
      </c>
      <c r="G324">
        <v>95</v>
      </c>
      <c r="H324" t="s">
        <v>122</v>
      </c>
      <c r="I324" t="s">
        <v>38</v>
      </c>
      <c r="J324" t="s">
        <v>109</v>
      </c>
      <c r="K324" t="s">
        <v>25</v>
      </c>
      <c r="L324">
        <v>3</v>
      </c>
      <c r="M324" t="s">
        <v>26</v>
      </c>
      <c r="N324" t="s">
        <v>27</v>
      </c>
      <c r="O324" t="s">
        <v>55</v>
      </c>
      <c r="P324" t="s">
        <v>26</v>
      </c>
      <c r="Q324" t="s">
        <v>26</v>
      </c>
      <c r="R324">
        <v>47</v>
      </c>
      <c r="S324" t="s">
        <v>27</v>
      </c>
      <c r="T324" t="str">
        <f t="shared" si="10"/>
        <v>Month</v>
      </c>
      <c r="U324">
        <f>VLOOKUP(T324,[1]tablescore!$B$3:$C$8, 2,FALSE)</f>
        <v>12</v>
      </c>
      <c r="V324" t="str">
        <f t="shared" si="11"/>
        <v>Moderate</v>
      </c>
      <c r="W324" t="s">
        <v>88</v>
      </c>
    </row>
    <row r="325" spans="1:23" x14ac:dyDescent="0.25">
      <c r="A325">
        <v>324</v>
      </c>
      <c r="B325">
        <v>66</v>
      </c>
      <c r="C325" t="str" cm="1">
        <f t="array" ref="C325">_xlfn.IFS(
  AND(B325&gt;=18, B325&lt;=24), "18-24",
  AND(B325&gt;=25, B325&lt;=34), "25-34",
  AND(B325&gt;=35, B325&lt;=44), "35-44",
  AND(B325&gt;=45, B325&lt;=54), "45-54",
  B325&gt;=55, "55+"
)</f>
        <v>55+</v>
      </c>
      <c r="D325" t="s">
        <v>19</v>
      </c>
      <c r="E325" t="s">
        <v>104</v>
      </c>
      <c r="F325" t="s">
        <v>21</v>
      </c>
      <c r="G325">
        <v>78</v>
      </c>
      <c r="H325" t="s">
        <v>122</v>
      </c>
      <c r="I325" t="s">
        <v>45</v>
      </c>
      <c r="J325" t="s">
        <v>121</v>
      </c>
      <c r="K325" t="s">
        <v>25</v>
      </c>
      <c r="L325">
        <v>3.5</v>
      </c>
      <c r="M325" t="s">
        <v>26</v>
      </c>
      <c r="N325" t="s">
        <v>29</v>
      </c>
      <c r="O325" t="s">
        <v>47</v>
      </c>
      <c r="P325" t="s">
        <v>26</v>
      </c>
      <c r="Q325" t="s">
        <v>26</v>
      </c>
      <c r="R325">
        <v>29</v>
      </c>
      <c r="S325" t="s">
        <v>46</v>
      </c>
      <c r="T325" t="str">
        <f t="shared" si="10"/>
        <v>2-week</v>
      </c>
      <c r="U325">
        <f>VLOOKUP(T325,[1]tablescore!$B$3:$C$8, 2,FALSE)</f>
        <v>26</v>
      </c>
      <c r="V325" t="str">
        <f t="shared" si="11"/>
        <v>Loyal</v>
      </c>
      <c r="W325" t="s">
        <v>77</v>
      </c>
    </row>
    <row r="326" spans="1:23" x14ac:dyDescent="0.25">
      <c r="A326">
        <v>325</v>
      </c>
      <c r="B326">
        <v>37</v>
      </c>
      <c r="C326" t="str" cm="1">
        <f t="array" ref="C326">_xlfn.IFS(
  AND(B326&gt;=18, B326&lt;=24), "18-24",
  AND(B326&gt;=25, B326&lt;=34), "25-34",
  AND(B326&gt;=35, B326&lt;=44), "35-44",
  AND(B326&gt;=45, B326&lt;=54), "45-54",
  B326&gt;=55, "55+"
)</f>
        <v>35-44</v>
      </c>
      <c r="D326" t="s">
        <v>19</v>
      </c>
      <c r="E326" t="s">
        <v>56</v>
      </c>
      <c r="F326" t="s">
        <v>21</v>
      </c>
      <c r="G326">
        <v>82</v>
      </c>
      <c r="H326" t="s">
        <v>52</v>
      </c>
      <c r="I326" t="s">
        <v>45</v>
      </c>
      <c r="J326" t="s">
        <v>79</v>
      </c>
      <c r="K326" t="s">
        <v>54</v>
      </c>
      <c r="L326">
        <v>4.8</v>
      </c>
      <c r="M326" t="s">
        <v>26</v>
      </c>
      <c r="N326" t="s">
        <v>27</v>
      </c>
      <c r="O326" t="s">
        <v>55</v>
      </c>
      <c r="P326" t="s">
        <v>26</v>
      </c>
      <c r="Q326" t="s">
        <v>26</v>
      </c>
      <c r="R326">
        <v>37</v>
      </c>
      <c r="S326" t="s">
        <v>29</v>
      </c>
      <c r="T326" t="str">
        <f t="shared" si="10"/>
        <v>Quarterly</v>
      </c>
      <c r="U326">
        <f>VLOOKUP(T326,[1]tablescore!$B$3:$C$8, 2,FALSE)</f>
        <v>4</v>
      </c>
      <c r="V326" t="str">
        <f t="shared" si="11"/>
        <v>Low Loyalty</v>
      </c>
      <c r="W326" t="s">
        <v>60</v>
      </c>
    </row>
    <row r="327" spans="1:23" x14ac:dyDescent="0.25">
      <c r="A327">
        <v>326</v>
      </c>
      <c r="B327">
        <v>70</v>
      </c>
      <c r="C327" t="str" cm="1">
        <f t="array" ref="C327">_xlfn.IFS(
  AND(B327&gt;=18, B327&lt;=24), "18-24",
  AND(B327&gt;=25, B327&lt;=34), "25-34",
  AND(B327&gt;=35, B327&lt;=44), "35-44",
  AND(B327&gt;=45, B327&lt;=54), "45-54",
  B327&gt;=55, "55+"
)</f>
        <v>55+</v>
      </c>
      <c r="D327" t="s">
        <v>19</v>
      </c>
      <c r="E327" t="s">
        <v>95</v>
      </c>
      <c r="F327" t="s">
        <v>21</v>
      </c>
      <c r="G327">
        <v>70</v>
      </c>
      <c r="H327" t="s">
        <v>145</v>
      </c>
      <c r="I327" t="s">
        <v>45</v>
      </c>
      <c r="J327" t="s">
        <v>63</v>
      </c>
      <c r="K327" t="s">
        <v>25</v>
      </c>
      <c r="L327">
        <v>4.3</v>
      </c>
      <c r="M327" t="s">
        <v>26</v>
      </c>
      <c r="N327" t="s">
        <v>59</v>
      </c>
      <c r="O327" t="s">
        <v>40</v>
      </c>
      <c r="P327" t="s">
        <v>26</v>
      </c>
      <c r="Q327" t="s">
        <v>26</v>
      </c>
      <c r="R327">
        <v>38</v>
      </c>
      <c r="S327" t="s">
        <v>59</v>
      </c>
      <c r="T327" t="str">
        <f t="shared" si="10"/>
        <v>Annually</v>
      </c>
      <c r="U327">
        <f>VLOOKUP(T327,[1]tablescore!$B$3:$C$8, 2,FALSE)</f>
        <v>1</v>
      </c>
      <c r="V327" t="str">
        <f t="shared" si="11"/>
        <v>Low Loyalty</v>
      </c>
      <c r="W327" t="s">
        <v>50</v>
      </c>
    </row>
    <row r="328" spans="1:23" x14ac:dyDescent="0.25">
      <c r="A328">
        <v>327</v>
      </c>
      <c r="B328">
        <v>62</v>
      </c>
      <c r="C328" t="str" cm="1">
        <f t="array" ref="C328">_xlfn.IFS(
  AND(B328&gt;=18, B328&lt;=24), "18-24",
  AND(B328&gt;=25, B328&lt;=34), "25-34",
  AND(B328&gt;=35, B328&lt;=44), "35-44",
  AND(B328&gt;=45, B328&lt;=54), "45-54",
  B328&gt;=55, "55+"
)</f>
        <v>55+</v>
      </c>
      <c r="D328" t="s">
        <v>19</v>
      </c>
      <c r="E328" t="s">
        <v>119</v>
      </c>
      <c r="F328" t="s">
        <v>69</v>
      </c>
      <c r="G328">
        <v>41</v>
      </c>
      <c r="H328" t="s">
        <v>137</v>
      </c>
      <c r="I328" t="s">
        <v>45</v>
      </c>
      <c r="J328" t="s">
        <v>53</v>
      </c>
      <c r="K328" t="s">
        <v>58</v>
      </c>
      <c r="L328">
        <v>3.2</v>
      </c>
      <c r="M328" t="s">
        <v>26</v>
      </c>
      <c r="N328" t="s">
        <v>35</v>
      </c>
      <c r="O328" t="s">
        <v>76</v>
      </c>
      <c r="P328" t="s">
        <v>26</v>
      </c>
      <c r="Q328" t="s">
        <v>26</v>
      </c>
      <c r="R328">
        <v>48</v>
      </c>
      <c r="S328" t="s">
        <v>34</v>
      </c>
      <c r="T328" t="str">
        <f t="shared" si="10"/>
        <v>Daily</v>
      </c>
      <c r="U328">
        <f>VLOOKUP(T328,[1]tablescore!$B$3:$C$8, 2,FALSE)</f>
        <v>30</v>
      </c>
      <c r="V328" t="str">
        <f t="shared" si="11"/>
        <v>Highly Loyal</v>
      </c>
      <c r="W328" t="s">
        <v>41</v>
      </c>
    </row>
    <row r="329" spans="1:23" x14ac:dyDescent="0.25">
      <c r="A329">
        <v>328</v>
      </c>
      <c r="B329">
        <v>61</v>
      </c>
      <c r="C329" t="str" cm="1">
        <f t="array" ref="C329">_xlfn.IFS(
  AND(B329&gt;=18, B329&lt;=24), "18-24",
  AND(B329&gt;=25, B329&lt;=34), "25-34",
  AND(B329&gt;=35, B329&lt;=44), "35-44",
  AND(B329&gt;=45, B329&lt;=54), "45-54",
  B329&gt;=55, "55+"
)</f>
        <v>55+</v>
      </c>
      <c r="D329" t="s">
        <v>19</v>
      </c>
      <c r="E329" t="s">
        <v>64</v>
      </c>
      <c r="F329" t="s">
        <v>65</v>
      </c>
      <c r="G329">
        <v>42</v>
      </c>
      <c r="H329" t="s">
        <v>150</v>
      </c>
      <c r="I329" t="s">
        <v>45</v>
      </c>
      <c r="J329" t="s">
        <v>86</v>
      </c>
      <c r="K329" t="s">
        <v>54</v>
      </c>
      <c r="L329">
        <v>3.1</v>
      </c>
      <c r="M329" t="s">
        <v>26</v>
      </c>
      <c r="N329" t="s">
        <v>46</v>
      </c>
      <c r="O329" t="s">
        <v>40</v>
      </c>
      <c r="P329" t="s">
        <v>26</v>
      </c>
      <c r="Q329" t="s">
        <v>26</v>
      </c>
      <c r="R329">
        <v>36</v>
      </c>
      <c r="S329" t="s">
        <v>46</v>
      </c>
      <c r="T329" t="str">
        <f t="shared" si="10"/>
        <v>Daily</v>
      </c>
      <c r="U329">
        <f>VLOOKUP(T329,[1]tablescore!$B$3:$C$8, 2,FALSE)</f>
        <v>30</v>
      </c>
      <c r="V329" t="str">
        <f t="shared" si="11"/>
        <v>Highly Loyal</v>
      </c>
      <c r="W329" t="s">
        <v>41</v>
      </c>
    </row>
    <row r="330" spans="1:23" x14ac:dyDescent="0.25">
      <c r="A330">
        <v>329</v>
      </c>
      <c r="B330">
        <v>48</v>
      </c>
      <c r="C330" t="str" cm="1">
        <f t="array" ref="C330">_xlfn.IFS(
  AND(B330&gt;=18, B330&lt;=24), "18-24",
  AND(B330&gt;=25, B330&lt;=34), "25-34",
  AND(B330&gt;=35, B330&lt;=44), "35-44",
  AND(B330&gt;=45, B330&lt;=54), "45-54",
  B330&gt;=55, "55+"
)</f>
        <v>45-54</v>
      </c>
      <c r="D330" t="s">
        <v>19</v>
      </c>
      <c r="E330" t="s">
        <v>64</v>
      </c>
      <c r="F330" t="s">
        <v>65</v>
      </c>
      <c r="G330">
        <v>50</v>
      </c>
      <c r="H330" t="s">
        <v>103</v>
      </c>
      <c r="I330" t="s">
        <v>45</v>
      </c>
      <c r="J330" t="s">
        <v>139</v>
      </c>
      <c r="K330" t="s">
        <v>58</v>
      </c>
      <c r="L330">
        <v>2.8</v>
      </c>
      <c r="M330" t="s">
        <v>26</v>
      </c>
      <c r="N330" t="s">
        <v>59</v>
      </c>
      <c r="O330" t="s">
        <v>40</v>
      </c>
      <c r="P330" t="s">
        <v>26</v>
      </c>
      <c r="Q330" t="s">
        <v>26</v>
      </c>
      <c r="R330">
        <v>9</v>
      </c>
      <c r="S330" t="s">
        <v>27</v>
      </c>
      <c r="T330" t="str">
        <f t="shared" si="10"/>
        <v>Daily</v>
      </c>
      <c r="U330">
        <f>VLOOKUP(T330,[1]tablescore!$B$3:$C$8, 2,FALSE)</f>
        <v>30</v>
      </c>
      <c r="V330" t="str">
        <f t="shared" si="11"/>
        <v>Highly Loyal</v>
      </c>
      <c r="W330" t="s">
        <v>41</v>
      </c>
    </row>
    <row r="331" spans="1:23" x14ac:dyDescent="0.25">
      <c r="A331">
        <v>330</v>
      </c>
      <c r="B331">
        <v>70</v>
      </c>
      <c r="C331" t="str" cm="1">
        <f t="array" ref="C331">_xlfn.IFS(
  AND(B331&gt;=18, B331&lt;=24), "18-24",
  AND(B331&gt;=25, B331&lt;=34), "25-34",
  AND(B331&gt;=35, B331&lt;=44), "35-44",
  AND(B331&gt;=45, B331&lt;=54), "45-54",
  B331&gt;=55, "55+"
)</f>
        <v>55+</v>
      </c>
      <c r="D331" t="s">
        <v>19</v>
      </c>
      <c r="E331" t="s">
        <v>131</v>
      </c>
      <c r="F331" t="s">
        <v>21</v>
      </c>
      <c r="G331">
        <v>31</v>
      </c>
      <c r="H331" t="s">
        <v>107</v>
      </c>
      <c r="I331" t="s">
        <v>38</v>
      </c>
      <c r="J331" t="s">
        <v>53</v>
      </c>
      <c r="K331" t="s">
        <v>54</v>
      </c>
      <c r="L331">
        <v>2.9</v>
      </c>
      <c r="M331" t="s">
        <v>26</v>
      </c>
      <c r="N331" t="s">
        <v>59</v>
      </c>
      <c r="O331" t="s">
        <v>72</v>
      </c>
      <c r="P331" t="s">
        <v>26</v>
      </c>
      <c r="Q331" t="s">
        <v>26</v>
      </c>
      <c r="R331">
        <v>34</v>
      </c>
      <c r="S331" t="s">
        <v>34</v>
      </c>
      <c r="T331" t="str">
        <f t="shared" si="10"/>
        <v>Month</v>
      </c>
      <c r="U331">
        <f>VLOOKUP(T331,[1]tablescore!$B$3:$C$8, 2,FALSE)</f>
        <v>12</v>
      </c>
      <c r="V331" t="str">
        <f t="shared" si="11"/>
        <v>Moderate</v>
      </c>
      <c r="W331" t="s">
        <v>88</v>
      </c>
    </row>
    <row r="332" spans="1:23" x14ac:dyDescent="0.25">
      <c r="A332">
        <v>331</v>
      </c>
      <c r="B332">
        <v>46</v>
      </c>
      <c r="C332" t="str" cm="1">
        <f t="array" ref="C332">_xlfn.IFS(
  AND(B332&gt;=18, B332&lt;=24), "18-24",
  AND(B332&gt;=25, B332&lt;=34), "25-34",
  AND(B332&gt;=35, B332&lt;=44), "35-44",
  AND(B332&gt;=45, B332&lt;=54), "45-54",
  B332&gt;=55, "55+"
)</f>
        <v>45-54</v>
      </c>
      <c r="D332" t="s">
        <v>19</v>
      </c>
      <c r="E332" t="s">
        <v>31</v>
      </c>
      <c r="F332" t="s">
        <v>21</v>
      </c>
      <c r="G332">
        <v>51</v>
      </c>
      <c r="H332" t="s">
        <v>114</v>
      </c>
      <c r="I332" t="s">
        <v>45</v>
      </c>
      <c r="J332" t="s">
        <v>118</v>
      </c>
      <c r="K332" t="s">
        <v>25</v>
      </c>
      <c r="L332">
        <v>3.7</v>
      </c>
      <c r="M332" t="s">
        <v>26</v>
      </c>
      <c r="N332" t="s">
        <v>34</v>
      </c>
      <c r="O332" t="s">
        <v>28</v>
      </c>
      <c r="P332" t="s">
        <v>26</v>
      </c>
      <c r="Q332" t="s">
        <v>26</v>
      </c>
      <c r="R332">
        <v>43</v>
      </c>
      <c r="S332" t="s">
        <v>29</v>
      </c>
      <c r="T332" t="str">
        <f t="shared" si="10"/>
        <v>2-week</v>
      </c>
      <c r="U332">
        <f>VLOOKUP(T332,[1]tablescore!$B$3:$C$8, 2,FALSE)</f>
        <v>26</v>
      </c>
      <c r="V332" t="str">
        <f t="shared" si="11"/>
        <v>Loyal</v>
      </c>
      <c r="W332" t="s">
        <v>77</v>
      </c>
    </row>
    <row r="333" spans="1:23" x14ac:dyDescent="0.25">
      <c r="A333">
        <v>332</v>
      </c>
      <c r="B333">
        <v>31</v>
      </c>
      <c r="C333" t="str" cm="1">
        <f t="array" ref="C333">_xlfn.IFS(
  AND(B333&gt;=18, B333&lt;=24), "18-24",
  AND(B333&gt;=25, B333&lt;=34), "25-34",
  AND(B333&gt;=35, B333&lt;=44), "35-44",
  AND(B333&gt;=45, B333&lt;=54), "45-54",
  B333&gt;=55, "55+"
)</f>
        <v>25-34</v>
      </c>
      <c r="D333" t="s">
        <v>19</v>
      </c>
      <c r="E333" t="s">
        <v>56</v>
      </c>
      <c r="F333" t="s">
        <v>21</v>
      </c>
      <c r="G333">
        <v>98</v>
      </c>
      <c r="H333" t="s">
        <v>103</v>
      </c>
      <c r="I333" t="s">
        <v>23</v>
      </c>
      <c r="J333" t="s">
        <v>118</v>
      </c>
      <c r="K333" t="s">
        <v>58</v>
      </c>
      <c r="L333">
        <v>3.3</v>
      </c>
      <c r="M333" t="s">
        <v>26</v>
      </c>
      <c r="N333" t="s">
        <v>27</v>
      </c>
      <c r="O333" t="s">
        <v>76</v>
      </c>
      <c r="P333" t="s">
        <v>26</v>
      </c>
      <c r="Q333" t="s">
        <v>26</v>
      </c>
      <c r="R333">
        <v>46</v>
      </c>
      <c r="S333" t="s">
        <v>46</v>
      </c>
      <c r="T333" t="str">
        <f t="shared" si="10"/>
        <v>Quarterly</v>
      </c>
      <c r="U333">
        <f>VLOOKUP(T333,[1]tablescore!$B$3:$C$8, 2,FALSE)</f>
        <v>4</v>
      </c>
      <c r="V333" t="str">
        <f t="shared" si="11"/>
        <v>Low Loyalty</v>
      </c>
      <c r="W333" t="s">
        <v>60</v>
      </c>
    </row>
    <row r="334" spans="1:23" x14ac:dyDescent="0.25">
      <c r="A334">
        <v>333</v>
      </c>
      <c r="B334">
        <v>19</v>
      </c>
      <c r="C334" t="str" cm="1">
        <f t="array" ref="C334">_xlfn.IFS(
  AND(B334&gt;=18, B334&lt;=24), "18-24",
  AND(B334&gt;=25, B334&lt;=34), "25-34",
  AND(B334&gt;=35, B334&lt;=44), "35-44",
  AND(B334&gt;=45, B334&lt;=54), "45-54",
  B334&gt;=55, "55+"
)</f>
        <v>18-24</v>
      </c>
      <c r="D334" t="s">
        <v>19</v>
      </c>
      <c r="E334" t="s">
        <v>56</v>
      </c>
      <c r="F334" t="s">
        <v>21</v>
      </c>
      <c r="G334">
        <v>86</v>
      </c>
      <c r="H334" t="s">
        <v>85</v>
      </c>
      <c r="I334" t="s">
        <v>45</v>
      </c>
      <c r="J334" t="s">
        <v>33</v>
      </c>
      <c r="K334" t="s">
        <v>25</v>
      </c>
      <c r="L334">
        <v>2.8</v>
      </c>
      <c r="M334" t="s">
        <v>26</v>
      </c>
      <c r="N334" t="s">
        <v>35</v>
      </c>
      <c r="O334" t="s">
        <v>72</v>
      </c>
      <c r="P334" t="s">
        <v>26</v>
      </c>
      <c r="Q334" t="s">
        <v>26</v>
      </c>
      <c r="R334">
        <v>5</v>
      </c>
      <c r="S334" t="s">
        <v>27</v>
      </c>
      <c r="T334" t="str">
        <f t="shared" si="10"/>
        <v>Month</v>
      </c>
      <c r="U334">
        <f>VLOOKUP(T334,[1]tablescore!$B$3:$C$8, 2,FALSE)</f>
        <v>12</v>
      </c>
      <c r="V334" t="str">
        <f t="shared" si="11"/>
        <v>Moderate</v>
      </c>
      <c r="W334" t="s">
        <v>88</v>
      </c>
    </row>
    <row r="335" spans="1:23" x14ac:dyDescent="0.25">
      <c r="A335">
        <v>334</v>
      </c>
      <c r="B335">
        <v>39</v>
      </c>
      <c r="C335" t="str" cm="1">
        <f t="array" ref="C335">_xlfn.IFS(
  AND(B335&gt;=18, B335&lt;=24), "18-24",
  AND(B335&gt;=25, B335&lt;=34), "25-34",
  AND(B335&gt;=35, B335&lt;=44), "35-44",
  AND(B335&gt;=45, B335&lt;=54), "45-54",
  B335&gt;=55, "55+"
)</f>
        <v>35-44</v>
      </c>
      <c r="D335" t="s">
        <v>19</v>
      </c>
      <c r="E335" t="s">
        <v>31</v>
      </c>
      <c r="F335" t="s">
        <v>21</v>
      </c>
      <c r="G335">
        <v>64</v>
      </c>
      <c r="H335" t="s">
        <v>120</v>
      </c>
      <c r="I335" t="s">
        <v>45</v>
      </c>
      <c r="J335" t="s">
        <v>86</v>
      </c>
      <c r="K335" t="s">
        <v>25</v>
      </c>
      <c r="L335">
        <v>4.5</v>
      </c>
      <c r="M335" t="s">
        <v>26</v>
      </c>
      <c r="N335" t="s">
        <v>35</v>
      </c>
      <c r="O335" t="s">
        <v>55</v>
      </c>
      <c r="P335" t="s">
        <v>26</v>
      </c>
      <c r="Q335" t="s">
        <v>26</v>
      </c>
      <c r="R335">
        <v>15</v>
      </c>
      <c r="S335" t="s">
        <v>34</v>
      </c>
      <c r="T335" t="str">
        <f t="shared" si="10"/>
        <v>2-week</v>
      </c>
      <c r="U335">
        <f>VLOOKUP(T335,[1]tablescore!$B$3:$C$8, 2,FALSE)</f>
        <v>26</v>
      </c>
      <c r="V335" t="str">
        <f t="shared" si="11"/>
        <v>Loyal</v>
      </c>
      <c r="W335" t="s">
        <v>77</v>
      </c>
    </row>
    <row r="336" spans="1:23" x14ac:dyDescent="0.25">
      <c r="A336">
        <v>335</v>
      </c>
      <c r="B336">
        <v>41</v>
      </c>
      <c r="C336" t="str" cm="1">
        <f t="array" ref="C336">_xlfn.IFS(
  AND(B336&gt;=18, B336&lt;=24), "18-24",
  AND(B336&gt;=25, B336&lt;=34), "25-34",
  AND(B336&gt;=35, B336&lt;=44), "35-44",
  AND(B336&gt;=45, B336&lt;=54), "45-54",
  B336&gt;=55, "55+"
)</f>
        <v>35-44</v>
      </c>
      <c r="D336" t="s">
        <v>19</v>
      </c>
      <c r="E336" t="s">
        <v>20</v>
      </c>
      <c r="F336" t="s">
        <v>21</v>
      </c>
      <c r="G336">
        <v>46</v>
      </c>
      <c r="H336" t="s">
        <v>111</v>
      </c>
      <c r="I336" t="s">
        <v>45</v>
      </c>
      <c r="J336" t="s">
        <v>93</v>
      </c>
      <c r="K336" t="s">
        <v>58</v>
      </c>
      <c r="L336">
        <v>2.6</v>
      </c>
      <c r="M336" t="s">
        <v>26</v>
      </c>
      <c r="N336" t="s">
        <v>46</v>
      </c>
      <c r="O336" t="s">
        <v>47</v>
      </c>
      <c r="P336" t="s">
        <v>26</v>
      </c>
      <c r="Q336" t="s">
        <v>26</v>
      </c>
      <c r="R336">
        <v>30</v>
      </c>
      <c r="S336" t="s">
        <v>27</v>
      </c>
      <c r="T336" t="str">
        <f t="shared" si="10"/>
        <v>Annually</v>
      </c>
      <c r="U336">
        <f>VLOOKUP(T336,[1]tablescore!$B$3:$C$8, 2,FALSE)</f>
        <v>1</v>
      </c>
      <c r="V336" t="str">
        <f t="shared" si="11"/>
        <v>Low Loyalty</v>
      </c>
      <c r="W336" t="s">
        <v>50</v>
      </c>
    </row>
    <row r="337" spans="1:23" x14ac:dyDescent="0.25">
      <c r="A337">
        <v>336</v>
      </c>
      <c r="B337">
        <v>20</v>
      </c>
      <c r="C337" t="str" cm="1">
        <f t="array" ref="C337">_xlfn.IFS(
  AND(B337&gt;=18, B337&lt;=24), "18-24",
  AND(B337&gt;=25, B337&lt;=34), "25-34",
  AND(B337&gt;=35, B337&lt;=44), "35-44",
  AND(B337&gt;=45, B337&lt;=54), "45-54",
  B337&gt;=55, "55+"
)</f>
        <v>18-24</v>
      </c>
      <c r="D337" t="s">
        <v>19</v>
      </c>
      <c r="E337" t="s">
        <v>31</v>
      </c>
      <c r="F337" t="s">
        <v>21</v>
      </c>
      <c r="G337">
        <v>85</v>
      </c>
      <c r="H337" t="s">
        <v>48</v>
      </c>
      <c r="I337" t="s">
        <v>23</v>
      </c>
      <c r="J337" t="s">
        <v>33</v>
      </c>
      <c r="K337" t="s">
        <v>39</v>
      </c>
      <c r="L337">
        <v>3.7</v>
      </c>
      <c r="M337" t="s">
        <v>26</v>
      </c>
      <c r="N337" t="s">
        <v>35</v>
      </c>
      <c r="O337" t="s">
        <v>55</v>
      </c>
      <c r="P337" t="s">
        <v>26</v>
      </c>
      <c r="Q337" t="s">
        <v>26</v>
      </c>
      <c r="R337">
        <v>44</v>
      </c>
      <c r="S337" t="s">
        <v>29</v>
      </c>
      <c r="T337" t="str">
        <f t="shared" si="10"/>
        <v>Quarterly</v>
      </c>
      <c r="U337">
        <f>VLOOKUP(T337,[1]tablescore!$B$3:$C$8, 2,FALSE)</f>
        <v>4</v>
      </c>
      <c r="V337" t="str">
        <f t="shared" si="11"/>
        <v>Low Loyalty</v>
      </c>
      <c r="W337" t="s">
        <v>97</v>
      </c>
    </row>
    <row r="338" spans="1:23" x14ac:dyDescent="0.25">
      <c r="A338">
        <v>337</v>
      </c>
      <c r="B338">
        <v>36</v>
      </c>
      <c r="C338" t="str" cm="1">
        <f t="array" ref="C338">_xlfn.IFS(
  AND(B338&gt;=18, B338&lt;=24), "18-24",
  AND(B338&gt;=25, B338&lt;=34), "25-34",
  AND(B338&gt;=35, B338&lt;=44), "35-44",
  AND(B338&gt;=45, B338&lt;=54), "45-54",
  B338&gt;=55, "55+"
)</f>
        <v>35-44</v>
      </c>
      <c r="D338" t="s">
        <v>19</v>
      </c>
      <c r="E338" t="s">
        <v>125</v>
      </c>
      <c r="F338" t="s">
        <v>69</v>
      </c>
      <c r="G338">
        <v>81</v>
      </c>
      <c r="H338" t="s">
        <v>44</v>
      </c>
      <c r="I338" t="s">
        <v>38</v>
      </c>
      <c r="J338" t="s">
        <v>121</v>
      </c>
      <c r="K338" t="s">
        <v>58</v>
      </c>
      <c r="L338">
        <v>4.4000000000000004</v>
      </c>
      <c r="M338" t="s">
        <v>26</v>
      </c>
      <c r="N338" t="s">
        <v>59</v>
      </c>
      <c r="O338" t="s">
        <v>28</v>
      </c>
      <c r="P338" t="s">
        <v>26</v>
      </c>
      <c r="Q338" t="s">
        <v>26</v>
      </c>
      <c r="R338">
        <v>16</v>
      </c>
      <c r="S338" t="s">
        <v>46</v>
      </c>
      <c r="T338" t="str">
        <f t="shared" si="10"/>
        <v>Annually</v>
      </c>
      <c r="U338">
        <f>VLOOKUP(T338,[1]tablescore!$B$3:$C$8, 2,FALSE)</f>
        <v>1</v>
      </c>
      <c r="V338" t="str">
        <f t="shared" si="11"/>
        <v>Low Loyalty</v>
      </c>
      <c r="W338" t="s">
        <v>50</v>
      </c>
    </row>
    <row r="339" spans="1:23" x14ac:dyDescent="0.25">
      <c r="A339">
        <v>338</v>
      </c>
      <c r="B339">
        <v>32</v>
      </c>
      <c r="C339" t="str" cm="1">
        <f t="array" ref="C339">_xlfn.IFS(
  AND(B339&gt;=18, B339&lt;=24), "18-24",
  AND(B339&gt;=25, B339&lt;=34), "25-34",
  AND(B339&gt;=35, B339&lt;=44), "35-44",
  AND(B339&gt;=45, B339&lt;=54), "45-54",
  B339&gt;=55, "55+"
)</f>
        <v>25-34</v>
      </c>
      <c r="D339" t="s">
        <v>19</v>
      </c>
      <c r="E339" t="s">
        <v>31</v>
      </c>
      <c r="F339" t="s">
        <v>21</v>
      </c>
      <c r="G339">
        <v>59</v>
      </c>
      <c r="H339" t="s">
        <v>123</v>
      </c>
      <c r="I339" t="s">
        <v>45</v>
      </c>
      <c r="J339" t="s">
        <v>109</v>
      </c>
      <c r="K339" t="s">
        <v>25</v>
      </c>
      <c r="L339">
        <v>4.3</v>
      </c>
      <c r="M339" t="s">
        <v>26</v>
      </c>
      <c r="N339" t="s">
        <v>35</v>
      </c>
      <c r="O339" t="s">
        <v>72</v>
      </c>
      <c r="P339" t="s">
        <v>26</v>
      </c>
      <c r="Q339" t="s">
        <v>26</v>
      </c>
      <c r="R339">
        <v>16</v>
      </c>
      <c r="S339" t="s">
        <v>34</v>
      </c>
      <c r="T339" t="str">
        <f t="shared" si="10"/>
        <v>Annually</v>
      </c>
      <c r="U339">
        <f>VLOOKUP(T339,[1]tablescore!$B$3:$C$8, 2,FALSE)</f>
        <v>1</v>
      </c>
      <c r="V339" t="str">
        <f t="shared" si="11"/>
        <v>Low Loyalty</v>
      </c>
      <c r="W339" t="s">
        <v>50</v>
      </c>
    </row>
    <row r="340" spans="1:23" x14ac:dyDescent="0.25">
      <c r="A340">
        <v>339</v>
      </c>
      <c r="B340">
        <v>69</v>
      </c>
      <c r="C340" t="str" cm="1">
        <f t="array" ref="C340">_xlfn.IFS(
  AND(B340&gt;=18, B340&lt;=24), "18-24",
  AND(B340&gt;=25, B340&lt;=34), "25-34",
  AND(B340&gt;=35, B340&lt;=44), "35-44",
  AND(B340&gt;=45, B340&lt;=54), "45-54",
  B340&gt;=55, "55+"
)</f>
        <v>55+</v>
      </c>
      <c r="D340" t="s">
        <v>19</v>
      </c>
      <c r="E340" t="s">
        <v>104</v>
      </c>
      <c r="F340" t="s">
        <v>21</v>
      </c>
      <c r="G340">
        <v>79</v>
      </c>
      <c r="H340" t="s">
        <v>37</v>
      </c>
      <c r="I340" t="s">
        <v>45</v>
      </c>
      <c r="J340" t="s">
        <v>67</v>
      </c>
      <c r="K340" t="s">
        <v>25</v>
      </c>
      <c r="L340">
        <v>3.5</v>
      </c>
      <c r="M340" t="s">
        <v>26</v>
      </c>
      <c r="N340" t="s">
        <v>29</v>
      </c>
      <c r="O340" t="s">
        <v>28</v>
      </c>
      <c r="P340" t="s">
        <v>26</v>
      </c>
      <c r="Q340" t="s">
        <v>26</v>
      </c>
      <c r="R340">
        <v>16</v>
      </c>
      <c r="S340" t="s">
        <v>35</v>
      </c>
      <c r="T340" t="str">
        <f t="shared" si="10"/>
        <v>Daily</v>
      </c>
      <c r="U340">
        <f>VLOOKUP(T340,[1]tablescore!$B$3:$C$8, 2,FALSE)</f>
        <v>30</v>
      </c>
      <c r="V340" t="str">
        <f t="shared" si="11"/>
        <v>Highly Loyal</v>
      </c>
      <c r="W340" t="s">
        <v>41</v>
      </c>
    </row>
    <row r="341" spans="1:23" x14ac:dyDescent="0.25">
      <c r="A341">
        <v>340</v>
      </c>
      <c r="B341">
        <v>40</v>
      </c>
      <c r="C341" t="str" cm="1">
        <f t="array" ref="C341">_xlfn.IFS(
  AND(B341&gt;=18, B341&lt;=24), "18-24",
  AND(B341&gt;=25, B341&lt;=34), "25-34",
  AND(B341&gt;=35, B341&lt;=44), "35-44",
  AND(B341&gt;=45, B341&lt;=54), "45-54",
  B341&gt;=55, "55+"
)</f>
        <v>35-44</v>
      </c>
      <c r="D341" t="s">
        <v>19</v>
      </c>
      <c r="E341" t="s">
        <v>61</v>
      </c>
      <c r="F341" t="s">
        <v>21</v>
      </c>
      <c r="G341">
        <v>33</v>
      </c>
      <c r="H341" t="s">
        <v>141</v>
      </c>
      <c r="I341" t="s">
        <v>45</v>
      </c>
      <c r="J341" t="s">
        <v>86</v>
      </c>
      <c r="K341" t="s">
        <v>39</v>
      </c>
      <c r="L341">
        <v>3.8</v>
      </c>
      <c r="M341" t="s">
        <v>26</v>
      </c>
      <c r="N341" t="s">
        <v>27</v>
      </c>
      <c r="O341" t="s">
        <v>72</v>
      </c>
      <c r="P341" t="s">
        <v>26</v>
      </c>
      <c r="Q341" t="s">
        <v>26</v>
      </c>
      <c r="R341">
        <v>21</v>
      </c>
      <c r="S341" t="s">
        <v>27</v>
      </c>
      <c r="T341" t="str">
        <f t="shared" si="10"/>
        <v>Quarterly</v>
      </c>
      <c r="U341">
        <f>VLOOKUP(T341,[1]tablescore!$B$3:$C$8, 2,FALSE)</f>
        <v>4</v>
      </c>
      <c r="V341" t="str">
        <f t="shared" si="11"/>
        <v>Low Loyalty</v>
      </c>
      <c r="W341" t="s">
        <v>97</v>
      </c>
    </row>
    <row r="342" spans="1:23" x14ac:dyDescent="0.25">
      <c r="A342">
        <v>341</v>
      </c>
      <c r="B342">
        <v>40</v>
      </c>
      <c r="C342" t="str" cm="1">
        <f t="array" ref="C342">_xlfn.IFS(
  AND(B342&gt;=18, B342&lt;=24), "18-24",
  AND(B342&gt;=25, B342&lt;=34), "25-34",
  AND(B342&gt;=35, B342&lt;=44), "35-44",
  AND(B342&gt;=45, B342&lt;=54), "45-54",
  B342&gt;=55, "55+"
)</f>
        <v>35-44</v>
      </c>
      <c r="D342" t="s">
        <v>19</v>
      </c>
      <c r="E342" t="s">
        <v>61</v>
      </c>
      <c r="F342" t="s">
        <v>21</v>
      </c>
      <c r="G342">
        <v>47</v>
      </c>
      <c r="H342" t="s">
        <v>137</v>
      </c>
      <c r="I342" t="s">
        <v>23</v>
      </c>
      <c r="J342" t="s">
        <v>138</v>
      </c>
      <c r="K342" t="s">
        <v>54</v>
      </c>
      <c r="L342">
        <v>3.5</v>
      </c>
      <c r="M342" t="s">
        <v>26</v>
      </c>
      <c r="N342" t="s">
        <v>35</v>
      </c>
      <c r="O342" t="s">
        <v>28</v>
      </c>
      <c r="P342" t="s">
        <v>26</v>
      </c>
      <c r="Q342" t="s">
        <v>26</v>
      </c>
      <c r="R342">
        <v>39</v>
      </c>
      <c r="S342" t="s">
        <v>29</v>
      </c>
      <c r="T342" t="str">
        <f t="shared" si="10"/>
        <v>Quarterly</v>
      </c>
      <c r="U342">
        <f>VLOOKUP(T342,[1]tablescore!$B$3:$C$8, 2,FALSE)</f>
        <v>4</v>
      </c>
      <c r="V342" t="str">
        <f t="shared" si="11"/>
        <v>Low Loyalty</v>
      </c>
      <c r="W342" t="s">
        <v>97</v>
      </c>
    </row>
    <row r="343" spans="1:23" x14ac:dyDescent="0.25">
      <c r="A343">
        <v>342</v>
      </c>
      <c r="B343">
        <v>20</v>
      </c>
      <c r="C343" t="str" cm="1">
        <f t="array" ref="C343">_xlfn.IFS(
  AND(B343&gt;=18, B343&lt;=24), "18-24",
  AND(B343&gt;=25, B343&lt;=34), "25-34",
  AND(B343&gt;=35, B343&lt;=44), "35-44",
  AND(B343&gt;=45, B343&lt;=54), "45-54",
  B343&gt;=55, "55+"
)</f>
        <v>18-24</v>
      </c>
      <c r="D343" t="s">
        <v>19</v>
      </c>
      <c r="E343" t="s">
        <v>125</v>
      </c>
      <c r="F343" t="s">
        <v>69</v>
      </c>
      <c r="G343">
        <v>20</v>
      </c>
      <c r="H343" t="s">
        <v>149</v>
      </c>
      <c r="I343" t="s">
        <v>38</v>
      </c>
      <c r="J343" t="s">
        <v>138</v>
      </c>
      <c r="K343" t="s">
        <v>54</v>
      </c>
      <c r="L343">
        <v>4.5999999999999996</v>
      </c>
      <c r="M343" t="s">
        <v>26</v>
      </c>
      <c r="N343" t="s">
        <v>27</v>
      </c>
      <c r="O343" t="s">
        <v>76</v>
      </c>
      <c r="P343" t="s">
        <v>26</v>
      </c>
      <c r="Q343" t="s">
        <v>26</v>
      </c>
      <c r="R343">
        <v>40</v>
      </c>
      <c r="S343" t="s">
        <v>59</v>
      </c>
      <c r="T343" t="str">
        <f t="shared" si="10"/>
        <v>2-week</v>
      </c>
      <c r="U343">
        <f>VLOOKUP(T343,[1]tablescore!$B$3:$C$8, 2,FALSE)</f>
        <v>26</v>
      </c>
      <c r="V343" t="str">
        <f t="shared" si="11"/>
        <v>Loyal</v>
      </c>
      <c r="W343" t="s">
        <v>77</v>
      </c>
    </row>
    <row r="344" spans="1:23" x14ac:dyDescent="0.25">
      <c r="A344">
        <v>343</v>
      </c>
      <c r="B344">
        <v>64</v>
      </c>
      <c r="C344" t="str" cm="1">
        <f t="array" ref="C344">_xlfn.IFS(
  AND(B344&gt;=18, B344&lt;=24), "18-24",
  AND(B344&gt;=25, B344&lt;=34), "25-34",
  AND(B344&gt;=35, B344&lt;=44), "35-44",
  AND(B344&gt;=45, B344&lt;=54), "45-54",
  B344&gt;=55, "55+"
)</f>
        <v>55+</v>
      </c>
      <c r="D344" t="s">
        <v>19</v>
      </c>
      <c r="E344" t="s">
        <v>64</v>
      </c>
      <c r="F344" t="s">
        <v>65</v>
      </c>
      <c r="G344">
        <v>36</v>
      </c>
      <c r="H344" t="s">
        <v>22</v>
      </c>
      <c r="I344" t="s">
        <v>45</v>
      </c>
      <c r="J344" t="s">
        <v>79</v>
      </c>
      <c r="K344" t="s">
        <v>39</v>
      </c>
      <c r="L344">
        <v>2.6</v>
      </c>
      <c r="M344" t="s">
        <v>26</v>
      </c>
      <c r="N344" t="s">
        <v>34</v>
      </c>
      <c r="O344" t="s">
        <v>47</v>
      </c>
      <c r="P344" t="s">
        <v>26</v>
      </c>
      <c r="Q344" t="s">
        <v>26</v>
      </c>
      <c r="R344">
        <v>48</v>
      </c>
      <c r="S344" t="s">
        <v>27</v>
      </c>
      <c r="T344" t="str">
        <f t="shared" si="10"/>
        <v>Quarterly</v>
      </c>
      <c r="U344">
        <f>VLOOKUP(T344,[1]tablescore!$B$3:$C$8, 2,FALSE)</f>
        <v>4</v>
      </c>
      <c r="V344" t="str">
        <f t="shared" si="11"/>
        <v>Low Loyalty</v>
      </c>
      <c r="W344" t="s">
        <v>97</v>
      </c>
    </row>
    <row r="345" spans="1:23" x14ac:dyDescent="0.25">
      <c r="A345">
        <v>344</v>
      </c>
      <c r="B345">
        <v>27</v>
      </c>
      <c r="C345" t="str" cm="1">
        <f t="array" ref="C345">_xlfn.IFS(
  AND(B345&gt;=18, B345&lt;=24), "18-24",
  AND(B345&gt;=25, B345&lt;=34), "25-34",
  AND(B345&gt;=35, B345&lt;=44), "35-44",
  AND(B345&gt;=45, B345&lt;=54), "45-54",
  B345&gt;=55, "55+"
)</f>
        <v>25-34</v>
      </c>
      <c r="D345" t="s">
        <v>19</v>
      </c>
      <c r="E345" t="s">
        <v>42</v>
      </c>
      <c r="F345" t="s">
        <v>43</v>
      </c>
      <c r="G345">
        <v>39</v>
      </c>
      <c r="H345" t="s">
        <v>143</v>
      </c>
      <c r="I345" t="s">
        <v>45</v>
      </c>
      <c r="J345" t="s">
        <v>75</v>
      </c>
      <c r="K345" t="s">
        <v>54</v>
      </c>
      <c r="L345">
        <v>4.4000000000000004</v>
      </c>
      <c r="M345" t="s">
        <v>26</v>
      </c>
      <c r="N345" t="s">
        <v>35</v>
      </c>
      <c r="O345" t="s">
        <v>47</v>
      </c>
      <c r="P345" t="s">
        <v>26</v>
      </c>
      <c r="Q345" t="s">
        <v>26</v>
      </c>
      <c r="R345">
        <v>26</v>
      </c>
      <c r="S345" t="s">
        <v>29</v>
      </c>
      <c r="T345" t="str">
        <f t="shared" si="10"/>
        <v>Month</v>
      </c>
      <c r="U345">
        <f>VLOOKUP(T345,[1]tablescore!$B$3:$C$8, 2,FALSE)</f>
        <v>12</v>
      </c>
      <c r="V345" t="str">
        <f t="shared" si="11"/>
        <v>Moderate</v>
      </c>
      <c r="W345" t="s">
        <v>88</v>
      </c>
    </row>
    <row r="346" spans="1:23" x14ac:dyDescent="0.25">
      <c r="A346">
        <v>345</v>
      </c>
      <c r="B346">
        <v>24</v>
      </c>
      <c r="C346" t="str" cm="1">
        <f t="array" ref="C346">_xlfn.IFS(
  AND(B346&gt;=18, B346&lt;=24), "18-24",
  AND(B346&gt;=25, B346&lt;=34), "25-34",
  AND(B346&gt;=35, B346&lt;=44), "35-44",
  AND(B346&gt;=45, B346&lt;=54), "45-54",
  B346&gt;=55, "55+"
)</f>
        <v>18-24</v>
      </c>
      <c r="D346" t="s">
        <v>19</v>
      </c>
      <c r="E346" t="s">
        <v>87</v>
      </c>
      <c r="F346" t="s">
        <v>21</v>
      </c>
      <c r="G346">
        <v>71</v>
      </c>
      <c r="H346" t="s">
        <v>128</v>
      </c>
      <c r="I346" t="s">
        <v>45</v>
      </c>
      <c r="J346" t="s">
        <v>63</v>
      </c>
      <c r="K346" t="s">
        <v>25</v>
      </c>
      <c r="L346">
        <v>4</v>
      </c>
      <c r="M346" t="s">
        <v>26</v>
      </c>
      <c r="N346" t="s">
        <v>46</v>
      </c>
      <c r="O346" t="s">
        <v>55</v>
      </c>
      <c r="P346" t="s">
        <v>26</v>
      </c>
      <c r="Q346" t="s">
        <v>26</v>
      </c>
      <c r="R346">
        <v>46</v>
      </c>
      <c r="S346" t="s">
        <v>59</v>
      </c>
      <c r="T346" t="str">
        <f t="shared" si="10"/>
        <v>Month</v>
      </c>
      <c r="U346">
        <f>VLOOKUP(T346,[1]tablescore!$B$3:$C$8, 2,FALSE)</f>
        <v>12</v>
      </c>
      <c r="V346" t="str">
        <f t="shared" si="11"/>
        <v>Moderate</v>
      </c>
      <c r="W346" t="s">
        <v>88</v>
      </c>
    </row>
    <row r="347" spans="1:23" x14ac:dyDescent="0.25">
      <c r="A347">
        <v>346</v>
      </c>
      <c r="B347">
        <v>48</v>
      </c>
      <c r="C347" t="str" cm="1">
        <f t="array" ref="C347">_xlfn.IFS(
  AND(B347&gt;=18, B347&lt;=24), "18-24",
  AND(B347&gt;=25, B347&lt;=34), "25-34",
  AND(B347&gt;=35, B347&lt;=44), "35-44",
  AND(B347&gt;=45, B347&lt;=54), "45-54",
  B347&gt;=55, "55+"
)</f>
        <v>45-54</v>
      </c>
      <c r="D347" t="s">
        <v>19</v>
      </c>
      <c r="E347" t="s">
        <v>73</v>
      </c>
      <c r="F347" t="s">
        <v>43</v>
      </c>
      <c r="G347">
        <v>59</v>
      </c>
      <c r="H347" t="s">
        <v>52</v>
      </c>
      <c r="I347" t="s">
        <v>38</v>
      </c>
      <c r="J347" t="s">
        <v>79</v>
      </c>
      <c r="K347" t="s">
        <v>25</v>
      </c>
      <c r="L347">
        <v>4.4000000000000004</v>
      </c>
      <c r="M347" t="s">
        <v>26</v>
      </c>
      <c r="N347" t="s">
        <v>35</v>
      </c>
      <c r="O347" t="s">
        <v>47</v>
      </c>
      <c r="P347" t="s">
        <v>26</v>
      </c>
      <c r="Q347" t="s">
        <v>26</v>
      </c>
      <c r="R347">
        <v>27</v>
      </c>
      <c r="S347" t="s">
        <v>34</v>
      </c>
      <c r="T347" t="str">
        <f t="shared" si="10"/>
        <v>Annually</v>
      </c>
      <c r="U347">
        <f>VLOOKUP(T347,[1]tablescore!$B$3:$C$8, 2,FALSE)</f>
        <v>1</v>
      </c>
      <c r="V347" t="str">
        <f t="shared" si="11"/>
        <v>Low Loyalty</v>
      </c>
      <c r="W347" t="s">
        <v>50</v>
      </c>
    </row>
    <row r="348" spans="1:23" x14ac:dyDescent="0.25">
      <c r="A348">
        <v>347</v>
      </c>
      <c r="B348">
        <v>49</v>
      </c>
      <c r="C348" t="str" cm="1">
        <f t="array" ref="C348">_xlfn.IFS(
  AND(B348&gt;=18, B348&lt;=24), "18-24",
  AND(B348&gt;=25, B348&lt;=34), "25-34",
  AND(B348&gt;=35, B348&lt;=44), "35-44",
  AND(B348&gt;=45, B348&lt;=54), "45-54",
  B348&gt;=55, "55+"
)</f>
        <v>45-54</v>
      </c>
      <c r="D348" t="s">
        <v>19</v>
      </c>
      <c r="E348" t="s">
        <v>36</v>
      </c>
      <c r="F348" t="s">
        <v>21</v>
      </c>
      <c r="G348">
        <v>50</v>
      </c>
      <c r="H348" t="s">
        <v>123</v>
      </c>
      <c r="I348" t="s">
        <v>23</v>
      </c>
      <c r="J348" t="s">
        <v>84</v>
      </c>
      <c r="K348" t="s">
        <v>39</v>
      </c>
      <c r="L348">
        <v>4.7</v>
      </c>
      <c r="M348" t="s">
        <v>26</v>
      </c>
      <c r="N348" t="s">
        <v>27</v>
      </c>
      <c r="O348" t="s">
        <v>47</v>
      </c>
      <c r="P348" t="s">
        <v>26</v>
      </c>
      <c r="Q348" t="s">
        <v>26</v>
      </c>
      <c r="R348">
        <v>5</v>
      </c>
      <c r="S348" t="s">
        <v>35</v>
      </c>
      <c r="T348" t="str">
        <f t="shared" si="10"/>
        <v>Daily</v>
      </c>
      <c r="U348">
        <f>VLOOKUP(T348,[1]tablescore!$B$3:$C$8, 2,FALSE)</f>
        <v>30</v>
      </c>
      <c r="V348" t="str">
        <f t="shared" si="11"/>
        <v>Highly Loyal</v>
      </c>
      <c r="W348" t="s">
        <v>41</v>
      </c>
    </row>
    <row r="349" spans="1:23" x14ac:dyDescent="0.25">
      <c r="A349">
        <v>348</v>
      </c>
      <c r="B349">
        <v>36</v>
      </c>
      <c r="C349" t="str" cm="1">
        <f t="array" ref="C349">_xlfn.IFS(
  AND(B349&gt;=18, B349&lt;=24), "18-24",
  AND(B349&gt;=25, B349&lt;=34), "25-34",
  AND(B349&gt;=35, B349&lt;=44), "35-44",
  AND(B349&gt;=45, B349&lt;=54), "45-54",
  B349&gt;=55, "55+"
)</f>
        <v>35-44</v>
      </c>
      <c r="D349" t="s">
        <v>19</v>
      </c>
      <c r="E349" t="s">
        <v>42</v>
      </c>
      <c r="F349" t="s">
        <v>43</v>
      </c>
      <c r="G349">
        <v>41</v>
      </c>
      <c r="H349" t="s">
        <v>48</v>
      </c>
      <c r="I349" t="s">
        <v>23</v>
      </c>
      <c r="J349" t="s">
        <v>108</v>
      </c>
      <c r="K349" t="s">
        <v>58</v>
      </c>
      <c r="L349">
        <v>3.9</v>
      </c>
      <c r="M349" t="s">
        <v>26</v>
      </c>
      <c r="N349" t="s">
        <v>27</v>
      </c>
      <c r="O349" t="s">
        <v>76</v>
      </c>
      <c r="P349" t="s">
        <v>26</v>
      </c>
      <c r="Q349" t="s">
        <v>26</v>
      </c>
      <c r="R349">
        <v>43</v>
      </c>
      <c r="S349" t="s">
        <v>46</v>
      </c>
      <c r="T349" t="str">
        <f t="shared" si="10"/>
        <v>2-week</v>
      </c>
      <c r="U349">
        <f>VLOOKUP(T349,[1]tablescore!$B$3:$C$8, 2,FALSE)</f>
        <v>26</v>
      </c>
      <c r="V349" t="str">
        <f t="shared" si="11"/>
        <v>Loyal</v>
      </c>
      <c r="W349" t="s">
        <v>30</v>
      </c>
    </row>
    <row r="350" spans="1:23" x14ac:dyDescent="0.25">
      <c r="A350">
        <v>349</v>
      </c>
      <c r="B350">
        <v>56</v>
      </c>
      <c r="C350" t="str" cm="1">
        <f t="array" ref="C350">_xlfn.IFS(
  AND(B350&gt;=18, B350&lt;=24), "18-24",
  AND(B350&gt;=25, B350&lt;=34), "25-34",
  AND(B350&gt;=35, B350&lt;=44), "35-44",
  AND(B350&gt;=45, B350&lt;=54), "45-54",
  B350&gt;=55, "55+"
)</f>
        <v>55+</v>
      </c>
      <c r="D350" t="s">
        <v>19</v>
      </c>
      <c r="E350" t="s">
        <v>20</v>
      </c>
      <c r="F350" t="s">
        <v>21</v>
      </c>
      <c r="G350">
        <v>59</v>
      </c>
      <c r="H350" t="s">
        <v>126</v>
      </c>
      <c r="I350" t="s">
        <v>45</v>
      </c>
      <c r="J350" t="s">
        <v>118</v>
      </c>
      <c r="K350" t="s">
        <v>58</v>
      </c>
      <c r="L350">
        <v>2.7</v>
      </c>
      <c r="M350" t="s">
        <v>26</v>
      </c>
      <c r="N350" t="s">
        <v>34</v>
      </c>
      <c r="O350" t="s">
        <v>40</v>
      </c>
      <c r="P350" t="s">
        <v>26</v>
      </c>
      <c r="Q350" t="s">
        <v>26</v>
      </c>
      <c r="R350">
        <v>17</v>
      </c>
      <c r="S350" t="s">
        <v>46</v>
      </c>
      <c r="T350" t="str">
        <f t="shared" si="10"/>
        <v>2-week</v>
      </c>
      <c r="U350">
        <f>VLOOKUP(T350,[1]tablescore!$B$3:$C$8, 2,FALSE)</f>
        <v>26</v>
      </c>
      <c r="V350" t="str">
        <f t="shared" si="11"/>
        <v>Loyal</v>
      </c>
      <c r="W350" t="s">
        <v>30</v>
      </c>
    </row>
    <row r="351" spans="1:23" x14ac:dyDescent="0.25">
      <c r="A351">
        <v>350</v>
      </c>
      <c r="B351">
        <v>37</v>
      </c>
      <c r="C351" t="str" cm="1">
        <f t="array" ref="C351">_xlfn.IFS(
  AND(B351&gt;=18, B351&lt;=24), "18-24",
  AND(B351&gt;=25, B351&lt;=34), "25-34",
  AND(B351&gt;=35, B351&lt;=44), "35-44",
  AND(B351&gt;=45, B351&lt;=54), "45-54",
  B351&gt;=55, "55+"
)</f>
        <v>35-44</v>
      </c>
      <c r="D351" t="s">
        <v>19</v>
      </c>
      <c r="E351" t="s">
        <v>125</v>
      </c>
      <c r="F351" t="s">
        <v>69</v>
      </c>
      <c r="G351">
        <v>87</v>
      </c>
      <c r="H351" t="s">
        <v>117</v>
      </c>
      <c r="I351" t="s">
        <v>45</v>
      </c>
      <c r="J351" t="s">
        <v>96</v>
      </c>
      <c r="K351" t="s">
        <v>25</v>
      </c>
      <c r="L351">
        <v>3.7</v>
      </c>
      <c r="M351" t="s">
        <v>26</v>
      </c>
      <c r="N351" t="s">
        <v>35</v>
      </c>
      <c r="O351" t="s">
        <v>72</v>
      </c>
      <c r="P351" t="s">
        <v>26</v>
      </c>
      <c r="Q351" t="s">
        <v>26</v>
      </c>
      <c r="R351">
        <v>3</v>
      </c>
      <c r="S351" t="s">
        <v>34</v>
      </c>
      <c r="T351" t="str">
        <f t="shared" si="10"/>
        <v>2-week</v>
      </c>
      <c r="U351">
        <f>VLOOKUP(T351,[1]tablescore!$B$3:$C$8, 2,FALSE)</f>
        <v>26</v>
      </c>
      <c r="V351" t="str">
        <f t="shared" si="11"/>
        <v>Loyal</v>
      </c>
      <c r="W351" t="s">
        <v>77</v>
      </c>
    </row>
    <row r="352" spans="1:23" x14ac:dyDescent="0.25">
      <c r="A352">
        <v>351</v>
      </c>
      <c r="B352">
        <v>42</v>
      </c>
      <c r="C352" t="str" cm="1">
        <f t="array" ref="C352">_xlfn.IFS(
  AND(B352&gt;=18, B352&lt;=24), "18-24",
  AND(B352&gt;=25, B352&lt;=34), "25-34",
  AND(B352&gt;=35, B352&lt;=44), "35-44",
  AND(B352&gt;=45, B352&lt;=54), "45-54",
  B352&gt;=55, "55+"
)</f>
        <v>35-44</v>
      </c>
      <c r="D352" t="s">
        <v>19</v>
      </c>
      <c r="E352" t="s">
        <v>31</v>
      </c>
      <c r="F352" t="s">
        <v>21</v>
      </c>
      <c r="G352">
        <v>68</v>
      </c>
      <c r="H352" t="s">
        <v>22</v>
      </c>
      <c r="I352" t="s">
        <v>45</v>
      </c>
      <c r="J352" t="s">
        <v>84</v>
      </c>
      <c r="K352" t="s">
        <v>39</v>
      </c>
      <c r="L352">
        <v>2.6</v>
      </c>
      <c r="M352" t="s">
        <v>26</v>
      </c>
      <c r="N352" t="s">
        <v>29</v>
      </c>
      <c r="O352" t="s">
        <v>72</v>
      </c>
      <c r="P352" t="s">
        <v>26</v>
      </c>
      <c r="Q352" t="s">
        <v>26</v>
      </c>
      <c r="R352">
        <v>47</v>
      </c>
      <c r="S352" t="s">
        <v>34</v>
      </c>
      <c r="T352" t="str">
        <f t="shared" si="10"/>
        <v>2-week</v>
      </c>
      <c r="U352">
        <f>VLOOKUP(T352,[1]tablescore!$B$3:$C$8, 2,FALSE)</f>
        <v>26</v>
      </c>
      <c r="V352" t="str">
        <f t="shared" si="11"/>
        <v>Loyal</v>
      </c>
      <c r="W352" t="s">
        <v>30</v>
      </c>
    </row>
    <row r="353" spans="1:23" x14ac:dyDescent="0.25">
      <c r="A353">
        <v>352</v>
      </c>
      <c r="B353">
        <v>28</v>
      </c>
      <c r="C353" t="str" cm="1">
        <f t="array" ref="C353">_xlfn.IFS(
  AND(B353&gt;=18, B353&lt;=24), "18-24",
  AND(B353&gt;=25, B353&lt;=34), "25-34",
  AND(B353&gt;=35, B353&lt;=44), "35-44",
  AND(B353&gt;=45, B353&lt;=54), "45-54",
  B353&gt;=55, "55+"
)</f>
        <v>25-34</v>
      </c>
      <c r="D353" t="s">
        <v>19</v>
      </c>
      <c r="E353" t="s">
        <v>87</v>
      </c>
      <c r="F353" t="s">
        <v>21</v>
      </c>
      <c r="G353">
        <v>90</v>
      </c>
      <c r="H353" t="s">
        <v>85</v>
      </c>
      <c r="I353" t="s">
        <v>45</v>
      </c>
      <c r="J353" t="s">
        <v>86</v>
      </c>
      <c r="K353" t="s">
        <v>25</v>
      </c>
      <c r="L353">
        <v>3.9</v>
      </c>
      <c r="M353" t="s">
        <v>26</v>
      </c>
      <c r="N353" t="s">
        <v>35</v>
      </c>
      <c r="O353" t="s">
        <v>55</v>
      </c>
      <c r="P353" t="s">
        <v>26</v>
      </c>
      <c r="Q353" t="s">
        <v>26</v>
      </c>
      <c r="R353">
        <v>24</v>
      </c>
      <c r="S353" t="s">
        <v>59</v>
      </c>
      <c r="T353" t="str">
        <f t="shared" si="10"/>
        <v>2-week</v>
      </c>
      <c r="U353">
        <f>VLOOKUP(T353,[1]tablescore!$B$3:$C$8, 2,FALSE)</f>
        <v>26</v>
      </c>
      <c r="V353" t="str">
        <f t="shared" si="11"/>
        <v>Loyal</v>
      </c>
      <c r="W353" t="s">
        <v>77</v>
      </c>
    </row>
    <row r="354" spans="1:23" x14ac:dyDescent="0.25">
      <c r="A354">
        <v>353</v>
      </c>
      <c r="B354">
        <v>27</v>
      </c>
      <c r="C354" t="str" cm="1">
        <f t="array" ref="C354">_xlfn.IFS(
  AND(B354&gt;=18, B354&lt;=24), "18-24",
  AND(B354&gt;=25, B354&lt;=34), "25-34",
  AND(B354&gt;=35, B354&lt;=44), "35-44",
  AND(B354&gt;=45, B354&lt;=54), "45-54",
  B354&gt;=55, "55+"
)</f>
        <v>25-34</v>
      </c>
      <c r="D354" t="s">
        <v>19</v>
      </c>
      <c r="E354" t="s">
        <v>36</v>
      </c>
      <c r="F354" t="s">
        <v>21</v>
      </c>
      <c r="G354">
        <v>71</v>
      </c>
      <c r="H354" t="s">
        <v>105</v>
      </c>
      <c r="I354" t="s">
        <v>92</v>
      </c>
      <c r="J354" t="s">
        <v>139</v>
      </c>
      <c r="K354" t="s">
        <v>58</v>
      </c>
      <c r="L354">
        <v>4.9000000000000004</v>
      </c>
      <c r="M354" t="s">
        <v>26</v>
      </c>
      <c r="N354" t="s">
        <v>29</v>
      </c>
      <c r="O354" t="s">
        <v>47</v>
      </c>
      <c r="P354" t="s">
        <v>26</v>
      </c>
      <c r="Q354" t="s">
        <v>26</v>
      </c>
      <c r="R354">
        <v>12</v>
      </c>
      <c r="S354" t="s">
        <v>35</v>
      </c>
      <c r="T354" t="str">
        <f t="shared" si="10"/>
        <v>Quarterly</v>
      </c>
      <c r="U354">
        <f>VLOOKUP(T354,[1]tablescore!$B$3:$C$8, 2,FALSE)</f>
        <v>4</v>
      </c>
      <c r="V354" t="str">
        <f t="shared" si="11"/>
        <v>Low Loyalty</v>
      </c>
      <c r="W354" t="s">
        <v>97</v>
      </c>
    </row>
    <row r="355" spans="1:23" x14ac:dyDescent="0.25">
      <c r="A355">
        <v>354</v>
      </c>
      <c r="B355">
        <v>63</v>
      </c>
      <c r="C355" t="str" cm="1">
        <f t="array" ref="C355">_xlfn.IFS(
  AND(B355&gt;=18, B355&lt;=24), "18-24",
  AND(B355&gt;=25, B355&lt;=34), "25-34",
  AND(B355&gt;=35, B355&lt;=44), "35-44",
  AND(B355&gt;=45, B355&lt;=54), "45-54",
  B355&gt;=55, "55+"
)</f>
        <v>55+</v>
      </c>
      <c r="D355" t="s">
        <v>19</v>
      </c>
      <c r="E355" t="s">
        <v>51</v>
      </c>
      <c r="F355" t="s">
        <v>43</v>
      </c>
      <c r="G355">
        <v>64</v>
      </c>
      <c r="H355" t="s">
        <v>70</v>
      </c>
      <c r="I355" t="s">
        <v>23</v>
      </c>
      <c r="J355" t="s">
        <v>139</v>
      </c>
      <c r="K355" t="s">
        <v>58</v>
      </c>
      <c r="L355">
        <v>4.0999999999999996</v>
      </c>
      <c r="M355" t="s">
        <v>26</v>
      </c>
      <c r="N355" t="s">
        <v>27</v>
      </c>
      <c r="O355" t="s">
        <v>76</v>
      </c>
      <c r="P355" t="s">
        <v>26</v>
      </c>
      <c r="Q355" t="s">
        <v>26</v>
      </c>
      <c r="R355">
        <v>35</v>
      </c>
      <c r="S355" t="s">
        <v>59</v>
      </c>
      <c r="T355" t="str">
        <f t="shared" si="10"/>
        <v>Month</v>
      </c>
      <c r="U355">
        <f>VLOOKUP(T355,[1]tablescore!$B$3:$C$8, 2,FALSE)</f>
        <v>12</v>
      </c>
      <c r="V355" t="str">
        <f t="shared" si="11"/>
        <v>Moderate</v>
      </c>
      <c r="W355" t="s">
        <v>88</v>
      </c>
    </row>
    <row r="356" spans="1:23" x14ac:dyDescent="0.25">
      <c r="A356">
        <v>355</v>
      </c>
      <c r="B356">
        <v>58</v>
      </c>
      <c r="C356" t="str" cm="1">
        <f t="array" ref="C356">_xlfn.IFS(
  AND(B356&gt;=18, B356&lt;=24), "18-24",
  AND(B356&gt;=25, B356&lt;=34), "25-34",
  AND(B356&gt;=35, B356&lt;=44), "35-44",
  AND(B356&gt;=45, B356&lt;=54), "45-54",
  B356&gt;=55, "55+"
)</f>
        <v>55+</v>
      </c>
      <c r="D356" t="s">
        <v>19</v>
      </c>
      <c r="E356" t="s">
        <v>106</v>
      </c>
      <c r="F356" t="s">
        <v>69</v>
      </c>
      <c r="G356">
        <v>76</v>
      </c>
      <c r="H356" t="s">
        <v>141</v>
      </c>
      <c r="I356" t="s">
        <v>38</v>
      </c>
      <c r="J356" t="s">
        <v>79</v>
      </c>
      <c r="K356" t="s">
        <v>58</v>
      </c>
      <c r="L356">
        <v>3</v>
      </c>
      <c r="M356" t="s">
        <v>26</v>
      </c>
      <c r="N356" t="s">
        <v>46</v>
      </c>
      <c r="O356" t="s">
        <v>40</v>
      </c>
      <c r="P356" t="s">
        <v>26</v>
      </c>
      <c r="Q356" t="s">
        <v>26</v>
      </c>
      <c r="R356">
        <v>42</v>
      </c>
      <c r="S356" t="s">
        <v>29</v>
      </c>
      <c r="T356" t="str">
        <f t="shared" si="10"/>
        <v>Daily</v>
      </c>
      <c r="U356">
        <f>VLOOKUP(T356,[1]tablescore!$B$3:$C$8, 2,FALSE)</f>
        <v>30</v>
      </c>
      <c r="V356" t="str">
        <f t="shared" si="11"/>
        <v>Highly Loyal</v>
      </c>
      <c r="W356" t="s">
        <v>41</v>
      </c>
    </row>
    <row r="357" spans="1:23" x14ac:dyDescent="0.25">
      <c r="A357">
        <v>356</v>
      </c>
      <c r="B357">
        <v>37</v>
      </c>
      <c r="C357" t="str" cm="1">
        <f t="array" ref="C357">_xlfn.IFS(
  AND(B357&gt;=18, B357&lt;=24), "18-24",
  AND(B357&gt;=25, B357&lt;=34), "25-34",
  AND(B357&gt;=35, B357&lt;=44), "35-44",
  AND(B357&gt;=45, B357&lt;=54), "45-54",
  B357&gt;=55, "55+"
)</f>
        <v>35-44</v>
      </c>
      <c r="D357" t="s">
        <v>19</v>
      </c>
      <c r="E357" t="s">
        <v>106</v>
      </c>
      <c r="F357" t="s">
        <v>69</v>
      </c>
      <c r="G357">
        <v>42</v>
      </c>
      <c r="H357" t="s">
        <v>48</v>
      </c>
      <c r="I357" t="s">
        <v>92</v>
      </c>
      <c r="J357" t="s">
        <v>147</v>
      </c>
      <c r="K357" t="s">
        <v>58</v>
      </c>
      <c r="L357">
        <v>4.0999999999999996</v>
      </c>
      <c r="M357" t="s">
        <v>26</v>
      </c>
      <c r="N357" t="s">
        <v>27</v>
      </c>
      <c r="O357" t="s">
        <v>72</v>
      </c>
      <c r="P357" t="s">
        <v>26</v>
      </c>
      <c r="Q357" t="s">
        <v>26</v>
      </c>
      <c r="R357">
        <v>1</v>
      </c>
      <c r="S357" t="s">
        <v>46</v>
      </c>
      <c r="T357" t="str">
        <f t="shared" si="10"/>
        <v>Quarterly</v>
      </c>
      <c r="U357">
        <f>VLOOKUP(T357,[1]tablescore!$B$3:$C$8, 2,FALSE)</f>
        <v>4</v>
      </c>
      <c r="V357" t="str">
        <f t="shared" si="11"/>
        <v>Low Loyalty</v>
      </c>
      <c r="W357" t="s">
        <v>97</v>
      </c>
    </row>
    <row r="358" spans="1:23" x14ac:dyDescent="0.25">
      <c r="A358">
        <v>357</v>
      </c>
      <c r="B358">
        <v>56</v>
      </c>
      <c r="C358" t="str" cm="1">
        <f t="array" ref="C358">_xlfn.IFS(
  AND(B358&gt;=18, B358&lt;=24), "18-24",
  AND(B358&gt;=25, B358&lt;=34), "25-34",
  AND(B358&gt;=35, B358&lt;=44), "35-44",
  AND(B358&gt;=45, B358&lt;=54), "45-54",
  B358&gt;=55, "55+"
)</f>
        <v>55+</v>
      </c>
      <c r="D358" t="s">
        <v>19</v>
      </c>
      <c r="E358" t="s">
        <v>95</v>
      </c>
      <c r="F358" t="s">
        <v>21</v>
      </c>
      <c r="G358">
        <v>80</v>
      </c>
      <c r="H358" t="s">
        <v>107</v>
      </c>
      <c r="I358" t="s">
        <v>23</v>
      </c>
      <c r="J358" t="s">
        <v>94</v>
      </c>
      <c r="K358" t="s">
        <v>39</v>
      </c>
      <c r="L358">
        <v>3.8</v>
      </c>
      <c r="M358" t="s">
        <v>26</v>
      </c>
      <c r="N358" t="s">
        <v>59</v>
      </c>
      <c r="O358" t="s">
        <v>55</v>
      </c>
      <c r="P358" t="s">
        <v>26</v>
      </c>
      <c r="Q358" t="s">
        <v>26</v>
      </c>
      <c r="R358">
        <v>27</v>
      </c>
      <c r="S358" t="s">
        <v>35</v>
      </c>
      <c r="T358" t="str">
        <f t="shared" si="10"/>
        <v>Daily</v>
      </c>
      <c r="U358">
        <f>VLOOKUP(T358,[1]tablescore!$B$3:$C$8, 2,FALSE)</f>
        <v>30</v>
      </c>
      <c r="V358" t="str">
        <f t="shared" si="11"/>
        <v>Highly Loyal</v>
      </c>
      <c r="W358" t="s">
        <v>41</v>
      </c>
    </row>
    <row r="359" spans="1:23" x14ac:dyDescent="0.25">
      <c r="A359">
        <v>358</v>
      </c>
      <c r="B359">
        <v>18</v>
      </c>
      <c r="C359" t="str" cm="1">
        <f t="array" ref="C359">_xlfn.IFS(
  AND(B359&gt;=18, B359&lt;=24), "18-24",
  AND(B359&gt;=25, B359&lt;=34), "25-34",
  AND(B359&gt;=35, B359&lt;=44), "35-44",
  AND(B359&gt;=45, B359&lt;=54), "45-54",
  B359&gt;=55, "55+"
)</f>
        <v>18-24</v>
      </c>
      <c r="D359" t="s">
        <v>19</v>
      </c>
      <c r="E359" t="s">
        <v>136</v>
      </c>
      <c r="F359" t="s">
        <v>69</v>
      </c>
      <c r="G359">
        <v>56</v>
      </c>
      <c r="H359" t="s">
        <v>74</v>
      </c>
      <c r="I359" t="s">
        <v>45</v>
      </c>
      <c r="J359" t="s">
        <v>79</v>
      </c>
      <c r="K359" t="s">
        <v>39</v>
      </c>
      <c r="L359">
        <v>4</v>
      </c>
      <c r="M359" t="s">
        <v>26</v>
      </c>
      <c r="N359" t="s">
        <v>34</v>
      </c>
      <c r="O359" t="s">
        <v>55</v>
      </c>
      <c r="P359" t="s">
        <v>26</v>
      </c>
      <c r="Q359" t="s">
        <v>26</v>
      </c>
      <c r="R359">
        <v>16</v>
      </c>
      <c r="S359" t="s">
        <v>27</v>
      </c>
      <c r="T359" t="str">
        <f t="shared" si="10"/>
        <v>2-week</v>
      </c>
      <c r="U359">
        <f>VLOOKUP(T359,[1]tablescore!$B$3:$C$8, 2,FALSE)</f>
        <v>26</v>
      </c>
      <c r="V359" t="str">
        <f t="shared" si="11"/>
        <v>Loyal</v>
      </c>
      <c r="W359" t="s">
        <v>77</v>
      </c>
    </row>
    <row r="360" spans="1:23" x14ac:dyDescent="0.25">
      <c r="A360">
        <v>359</v>
      </c>
      <c r="B360">
        <v>48</v>
      </c>
      <c r="C360" t="str" cm="1">
        <f t="array" ref="C360">_xlfn.IFS(
  AND(B360&gt;=18, B360&lt;=24), "18-24",
  AND(B360&gt;=25, B360&lt;=34), "25-34",
  AND(B360&gt;=35, B360&lt;=44), "35-44",
  AND(B360&gt;=45, B360&lt;=54), "45-54",
  B360&gt;=55, "55+"
)</f>
        <v>45-54</v>
      </c>
      <c r="D360" t="s">
        <v>19</v>
      </c>
      <c r="E360" t="s">
        <v>125</v>
      </c>
      <c r="F360" t="s">
        <v>69</v>
      </c>
      <c r="G360">
        <v>25</v>
      </c>
      <c r="H360" t="s">
        <v>134</v>
      </c>
      <c r="I360" t="s">
        <v>92</v>
      </c>
      <c r="J360" t="s">
        <v>147</v>
      </c>
      <c r="K360" t="s">
        <v>54</v>
      </c>
      <c r="L360">
        <v>3.6</v>
      </c>
      <c r="M360" t="s">
        <v>26</v>
      </c>
      <c r="N360" t="s">
        <v>59</v>
      </c>
      <c r="O360" t="s">
        <v>28</v>
      </c>
      <c r="P360" t="s">
        <v>26</v>
      </c>
      <c r="Q360" t="s">
        <v>26</v>
      </c>
      <c r="R360">
        <v>36</v>
      </c>
      <c r="S360" t="s">
        <v>27</v>
      </c>
      <c r="T360" t="str">
        <f t="shared" si="10"/>
        <v>Quarterly</v>
      </c>
      <c r="U360">
        <f>VLOOKUP(T360,[1]tablescore!$B$3:$C$8, 2,FALSE)</f>
        <v>4</v>
      </c>
      <c r="V360" t="str">
        <f t="shared" si="11"/>
        <v>Low Loyalty</v>
      </c>
      <c r="W360" t="s">
        <v>97</v>
      </c>
    </row>
    <row r="361" spans="1:23" x14ac:dyDescent="0.25">
      <c r="A361">
        <v>360</v>
      </c>
      <c r="B361">
        <v>31</v>
      </c>
      <c r="C361" t="str" cm="1">
        <f t="array" ref="C361">_xlfn.IFS(
  AND(B361&gt;=18, B361&lt;=24), "18-24",
  AND(B361&gt;=25, B361&lt;=34), "25-34",
  AND(B361&gt;=35, B361&lt;=44), "35-44",
  AND(B361&gt;=45, B361&lt;=54), "45-54",
  B361&gt;=55, "55+"
)</f>
        <v>25-34</v>
      </c>
      <c r="D361" t="s">
        <v>19</v>
      </c>
      <c r="E361" t="s">
        <v>51</v>
      </c>
      <c r="F361" t="s">
        <v>43</v>
      </c>
      <c r="G361">
        <v>74</v>
      </c>
      <c r="H361" t="s">
        <v>142</v>
      </c>
      <c r="I361" t="s">
        <v>45</v>
      </c>
      <c r="J361" t="s">
        <v>79</v>
      </c>
      <c r="K361" t="s">
        <v>25</v>
      </c>
      <c r="L361">
        <v>3</v>
      </c>
      <c r="M361" t="s">
        <v>26</v>
      </c>
      <c r="N361" t="s">
        <v>59</v>
      </c>
      <c r="O361" t="s">
        <v>76</v>
      </c>
      <c r="P361" t="s">
        <v>26</v>
      </c>
      <c r="Q361" t="s">
        <v>26</v>
      </c>
      <c r="R361">
        <v>30</v>
      </c>
      <c r="S361" t="s">
        <v>27</v>
      </c>
      <c r="T361" t="str">
        <f t="shared" si="10"/>
        <v>Quarterly</v>
      </c>
      <c r="U361">
        <f>VLOOKUP(T361,[1]tablescore!$B$3:$C$8, 2,FALSE)</f>
        <v>4</v>
      </c>
      <c r="V361" t="str">
        <f t="shared" si="11"/>
        <v>Low Loyalty</v>
      </c>
      <c r="W361" t="s">
        <v>97</v>
      </c>
    </row>
    <row r="362" spans="1:23" x14ac:dyDescent="0.25">
      <c r="A362">
        <v>361</v>
      </c>
      <c r="B362">
        <v>51</v>
      </c>
      <c r="C362" t="str" cm="1">
        <f t="array" ref="C362">_xlfn.IFS(
  AND(B362&gt;=18, B362&lt;=24), "18-24",
  AND(B362&gt;=25, B362&lt;=34), "25-34",
  AND(B362&gt;=35, B362&lt;=44), "35-44",
  AND(B362&gt;=45, B362&lt;=54), "45-54",
  B362&gt;=55, "55+"
)</f>
        <v>45-54</v>
      </c>
      <c r="D362" t="s">
        <v>19</v>
      </c>
      <c r="E362" t="s">
        <v>95</v>
      </c>
      <c r="F362" t="s">
        <v>21</v>
      </c>
      <c r="G362">
        <v>30</v>
      </c>
      <c r="H362" t="s">
        <v>44</v>
      </c>
      <c r="I362" t="s">
        <v>45</v>
      </c>
      <c r="J362" t="s">
        <v>86</v>
      </c>
      <c r="K362" t="s">
        <v>54</v>
      </c>
      <c r="L362">
        <v>3</v>
      </c>
      <c r="M362" t="s">
        <v>26</v>
      </c>
      <c r="N362" t="s">
        <v>34</v>
      </c>
      <c r="O362" t="s">
        <v>55</v>
      </c>
      <c r="P362" t="s">
        <v>26</v>
      </c>
      <c r="Q362" t="s">
        <v>26</v>
      </c>
      <c r="R362">
        <v>18</v>
      </c>
      <c r="S362" t="s">
        <v>59</v>
      </c>
      <c r="T362" t="str">
        <f t="shared" si="10"/>
        <v>2-week</v>
      </c>
      <c r="U362">
        <f>VLOOKUP(T362,[1]tablescore!$B$3:$C$8, 2,FALSE)</f>
        <v>26</v>
      </c>
      <c r="V362" t="str">
        <f t="shared" si="11"/>
        <v>Loyal</v>
      </c>
      <c r="W362" t="s">
        <v>30</v>
      </c>
    </row>
    <row r="363" spans="1:23" x14ac:dyDescent="0.25">
      <c r="A363">
        <v>362</v>
      </c>
      <c r="B363">
        <v>65</v>
      </c>
      <c r="C363" t="str" cm="1">
        <f t="array" ref="C363">_xlfn.IFS(
  AND(B363&gt;=18, B363&lt;=24), "18-24",
  AND(B363&gt;=25, B363&lt;=34), "25-34",
  AND(B363&gt;=35, B363&lt;=44), "35-44",
  AND(B363&gt;=45, B363&lt;=54), "45-54",
  B363&gt;=55, "55+"
)</f>
        <v>55+</v>
      </c>
      <c r="D363" t="s">
        <v>19</v>
      </c>
      <c r="E363" t="s">
        <v>113</v>
      </c>
      <c r="F363" t="s">
        <v>21</v>
      </c>
      <c r="G363">
        <v>96</v>
      </c>
      <c r="H363" t="s">
        <v>107</v>
      </c>
      <c r="I363" t="s">
        <v>45</v>
      </c>
      <c r="J363" t="s">
        <v>53</v>
      </c>
      <c r="K363" t="s">
        <v>39</v>
      </c>
      <c r="L363">
        <v>2.6</v>
      </c>
      <c r="M363" t="s">
        <v>26</v>
      </c>
      <c r="N363" t="s">
        <v>34</v>
      </c>
      <c r="O363" t="s">
        <v>40</v>
      </c>
      <c r="P363" t="s">
        <v>26</v>
      </c>
      <c r="Q363" t="s">
        <v>26</v>
      </c>
      <c r="R363">
        <v>45</v>
      </c>
      <c r="S363" t="s">
        <v>35</v>
      </c>
      <c r="T363" t="str">
        <f t="shared" si="10"/>
        <v>Annually</v>
      </c>
      <c r="U363">
        <f>VLOOKUP(T363,[1]tablescore!$B$3:$C$8, 2,FALSE)</f>
        <v>1</v>
      </c>
      <c r="V363" t="str">
        <f t="shared" si="11"/>
        <v>Low Loyalty</v>
      </c>
      <c r="W363" t="s">
        <v>50</v>
      </c>
    </row>
    <row r="364" spans="1:23" x14ac:dyDescent="0.25">
      <c r="A364">
        <v>363</v>
      </c>
      <c r="B364">
        <v>53</v>
      </c>
      <c r="C364" t="str" cm="1">
        <f t="array" ref="C364">_xlfn.IFS(
  AND(B364&gt;=18, B364&lt;=24), "18-24",
  AND(B364&gt;=25, B364&lt;=34), "25-34",
  AND(B364&gt;=35, B364&lt;=44), "35-44",
  AND(B364&gt;=45, B364&lt;=54), "45-54",
  B364&gt;=55, "55+"
)</f>
        <v>45-54</v>
      </c>
      <c r="D364" t="s">
        <v>19</v>
      </c>
      <c r="E364" t="s">
        <v>51</v>
      </c>
      <c r="F364" t="s">
        <v>43</v>
      </c>
      <c r="G364">
        <v>64</v>
      </c>
      <c r="H364" t="s">
        <v>105</v>
      </c>
      <c r="I364" t="s">
        <v>45</v>
      </c>
      <c r="J364" t="s">
        <v>63</v>
      </c>
      <c r="K364" t="s">
        <v>58</v>
      </c>
      <c r="L364">
        <v>3.4</v>
      </c>
      <c r="M364" t="s">
        <v>26</v>
      </c>
      <c r="N364" t="s">
        <v>35</v>
      </c>
      <c r="O364" t="s">
        <v>40</v>
      </c>
      <c r="P364" t="s">
        <v>26</v>
      </c>
      <c r="Q364" t="s">
        <v>26</v>
      </c>
      <c r="R364">
        <v>1</v>
      </c>
      <c r="S364" t="s">
        <v>29</v>
      </c>
      <c r="T364" t="str">
        <f t="shared" si="10"/>
        <v>2-week</v>
      </c>
      <c r="U364">
        <f>VLOOKUP(T364,[1]tablescore!$B$3:$C$8, 2,FALSE)</f>
        <v>26</v>
      </c>
      <c r="V364" t="str">
        <f t="shared" si="11"/>
        <v>Loyal</v>
      </c>
      <c r="W364" t="s">
        <v>30</v>
      </c>
    </row>
    <row r="365" spans="1:23" x14ac:dyDescent="0.25">
      <c r="A365">
        <v>364</v>
      </c>
      <c r="B365">
        <v>55</v>
      </c>
      <c r="C365" t="str" cm="1">
        <f t="array" ref="C365">_xlfn.IFS(
  AND(B365&gt;=18, B365&lt;=24), "18-24",
  AND(B365&gt;=25, B365&lt;=34), "25-34",
  AND(B365&gt;=35, B365&lt;=44), "35-44",
  AND(B365&gt;=45, B365&lt;=54), "45-54",
  B365&gt;=55, "55+"
)</f>
        <v>55+</v>
      </c>
      <c r="D365" t="s">
        <v>19</v>
      </c>
      <c r="E365" t="s">
        <v>61</v>
      </c>
      <c r="F365" t="s">
        <v>21</v>
      </c>
      <c r="G365">
        <v>88</v>
      </c>
      <c r="H365" t="s">
        <v>103</v>
      </c>
      <c r="I365" t="s">
        <v>23</v>
      </c>
      <c r="J365" t="s">
        <v>139</v>
      </c>
      <c r="K365" t="s">
        <v>25</v>
      </c>
      <c r="L365">
        <v>3.1</v>
      </c>
      <c r="M365" t="s">
        <v>26</v>
      </c>
      <c r="N365" t="s">
        <v>35</v>
      </c>
      <c r="O365" t="s">
        <v>40</v>
      </c>
      <c r="P365" t="s">
        <v>26</v>
      </c>
      <c r="Q365" t="s">
        <v>26</v>
      </c>
      <c r="R365">
        <v>42</v>
      </c>
      <c r="S365" t="s">
        <v>34</v>
      </c>
      <c r="T365" t="str">
        <f t="shared" si="10"/>
        <v>2-week</v>
      </c>
      <c r="U365">
        <f>VLOOKUP(T365,[1]tablescore!$B$3:$C$8, 2,FALSE)</f>
        <v>26</v>
      </c>
      <c r="V365" t="str">
        <f t="shared" si="11"/>
        <v>Loyal</v>
      </c>
      <c r="W365" t="s">
        <v>30</v>
      </c>
    </row>
    <row r="366" spans="1:23" x14ac:dyDescent="0.25">
      <c r="A366">
        <v>365</v>
      </c>
      <c r="B366">
        <v>62</v>
      </c>
      <c r="C366" t="str" cm="1">
        <f t="array" ref="C366">_xlfn.IFS(
  AND(B366&gt;=18, B366&lt;=24), "18-24",
  AND(B366&gt;=25, B366&lt;=34), "25-34",
  AND(B366&gt;=35, B366&lt;=44), "35-44",
  AND(B366&gt;=45, B366&lt;=54), "45-54",
  B366&gt;=55, "55+"
)</f>
        <v>55+</v>
      </c>
      <c r="D366" t="s">
        <v>19</v>
      </c>
      <c r="E366" t="s">
        <v>73</v>
      </c>
      <c r="F366" t="s">
        <v>43</v>
      </c>
      <c r="G366">
        <v>88</v>
      </c>
      <c r="H366" t="s">
        <v>114</v>
      </c>
      <c r="I366" t="s">
        <v>23</v>
      </c>
      <c r="J366" t="s">
        <v>63</v>
      </c>
      <c r="K366" t="s">
        <v>54</v>
      </c>
      <c r="L366">
        <v>3</v>
      </c>
      <c r="M366" t="s">
        <v>26</v>
      </c>
      <c r="N366" t="s">
        <v>59</v>
      </c>
      <c r="O366" t="s">
        <v>40</v>
      </c>
      <c r="P366" t="s">
        <v>26</v>
      </c>
      <c r="Q366" t="s">
        <v>26</v>
      </c>
      <c r="R366">
        <v>7</v>
      </c>
      <c r="S366" t="s">
        <v>29</v>
      </c>
      <c r="T366" t="str">
        <f t="shared" si="10"/>
        <v>Quarterly</v>
      </c>
      <c r="U366">
        <f>VLOOKUP(T366,[1]tablescore!$B$3:$C$8, 2,FALSE)</f>
        <v>4</v>
      </c>
      <c r="V366" t="str">
        <f t="shared" si="11"/>
        <v>Low Loyalty</v>
      </c>
      <c r="W366" t="s">
        <v>97</v>
      </c>
    </row>
    <row r="367" spans="1:23" x14ac:dyDescent="0.25">
      <c r="A367">
        <v>366</v>
      </c>
      <c r="B367">
        <v>55</v>
      </c>
      <c r="C367" t="str" cm="1">
        <f t="array" ref="C367">_xlfn.IFS(
  AND(B367&gt;=18, B367&lt;=24), "18-24",
  AND(B367&gt;=25, B367&lt;=34), "25-34",
  AND(B367&gt;=35, B367&lt;=44), "35-44",
  AND(B367&gt;=45, B367&lt;=54), "45-54",
  B367&gt;=55, "55+"
)</f>
        <v>55+</v>
      </c>
      <c r="D367" t="s">
        <v>19</v>
      </c>
      <c r="E367" t="s">
        <v>127</v>
      </c>
      <c r="F367" t="s">
        <v>69</v>
      </c>
      <c r="G367">
        <v>88</v>
      </c>
      <c r="H367" t="s">
        <v>66</v>
      </c>
      <c r="I367" t="s">
        <v>92</v>
      </c>
      <c r="J367" t="s">
        <v>24</v>
      </c>
      <c r="K367" t="s">
        <v>54</v>
      </c>
      <c r="L367">
        <v>3.7</v>
      </c>
      <c r="M367" t="s">
        <v>26</v>
      </c>
      <c r="N367" t="s">
        <v>46</v>
      </c>
      <c r="O367" t="s">
        <v>55</v>
      </c>
      <c r="P367" t="s">
        <v>26</v>
      </c>
      <c r="Q367" t="s">
        <v>26</v>
      </c>
      <c r="R367">
        <v>50</v>
      </c>
      <c r="S367" t="s">
        <v>46</v>
      </c>
      <c r="T367" t="str">
        <f t="shared" si="10"/>
        <v>Quarterly</v>
      </c>
      <c r="U367">
        <f>VLOOKUP(T367,[1]tablescore!$B$3:$C$8, 2,FALSE)</f>
        <v>4</v>
      </c>
      <c r="V367" t="str">
        <f t="shared" si="11"/>
        <v>Low Loyalty</v>
      </c>
      <c r="W367" t="s">
        <v>60</v>
      </c>
    </row>
    <row r="368" spans="1:23" x14ac:dyDescent="0.25">
      <c r="A368">
        <v>367</v>
      </c>
      <c r="B368">
        <v>64</v>
      </c>
      <c r="C368" t="str" cm="1">
        <f t="array" ref="C368">_xlfn.IFS(
  AND(B368&gt;=18, B368&lt;=24), "18-24",
  AND(B368&gt;=25, B368&lt;=34), "25-34",
  AND(B368&gt;=35, B368&lt;=44), "35-44",
  AND(B368&gt;=45, B368&lt;=54), "45-54",
  B368&gt;=55, "55+"
)</f>
        <v>55+</v>
      </c>
      <c r="D368" t="s">
        <v>19</v>
      </c>
      <c r="E368" t="s">
        <v>131</v>
      </c>
      <c r="F368" t="s">
        <v>21</v>
      </c>
      <c r="G368">
        <v>36</v>
      </c>
      <c r="H368" t="s">
        <v>143</v>
      </c>
      <c r="I368" t="s">
        <v>45</v>
      </c>
      <c r="J368" t="s">
        <v>49</v>
      </c>
      <c r="K368" t="s">
        <v>39</v>
      </c>
      <c r="L368">
        <v>3.5</v>
      </c>
      <c r="M368" t="s">
        <v>26</v>
      </c>
      <c r="N368" t="s">
        <v>34</v>
      </c>
      <c r="O368" t="s">
        <v>76</v>
      </c>
      <c r="P368" t="s">
        <v>26</v>
      </c>
      <c r="Q368" t="s">
        <v>26</v>
      </c>
      <c r="R368">
        <v>37</v>
      </c>
      <c r="S368" t="s">
        <v>29</v>
      </c>
      <c r="T368" t="str">
        <f t="shared" si="10"/>
        <v>2-week</v>
      </c>
      <c r="U368">
        <f>VLOOKUP(T368,[1]tablescore!$B$3:$C$8, 2,FALSE)</f>
        <v>26</v>
      </c>
      <c r="V368" t="str">
        <f t="shared" si="11"/>
        <v>Loyal</v>
      </c>
      <c r="W368" t="s">
        <v>30</v>
      </c>
    </row>
    <row r="369" spans="1:23" x14ac:dyDescent="0.25">
      <c r="A369">
        <v>368</v>
      </c>
      <c r="B369">
        <v>52</v>
      </c>
      <c r="C369" t="str" cm="1">
        <f t="array" ref="C369">_xlfn.IFS(
  AND(B369&gt;=18, B369&lt;=24), "18-24",
  AND(B369&gt;=25, B369&lt;=34), "25-34",
  AND(B369&gt;=35, B369&lt;=44), "35-44",
  AND(B369&gt;=45, B369&lt;=54), "45-54",
  B369&gt;=55, "55+"
)</f>
        <v>45-54</v>
      </c>
      <c r="D369" t="s">
        <v>19</v>
      </c>
      <c r="E369" t="s">
        <v>82</v>
      </c>
      <c r="F369" t="s">
        <v>21</v>
      </c>
      <c r="G369">
        <v>40</v>
      </c>
      <c r="H369" t="s">
        <v>122</v>
      </c>
      <c r="I369" t="s">
        <v>92</v>
      </c>
      <c r="J369" t="s">
        <v>109</v>
      </c>
      <c r="K369" t="s">
        <v>39</v>
      </c>
      <c r="L369">
        <v>2.8</v>
      </c>
      <c r="M369" t="s">
        <v>26</v>
      </c>
      <c r="N369" t="s">
        <v>27</v>
      </c>
      <c r="O369" t="s">
        <v>76</v>
      </c>
      <c r="P369" t="s">
        <v>26</v>
      </c>
      <c r="Q369" t="s">
        <v>26</v>
      </c>
      <c r="R369">
        <v>18</v>
      </c>
      <c r="S369" t="s">
        <v>34</v>
      </c>
      <c r="T369" t="str">
        <f t="shared" si="10"/>
        <v>Month</v>
      </c>
      <c r="U369">
        <f>VLOOKUP(T369,[1]tablescore!$B$3:$C$8, 2,FALSE)</f>
        <v>12</v>
      </c>
      <c r="V369" t="str">
        <f t="shared" si="11"/>
        <v>Moderate</v>
      </c>
      <c r="W369" t="s">
        <v>88</v>
      </c>
    </row>
    <row r="370" spans="1:23" x14ac:dyDescent="0.25">
      <c r="A370">
        <v>369</v>
      </c>
      <c r="B370">
        <v>24</v>
      </c>
      <c r="C370" t="str" cm="1">
        <f t="array" ref="C370">_xlfn.IFS(
  AND(B370&gt;=18, B370&lt;=24), "18-24",
  AND(B370&gt;=25, B370&lt;=34), "25-34",
  AND(B370&gt;=35, B370&lt;=44), "35-44",
  AND(B370&gt;=45, B370&lt;=54), "45-54",
  B370&gt;=55, "55+"
)</f>
        <v>18-24</v>
      </c>
      <c r="D370" t="s">
        <v>19</v>
      </c>
      <c r="E370" t="s">
        <v>68</v>
      </c>
      <c r="F370" t="s">
        <v>69</v>
      </c>
      <c r="G370">
        <v>39</v>
      </c>
      <c r="H370" t="s">
        <v>101</v>
      </c>
      <c r="I370" t="s">
        <v>45</v>
      </c>
      <c r="J370" t="s">
        <v>63</v>
      </c>
      <c r="K370" t="s">
        <v>39</v>
      </c>
      <c r="L370">
        <v>4.5</v>
      </c>
      <c r="M370" t="s">
        <v>26</v>
      </c>
      <c r="N370" t="s">
        <v>29</v>
      </c>
      <c r="O370" t="s">
        <v>55</v>
      </c>
      <c r="P370" t="s">
        <v>26</v>
      </c>
      <c r="Q370" t="s">
        <v>26</v>
      </c>
      <c r="R370">
        <v>29</v>
      </c>
      <c r="S370" t="s">
        <v>35</v>
      </c>
      <c r="T370" t="str">
        <f t="shared" si="10"/>
        <v>Month</v>
      </c>
      <c r="U370">
        <f>VLOOKUP(T370,[1]tablescore!$B$3:$C$8, 2,FALSE)</f>
        <v>12</v>
      </c>
      <c r="V370" t="str">
        <f t="shared" si="11"/>
        <v>Moderate</v>
      </c>
      <c r="W370" t="s">
        <v>88</v>
      </c>
    </row>
    <row r="371" spans="1:23" x14ac:dyDescent="0.25">
      <c r="A371">
        <v>370</v>
      </c>
      <c r="B371">
        <v>38</v>
      </c>
      <c r="C371" t="str" cm="1">
        <f t="array" ref="C371">_xlfn.IFS(
  AND(B371&gt;=18, B371&lt;=24), "18-24",
  AND(B371&gt;=25, B371&lt;=34), "25-34",
  AND(B371&gt;=35, B371&lt;=44), "35-44",
  AND(B371&gt;=45, B371&lt;=54), "45-54",
  B371&gt;=55, "55+"
)</f>
        <v>35-44</v>
      </c>
      <c r="D371" t="s">
        <v>19</v>
      </c>
      <c r="E371" t="s">
        <v>136</v>
      </c>
      <c r="F371" t="s">
        <v>69</v>
      </c>
      <c r="G371">
        <v>40</v>
      </c>
      <c r="H371" t="s">
        <v>148</v>
      </c>
      <c r="I371" t="s">
        <v>45</v>
      </c>
      <c r="J371" t="s">
        <v>67</v>
      </c>
      <c r="K371" t="s">
        <v>54</v>
      </c>
      <c r="L371">
        <v>3.3</v>
      </c>
      <c r="M371" t="s">
        <v>26</v>
      </c>
      <c r="N371" t="s">
        <v>35</v>
      </c>
      <c r="O371" t="s">
        <v>76</v>
      </c>
      <c r="P371" t="s">
        <v>26</v>
      </c>
      <c r="Q371" t="s">
        <v>26</v>
      </c>
      <c r="R371">
        <v>45</v>
      </c>
      <c r="S371" t="s">
        <v>46</v>
      </c>
      <c r="T371" t="str">
        <f t="shared" si="10"/>
        <v>Quarterly</v>
      </c>
      <c r="U371">
        <f>VLOOKUP(T371,[1]tablescore!$B$3:$C$8, 2,FALSE)</f>
        <v>4</v>
      </c>
      <c r="V371" t="str">
        <f t="shared" si="11"/>
        <v>Low Loyalty</v>
      </c>
      <c r="W371" t="s">
        <v>60</v>
      </c>
    </row>
    <row r="372" spans="1:23" x14ac:dyDescent="0.25">
      <c r="A372">
        <v>371</v>
      </c>
      <c r="B372">
        <v>59</v>
      </c>
      <c r="C372" t="str" cm="1">
        <f t="array" ref="C372">_xlfn.IFS(
  AND(B372&gt;=18, B372&lt;=24), "18-24",
  AND(B372&gt;=25, B372&lt;=34), "25-34",
  AND(B372&gt;=35, B372&lt;=44), "35-44",
  AND(B372&gt;=45, B372&lt;=54), "45-54",
  B372&gt;=55, "55+"
)</f>
        <v>55+</v>
      </c>
      <c r="D372" t="s">
        <v>19</v>
      </c>
      <c r="E372" t="s">
        <v>119</v>
      </c>
      <c r="F372" t="s">
        <v>69</v>
      </c>
      <c r="G372">
        <v>34</v>
      </c>
      <c r="H372" t="s">
        <v>48</v>
      </c>
      <c r="I372" t="s">
        <v>45</v>
      </c>
      <c r="J372" t="s">
        <v>79</v>
      </c>
      <c r="K372" t="s">
        <v>25</v>
      </c>
      <c r="L372">
        <v>3.4</v>
      </c>
      <c r="M372" t="s">
        <v>26</v>
      </c>
      <c r="N372" t="s">
        <v>27</v>
      </c>
      <c r="O372" t="s">
        <v>28</v>
      </c>
      <c r="P372" t="s">
        <v>26</v>
      </c>
      <c r="Q372" t="s">
        <v>26</v>
      </c>
      <c r="R372">
        <v>13</v>
      </c>
      <c r="S372" t="s">
        <v>46</v>
      </c>
      <c r="T372" t="str">
        <f t="shared" si="10"/>
        <v>Daily</v>
      </c>
      <c r="U372">
        <f>VLOOKUP(T372,[1]tablescore!$B$3:$C$8, 2,FALSE)</f>
        <v>30</v>
      </c>
      <c r="V372" t="str">
        <f t="shared" si="11"/>
        <v>Highly Loyal</v>
      </c>
      <c r="W372" t="s">
        <v>41</v>
      </c>
    </row>
    <row r="373" spans="1:23" x14ac:dyDescent="0.25">
      <c r="A373">
        <v>372</v>
      </c>
      <c r="B373">
        <v>27</v>
      </c>
      <c r="C373" t="str" cm="1">
        <f t="array" ref="C373">_xlfn.IFS(
  AND(B373&gt;=18, B373&lt;=24), "18-24",
  AND(B373&gt;=25, B373&lt;=34), "25-34",
  AND(B373&gt;=35, B373&lt;=44), "35-44",
  AND(B373&gt;=45, B373&lt;=54), "45-54",
  B373&gt;=55, "55+"
)</f>
        <v>25-34</v>
      </c>
      <c r="D373" t="s">
        <v>19</v>
      </c>
      <c r="E373" t="s">
        <v>51</v>
      </c>
      <c r="F373" t="s">
        <v>43</v>
      </c>
      <c r="G373">
        <v>83</v>
      </c>
      <c r="H373" t="s">
        <v>98</v>
      </c>
      <c r="I373" t="s">
        <v>38</v>
      </c>
      <c r="J373" t="s">
        <v>71</v>
      </c>
      <c r="K373" t="s">
        <v>25</v>
      </c>
      <c r="L373">
        <v>3.2</v>
      </c>
      <c r="M373" t="s">
        <v>26</v>
      </c>
      <c r="N373" t="s">
        <v>34</v>
      </c>
      <c r="O373" t="s">
        <v>72</v>
      </c>
      <c r="P373" t="s">
        <v>26</v>
      </c>
      <c r="Q373" t="s">
        <v>26</v>
      </c>
      <c r="R373">
        <v>47</v>
      </c>
      <c r="S373" t="s">
        <v>46</v>
      </c>
      <c r="T373" t="str">
        <f t="shared" si="10"/>
        <v>Month</v>
      </c>
      <c r="U373">
        <f>VLOOKUP(T373,[1]tablescore!$B$3:$C$8, 2,FALSE)</f>
        <v>12</v>
      </c>
      <c r="V373" t="str">
        <f t="shared" si="11"/>
        <v>Moderate</v>
      </c>
      <c r="W373" t="s">
        <v>88</v>
      </c>
    </row>
    <row r="374" spans="1:23" x14ac:dyDescent="0.25">
      <c r="A374">
        <v>373</v>
      </c>
      <c r="B374">
        <v>24</v>
      </c>
      <c r="C374" t="str" cm="1">
        <f t="array" ref="C374">_xlfn.IFS(
  AND(B374&gt;=18, B374&lt;=24), "18-24",
  AND(B374&gt;=25, B374&lt;=34), "25-34",
  AND(B374&gt;=35, B374&lt;=44), "35-44",
  AND(B374&gt;=45, B374&lt;=54), "45-54",
  B374&gt;=55, "55+"
)</f>
        <v>18-24</v>
      </c>
      <c r="D374" t="s">
        <v>19</v>
      </c>
      <c r="E374" t="s">
        <v>31</v>
      </c>
      <c r="F374" t="s">
        <v>21</v>
      </c>
      <c r="G374">
        <v>85</v>
      </c>
      <c r="H374" t="s">
        <v>141</v>
      </c>
      <c r="I374" t="s">
        <v>23</v>
      </c>
      <c r="J374" t="s">
        <v>121</v>
      </c>
      <c r="K374" t="s">
        <v>54</v>
      </c>
      <c r="L374">
        <v>3.7</v>
      </c>
      <c r="M374" t="s">
        <v>26</v>
      </c>
      <c r="N374" t="s">
        <v>27</v>
      </c>
      <c r="O374" t="s">
        <v>55</v>
      </c>
      <c r="P374" t="s">
        <v>26</v>
      </c>
      <c r="Q374" t="s">
        <v>26</v>
      </c>
      <c r="R374">
        <v>7</v>
      </c>
      <c r="S374" t="s">
        <v>59</v>
      </c>
      <c r="T374" t="str">
        <f t="shared" si="10"/>
        <v>Daily</v>
      </c>
      <c r="U374">
        <f>VLOOKUP(T374,[1]tablescore!$B$3:$C$8, 2,FALSE)</f>
        <v>30</v>
      </c>
      <c r="V374" t="str">
        <f t="shared" si="11"/>
        <v>Highly Loyal</v>
      </c>
      <c r="W374" t="s">
        <v>41</v>
      </c>
    </row>
    <row r="375" spans="1:23" x14ac:dyDescent="0.25">
      <c r="A375">
        <v>374</v>
      </c>
      <c r="B375">
        <v>23</v>
      </c>
      <c r="C375" t="str" cm="1">
        <f t="array" ref="C375">_xlfn.IFS(
  AND(B375&gt;=18, B375&lt;=24), "18-24",
  AND(B375&gt;=25, B375&lt;=34), "25-34",
  AND(B375&gt;=35, B375&lt;=44), "35-44",
  AND(B375&gt;=45, B375&lt;=54), "45-54",
  B375&gt;=55, "55+"
)</f>
        <v>18-24</v>
      </c>
      <c r="D375" t="s">
        <v>19</v>
      </c>
      <c r="E375" t="s">
        <v>64</v>
      </c>
      <c r="F375" t="s">
        <v>65</v>
      </c>
      <c r="G375">
        <v>27</v>
      </c>
      <c r="H375" t="s">
        <v>114</v>
      </c>
      <c r="I375" t="s">
        <v>23</v>
      </c>
      <c r="J375" t="s">
        <v>53</v>
      </c>
      <c r="K375" t="s">
        <v>54</v>
      </c>
      <c r="L375">
        <v>4.5999999999999996</v>
      </c>
      <c r="M375" t="s">
        <v>26</v>
      </c>
      <c r="N375" t="s">
        <v>34</v>
      </c>
      <c r="O375" t="s">
        <v>28</v>
      </c>
      <c r="P375" t="s">
        <v>26</v>
      </c>
      <c r="Q375" t="s">
        <v>26</v>
      </c>
      <c r="R375">
        <v>11</v>
      </c>
      <c r="S375" t="s">
        <v>29</v>
      </c>
      <c r="T375" t="str">
        <f t="shared" si="10"/>
        <v>2-week</v>
      </c>
      <c r="U375">
        <f>VLOOKUP(T375,[1]tablescore!$B$3:$C$8, 2,FALSE)</f>
        <v>26</v>
      </c>
      <c r="V375" t="str">
        <f t="shared" si="11"/>
        <v>Loyal</v>
      </c>
      <c r="W375" t="s">
        <v>77</v>
      </c>
    </row>
    <row r="376" spans="1:23" x14ac:dyDescent="0.25">
      <c r="A376">
        <v>375</v>
      </c>
      <c r="B376">
        <v>69</v>
      </c>
      <c r="C376" t="str" cm="1">
        <f t="array" ref="C376">_xlfn.IFS(
  AND(B376&gt;=18, B376&lt;=24), "18-24",
  AND(B376&gt;=25, B376&lt;=34), "25-34",
  AND(B376&gt;=35, B376&lt;=44), "35-44",
  AND(B376&gt;=45, B376&lt;=54), "45-54",
  B376&gt;=55, "55+"
)</f>
        <v>55+</v>
      </c>
      <c r="D376" t="s">
        <v>19</v>
      </c>
      <c r="E376" t="s">
        <v>106</v>
      </c>
      <c r="F376" t="s">
        <v>69</v>
      </c>
      <c r="G376">
        <v>78</v>
      </c>
      <c r="H376" t="s">
        <v>124</v>
      </c>
      <c r="I376" t="s">
        <v>38</v>
      </c>
      <c r="J376" t="s">
        <v>75</v>
      </c>
      <c r="K376" t="s">
        <v>39</v>
      </c>
      <c r="L376">
        <v>5</v>
      </c>
      <c r="M376" t="s">
        <v>26</v>
      </c>
      <c r="N376" t="s">
        <v>34</v>
      </c>
      <c r="O376" t="s">
        <v>76</v>
      </c>
      <c r="P376" t="s">
        <v>26</v>
      </c>
      <c r="Q376" t="s">
        <v>26</v>
      </c>
      <c r="R376">
        <v>39</v>
      </c>
      <c r="S376" t="s">
        <v>34</v>
      </c>
      <c r="T376" t="str">
        <f t="shared" si="10"/>
        <v>Month</v>
      </c>
      <c r="U376">
        <f>VLOOKUP(T376,[1]tablescore!$B$3:$C$8, 2,FALSE)</f>
        <v>12</v>
      </c>
      <c r="V376" t="str">
        <f t="shared" si="11"/>
        <v>Moderate</v>
      </c>
      <c r="W376" t="s">
        <v>88</v>
      </c>
    </row>
    <row r="377" spans="1:23" x14ac:dyDescent="0.25">
      <c r="A377">
        <v>376</v>
      </c>
      <c r="B377">
        <v>59</v>
      </c>
      <c r="C377" t="str" cm="1">
        <f t="array" ref="C377">_xlfn.IFS(
  AND(B377&gt;=18, B377&lt;=24), "18-24",
  AND(B377&gt;=25, B377&lt;=34), "25-34",
  AND(B377&gt;=35, B377&lt;=44), "35-44",
  AND(B377&gt;=45, B377&lt;=54), "45-54",
  B377&gt;=55, "55+"
)</f>
        <v>55+</v>
      </c>
      <c r="D377" t="s">
        <v>19</v>
      </c>
      <c r="E377" t="s">
        <v>89</v>
      </c>
      <c r="F377" t="s">
        <v>69</v>
      </c>
      <c r="G377">
        <v>32</v>
      </c>
      <c r="H377" t="s">
        <v>101</v>
      </c>
      <c r="I377" t="s">
        <v>45</v>
      </c>
      <c r="J377" t="s">
        <v>79</v>
      </c>
      <c r="K377" t="s">
        <v>54</v>
      </c>
      <c r="L377">
        <v>4.4000000000000004</v>
      </c>
      <c r="M377" t="s">
        <v>26</v>
      </c>
      <c r="N377" t="s">
        <v>59</v>
      </c>
      <c r="O377" t="s">
        <v>55</v>
      </c>
      <c r="P377" t="s">
        <v>26</v>
      </c>
      <c r="Q377" t="s">
        <v>26</v>
      </c>
      <c r="R377">
        <v>6</v>
      </c>
      <c r="S377" t="s">
        <v>59</v>
      </c>
      <c r="T377" t="str">
        <f t="shared" si="10"/>
        <v>Quarterly</v>
      </c>
      <c r="U377">
        <f>VLOOKUP(T377,[1]tablescore!$B$3:$C$8, 2,FALSE)</f>
        <v>4</v>
      </c>
      <c r="V377" t="str">
        <f t="shared" si="11"/>
        <v>Low Loyalty</v>
      </c>
      <c r="W377" t="s">
        <v>60</v>
      </c>
    </row>
    <row r="378" spans="1:23" x14ac:dyDescent="0.25">
      <c r="A378">
        <v>377</v>
      </c>
      <c r="B378">
        <v>51</v>
      </c>
      <c r="C378" t="str" cm="1">
        <f t="array" ref="C378">_xlfn.IFS(
  AND(B378&gt;=18, B378&lt;=24), "18-24",
  AND(B378&gt;=25, B378&lt;=34), "25-34",
  AND(B378&gt;=35, B378&lt;=44), "35-44",
  AND(B378&gt;=45, B378&lt;=54), "45-54",
  B378&gt;=55, "55+"
)</f>
        <v>45-54</v>
      </c>
      <c r="D378" t="s">
        <v>19</v>
      </c>
      <c r="E378" t="s">
        <v>73</v>
      </c>
      <c r="F378" t="s">
        <v>43</v>
      </c>
      <c r="G378">
        <v>51</v>
      </c>
      <c r="H378" t="s">
        <v>126</v>
      </c>
      <c r="I378" t="s">
        <v>38</v>
      </c>
      <c r="J378" t="s">
        <v>24</v>
      </c>
      <c r="K378" t="s">
        <v>58</v>
      </c>
      <c r="L378">
        <v>4.9000000000000004</v>
      </c>
      <c r="M378" t="s">
        <v>26</v>
      </c>
      <c r="N378" t="s">
        <v>46</v>
      </c>
      <c r="O378" t="s">
        <v>28</v>
      </c>
      <c r="P378" t="s">
        <v>26</v>
      </c>
      <c r="Q378" t="s">
        <v>26</v>
      </c>
      <c r="R378">
        <v>2</v>
      </c>
      <c r="S378" t="s">
        <v>29</v>
      </c>
      <c r="T378" t="str">
        <f t="shared" si="10"/>
        <v>2-week</v>
      </c>
      <c r="U378">
        <f>VLOOKUP(T378,[1]tablescore!$B$3:$C$8, 2,FALSE)</f>
        <v>26</v>
      </c>
      <c r="V378" t="str">
        <f t="shared" si="11"/>
        <v>Loyal</v>
      </c>
      <c r="W378" t="s">
        <v>77</v>
      </c>
    </row>
    <row r="379" spans="1:23" x14ac:dyDescent="0.25">
      <c r="A379">
        <v>378</v>
      </c>
      <c r="B379">
        <v>63</v>
      </c>
      <c r="C379" t="str" cm="1">
        <f t="array" ref="C379">_xlfn.IFS(
  AND(B379&gt;=18, B379&lt;=24), "18-24",
  AND(B379&gt;=25, B379&lt;=34), "25-34",
  AND(B379&gt;=35, B379&lt;=44), "35-44",
  AND(B379&gt;=45, B379&lt;=54), "45-54",
  B379&gt;=55, "55+"
)</f>
        <v>55+</v>
      </c>
      <c r="D379" t="s">
        <v>19</v>
      </c>
      <c r="E379" t="s">
        <v>119</v>
      </c>
      <c r="F379" t="s">
        <v>69</v>
      </c>
      <c r="G379">
        <v>32</v>
      </c>
      <c r="H379" t="s">
        <v>32</v>
      </c>
      <c r="I379" t="s">
        <v>45</v>
      </c>
      <c r="J379" t="s">
        <v>67</v>
      </c>
      <c r="K379" t="s">
        <v>39</v>
      </c>
      <c r="L379">
        <v>4.0999999999999996</v>
      </c>
      <c r="M379" t="s">
        <v>26</v>
      </c>
      <c r="N379" t="s">
        <v>59</v>
      </c>
      <c r="O379" t="s">
        <v>55</v>
      </c>
      <c r="P379" t="s">
        <v>26</v>
      </c>
      <c r="Q379" t="s">
        <v>26</v>
      </c>
      <c r="R379">
        <v>39</v>
      </c>
      <c r="S379" t="s">
        <v>27</v>
      </c>
      <c r="T379" t="str">
        <f t="shared" si="10"/>
        <v>Quarterly</v>
      </c>
      <c r="U379">
        <f>VLOOKUP(T379,[1]tablescore!$B$3:$C$8, 2,FALSE)</f>
        <v>4</v>
      </c>
      <c r="V379" t="str">
        <f t="shared" si="11"/>
        <v>Low Loyalty</v>
      </c>
      <c r="W379" t="s">
        <v>97</v>
      </c>
    </row>
    <row r="380" spans="1:23" x14ac:dyDescent="0.25">
      <c r="A380">
        <v>379</v>
      </c>
      <c r="B380">
        <v>54</v>
      </c>
      <c r="C380" t="str" cm="1">
        <f t="array" ref="C380">_xlfn.IFS(
  AND(B380&gt;=18, B380&lt;=24), "18-24",
  AND(B380&gt;=25, B380&lt;=34), "25-34",
  AND(B380&gt;=35, B380&lt;=44), "35-44",
  AND(B380&gt;=45, B380&lt;=54), "45-54",
  B380&gt;=55, "55+"
)</f>
        <v>45-54</v>
      </c>
      <c r="D380" t="s">
        <v>19</v>
      </c>
      <c r="E380" t="s">
        <v>82</v>
      </c>
      <c r="F380" t="s">
        <v>21</v>
      </c>
      <c r="G380">
        <v>62</v>
      </c>
      <c r="H380" t="s">
        <v>107</v>
      </c>
      <c r="I380" t="s">
        <v>23</v>
      </c>
      <c r="J380" t="s">
        <v>121</v>
      </c>
      <c r="K380" t="s">
        <v>25</v>
      </c>
      <c r="L380">
        <v>4.9000000000000004</v>
      </c>
      <c r="M380" t="s">
        <v>26</v>
      </c>
      <c r="N380" t="s">
        <v>35</v>
      </c>
      <c r="O380" t="s">
        <v>47</v>
      </c>
      <c r="P380" t="s">
        <v>26</v>
      </c>
      <c r="Q380" t="s">
        <v>26</v>
      </c>
      <c r="R380">
        <v>23</v>
      </c>
      <c r="S380" t="s">
        <v>27</v>
      </c>
      <c r="T380" t="str">
        <f t="shared" si="10"/>
        <v>Month</v>
      </c>
      <c r="U380">
        <f>VLOOKUP(T380,[1]tablescore!$B$3:$C$8, 2,FALSE)</f>
        <v>12</v>
      </c>
      <c r="V380" t="str">
        <f t="shared" si="11"/>
        <v>Moderate</v>
      </c>
      <c r="W380" t="s">
        <v>88</v>
      </c>
    </row>
    <row r="381" spans="1:23" x14ac:dyDescent="0.25">
      <c r="A381">
        <v>380</v>
      </c>
      <c r="B381">
        <v>32</v>
      </c>
      <c r="C381" t="str" cm="1">
        <f t="array" ref="C381">_xlfn.IFS(
  AND(B381&gt;=18, B381&lt;=24), "18-24",
  AND(B381&gt;=25, B381&lt;=34), "25-34",
  AND(B381&gt;=35, B381&lt;=44), "35-44",
  AND(B381&gt;=45, B381&lt;=54), "45-54",
  B381&gt;=55, "55+"
)</f>
        <v>25-34</v>
      </c>
      <c r="D381" t="s">
        <v>19</v>
      </c>
      <c r="E381" t="s">
        <v>113</v>
      </c>
      <c r="F381" t="s">
        <v>21</v>
      </c>
      <c r="G381">
        <v>29</v>
      </c>
      <c r="H381" t="s">
        <v>57</v>
      </c>
      <c r="I381" t="s">
        <v>38</v>
      </c>
      <c r="J381" t="s">
        <v>147</v>
      </c>
      <c r="K381" t="s">
        <v>58</v>
      </c>
      <c r="L381">
        <v>4.7</v>
      </c>
      <c r="M381" t="s">
        <v>26</v>
      </c>
      <c r="N381" t="s">
        <v>59</v>
      </c>
      <c r="O381" t="s">
        <v>72</v>
      </c>
      <c r="P381" t="s">
        <v>26</v>
      </c>
      <c r="Q381" t="s">
        <v>26</v>
      </c>
      <c r="R381">
        <v>46</v>
      </c>
      <c r="S381" t="s">
        <v>59</v>
      </c>
      <c r="T381" t="str">
        <f t="shared" si="10"/>
        <v>2-week</v>
      </c>
      <c r="U381">
        <f>VLOOKUP(T381,[1]tablescore!$B$3:$C$8, 2,FALSE)</f>
        <v>26</v>
      </c>
      <c r="V381" t="str">
        <f t="shared" si="11"/>
        <v>Loyal</v>
      </c>
      <c r="W381" t="s">
        <v>77</v>
      </c>
    </row>
    <row r="382" spans="1:23" x14ac:dyDescent="0.25">
      <c r="A382">
        <v>381</v>
      </c>
      <c r="B382">
        <v>39</v>
      </c>
      <c r="C382" t="str" cm="1">
        <f t="array" ref="C382">_xlfn.IFS(
  AND(B382&gt;=18, B382&lt;=24), "18-24",
  AND(B382&gt;=25, B382&lt;=34), "25-34",
  AND(B382&gt;=35, B382&lt;=44), "35-44",
  AND(B382&gt;=45, B382&lt;=54), "45-54",
  B382&gt;=55, "55+"
)</f>
        <v>35-44</v>
      </c>
      <c r="D382" t="s">
        <v>19</v>
      </c>
      <c r="E382" t="s">
        <v>133</v>
      </c>
      <c r="F382" t="s">
        <v>69</v>
      </c>
      <c r="G382">
        <v>69</v>
      </c>
      <c r="H382" t="s">
        <v>83</v>
      </c>
      <c r="I382" t="s">
        <v>92</v>
      </c>
      <c r="J382" t="s">
        <v>118</v>
      </c>
      <c r="K382" t="s">
        <v>58</v>
      </c>
      <c r="L382">
        <v>3</v>
      </c>
      <c r="M382" t="s">
        <v>26</v>
      </c>
      <c r="N382" t="s">
        <v>46</v>
      </c>
      <c r="O382" t="s">
        <v>76</v>
      </c>
      <c r="P382" t="s">
        <v>26</v>
      </c>
      <c r="Q382" t="s">
        <v>26</v>
      </c>
      <c r="R382">
        <v>19</v>
      </c>
      <c r="S382" t="s">
        <v>34</v>
      </c>
      <c r="T382" t="str">
        <f t="shared" si="10"/>
        <v>Daily</v>
      </c>
      <c r="U382">
        <f>VLOOKUP(T382,[1]tablescore!$B$3:$C$8, 2,FALSE)</f>
        <v>30</v>
      </c>
      <c r="V382" t="str">
        <f t="shared" si="11"/>
        <v>Highly Loyal</v>
      </c>
      <c r="W382" t="s">
        <v>41</v>
      </c>
    </row>
    <row r="383" spans="1:23" x14ac:dyDescent="0.25">
      <c r="A383">
        <v>382</v>
      </c>
      <c r="B383">
        <v>66</v>
      </c>
      <c r="C383" t="str" cm="1">
        <f t="array" ref="C383">_xlfn.IFS(
  AND(B383&gt;=18, B383&lt;=24), "18-24",
  AND(B383&gt;=25, B383&lt;=34), "25-34",
  AND(B383&gt;=35, B383&lt;=44), "35-44",
  AND(B383&gt;=45, B383&lt;=54), "45-54",
  B383&gt;=55, "55+"
)</f>
        <v>55+</v>
      </c>
      <c r="D383" t="s">
        <v>19</v>
      </c>
      <c r="E383" t="s">
        <v>106</v>
      </c>
      <c r="F383" t="s">
        <v>69</v>
      </c>
      <c r="G383">
        <v>25</v>
      </c>
      <c r="H383" t="s">
        <v>32</v>
      </c>
      <c r="I383" t="s">
        <v>23</v>
      </c>
      <c r="J383" t="s">
        <v>93</v>
      </c>
      <c r="K383" t="s">
        <v>25</v>
      </c>
      <c r="L383">
        <v>3.4</v>
      </c>
      <c r="M383" t="s">
        <v>26</v>
      </c>
      <c r="N383" t="s">
        <v>59</v>
      </c>
      <c r="O383" t="s">
        <v>76</v>
      </c>
      <c r="P383" t="s">
        <v>26</v>
      </c>
      <c r="Q383" t="s">
        <v>26</v>
      </c>
      <c r="R383">
        <v>3</v>
      </c>
      <c r="S383" t="s">
        <v>27</v>
      </c>
      <c r="T383" t="str">
        <f t="shared" si="10"/>
        <v>Quarterly</v>
      </c>
      <c r="U383">
        <f>VLOOKUP(T383,[1]tablescore!$B$3:$C$8, 2,FALSE)</f>
        <v>4</v>
      </c>
      <c r="V383" t="str">
        <f t="shared" si="11"/>
        <v>Low Loyalty</v>
      </c>
      <c r="W383" t="s">
        <v>97</v>
      </c>
    </row>
    <row r="384" spans="1:23" x14ac:dyDescent="0.25">
      <c r="A384">
        <v>383</v>
      </c>
      <c r="B384">
        <v>28</v>
      </c>
      <c r="C384" t="str" cm="1">
        <f t="array" ref="C384">_xlfn.IFS(
  AND(B384&gt;=18, B384&lt;=24), "18-24",
  AND(B384&gt;=25, B384&lt;=34), "25-34",
  AND(B384&gt;=35, B384&lt;=44), "35-44",
  AND(B384&gt;=45, B384&lt;=54), "45-54",
  B384&gt;=55, "55+"
)</f>
        <v>25-34</v>
      </c>
      <c r="D384" t="s">
        <v>19</v>
      </c>
      <c r="E384" t="s">
        <v>36</v>
      </c>
      <c r="F384" t="s">
        <v>21</v>
      </c>
      <c r="G384">
        <v>76</v>
      </c>
      <c r="H384" t="s">
        <v>99</v>
      </c>
      <c r="I384" t="s">
        <v>45</v>
      </c>
      <c r="J384" t="s">
        <v>100</v>
      </c>
      <c r="K384" t="s">
        <v>25</v>
      </c>
      <c r="L384">
        <v>3.2</v>
      </c>
      <c r="M384" t="s">
        <v>26</v>
      </c>
      <c r="N384" t="s">
        <v>46</v>
      </c>
      <c r="O384" t="s">
        <v>76</v>
      </c>
      <c r="P384" t="s">
        <v>26</v>
      </c>
      <c r="Q384" t="s">
        <v>26</v>
      </c>
      <c r="R384">
        <v>47</v>
      </c>
      <c r="S384" t="s">
        <v>46</v>
      </c>
      <c r="T384" t="str">
        <f t="shared" si="10"/>
        <v>Quarterly</v>
      </c>
      <c r="U384">
        <f>VLOOKUP(T384,[1]tablescore!$B$3:$C$8, 2,FALSE)</f>
        <v>4</v>
      </c>
      <c r="V384" t="str">
        <f t="shared" si="11"/>
        <v>Low Loyalty</v>
      </c>
      <c r="W384" t="s">
        <v>60</v>
      </c>
    </row>
    <row r="385" spans="1:23" x14ac:dyDescent="0.25">
      <c r="A385">
        <v>384</v>
      </c>
      <c r="B385">
        <v>50</v>
      </c>
      <c r="C385" t="str" cm="1">
        <f t="array" ref="C385">_xlfn.IFS(
  AND(B385&gt;=18, B385&lt;=24), "18-24",
  AND(B385&gt;=25, B385&lt;=34), "25-34",
  AND(B385&gt;=35, B385&lt;=44), "35-44",
  AND(B385&gt;=45, B385&lt;=54), "45-54",
  B385&gt;=55, "55+"
)</f>
        <v>45-54</v>
      </c>
      <c r="D385" t="s">
        <v>19</v>
      </c>
      <c r="E385" t="s">
        <v>89</v>
      </c>
      <c r="F385" t="s">
        <v>69</v>
      </c>
      <c r="G385">
        <v>77</v>
      </c>
      <c r="H385" t="s">
        <v>66</v>
      </c>
      <c r="I385" t="s">
        <v>38</v>
      </c>
      <c r="J385" t="s">
        <v>147</v>
      </c>
      <c r="K385" t="s">
        <v>58</v>
      </c>
      <c r="L385">
        <v>2.9</v>
      </c>
      <c r="M385" t="s">
        <v>26</v>
      </c>
      <c r="N385" t="s">
        <v>27</v>
      </c>
      <c r="O385" t="s">
        <v>55</v>
      </c>
      <c r="P385" t="s">
        <v>26</v>
      </c>
      <c r="Q385" t="s">
        <v>26</v>
      </c>
      <c r="R385">
        <v>6</v>
      </c>
      <c r="S385" t="s">
        <v>46</v>
      </c>
      <c r="T385" t="str">
        <f t="shared" si="10"/>
        <v>Quarterly</v>
      </c>
      <c r="U385">
        <f>VLOOKUP(T385,[1]tablescore!$B$3:$C$8, 2,FALSE)</f>
        <v>4</v>
      </c>
      <c r="V385" t="str">
        <f t="shared" si="11"/>
        <v>Low Loyalty</v>
      </c>
      <c r="W385" t="s">
        <v>60</v>
      </c>
    </row>
    <row r="386" spans="1:23" x14ac:dyDescent="0.25">
      <c r="A386">
        <v>385</v>
      </c>
      <c r="B386">
        <v>70</v>
      </c>
      <c r="C386" t="str" cm="1">
        <f t="array" ref="C386">_xlfn.IFS(
  AND(B386&gt;=18, B386&lt;=24), "18-24",
  AND(B386&gt;=25, B386&lt;=34), "25-34",
  AND(B386&gt;=35, B386&lt;=44), "35-44",
  AND(B386&gt;=45, B386&lt;=54), "45-54",
  B386&gt;=55, "55+"
)</f>
        <v>55+</v>
      </c>
      <c r="D386" t="s">
        <v>19</v>
      </c>
      <c r="E386" t="s">
        <v>31</v>
      </c>
      <c r="F386" t="s">
        <v>21</v>
      </c>
      <c r="G386">
        <v>33</v>
      </c>
      <c r="H386" t="s">
        <v>99</v>
      </c>
      <c r="I386" t="s">
        <v>45</v>
      </c>
      <c r="J386" t="s">
        <v>118</v>
      </c>
      <c r="K386" t="s">
        <v>58</v>
      </c>
      <c r="L386">
        <v>4.5</v>
      </c>
      <c r="M386" t="s">
        <v>26</v>
      </c>
      <c r="N386" t="s">
        <v>27</v>
      </c>
      <c r="O386" t="s">
        <v>72</v>
      </c>
      <c r="P386" t="s">
        <v>26</v>
      </c>
      <c r="Q386" t="s">
        <v>26</v>
      </c>
      <c r="R386">
        <v>6</v>
      </c>
      <c r="S386" t="s">
        <v>29</v>
      </c>
      <c r="T386" t="str">
        <f t="shared" si="10"/>
        <v>Annually</v>
      </c>
      <c r="U386">
        <f>VLOOKUP(T386,[1]tablescore!$B$3:$C$8, 2,FALSE)</f>
        <v>1</v>
      </c>
      <c r="V386" t="str">
        <f t="shared" si="11"/>
        <v>Low Loyalty</v>
      </c>
      <c r="W386" t="s">
        <v>50</v>
      </c>
    </row>
    <row r="387" spans="1:23" x14ac:dyDescent="0.25">
      <c r="A387">
        <v>386</v>
      </c>
      <c r="B387">
        <v>67</v>
      </c>
      <c r="C387" t="str" cm="1">
        <f t="array" ref="C387">_xlfn.IFS(
  AND(B387&gt;=18, B387&lt;=24), "18-24",
  AND(B387&gt;=25, B387&lt;=34), "25-34",
  AND(B387&gt;=35, B387&lt;=44), "35-44",
  AND(B387&gt;=45, B387&lt;=54), "45-54",
  B387&gt;=55, "55+"
)</f>
        <v>55+</v>
      </c>
      <c r="D387" t="s">
        <v>19</v>
      </c>
      <c r="E387" t="s">
        <v>61</v>
      </c>
      <c r="F387" t="s">
        <v>21</v>
      </c>
      <c r="G387">
        <v>93</v>
      </c>
      <c r="H387" t="s">
        <v>66</v>
      </c>
      <c r="I387" t="s">
        <v>38</v>
      </c>
      <c r="J387" t="s">
        <v>139</v>
      </c>
      <c r="K387" t="s">
        <v>58</v>
      </c>
      <c r="L387">
        <v>2.7</v>
      </c>
      <c r="M387" t="s">
        <v>26</v>
      </c>
      <c r="N387" t="s">
        <v>27</v>
      </c>
      <c r="O387" t="s">
        <v>47</v>
      </c>
      <c r="P387" t="s">
        <v>26</v>
      </c>
      <c r="Q387" t="s">
        <v>26</v>
      </c>
      <c r="R387">
        <v>12</v>
      </c>
      <c r="S387" t="s">
        <v>27</v>
      </c>
      <c r="T387" t="str">
        <f t="shared" ref="T387:T450" si="12">IF(TRIM(W387)="Every 3 months","Quarterly",IF(TRIM(W387)="Fortnightly","2-week",IF(TRIM(W387)="Bi-Weekly","2-week",IF(TRIM(W387)="Weekly","Daily",IF(TRIM(W387)="Monthly","Month",TRIM(W387))))))</f>
        <v>2-week</v>
      </c>
      <c r="U387">
        <f>VLOOKUP(T387,[1]tablescore!$B$3:$C$8, 2,FALSE)</f>
        <v>26</v>
      </c>
      <c r="V387" t="str">
        <f t="shared" ref="V387:V450" si="13">_xlfn.IFS(U387&gt;=30, "Highly Loyal", U387&gt;=26, "Loyal", U387&gt;=12, "Moderate", U387&lt;5, "Low Loyalty")</f>
        <v>Loyal</v>
      </c>
      <c r="W387" t="s">
        <v>77</v>
      </c>
    </row>
    <row r="388" spans="1:23" x14ac:dyDescent="0.25">
      <c r="A388">
        <v>387</v>
      </c>
      <c r="B388">
        <v>64</v>
      </c>
      <c r="C388" t="str" cm="1">
        <f t="array" ref="C388">_xlfn.IFS(
  AND(B388&gt;=18, B388&lt;=24), "18-24",
  AND(B388&gt;=25, B388&lt;=34), "25-34",
  AND(B388&gt;=35, B388&lt;=44), "35-44",
  AND(B388&gt;=45, B388&lt;=54), "45-54",
  B388&gt;=55, "55+"
)</f>
        <v>55+</v>
      </c>
      <c r="D388" t="s">
        <v>19</v>
      </c>
      <c r="E388" t="s">
        <v>106</v>
      </c>
      <c r="F388" t="s">
        <v>69</v>
      </c>
      <c r="G388">
        <v>39</v>
      </c>
      <c r="H388" t="s">
        <v>62</v>
      </c>
      <c r="I388" t="s">
        <v>23</v>
      </c>
      <c r="J388" t="s">
        <v>110</v>
      </c>
      <c r="K388" t="s">
        <v>39</v>
      </c>
      <c r="L388">
        <v>3.4</v>
      </c>
      <c r="M388" t="s">
        <v>26</v>
      </c>
      <c r="N388" t="s">
        <v>35</v>
      </c>
      <c r="O388" t="s">
        <v>28</v>
      </c>
      <c r="P388" t="s">
        <v>26</v>
      </c>
      <c r="Q388" t="s">
        <v>26</v>
      </c>
      <c r="R388">
        <v>40</v>
      </c>
      <c r="S388" t="s">
        <v>46</v>
      </c>
      <c r="T388" t="str">
        <f t="shared" si="12"/>
        <v>Quarterly</v>
      </c>
      <c r="U388">
        <f>VLOOKUP(T388,[1]tablescore!$B$3:$C$8, 2,FALSE)</f>
        <v>4</v>
      </c>
      <c r="V388" t="str">
        <f t="shared" si="13"/>
        <v>Low Loyalty</v>
      </c>
      <c r="W388" t="s">
        <v>60</v>
      </c>
    </row>
    <row r="389" spans="1:23" x14ac:dyDescent="0.25">
      <c r="A389">
        <v>388</v>
      </c>
      <c r="B389">
        <v>45</v>
      </c>
      <c r="C389" t="str" cm="1">
        <f t="array" ref="C389">_xlfn.IFS(
  AND(B389&gt;=18, B389&lt;=24), "18-24",
  AND(B389&gt;=25, B389&lt;=34), "25-34",
  AND(B389&gt;=35, B389&lt;=44), "35-44",
  AND(B389&gt;=45, B389&lt;=54), "45-54",
  B389&gt;=55, "55+"
)</f>
        <v>45-54</v>
      </c>
      <c r="D389" t="s">
        <v>19</v>
      </c>
      <c r="E389" t="s">
        <v>64</v>
      </c>
      <c r="F389" t="s">
        <v>65</v>
      </c>
      <c r="G389">
        <v>93</v>
      </c>
      <c r="H389" t="s">
        <v>142</v>
      </c>
      <c r="I389" t="s">
        <v>23</v>
      </c>
      <c r="J389" t="s">
        <v>67</v>
      </c>
      <c r="K389" t="s">
        <v>54</v>
      </c>
      <c r="L389">
        <v>4.5999999999999996</v>
      </c>
      <c r="M389" t="s">
        <v>26</v>
      </c>
      <c r="N389" t="s">
        <v>35</v>
      </c>
      <c r="O389" t="s">
        <v>76</v>
      </c>
      <c r="P389" t="s">
        <v>26</v>
      </c>
      <c r="Q389" t="s">
        <v>26</v>
      </c>
      <c r="R389">
        <v>38</v>
      </c>
      <c r="S389" t="s">
        <v>46</v>
      </c>
      <c r="T389" t="str">
        <f t="shared" si="12"/>
        <v>2-week</v>
      </c>
      <c r="U389">
        <f>VLOOKUP(T389,[1]tablescore!$B$3:$C$8, 2,FALSE)</f>
        <v>26</v>
      </c>
      <c r="V389" t="str">
        <f t="shared" si="13"/>
        <v>Loyal</v>
      </c>
      <c r="W389" t="s">
        <v>30</v>
      </c>
    </row>
    <row r="390" spans="1:23" x14ac:dyDescent="0.25">
      <c r="A390">
        <v>389</v>
      </c>
      <c r="B390">
        <v>22</v>
      </c>
      <c r="C390" t="str" cm="1">
        <f t="array" ref="C390">_xlfn.IFS(
  AND(B390&gt;=18, B390&lt;=24), "18-24",
  AND(B390&gt;=25, B390&lt;=34), "25-34",
  AND(B390&gt;=35, B390&lt;=44), "35-44",
  AND(B390&gt;=45, B390&lt;=54), "45-54",
  B390&gt;=55, "55+"
)</f>
        <v>18-24</v>
      </c>
      <c r="D390" t="s">
        <v>19</v>
      </c>
      <c r="E390" t="s">
        <v>68</v>
      </c>
      <c r="F390" t="s">
        <v>69</v>
      </c>
      <c r="G390">
        <v>82</v>
      </c>
      <c r="H390" t="s">
        <v>140</v>
      </c>
      <c r="I390" t="s">
        <v>45</v>
      </c>
      <c r="J390" t="s">
        <v>121</v>
      </c>
      <c r="K390" t="s">
        <v>54</v>
      </c>
      <c r="L390">
        <v>2.7</v>
      </c>
      <c r="M390" t="s">
        <v>26</v>
      </c>
      <c r="N390" t="s">
        <v>27</v>
      </c>
      <c r="O390" t="s">
        <v>76</v>
      </c>
      <c r="P390" t="s">
        <v>26</v>
      </c>
      <c r="Q390" t="s">
        <v>26</v>
      </c>
      <c r="R390">
        <v>10</v>
      </c>
      <c r="S390" t="s">
        <v>46</v>
      </c>
      <c r="T390" t="str">
        <f t="shared" si="12"/>
        <v>Quarterly</v>
      </c>
      <c r="U390">
        <f>VLOOKUP(T390,[1]tablescore!$B$3:$C$8, 2,FALSE)</f>
        <v>4</v>
      </c>
      <c r="V390" t="str">
        <f t="shared" si="13"/>
        <v>Low Loyalty</v>
      </c>
      <c r="W390" t="s">
        <v>60</v>
      </c>
    </row>
    <row r="391" spans="1:23" x14ac:dyDescent="0.25">
      <c r="A391">
        <v>390</v>
      </c>
      <c r="B391">
        <v>27</v>
      </c>
      <c r="C391" t="str" cm="1">
        <f t="array" ref="C391">_xlfn.IFS(
  AND(B391&gt;=18, B391&lt;=24), "18-24",
  AND(B391&gt;=25, B391&lt;=34), "25-34",
  AND(B391&gt;=35, B391&lt;=44), "35-44",
  AND(B391&gt;=45, B391&lt;=54), "45-54",
  B391&gt;=55, "55+"
)</f>
        <v>25-34</v>
      </c>
      <c r="D391" t="s">
        <v>19</v>
      </c>
      <c r="E391" t="s">
        <v>132</v>
      </c>
      <c r="F391" t="s">
        <v>43</v>
      </c>
      <c r="G391">
        <v>42</v>
      </c>
      <c r="H391" t="s">
        <v>128</v>
      </c>
      <c r="I391" t="s">
        <v>23</v>
      </c>
      <c r="J391" t="s">
        <v>75</v>
      </c>
      <c r="K391" t="s">
        <v>39</v>
      </c>
      <c r="L391">
        <v>4.2</v>
      </c>
      <c r="M391" t="s">
        <v>26</v>
      </c>
      <c r="N391" t="s">
        <v>29</v>
      </c>
      <c r="O391" t="s">
        <v>55</v>
      </c>
      <c r="P391" t="s">
        <v>26</v>
      </c>
      <c r="Q391" t="s">
        <v>26</v>
      </c>
      <c r="R391">
        <v>28</v>
      </c>
      <c r="S391" t="s">
        <v>34</v>
      </c>
      <c r="T391" t="str">
        <f t="shared" si="12"/>
        <v>Month</v>
      </c>
      <c r="U391">
        <f>VLOOKUP(T391,[1]tablescore!$B$3:$C$8, 2,FALSE)</f>
        <v>12</v>
      </c>
      <c r="V391" t="str">
        <f t="shared" si="13"/>
        <v>Moderate</v>
      </c>
      <c r="W391" t="s">
        <v>88</v>
      </c>
    </row>
    <row r="392" spans="1:23" x14ac:dyDescent="0.25">
      <c r="A392">
        <v>391</v>
      </c>
      <c r="B392">
        <v>25</v>
      </c>
      <c r="C392" t="str" cm="1">
        <f t="array" ref="C392">_xlfn.IFS(
  AND(B392&gt;=18, B392&lt;=24), "18-24",
  AND(B392&gt;=25, B392&lt;=34), "25-34",
  AND(B392&gt;=35, B392&lt;=44), "35-44",
  AND(B392&gt;=45, B392&lt;=54), "45-54",
  B392&gt;=55, "55+"
)</f>
        <v>25-34</v>
      </c>
      <c r="D392" t="s">
        <v>19</v>
      </c>
      <c r="E392" t="s">
        <v>127</v>
      </c>
      <c r="F392" t="s">
        <v>69</v>
      </c>
      <c r="G392">
        <v>71</v>
      </c>
      <c r="H392" t="s">
        <v>116</v>
      </c>
      <c r="I392" t="s">
        <v>45</v>
      </c>
      <c r="J392" t="s">
        <v>129</v>
      </c>
      <c r="K392" t="s">
        <v>25</v>
      </c>
      <c r="L392">
        <v>3.2</v>
      </c>
      <c r="M392" t="s">
        <v>26</v>
      </c>
      <c r="N392" t="s">
        <v>59</v>
      </c>
      <c r="O392" t="s">
        <v>72</v>
      </c>
      <c r="P392" t="s">
        <v>26</v>
      </c>
      <c r="Q392" t="s">
        <v>26</v>
      </c>
      <c r="R392">
        <v>19</v>
      </c>
      <c r="S392" t="s">
        <v>46</v>
      </c>
      <c r="T392" t="str">
        <f t="shared" si="12"/>
        <v>Annually</v>
      </c>
      <c r="U392">
        <f>VLOOKUP(T392,[1]tablescore!$B$3:$C$8, 2,FALSE)</f>
        <v>1</v>
      </c>
      <c r="V392" t="str">
        <f t="shared" si="13"/>
        <v>Low Loyalty</v>
      </c>
      <c r="W392" t="s">
        <v>50</v>
      </c>
    </row>
    <row r="393" spans="1:23" x14ac:dyDescent="0.25">
      <c r="A393">
        <v>392</v>
      </c>
      <c r="B393">
        <v>37</v>
      </c>
      <c r="C393" t="str" cm="1">
        <f t="array" ref="C393">_xlfn.IFS(
  AND(B393&gt;=18, B393&lt;=24), "18-24",
  AND(B393&gt;=25, B393&lt;=34), "25-34",
  AND(B393&gt;=35, B393&lt;=44), "35-44",
  AND(B393&gt;=45, B393&lt;=54), "45-54",
  B393&gt;=55, "55+"
)</f>
        <v>35-44</v>
      </c>
      <c r="D393" t="s">
        <v>19</v>
      </c>
      <c r="E393" t="s">
        <v>31</v>
      </c>
      <c r="F393" t="s">
        <v>21</v>
      </c>
      <c r="G393">
        <v>86</v>
      </c>
      <c r="H393" t="s">
        <v>134</v>
      </c>
      <c r="I393" t="s">
        <v>23</v>
      </c>
      <c r="J393" t="s">
        <v>24</v>
      </c>
      <c r="K393" t="s">
        <v>39</v>
      </c>
      <c r="L393">
        <v>4.8</v>
      </c>
      <c r="M393" t="s">
        <v>26</v>
      </c>
      <c r="N393" t="s">
        <v>35</v>
      </c>
      <c r="O393" t="s">
        <v>55</v>
      </c>
      <c r="P393" t="s">
        <v>26</v>
      </c>
      <c r="Q393" t="s">
        <v>26</v>
      </c>
      <c r="R393">
        <v>25</v>
      </c>
      <c r="S393" t="s">
        <v>35</v>
      </c>
      <c r="T393" t="str">
        <f t="shared" si="12"/>
        <v>2-week</v>
      </c>
      <c r="U393">
        <f>VLOOKUP(T393,[1]tablescore!$B$3:$C$8, 2,FALSE)</f>
        <v>26</v>
      </c>
      <c r="V393" t="str">
        <f t="shared" si="13"/>
        <v>Loyal</v>
      </c>
      <c r="W393" t="s">
        <v>30</v>
      </c>
    </row>
    <row r="394" spans="1:23" x14ac:dyDescent="0.25">
      <c r="A394">
        <v>393</v>
      </c>
      <c r="B394">
        <v>26</v>
      </c>
      <c r="C394" t="str" cm="1">
        <f t="array" ref="C394">_xlfn.IFS(
  AND(B394&gt;=18, B394&lt;=24), "18-24",
  AND(B394&gt;=25, B394&lt;=34), "25-34",
  AND(B394&gt;=35, B394&lt;=44), "35-44",
  AND(B394&gt;=45, B394&lt;=54), "45-54",
  B394&gt;=55, "55+"
)</f>
        <v>25-34</v>
      </c>
      <c r="D394" t="s">
        <v>19</v>
      </c>
      <c r="E394" t="s">
        <v>113</v>
      </c>
      <c r="F394" t="s">
        <v>21</v>
      </c>
      <c r="G394">
        <v>82</v>
      </c>
      <c r="H394" t="s">
        <v>144</v>
      </c>
      <c r="I394" t="s">
        <v>92</v>
      </c>
      <c r="J394" t="s">
        <v>94</v>
      </c>
      <c r="K394" t="s">
        <v>39</v>
      </c>
      <c r="L394">
        <v>3.3</v>
      </c>
      <c r="M394" t="s">
        <v>26</v>
      </c>
      <c r="N394" t="s">
        <v>46</v>
      </c>
      <c r="O394" t="s">
        <v>47</v>
      </c>
      <c r="P394" t="s">
        <v>26</v>
      </c>
      <c r="Q394" t="s">
        <v>26</v>
      </c>
      <c r="R394">
        <v>38</v>
      </c>
      <c r="S394" t="s">
        <v>27</v>
      </c>
      <c r="T394" t="str">
        <f t="shared" si="12"/>
        <v>Annually</v>
      </c>
      <c r="U394">
        <f>VLOOKUP(T394,[1]tablescore!$B$3:$C$8, 2,FALSE)</f>
        <v>1</v>
      </c>
      <c r="V394" t="str">
        <f t="shared" si="13"/>
        <v>Low Loyalty</v>
      </c>
      <c r="W394" t="s">
        <v>50</v>
      </c>
    </row>
    <row r="395" spans="1:23" x14ac:dyDescent="0.25">
      <c r="A395">
        <v>394</v>
      </c>
      <c r="B395">
        <v>33</v>
      </c>
      <c r="C395" t="str" cm="1">
        <f t="array" ref="C395">_xlfn.IFS(
  AND(B395&gt;=18, B395&lt;=24), "18-24",
  AND(B395&gt;=25, B395&lt;=34), "25-34",
  AND(B395&gt;=35, B395&lt;=44), "35-44",
  AND(B395&gt;=45, B395&lt;=54), "45-54",
  B395&gt;=55, "55+"
)</f>
        <v>25-34</v>
      </c>
      <c r="D395" t="s">
        <v>19</v>
      </c>
      <c r="E395" t="s">
        <v>73</v>
      </c>
      <c r="F395" t="s">
        <v>43</v>
      </c>
      <c r="G395">
        <v>65</v>
      </c>
      <c r="H395" t="s">
        <v>145</v>
      </c>
      <c r="I395" t="s">
        <v>23</v>
      </c>
      <c r="J395" t="s">
        <v>33</v>
      </c>
      <c r="K395" t="s">
        <v>58</v>
      </c>
      <c r="L395">
        <v>4.2</v>
      </c>
      <c r="M395" t="s">
        <v>26</v>
      </c>
      <c r="N395" t="s">
        <v>27</v>
      </c>
      <c r="O395" t="s">
        <v>55</v>
      </c>
      <c r="P395" t="s">
        <v>26</v>
      </c>
      <c r="Q395" t="s">
        <v>26</v>
      </c>
      <c r="R395">
        <v>6</v>
      </c>
      <c r="S395" t="s">
        <v>46</v>
      </c>
      <c r="T395" t="str">
        <f t="shared" si="12"/>
        <v>2-week</v>
      </c>
      <c r="U395">
        <f>VLOOKUP(T395,[1]tablescore!$B$3:$C$8, 2,FALSE)</f>
        <v>26</v>
      </c>
      <c r="V395" t="str">
        <f t="shared" si="13"/>
        <v>Loyal</v>
      </c>
      <c r="W395" t="s">
        <v>30</v>
      </c>
    </row>
    <row r="396" spans="1:23" x14ac:dyDescent="0.25">
      <c r="A396">
        <v>395</v>
      </c>
      <c r="B396">
        <v>43</v>
      </c>
      <c r="C396" t="str" cm="1">
        <f t="array" ref="C396">_xlfn.IFS(
  AND(B396&gt;=18, B396&lt;=24), "18-24",
  AND(B396&gt;=25, B396&lt;=34), "25-34",
  AND(B396&gt;=35, B396&lt;=44), "35-44",
  AND(B396&gt;=45, B396&lt;=54), "45-54",
  B396&gt;=55, "55+"
)</f>
        <v>35-44</v>
      </c>
      <c r="D396" t="s">
        <v>19</v>
      </c>
      <c r="E396" t="s">
        <v>119</v>
      </c>
      <c r="F396" t="s">
        <v>69</v>
      </c>
      <c r="G396">
        <v>29</v>
      </c>
      <c r="H396" t="s">
        <v>114</v>
      </c>
      <c r="I396" t="s">
        <v>45</v>
      </c>
      <c r="J396" t="s">
        <v>118</v>
      </c>
      <c r="K396" t="s">
        <v>39</v>
      </c>
      <c r="L396">
        <v>4.8</v>
      </c>
      <c r="M396" t="s">
        <v>26</v>
      </c>
      <c r="N396" t="s">
        <v>46</v>
      </c>
      <c r="O396" t="s">
        <v>76</v>
      </c>
      <c r="P396" t="s">
        <v>26</v>
      </c>
      <c r="Q396" t="s">
        <v>26</v>
      </c>
      <c r="R396">
        <v>7</v>
      </c>
      <c r="S396" t="s">
        <v>59</v>
      </c>
      <c r="T396" t="str">
        <f t="shared" si="12"/>
        <v>2-week</v>
      </c>
      <c r="U396">
        <f>VLOOKUP(T396,[1]tablescore!$B$3:$C$8, 2,FALSE)</f>
        <v>26</v>
      </c>
      <c r="V396" t="str">
        <f t="shared" si="13"/>
        <v>Loyal</v>
      </c>
      <c r="W396" t="s">
        <v>77</v>
      </c>
    </row>
    <row r="397" spans="1:23" x14ac:dyDescent="0.25">
      <c r="A397">
        <v>396</v>
      </c>
      <c r="B397">
        <v>37</v>
      </c>
      <c r="C397" t="str" cm="1">
        <f t="array" ref="C397">_xlfn.IFS(
  AND(B397&gt;=18, B397&lt;=24), "18-24",
  AND(B397&gt;=25, B397&lt;=34), "25-34",
  AND(B397&gt;=35, B397&lt;=44), "35-44",
  AND(B397&gt;=45, B397&lt;=54), "45-54",
  B397&gt;=55, "55+"
)</f>
        <v>35-44</v>
      </c>
      <c r="D397" t="s">
        <v>19</v>
      </c>
      <c r="E397" t="s">
        <v>51</v>
      </c>
      <c r="F397" t="s">
        <v>43</v>
      </c>
      <c r="G397">
        <v>65</v>
      </c>
      <c r="H397" t="s">
        <v>44</v>
      </c>
      <c r="I397" t="s">
        <v>23</v>
      </c>
      <c r="J397" t="s">
        <v>110</v>
      </c>
      <c r="K397" t="s">
        <v>25</v>
      </c>
      <c r="L397">
        <v>4.9000000000000004</v>
      </c>
      <c r="M397" t="s">
        <v>26</v>
      </c>
      <c r="N397" t="s">
        <v>35</v>
      </c>
      <c r="O397" t="s">
        <v>76</v>
      </c>
      <c r="P397" t="s">
        <v>26</v>
      </c>
      <c r="Q397" t="s">
        <v>26</v>
      </c>
      <c r="R397">
        <v>2</v>
      </c>
      <c r="S397" t="s">
        <v>46</v>
      </c>
      <c r="T397" t="str">
        <f t="shared" si="12"/>
        <v>Annually</v>
      </c>
      <c r="U397">
        <f>VLOOKUP(T397,[1]tablescore!$B$3:$C$8, 2,FALSE)</f>
        <v>1</v>
      </c>
      <c r="V397" t="str">
        <f t="shared" si="13"/>
        <v>Low Loyalty</v>
      </c>
      <c r="W397" t="s">
        <v>50</v>
      </c>
    </row>
    <row r="398" spans="1:23" x14ac:dyDescent="0.25">
      <c r="A398">
        <v>397</v>
      </c>
      <c r="B398">
        <v>46</v>
      </c>
      <c r="C398" t="str" cm="1">
        <f t="array" ref="C398">_xlfn.IFS(
  AND(B398&gt;=18, B398&lt;=24), "18-24",
  AND(B398&gt;=25, B398&lt;=34), "25-34",
  AND(B398&gt;=35, B398&lt;=44), "35-44",
  AND(B398&gt;=45, B398&lt;=54), "45-54",
  B398&gt;=55, "55+"
)</f>
        <v>45-54</v>
      </c>
      <c r="D398" t="s">
        <v>19</v>
      </c>
      <c r="E398" t="s">
        <v>82</v>
      </c>
      <c r="F398" t="s">
        <v>21</v>
      </c>
      <c r="G398">
        <v>88</v>
      </c>
      <c r="H398" t="s">
        <v>126</v>
      </c>
      <c r="I398" t="s">
        <v>38</v>
      </c>
      <c r="J398" t="s">
        <v>94</v>
      </c>
      <c r="K398" t="s">
        <v>58</v>
      </c>
      <c r="L398">
        <v>3.9</v>
      </c>
      <c r="M398" t="s">
        <v>26</v>
      </c>
      <c r="N398" t="s">
        <v>34</v>
      </c>
      <c r="O398" t="s">
        <v>55</v>
      </c>
      <c r="P398" t="s">
        <v>26</v>
      </c>
      <c r="Q398" t="s">
        <v>26</v>
      </c>
      <c r="R398">
        <v>24</v>
      </c>
      <c r="S398" t="s">
        <v>34</v>
      </c>
      <c r="T398" t="str">
        <f t="shared" si="12"/>
        <v>Annually</v>
      </c>
      <c r="U398">
        <f>VLOOKUP(T398,[1]tablescore!$B$3:$C$8, 2,FALSE)</f>
        <v>1</v>
      </c>
      <c r="V398" t="str">
        <f t="shared" si="13"/>
        <v>Low Loyalty</v>
      </c>
      <c r="W398" t="s">
        <v>50</v>
      </c>
    </row>
    <row r="399" spans="1:23" x14ac:dyDescent="0.25">
      <c r="A399">
        <v>398</v>
      </c>
      <c r="B399">
        <v>22</v>
      </c>
      <c r="C399" t="str" cm="1">
        <f t="array" ref="C399">_xlfn.IFS(
  AND(B399&gt;=18, B399&lt;=24), "18-24",
  AND(B399&gt;=25, B399&lt;=34), "25-34",
  AND(B399&gt;=35, B399&lt;=44), "35-44",
  AND(B399&gt;=45, B399&lt;=54), "45-54",
  B399&gt;=55, "55+"
)</f>
        <v>18-24</v>
      </c>
      <c r="D399" t="s">
        <v>19</v>
      </c>
      <c r="E399" t="s">
        <v>136</v>
      </c>
      <c r="F399" t="s">
        <v>69</v>
      </c>
      <c r="G399">
        <v>46</v>
      </c>
      <c r="H399" t="s">
        <v>91</v>
      </c>
      <c r="I399" t="s">
        <v>45</v>
      </c>
      <c r="J399" t="s">
        <v>129</v>
      </c>
      <c r="K399" t="s">
        <v>58</v>
      </c>
      <c r="L399">
        <v>3</v>
      </c>
      <c r="M399" t="s">
        <v>26</v>
      </c>
      <c r="N399" t="s">
        <v>29</v>
      </c>
      <c r="O399" t="s">
        <v>40</v>
      </c>
      <c r="P399" t="s">
        <v>26</v>
      </c>
      <c r="Q399" t="s">
        <v>26</v>
      </c>
      <c r="R399">
        <v>26</v>
      </c>
      <c r="S399" t="s">
        <v>35</v>
      </c>
      <c r="T399" t="str">
        <f t="shared" si="12"/>
        <v>Annually</v>
      </c>
      <c r="U399">
        <f>VLOOKUP(T399,[1]tablescore!$B$3:$C$8, 2,FALSE)</f>
        <v>1</v>
      </c>
      <c r="V399" t="str">
        <f t="shared" si="13"/>
        <v>Low Loyalty</v>
      </c>
      <c r="W399" t="s">
        <v>50</v>
      </c>
    </row>
    <row r="400" spans="1:23" x14ac:dyDescent="0.25">
      <c r="A400">
        <v>399</v>
      </c>
      <c r="B400">
        <v>20</v>
      </c>
      <c r="C400" t="str" cm="1">
        <f t="array" ref="C400">_xlfn.IFS(
  AND(B400&gt;=18, B400&lt;=24), "18-24",
  AND(B400&gt;=25, B400&lt;=34), "25-34",
  AND(B400&gt;=35, B400&lt;=44), "35-44",
  AND(B400&gt;=45, B400&lt;=54), "45-54",
  B400&gt;=55, "55+"
)</f>
        <v>18-24</v>
      </c>
      <c r="D400" t="s">
        <v>19</v>
      </c>
      <c r="E400" t="s">
        <v>132</v>
      </c>
      <c r="F400" t="s">
        <v>43</v>
      </c>
      <c r="G400">
        <v>67</v>
      </c>
      <c r="H400" t="s">
        <v>57</v>
      </c>
      <c r="I400" t="s">
        <v>38</v>
      </c>
      <c r="J400" t="s">
        <v>67</v>
      </c>
      <c r="K400" t="s">
        <v>25</v>
      </c>
      <c r="L400">
        <v>4.5999999999999996</v>
      </c>
      <c r="M400" t="s">
        <v>26</v>
      </c>
      <c r="N400" t="s">
        <v>46</v>
      </c>
      <c r="O400" t="s">
        <v>40</v>
      </c>
      <c r="P400" t="s">
        <v>26</v>
      </c>
      <c r="Q400" t="s">
        <v>26</v>
      </c>
      <c r="R400">
        <v>25</v>
      </c>
      <c r="S400" t="s">
        <v>59</v>
      </c>
      <c r="T400" t="str">
        <f t="shared" si="12"/>
        <v>Quarterly</v>
      </c>
      <c r="U400">
        <f>VLOOKUP(T400,[1]tablescore!$B$3:$C$8, 2,FALSE)</f>
        <v>4</v>
      </c>
      <c r="V400" t="str">
        <f t="shared" si="13"/>
        <v>Low Loyalty</v>
      </c>
      <c r="W400" t="s">
        <v>97</v>
      </c>
    </row>
    <row r="401" spans="1:23" x14ac:dyDescent="0.25">
      <c r="A401">
        <v>400</v>
      </c>
      <c r="B401">
        <v>60</v>
      </c>
      <c r="C401" t="str" cm="1">
        <f t="array" ref="C401">_xlfn.IFS(
  AND(B401&gt;=18, B401&lt;=24), "18-24",
  AND(B401&gt;=25, B401&lt;=34), "25-34",
  AND(B401&gt;=35, B401&lt;=44), "35-44",
  AND(B401&gt;=45, B401&lt;=54), "45-54",
  B401&gt;=55, "55+"
)</f>
        <v>55+</v>
      </c>
      <c r="D401" t="s">
        <v>19</v>
      </c>
      <c r="E401" t="s">
        <v>119</v>
      </c>
      <c r="F401" t="s">
        <v>69</v>
      </c>
      <c r="G401">
        <v>35</v>
      </c>
      <c r="H401" t="s">
        <v>144</v>
      </c>
      <c r="I401" t="s">
        <v>23</v>
      </c>
      <c r="J401" t="s">
        <v>138</v>
      </c>
      <c r="K401" t="s">
        <v>58</v>
      </c>
      <c r="L401">
        <v>3.5</v>
      </c>
      <c r="M401" t="s">
        <v>26</v>
      </c>
      <c r="N401" t="s">
        <v>27</v>
      </c>
      <c r="O401" t="s">
        <v>72</v>
      </c>
      <c r="P401" t="s">
        <v>26</v>
      </c>
      <c r="Q401" t="s">
        <v>26</v>
      </c>
      <c r="R401">
        <v>10</v>
      </c>
      <c r="S401" t="s">
        <v>59</v>
      </c>
      <c r="T401" t="str">
        <f t="shared" si="12"/>
        <v>Month</v>
      </c>
      <c r="U401">
        <f>VLOOKUP(T401,[1]tablescore!$B$3:$C$8, 2,FALSE)</f>
        <v>12</v>
      </c>
      <c r="V401" t="str">
        <f t="shared" si="13"/>
        <v>Moderate</v>
      </c>
      <c r="W401" t="s">
        <v>88</v>
      </c>
    </row>
    <row r="402" spans="1:23" x14ac:dyDescent="0.25">
      <c r="A402">
        <v>401</v>
      </c>
      <c r="B402">
        <v>39</v>
      </c>
      <c r="C402" t="str" cm="1">
        <f t="array" ref="C402">_xlfn.IFS(
  AND(B402&gt;=18, B402&lt;=24), "18-24",
  AND(B402&gt;=25, B402&lt;=34), "25-34",
  AND(B402&gt;=35, B402&lt;=44), "35-44",
  AND(B402&gt;=45, B402&lt;=54), "45-54",
  B402&gt;=55, "55+"
)</f>
        <v>35-44</v>
      </c>
      <c r="D402" t="s">
        <v>19</v>
      </c>
      <c r="E402" t="s">
        <v>132</v>
      </c>
      <c r="F402" t="s">
        <v>43</v>
      </c>
      <c r="G402">
        <v>66</v>
      </c>
      <c r="H402" t="s">
        <v>149</v>
      </c>
      <c r="I402" t="s">
        <v>45</v>
      </c>
      <c r="J402" t="s">
        <v>96</v>
      </c>
      <c r="K402" t="s">
        <v>25</v>
      </c>
      <c r="L402">
        <v>4.8</v>
      </c>
      <c r="M402" t="s">
        <v>26</v>
      </c>
      <c r="N402" t="s">
        <v>29</v>
      </c>
      <c r="O402" t="s">
        <v>40</v>
      </c>
      <c r="P402" t="s">
        <v>26</v>
      </c>
      <c r="Q402" t="s">
        <v>26</v>
      </c>
      <c r="R402">
        <v>14</v>
      </c>
      <c r="S402" t="s">
        <v>46</v>
      </c>
      <c r="T402" t="str">
        <f t="shared" si="12"/>
        <v>2-week</v>
      </c>
      <c r="U402">
        <f>VLOOKUP(T402,[1]tablescore!$B$3:$C$8, 2,FALSE)</f>
        <v>26</v>
      </c>
      <c r="V402" t="str">
        <f t="shared" si="13"/>
        <v>Loyal</v>
      </c>
      <c r="W402" t="s">
        <v>30</v>
      </c>
    </row>
    <row r="403" spans="1:23" x14ac:dyDescent="0.25">
      <c r="A403">
        <v>402</v>
      </c>
      <c r="B403">
        <v>43</v>
      </c>
      <c r="C403" t="str" cm="1">
        <f t="array" ref="C403">_xlfn.IFS(
  AND(B403&gt;=18, B403&lt;=24), "18-24",
  AND(B403&gt;=25, B403&lt;=34), "25-34",
  AND(B403&gt;=35, B403&lt;=44), "35-44",
  AND(B403&gt;=45, B403&lt;=54), "45-54",
  B403&gt;=55, "55+"
)</f>
        <v>35-44</v>
      </c>
      <c r="D403" t="s">
        <v>19</v>
      </c>
      <c r="E403" t="s">
        <v>113</v>
      </c>
      <c r="F403" t="s">
        <v>21</v>
      </c>
      <c r="G403">
        <v>91</v>
      </c>
      <c r="H403" t="s">
        <v>101</v>
      </c>
      <c r="I403" t="s">
        <v>23</v>
      </c>
      <c r="J403" t="s">
        <v>121</v>
      </c>
      <c r="K403" t="s">
        <v>58</v>
      </c>
      <c r="L403">
        <v>4.8</v>
      </c>
      <c r="M403" t="s">
        <v>26</v>
      </c>
      <c r="N403" t="s">
        <v>34</v>
      </c>
      <c r="O403" t="s">
        <v>55</v>
      </c>
      <c r="P403" t="s">
        <v>26</v>
      </c>
      <c r="Q403" t="s">
        <v>26</v>
      </c>
      <c r="R403">
        <v>21</v>
      </c>
      <c r="S403" t="s">
        <v>35</v>
      </c>
      <c r="T403" t="str">
        <f t="shared" si="12"/>
        <v>Quarterly</v>
      </c>
      <c r="U403">
        <f>VLOOKUP(T403,[1]tablescore!$B$3:$C$8, 2,FALSE)</f>
        <v>4</v>
      </c>
      <c r="V403" t="str">
        <f t="shared" si="13"/>
        <v>Low Loyalty</v>
      </c>
      <c r="W403" t="s">
        <v>60</v>
      </c>
    </row>
    <row r="404" spans="1:23" x14ac:dyDescent="0.25">
      <c r="A404">
        <v>403</v>
      </c>
      <c r="B404">
        <v>31</v>
      </c>
      <c r="C404" t="str" cm="1">
        <f t="array" ref="C404">_xlfn.IFS(
  AND(B404&gt;=18, B404&lt;=24), "18-24",
  AND(B404&gt;=25, B404&lt;=34), "25-34",
  AND(B404&gt;=35, B404&lt;=44), "35-44",
  AND(B404&gt;=45, B404&lt;=54), "45-54",
  B404&gt;=55, "55+"
)</f>
        <v>25-34</v>
      </c>
      <c r="D404" t="s">
        <v>19</v>
      </c>
      <c r="E404" t="s">
        <v>133</v>
      </c>
      <c r="F404" t="s">
        <v>69</v>
      </c>
      <c r="G404">
        <v>78</v>
      </c>
      <c r="H404" t="s">
        <v>99</v>
      </c>
      <c r="I404" t="s">
        <v>23</v>
      </c>
      <c r="J404" t="s">
        <v>109</v>
      </c>
      <c r="K404" t="s">
        <v>58</v>
      </c>
      <c r="L404">
        <v>3</v>
      </c>
      <c r="M404" t="s">
        <v>26</v>
      </c>
      <c r="N404" t="s">
        <v>46</v>
      </c>
      <c r="O404" t="s">
        <v>28</v>
      </c>
      <c r="P404" t="s">
        <v>26</v>
      </c>
      <c r="Q404" t="s">
        <v>26</v>
      </c>
      <c r="R404">
        <v>26</v>
      </c>
      <c r="S404" t="s">
        <v>46</v>
      </c>
      <c r="T404" t="str">
        <f t="shared" si="12"/>
        <v>Month</v>
      </c>
      <c r="U404">
        <f>VLOOKUP(T404,[1]tablescore!$B$3:$C$8, 2,FALSE)</f>
        <v>12</v>
      </c>
      <c r="V404" t="str">
        <f t="shared" si="13"/>
        <v>Moderate</v>
      </c>
      <c r="W404" t="s">
        <v>88</v>
      </c>
    </row>
    <row r="405" spans="1:23" x14ac:dyDescent="0.25">
      <c r="A405">
        <v>404</v>
      </c>
      <c r="B405">
        <v>19</v>
      </c>
      <c r="C405" t="str" cm="1">
        <f t="array" ref="C405">_xlfn.IFS(
  AND(B405&gt;=18, B405&lt;=24), "18-24",
  AND(B405&gt;=25, B405&lt;=34), "25-34",
  AND(B405&gt;=35, B405&lt;=44), "35-44",
  AND(B405&gt;=45, B405&lt;=54), "45-54",
  B405&gt;=55, "55+"
)</f>
        <v>18-24</v>
      </c>
      <c r="D405" t="s">
        <v>19</v>
      </c>
      <c r="E405" t="s">
        <v>51</v>
      </c>
      <c r="F405" t="s">
        <v>43</v>
      </c>
      <c r="G405">
        <v>45</v>
      </c>
      <c r="H405" t="s">
        <v>107</v>
      </c>
      <c r="I405" t="s">
        <v>45</v>
      </c>
      <c r="J405" t="s">
        <v>121</v>
      </c>
      <c r="K405" t="s">
        <v>25</v>
      </c>
      <c r="L405">
        <v>4.5</v>
      </c>
      <c r="M405" t="s">
        <v>26</v>
      </c>
      <c r="N405" t="s">
        <v>27</v>
      </c>
      <c r="O405" t="s">
        <v>47</v>
      </c>
      <c r="P405" t="s">
        <v>26</v>
      </c>
      <c r="Q405" t="s">
        <v>26</v>
      </c>
      <c r="R405">
        <v>12</v>
      </c>
      <c r="S405" t="s">
        <v>34</v>
      </c>
      <c r="T405" t="str">
        <f t="shared" si="12"/>
        <v>Annually</v>
      </c>
      <c r="U405">
        <f>VLOOKUP(T405,[1]tablescore!$B$3:$C$8, 2,FALSE)</f>
        <v>1</v>
      </c>
      <c r="V405" t="str">
        <f t="shared" si="13"/>
        <v>Low Loyalty</v>
      </c>
      <c r="W405" t="s">
        <v>50</v>
      </c>
    </row>
    <row r="406" spans="1:23" x14ac:dyDescent="0.25">
      <c r="A406">
        <v>405</v>
      </c>
      <c r="B406">
        <v>35</v>
      </c>
      <c r="C406" t="str" cm="1">
        <f t="array" ref="C406">_xlfn.IFS(
  AND(B406&gt;=18, B406&lt;=24), "18-24",
  AND(B406&gt;=25, B406&lt;=34), "25-34",
  AND(B406&gt;=35, B406&lt;=44), "35-44",
  AND(B406&gt;=45, B406&lt;=54), "45-54",
  B406&gt;=55, "55+"
)</f>
        <v>35-44</v>
      </c>
      <c r="D406" t="s">
        <v>19</v>
      </c>
      <c r="E406" t="s">
        <v>113</v>
      </c>
      <c r="F406" t="s">
        <v>21</v>
      </c>
      <c r="G406">
        <v>93</v>
      </c>
      <c r="H406" t="s">
        <v>80</v>
      </c>
      <c r="I406" t="s">
        <v>45</v>
      </c>
      <c r="J406" t="s">
        <v>129</v>
      </c>
      <c r="K406" t="s">
        <v>39</v>
      </c>
      <c r="L406">
        <v>4.8</v>
      </c>
      <c r="M406" t="s">
        <v>26</v>
      </c>
      <c r="N406" t="s">
        <v>27</v>
      </c>
      <c r="O406" t="s">
        <v>76</v>
      </c>
      <c r="P406" t="s">
        <v>26</v>
      </c>
      <c r="Q406" t="s">
        <v>26</v>
      </c>
      <c r="R406">
        <v>11</v>
      </c>
      <c r="S406" t="s">
        <v>27</v>
      </c>
      <c r="T406" t="str">
        <f t="shared" si="12"/>
        <v>Month</v>
      </c>
      <c r="U406">
        <f>VLOOKUP(T406,[1]tablescore!$B$3:$C$8, 2,FALSE)</f>
        <v>12</v>
      </c>
      <c r="V406" t="str">
        <f t="shared" si="13"/>
        <v>Moderate</v>
      </c>
      <c r="W406" t="s">
        <v>88</v>
      </c>
    </row>
    <row r="407" spans="1:23" x14ac:dyDescent="0.25">
      <c r="A407">
        <v>406</v>
      </c>
      <c r="B407">
        <v>41</v>
      </c>
      <c r="C407" t="str" cm="1">
        <f t="array" ref="C407">_xlfn.IFS(
  AND(B407&gt;=18, B407&lt;=24), "18-24",
  AND(B407&gt;=25, B407&lt;=34), "25-34",
  AND(B407&gt;=35, B407&lt;=44), "35-44",
  AND(B407&gt;=45, B407&lt;=54), "45-54",
  B407&gt;=55, "55+"
)</f>
        <v>35-44</v>
      </c>
      <c r="D407" t="s">
        <v>19</v>
      </c>
      <c r="E407" t="s">
        <v>36</v>
      </c>
      <c r="F407" t="s">
        <v>21</v>
      </c>
      <c r="G407">
        <v>74</v>
      </c>
      <c r="H407" t="s">
        <v>126</v>
      </c>
      <c r="I407" t="s">
        <v>38</v>
      </c>
      <c r="J407" t="s">
        <v>67</v>
      </c>
      <c r="K407" t="s">
        <v>54</v>
      </c>
      <c r="L407">
        <v>3.8</v>
      </c>
      <c r="M407" t="s">
        <v>26</v>
      </c>
      <c r="N407" t="s">
        <v>59</v>
      </c>
      <c r="O407" t="s">
        <v>55</v>
      </c>
      <c r="P407" t="s">
        <v>26</v>
      </c>
      <c r="Q407" t="s">
        <v>26</v>
      </c>
      <c r="R407">
        <v>15</v>
      </c>
      <c r="S407" t="s">
        <v>35</v>
      </c>
      <c r="T407" t="str">
        <f t="shared" si="12"/>
        <v>Annually</v>
      </c>
      <c r="U407">
        <f>VLOOKUP(T407,[1]tablescore!$B$3:$C$8, 2,FALSE)</f>
        <v>1</v>
      </c>
      <c r="V407" t="str">
        <f t="shared" si="13"/>
        <v>Low Loyalty</v>
      </c>
      <c r="W407" t="s">
        <v>50</v>
      </c>
    </row>
    <row r="408" spans="1:23" x14ac:dyDescent="0.25">
      <c r="A408">
        <v>407</v>
      </c>
      <c r="B408">
        <v>52</v>
      </c>
      <c r="C408" t="str" cm="1">
        <f t="array" ref="C408">_xlfn.IFS(
  AND(B408&gt;=18, B408&lt;=24), "18-24",
  AND(B408&gt;=25, B408&lt;=34), "25-34",
  AND(B408&gt;=35, B408&lt;=44), "35-44",
  AND(B408&gt;=45, B408&lt;=54), "45-54",
  B408&gt;=55, "55+"
)</f>
        <v>45-54</v>
      </c>
      <c r="D408" t="s">
        <v>19</v>
      </c>
      <c r="E408" t="s">
        <v>127</v>
      </c>
      <c r="F408" t="s">
        <v>69</v>
      </c>
      <c r="G408">
        <v>55</v>
      </c>
      <c r="H408" t="s">
        <v>135</v>
      </c>
      <c r="I408" t="s">
        <v>45</v>
      </c>
      <c r="J408" t="s">
        <v>100</v>
      </c>
      <c r="K408" t="s">
        <v>39</v>
      </c>
      <c r="L408">
        <v>4.5999999999999996</v>
      </c>
      <c r="M408" t="s">
        <v>26</v>
      </c>
      <c r="N408" t="s">
        <v>59</v>
      </c>
      <c r="O408" t="s">
        <v>28</v>
      </c>
      <c r="P408" t="s">
        <v>26</v>
      </c>
      <c r="Q408" t="s">
        <v>26</v>
      </c>
      <c r="R408">
        <v>13</v>
      </c>
      <c r="S408" t="s">
        <v>35</v>
      </c>
      <c r="T408" t="str">
        <f t="shared" si="12"/>
        <v>Month</v>
      </c>
      <c r="U408">
        <f>VLOOKUP(T408,[1]tablescore!$B$3:$C$8, 2,FALSE)</f>
        <v>12</v>
      </c>
      <c r="V408" t="str">
        <f t="shared" si="13"/>
        <v>Moderate</v>
      </c>
      <c r="W408" t="s">
        <v>88</v>
      </c>
    </row>
    <row r="409" spans="1:23" x14ac:dyDescent="0.25">
      <c r="A409">
        <v>408</v>
      </c>
      <c r="B409">
        <v>45</v>
      </c>
      <c r="C409" t="str" cm="1">
        <f t="array" ref="C409">_xlfn.IFS(
  AND(B409&gt;=18, B409&lt;=24), "18-24",
  AND(B409&gt;=25, B409&lt;=34), "25-34",
  AND(B409&gt;=35, B409&lt;=44), "35-44",
  AND(B409&gt;=45, B409&lt;=54), "45-54",
  B409&gt;=55, "55+"
)</f>
        <v>45-54</v>
      </c>
      <c r="D409" t="s">
        <v>19</v>
      </c>
      <c r="E409" t="s">
        <v>104</v>
      </c>
      <c r="F409" t="s">
        <v>21</v>
      </c>
      <c r="G409">
        <v>76</v>
      </c>
      <c r="H409" t="s">
        <v>98</v>
      </c>
      <c r="I409" t="s">
        <v>92</v>
      </c>
      <c r="J409" t="s">
        <v>86</v>
      </c>
      <c r="K409" t="s">
        <v>39</v>
      </c>
      <c r="L409">
        <v>3.1</v>
      </c>
      <c r="M409" t="s">
        <v>26</v>
      </c>
      <c r="N409" t="s">
        <v>59</v>
      </c>
      <c r="O409" t="s">
        <v>47</v>
      </c>
      <c r="P409" t="s">
        <v>26</v>
      </c>
      <c r="Q409" t="s">
        <v>26</v>
      </c>
      <c r="R409">
        <v>5</v>
      </c>
      <c r="S409" t="s">
        <v>27</v>
      </c>
      <c r="T409" t="str">
        <f t="shared" si="12"/>
        <v>2-week</v>
      </c>
      <c r="U409">
        <f>VLOOKUP(T409,[1]tablescore!$B$3:$C$8, 2,FALSE)</f>
        <v>26</v>
      </c>
      <c r="V409" t="str">
        <f t="shared" si="13"/>
        <v>Loyal</v>
      </c>
      <c r="W409" t="s">
        <v>77</v>
      </c>
    </row>
    <row r="410" spans="1:23" x14ac:dyDescent="0.25">
      <c r="A410">
        <v>409</v>
      </c>
      <c r="B410">
        <v>34</v>
      </c>
      <c r="C410" t="str" cm="1">
        <f t="array" ref="C410">_xlfn.IFS(
  AND(B410&gt;=18, B410&lt;=24), "18-24",
  AND(B410&gt;=25, B410&lt;=34), "25-34",
  AND(B410&gt;=35, B410&lt;=44), "35-44",
  AND(B410&gt;=45, B410&lt;=54), "45-54",
  B410&gt;=55, "55+"
)</f>
        <v>25-34</v>
      </c>
      <c r="D410" t="s">
        <v>19</v>
      </c>
      <c r="E410" t="s">
        <v>51</v>
      </c>
      <c r="F410" t="s">
        <v>43</v>
      </c>
      <c r="G410">
        <v>66</v>
      </c>
      <c r="H410" t="s">
        <v>90</v>
      </c>
      <c r="I410" t="s">
        <v>23</v>
      </c>
      <c r="J410" t="s">
        <v>53</v>
      </c>
      <c r="K410" t="s">
        <v>39</v>
      </c>
      <c r="L410">
        <v>3.4</v>
      </c>
      <c r="M410" t="s">
        <v>26</v>
      </c>
      <c r="N410" t="s">
        <v>27</v>
      </c>
      <c r="O410" t="s">
        <v>28</v>
      </c>
      <c r="P410" t="s">
        <v>26</v>
      </c>
      <c r="Q410" t="s">
        <v>26</v>
      </c>
      <c r="R410">
        <v>36</v>
      </c>
      <c r="S410" t="s">
        <v>35</v>
      </c>
      <c r="T410" t="str">
        <f t="shared" si="12"/>
        <v>2-week</v>
      </c>
      <c r="U410">
        <f>VLOOKUP(T410,[1]tablescore!$B$3:$C$8, 2,FALSE)</f>
        <v>26</v>
      </c>
      <c r="V410" t="str">
        <f t="shared" si="13"/>
        <v>Loyal</v>
      </c>
      <c r="W410" t="s">
        <v>30</v>
      </c>
    </row>
    <row r="411" spans="1:23" x14ac:dyDescent="0.25">
      <c r="A411">
        <v>410</v>
      </c>
      <c r="B411">
        <v>35</v>
      </c>
      <c r="C411" t="str" cm="1">
        <f t="array" ref="C411">_xlfn.IFS(
  AND(B411&gt;=18, B411&lt;=24), "18-24",
  AND(B411&gt;=25, B411&lt;=34), "25-34",
  AND(B411&gt;=35, B411&lt;=44), "35-44",
  AND(B411&gt;=45, B411&lt;=54), "45-54",
  B411&gt;=55, "55+"
)</f>
        <v>35-44</v>
      </c>
      <c r="D411" t="s">
        <v>19</v>
      </c>
      <c r="E411" t="s">
        <v>61</v>
      </c>
      <c r="F411" t="s">
        <v>21</v>
      </c>
      <c r="G411">
        <v>51</v>
      </c>
      <c r="H411" t="s">
        <v>134</v>
      </c>
      <c r="I411" t="s">
        <v>45</v>
      </c>
      <c r="J411" t="s">
        <v>110</v>
      </c>
      <c r="K411" t="s">
        <v>25</v>
      </c>
      <c r="L411">
        <v>3.3</v>
      </c>
      <c r="M411" t="s">
        <v>26</v>
      </c>
      <c r="N411" t="s">
        <v>59</v>
      </c>
      <c r="O411" t="s">
        <v>72</v>
      </c>
      <c r="P411" t="s">
        <v>26</v>
      </c>
      <c r="Q411" t="s">
        <v>26</v>
      </c>
      <c r="R411">
        <v>32</v>
      </c>
      <c r="S411" t="s">
        <v>34</v>
      </c>
      <c r="T411" t="str">
        <f t="shared" si="12"/>
        <v>Month</v>
      </c>
      <c r="U411">
        <f>VLOOKUP(T411,[1]tablescore!$B$3:$C$8, 2,FALSE)</f>
        <v>12</v>
      </c>
      <c r="V411" t="str">
        <f t="shared" si="13"/>
        <v>Moderate</v>
      </c>
      <c r="W411" t="s">
        <v>88</v>
      </c>
    </row>
    <row r="412" spans="1:23" x14ac:dyDescent="0.25">
      <c r="A412">
        <v>411</v>
      </c>
      <c r="B412">
        <v>29</v>
      </c>
      <c r="C412" t="str" cm="1">
        <f t="array" ref="C412">_xlfn.IFS(
  AND(B412&gt;=18, B412&lt;=24), "18-24",
  AND(B412&gt;=25, B412&lt;=34), "25-34",
  AND(B412&gt;=35, B412&lt;=44), "35-44",
  AND(B412&gt;=45, B412&lt;=54), "45-54",
  B412&gt;=55, "55+"
)</f>
        <v>25-34</v>
      </c>
      <c r="D412" t="s">
        <v>19</v>
      </c>
      <c r="E412" t="s">
        <v>31</v>
      </c>
      <c r="F412" t="s">
        <v>21</v>
      </c>
      <c r="G412">
        <v>26</v>
      </c>
      <c r="H412" t="s">
        <v>128</v>
      </c>
      <c r="I412" t="s">
        <v>23</v>
      </c>
      <c r="J412" t="s">
        <v>93</v>
      </c>
      <c r="K412" t="s">
        <v>39</v>
      </c>
      <c r="L412">
        <v>4.8</v>
      </c>
      <c r="M412" t="s">
        <v>26</v>
      </c>
      <c r="N412" t="s">
        <v>59</v>
      </c>
      <c r="O412" t="s">
        <v>72</v>
      </c>
      <c r="P412" t="s">
        <v>26</v>
      </c>
      <c r="Q412" t="s">
        <v>26</v>
      </c>
      <c r="R412">
        <v>1</v>
      </c>
      <c r="S412" t="s">
        <v>27</v>
      </c>
      <c r="T412" t="str">
        <f t="shared" si="12"/>
        <v>Quarterly</v>
      </c>
      <c r="U412">
        <f>VLOOKUP(T412,[1]tablescore!$B$3:$C$8, 2,FALSE)</f>
        <v>4</v>
      </c>
      <c r="V412" t="str">
        <f t="shared" si="13"/>
        <v>Low Loyalty</v>
      </c>
      <c r="W412" t="s">
        <v>60</v>
      </c>
    </row>
    <row r="413" spans="1:23" x14ac:dyDescent="0.25">
      <c r="A413">
        <v>412</v>
      </c>
      <c r="B413">
        <v>59</v>
      </c>
      <c r="C413" t="str" cm="1">
        <f t="array" ref="C413">_xlfn.IFS(
  AND(B413&gt;=18, B413&lt;=24), "18-24",
  AND(B413&gt;=25, B413&lt;=34), "25-34",
  AND(B413&gt;=35, B413&lt;=44), "35-44",
  AND(B413&gt;=45, B413&lt;=54), "45-54",
  B413&gt;=55, "55+"
)</f>
        <v>55+</v>
      </c>
      <c r="D413" t="s">
        <v>19</v>
      </c>
      <c r="E413" t="s">
        <v>36</v>
      </c>
      <c r="F413" t="s">
        <v>21</v>
      </c>
      <c r="G413">
        <v>29</v>
      </c>
      <c r="H413" t="s">
        <v>151</v>
      </c>
      <c r="I413" t="s">
        <v>45</v>
      </c>
      <c r="J413" t="s">
        <v>129</v>
      </c>
      <c r="K413" t="s">
        <v>54</v>
      </c>
      <c r="L413">
        <v>2.8</v>
      </c>
      <c r="M413" t="s">
        <v>26</v>
      </c>
      <c r="N413" t="s">
        <v>35</v>
      </c>
      <c r="O413" t="s">
        <v>28</v>
      </c>
      <c r="P413" t="s">
        <v>26</v>
      </c>
      <c r="Q413" t="s">
        <v>26</v>
      </c>
      <c r="R413">
        <v>15</v>
      </c>
      <c r="S413" t="s">
        <v>46</v>
      </c>
      <c r="T413" t="str">
        <f t="shared" si="12"/>
        <v>Annually</v>
      </c>
      <c r="U413">
        <f>VLOOKUP(T413,[1]tablescore!$B$3:$C$8, 2,FALSE)</f>
        <v>1</v>
      </c>
      <c r="V413" t="str">
        <f t="shared" si="13"/>
        <v>Low Loyalty</v>
      </c>
      <c r="W413" t="s">
        <v>50</v>
      </c>
    </row>
    <row r="414" spans="1:23" x14ac:dyDescent="0.25">
      <c r="A414">
        <v>413</v>
      </c>
      <c r="B414">
        <v>24</v>
      </c>
      <c r="C414" t="str" cm="1">
        <f t="array" ref="C414">_xlfn.IFS(
  AND(B414&gt;=18, B414&lt;=24), "18-24",
  AND(B414&gt;=25, B414&lt;=34), "25-34",
  AND(B414&gt;=35, B414&lt;=44), "35-44",
  AND(B414&gt;=45, B414&lt;=54), "45-54",
  B414&gt;=55, "55+"
)</f>
        <v>18-24</v>
      </c>
      <c r="D414" t="s">
        <v>19</v>
      </c>
      <c r="E414" t="s">
        <v>102</v>
      </c>
      <c r="F414" t="s">
        <v>65</v>
      </c>
      <c r="G414">
        <v>74</v>
      </c>
      <c r="H414" t="s">
        <v>32</v>
      </c>
      <c r="I414" t="s">
        <v>45</v>
      </c>
      <c r="J414" t="s">
        <v>139</v>
      </c>
      <c r="K414" t="s">
        <v>54</v>
      </c>
      <c r="L414">
        <v>3.1</v>
      </c>
      <c r="M414" t="s">
        <v>26</v>
      </c>
      <c r="N414" t="s">
        <v>29</v>
      </c>
      <c r="O414" t="s">
        <v>76</v>
      </c>
      <c r="P414" t="s">
        <v>26</v>
      </c>
      <c r="Q414" t="s">
        <v>26</v>
      </c>
      <c r="R414">
        <v>3</v>
      </c>
      <c r="S414" t="s">
        <v>34</v>
      </c>
      <c r="T414" t="str">
        <f t="shared" si="12"/>
        <v>Daily</v>
      </c>
      <c r="U414">
        <f>VLOOKUP(T414,[1]tablescore!$B$3:$C$8, 2,FALSE)</f>
        <v>30</v>
      </c>
      <c r="V414" t="str">
        <f t="shared" si="13"/>
        <v>Highly Loyal</v>
      </c>
      <c r="W414" t="s">
        <v>41</v>
      </c>
    </row>
    <row r="415" spans="1:23" x14ac:dyDescent="0.25">
      <c r="A415">
        <v>414</v>
      </c>
      <c r="B415">
        <v>70</v>
      </c>
      <c r="C415" t="str" cm="1">
        <f t="array" ref="C415">_xlfn.IFS(
  AND(B415&gt;=18, B415&lt;=24), "18-24",
  AND(B415&gt;=25, B415&lt;=34), "25-34",
  AND(B415&gt;=35, B415&lt;=44), "35-44",
  AND(B415&gt;=45, B415&lt;=54), "45-54",
  B415&gt;=55, "55+"
)</f>
        <v>55+</v>
      </c>
      <c r="D415" t="s">
        <v>19</v>
      </c>
      <c r="E415" t="s">
        <v>106</v>
      </c>
      <c r="F415" t="s">
        <v>69</v>
      </c>
      <c r="G415">
        <v>99</v>
      </c>
      <c r="H415" t="s">
        <v>107</v>
      </c>
      <c r="I415" t="s">
        <v>38</v>
      </c>
      <c r="J415" t="s">
        <v>53</v>
      </c>
      <c r="K415" t="s">
        <v>54</v>
      </c>
      <c r="L415">
        <v>4.5999999999999996</v>
      </c>
      <c r="M415" t="s">
        <v>26</v>
      </c>
      <c r="N415" t="s">
        <v>59</v>
      </c>
      <c r="O415" t="s">
        <v>40</v>
      </c>
      <c r="P415" t="s">
        <v>26</v>
      </c>
      <c r="Q415" t="s">
        <v>26</v>
      </c>
      <c r="R415">
        <v>48</v>
      </c>
      <c r="S415" t="s">
        <v>35</v>
      </c>
      <c r="T415" t="str">
        <f t="shared" si="12"/>
        <v>Month</v>
      </c>
      <c r="U415">
        <f>VLOOKUP(T415,[1]tablescore!$B$3:$C$8, 2,FALSE)</f>
        <v>12</v>
      </c>
      <c r="V415" t="str">
        <f t="shared" si="13"/>
        <v>Moderate</v>
      </c>
      <c r="W415" t="s">
        <v>88</v>
      </c>
    </row>
    <row r="416" spans="1:23" x14ac:dyDescent="0.25">
      <c r="A416">
        <v>415</v>
      </c>
      <c r="B416">
        <v>29</v>
      </c>
      <c r="C416" t="str" cm="1">
        <f t="array" ref="C416">_xlfn.IFS(
  AND(B416&gt;=18, B416&lt;=24), "18-24",
  AND(B416&gt;=25, B416&lt;=34), "25-34",
  AND(B416&gt;=35, B416&lt;=44), "35-44",
  AND(B416&gt;=45, B416&lt;=54), "45-54",
  B416&gt;=55, "55+"
)</f>
        <v>25-34</v>
      </c>
      <c r="D416" t="s">
        <v>19</v>
      </c>
      <c r="E416" t="s">
        <v>133</v>
      </c>
      <c r="F416" t="s">
        <v>69</v>
      </c>
      <c r="G416">
        <v>88</v>
      </c>
      <c r="H416" t="s">
        <v>52</v>
      </c>
      <c r="I416" t="s">
        <v>23</v>
      </c>
      <c r="J416" t="s">
        <v>84</v>
      </c>
      <c r="K416" t="s">
        <v>25</v>
      </c>
      <c r="L416">
        <v>2.6</v>
      </c>
      <c r="M416" t="s">
        <v>26</v>
      </c>
      <c r="N416" t="s">
        <v>34</v>
      </c>
      <c r="O416" t="s">
        <v>76</v>
      </c>
      <c r="P416" t="s">
        <v>26</v>
      </c>
      <c r="Q416" t="s">
        <v>26</v>
      </c>
      <c r="R416">
        <v>30</v>
      </c>
      <c r="S416" t="s">
        <v>59</v>
      </c>
      <c r="T416" t="str">
        <f t="shared" si="12"/>
        <v>Daily</v>
      </c>
      <c r="U416">
        <f>VLOOKUP(T416,[1]tablescore!$B$3:$C$8, 2,FALSE)</f>
        <v>30</v>
      </c>
      <c r="V416" t="str">
        <f t="shared" si="13"/>
        <v>Highly Loyal</v>
      </c>
      <c r="W416" t="s">
        <v>41</v>
      </c>
    </row>
    <row r="417" spans="1:23" x14ac:dyDescent="0.25">
      <c r="A417">
        <v>416</v>
      </c>
      <c r="B417">
        <v>67</v>
      </c>
      <c r="C417" t="str" cm="1">
        <f t="array" ref="C417">_xlfn.IFS(
  AND(B417&gt;=18, B417&lt;=24), "18-24",
  AND(B417&gt;=25, B417&lt;=34), "25-34",
  AND(B417&gt;=35, B417&lt;=44), "35-44",
  AND(B417&gt;=45, B417&lt;=54), "45-54",
  B417&gt;=55, "55+"
)</f>
        <v>55+</v>
      </c>
      <c r="D417" t="s">
        <v>19</v>
      </c>
      <c r="E417" t="s">
        <v>64</v>
      </c>
      <c r="F417" t="s">
        <v>65</v>
      </c>
      <c r="G417">
        <v>31</v>
      </c>
      <c r="H417" t="s">
        <v>146</v>
      </c>
      <c r="I417" t="s">
        <v>45</v>
      </c>
      <c r="J417" t="s">
        <v>93</v>
      </c>
      <c r="K417" t="s">
        <v>25</v>
      </c>
      <c r="L417">
        <v>2.6</v>
      </c>
      <c r="M417" t="s">
        <v>26</v>
      </c>
      <c r="N417" t="s">
        <v>29</v>
      </c>
      <c r="O417" t="s">
        <v>28</v>
      </c>
      <c r="P417" t="s">
        <v>26</v>
      </c>
      <c r="Q417" t="s">
        <v>26</v>
      </c>
      <c r="R417">
        <v>40</v>
      </c>
      <c r="S417" t="s">
        <v>34</v>
      </c>
      <c r="T417" t="str">
        <f t="shared" si="12"/>
        <v>Month</v>
      </c>
      <c r="U417">
        <f>VLOOKUP(T417,[1]tablescore!$B$3:$C$8, 2,FALSE)</f>
        <v>12</v>
      </c>
      <c r="V417" t="str">
        <f t="shared" si="13"/>
        <v>Moderate</v>
      </c>
      <c r="W417" t="s">
        <v>88</v>
      </c>
    </row>
    <row r="418" spans="1:23" x14ac:dyDescent="0.25">
      <c r="A418">
        <v>417</v>
      </c>
      <c r="B418">
        <v>36</v>
      </c>
      <c r="C418" t="str" cm="1">
        <f t="array" ref="C418">_xlfn.IFS(
  AND(B418&gt;=18, B418&lt;=24), "18-24",
  AND(B418&gt;=25, B418&lt;=34), "25-34",
  AND(B418&gt;=35, B418&lt;=44), "35-44",
  AND(B418&gt;=45, B418&lt;=54), "45-54",
  B418&gt;=55, "55+"
)</f>
        <v>35-44</v>
      </c>
      <c r="D418" t="s">
        <v>19</v>
      </c>
      <c r="E418" t="s">
        <v>136</v>
      </c>
      <c r="F418" t="s">
        <v>69</v>
      </c>
      <c r="G418">
        <v>55</v>
      </c>
      <c r="H418" t="s">
        <v>48</v>
      </c>
      <c r="I418" t="s">
        <v>23</v>
      </c>
      <c r="J418" t="s">
        <v>79</v>
      </c>
      <c r="K418" t="s">
        <v>39</v>
      </c>
      <c r="L418">
        <v>3.8</v>
      </c>
      <c r="M418" t="s">
        <v>26</v>
      </c>
      <c r="N418" t="s">
        <v>34</v>
      </c>
      <c r="O418" t="s">
        <v>40</v>
      </c>
      <c r="P418" t="s">
        <v>26</v>
      </c>
      <c r="Q418" t="s">
        <v>26</v>
      </c>
      <c r="R418">
        <v>24</v>
      </c>
      <c r="S418" t="s">
        <v>34</v>
      </c>
      <c r="T418" t="str">
        <f t="shared" si="12"/>
        <v>2-week</v>
      </c>
      <c r="U418">
        <f>VLOOKUP(T418,[1]tablescore!$B$3:$C$8, 2,FALSE)</f>
        <v>26</v>
      </c>
      <c r="V418" t="str">
        <f t="shared" si="13"/>
        <v>Loyal</v>
      </c>
      <c r="W418" t="s">
        <v>30</v>
      </c>
    </row>
    <row r="419" spans="1:23" x14ac:dyDescent="0.25">
      <c r="A419">
        <v>418</v>
      </c>
      <c r="B419">
        <v>23</v>
      </c>
      <c r="C419" t="str" cm="1">
        <f t="array" ref="C419">_xlfn.IFS(
  AND(B419&gt;=18, B419&lt;=24), "18-24",
  AND(B419&gt;=25, B419&lt;=34), "25-34",
  AND(B419&gt;=35, B419&lt;=44), "35-44",
  AND(B419&gt;=45, B419&lt;=54), "45-54",
  B419&gt;=55, "55+"
)</f>
        <v>18-24</v>
      </c>
      <c r="D419" t="s">
        <v>19</v>
      </c>
      <c r="E419" t="s">
        <v>42</v>
      </c>
      <c r="F419" t="s">
        <v>43</v>
      </c>
      <c r="G419">
        <v>81</v>
      </c>
      <c r="H419" t="s">
        <v>91</v>
      </c>
      <c r="I419" t="s">
        <v>23</v>
      </c>
      <c r="J419" t="s">
        <v>118</v>
      </c>
      <c r="K419" t="s">
        <v>58</v>
      </c>
      <c r="L419">
        <v>4.5</v>
      </c>
      <c r="M419" t="s">
        <v>26</v>
      </c>
      <c r="N419" t="s">
        <v>46</v>
      </c>
      <c r="O419" t="s">
        <v>40</v>
      </c>
      <c r="P419" t="s">
        <v>26</v>
      </c>
      <c r="Q419" t="s">
        <v>26</v>
      </c>
      <c r="R419">
        <v>48</v>
      </c>
      <c r="S419" t="s">
        <v>59</v>
      </c>
      <c r="T419" t="str">
        <f t="shared" si="12"/>
        <v>Quarterly</v>
      </c>
      <c r="U419">
        <f>VLOOKUP(T419,[1]tablescore!$B$3:$C$8, 2,FALSE)</f>
        <v>4</v>
      </c>
      <c r="V419" t="str">
        <f t="shared" si="13"/>
        <v>Low Loyalty</v>
      </c>
      <c r="W419" t="s">
        <v>60</v>
      </c>
    </row>
    <row r="420" spans="1:23" x14ac:dyDescent="0.25">
      <c r="A420">
        <v>419</v>
      </c>
      <c r="B420">
        <v>18</v>
      </c>
      <c r="C420" t="str" cm="1">
        <f t="array" ref="C420">_xlfn.IFS(
  AND(B420&gt;=18, B420&lt;=24), "18-24",
  AND(B420&gt;=25, B420&lt;=34), "25-34",
  AND(B420&gt;=35, B420&lt;=44), "35-44",
  AND(B420&gt;=45, B420&lt;=54), "45-54",
  B420&gt;=55, "55+"
)</f>
        <v>18-24</v>
      </c>
      <c r="D420" t="s">
        <v>19</v>
      </c>
      <c r="E420" t="s">
        <v>31</v>
      </c>
      <c r="F420" t="s">
        <v>21</v>
      </c>
      <c r="G420">
        <v>73</v>
      </c>
      <c r="H420" t="s">
        <v>115</v>
      </c>
      <c r="I420" t="s">
        <v>23</v>
      </c>
      <c r="J420" t="s">
        <v>75</v>
      </c>
      <c r="K420" t="s">
        <v>39</v>
      </c>
      <c r="L420">
        <v>3</v>
      </c>
      <c r="M420" t="s">
        <v>26</v>
      </c>
      <c r="N420" t="s">
        <v>35</v>
      </c>
      <c r="O420" t="s">
        <v>55</v>
      </c>
      <c r="P420" t="s">
        <v>26</v>
      </c>
      <c r="Q420" t="s">
        <v>26</v>
      </c>
      <c r="R420">
        <v>27</v>
      </c>
      <c r="S420" t="s">
        <v>29</v>
      </c>
      <c r="T420" t="str">
        <f t="shared" si="12"/>
        <v>2-week</v>
      </c>
      <c r="U420">
        <f>VLOOKUP(T420,[1]tablescore!$B$3:$C$8, 2,FALSE)</f>
        <v>26</v>
      </c>
      <c r="V420" t="str">
        <f t="shared" si="13"/>
        <v>Loyal</v>
      </c>
      <c r="W420" t="s">
        <v>77</v>
      </c>
    </row>
    <row r="421" spans="1:23" x14ac:dyDescent="0.25">
      <c r="A421">
        <v>420</v>
      </c>
      <c r="B421">
        <v>53</v>
      </c>
      <c r="C421" t="str" cm="1">
        <f t="array" ref="C421">_xlfn.IFS(
  AND(B421&gt;=18, B421&lt;=24), "18-24",
  AND(B421&gt;=25, B421&lt;=34), "25-34",
  AND(B421&gt;=35, B421&lt;=44), "35-44",
  AND(B421&gt;=45, B421&lt;=54), "45-54",
  B421&gt;=55, "55+"
)</f>
        <v>45-54</v>
      </c>
      <c r="D421" t="s">
        <v>19</v>
      </c>
      <c r="E421" t="s">
        <v>61</v>
      </c>
      <c r="F421" t="s">
        <v>21</v>
      </c>
      <c r="G421">
        <v>91</v>
      </c>
      <c r="H421" t="s">
        <v>149</v>
      </c>
      <c r="I421" t="s">
        <v>38</v>
      </c>
      <c r="J421" t="s">
        <v>86</v>
      </c>
      <c r="K421" t="s">
        <v>25</v>
      </c>
      <c r="L421">
        <v>3.5</v>
      </c>
      <c r="M421" t="s">
        <v>26</v>
      </c>
      <c r="N421" t="s">
        <v>27</v>
      </c>
      <c r="O421" t="s">
        <v>40</v>
      </c>
      <c r="P421" t="s">
        <v>26</v>
      </c>
      <c r="Q421" t="s">
        <v>26</v>
      </c>
      <c r="R421">
        <v>14</v>
      </c>
      <c r="S421" t="s">
        <v>27</v>
      </c>
      <c r="T421" t="str">
        <f t="shared" si="12"/>
        <v>Quarterly</v>
      </c>
      <c r="U421">
        <f>VLOOKUP(T421,[1]tablescore!$B$3:$C$8, 2,FALSE)</f>
        <v>4</v>
      </c>
      <c r="V421" t="str">
        <f t="shared" si="13"/>
        <v>Low Loyalty</v>
      </c>
      <c r="W421" t="s">
        <v>97</v>
      </c>
    </row>
    <row r="422" spans="1:23" x14ac:dyDescent="0.25">
      <c r="A422">
        <v>421</v>
      </c>
      <c r="B422">
        <v>32</v>
      </c>
      <c r="C422" t="str" cm="1">
        <f t="array" ref="C422">_xlfn.IFS(
  AND(B422&gt;=18, B422&lt;=24), "18-24",
  AND(B422&gt;=25, B422&lt;=34), "25-34",
  AND(B422&gt;=35, B422&lt;=44), "35-44",
  AND(B422&gt;=45, B422&lt;=54), "45-54",
  B422&gt;=55, "55+"
)</f>
        <v>25-34</v>
      </c>
      <c r="D422" t="s">
        <v>19</v>
      </c>
      <c r="E422" t="s">
        <v>131</v>
      </c>
      <c r="F422" t="s">
        <v>21</v>
      </c>
      <c r="G422">
        <v>54</v>
      </c>
      <c r="H422" t="s">
        <v>98</v>
      </c>
      <c r="I422" t="s">
        <v>38</v>
      </c>
      <c r="J422" t="s">
        <v>100</v>
      </c>
      <c r="K422" t="s">
        <v>39</v>
      </c>
      <c r="L422">
        <v>3.8</v>
      </c>
      <c r="M422" t="s">
        <v>26</v>
      </c>
      <c r="N422" t="s">
        <v>27</v>
      </c>
      <c r="O422" t="s">
        <v>40</v>
      </c>
      <c r="P422" t="s">
        <v>26</v>
      </c>
      <c r="Q422" t="s">
        <v>26</v>
      </c>
      <c r="R422">
        <v>18</v>
      </c>
      <c r="S422" t="s">
        <v>59</v>
      </c>
      <c r="T422" t="str">
        <f t="shared" si="12"/>
        <v>2-week</v>
      </c>
      <c r="U422">
        <f>VLOOKUP(T422,[1]tablescore!$B$3:$C$8, 2,FALSE)</f>
        <v>26</v>
      </c>
      <c r="V422" t="str">
        <f t="shared" si="13"/>
        <v>Loyal</v>
      </c>
      <c r="W422" t="s">
        <v>77</v>
      </c>
    </row>
    <row r="423" spans="1:23" x14ac:dyDescent="0.25">
      <c r="A423">
        <v>422</v>
      </c>
      <c r="B423">
        <v>38</v>
      </c>
      <c r="C423" t="str" cm="1">
        <f t="array" ref="C423">_xlfn.IFS(
  AND(B423&gt;=18, B423&lt;=24), "18-24",
  AND(B423&gt;=25, B423&lt;=34), "25-34",
  AND(B423&gt;=35, B423&lt;=44), "35-44",
  AND(B423&gt;=45, B423&lt;=54), "45-54",
  B423&gt;=55, "55+"
)</f>
        <v>35-44</v>
      </c>
      <c r="D423" t="s">
        <v>19</v>
      </c>
      <c r="E423" t="s">
        <v>56</v>
      </c>
      <c r="F423" t="s">
        <v>21</v>
      </c>
      <c r="G423">
        <v>40</v>
      </c>
      <c r="H423" t="s">
        <v>22</v>
      </c>
      <c r="I423" t="s">
        <v>45</v>
      </c>
      <c r="J423" t="s">
        <v>84</v>
      </c>
      <c r="K423" t="s">
        <v>25</v>
      </c>
      <c r="L423">
        <v>3.5</v>
      </c>
      <c r="M423" t="s">
        <v>26</v>
      </c>
      <c r="N423" t="s">
        <v>35</v>
      </c>
      <c r="O423" t="s">
        <v>55</v>
      </c>
      <c r="P423" t="s">
        <v>26</v>
      </c>
      <c r="Q423" t="s">
        <v>26</v>
      </c>
      <c r="R423">
        <v>48</v>
      </c>
      <c r="S423" t="s">
        <v>35</v>
      </c>
      <c r="T423" t="str">
        <f t="shared" si="12"/>
        <v>2-week</v>
      </c>
      <c r="U423">
        <f>VLOOKUP(T423,[1]tablescore!$B$3:$C$8, 2,FALSE)</f>
        <v>26</v>
      </c>
      <c r="V423" t="str">
        <f t="shared" si="13"/>
        <v>Loyal</v>
      </c>
      <c r="W423" t="s">
        <v>77</v>
      </c>
    </row>
    <row r="424" spans="1:23" x14ac:dyDescent="0.25">
      <c r="A424">
        <v>423</v>
      </c>
      <c r="B424">
        <v>47</v>
      </c>
      <c r="C424" t="str" cm="1">
        <f t="array" ref="C424">_xlfn.IFS(
  AND(B424&gt;=18, B424&lt;=24), "18-24",
  AND(B424&gt;=25, B424&lt;=34), "25-34",
  AND(B424&gt;=35, B424&lt;=44), "35-44",
  AND(B424&gt;=45, B424&lt;=54), "45-54",
  B424&gt;=55, "55+"
)</f>
        <v>45-54</v>
      </c>
      <c r="D424" t="s">
        <v>19</v>
      </c>
      <c r="E424" t="s">
        <v>95</v>
      </c>
      <c r="F424" t="s">
        <v>21</v>
      </c>
      <c r="G424">
        <v>59</v>
      </c>
      <c r="H424" t="s">
        <v>134</v>
      </c>
      <c r="I424" t="s">
        <v>45</v>
      </c>
      <c r="J424" t="s">
        <v>75</v>
      </c>
      <c r="K424" t="s">
        <v>58</v>
      </c>
      <c r="L424">
        <v>3.1</v>
      </c>
      <c r="M424" t="s">
        <v>26</v>
      </c>
      <c r="N424" t="s">
        <v>34</v>
      </c>
      <c r="O424" t="s">
        <v>76</v>
      </c>
      <c r="P424" t="s">
        <v>26</v>
      </c>
      <c r="Q424" t="s">
        <v>26</v>
      </c>
      <c r="R424">
        <v>32</v>
      </c>
      <c r="S424" t="s">
        <v>59</v>
      </c>
      <c r="T424" t="str">
        <f t="shared" si="12"/>
        <v>Annually</v>
      </c>
      <c r="U424">
        <f>VLOOKUP(T424,[1]tablescore!$B$3:$C$8, 2,FALSE)</f>
        <v>1</v>
      </c>
      <c r="V424" t="str">
        <f t="shared" si="13"/>
        <v>Low Loyalty</v>
      </c>
      <c r="W424" t="s">
        <v>50</v>
      </c>
    </row>
    <row r="425" spans="1:23" x14ac:dyDescent="0.25">
      <c r="A425">
        <v>424</v>
      </c>
      <c r="B425">
        <v>46</v>
      </c>
      <c r="C425" t="str" cm="1">
        <f t="array" ref="C425">_xlfn.IFS(
  AND(B425&gt;=18, B425&lt;=24), "18-24",
  AND(B425&gt;=25, B425&lt;=34), "25-34",
  AND(B425&gt;=35, B425&lt;=44), "35-44",
  AND(B425&gt;=45, B425&lt;=54), "45-54",
  B425&gt;=55, "55+"
)</f>
        <v>45-54</v>
      </c>
      <c r="D425" t="s">
        <v>19</v>
      </c>
      <c r="E425" t="s">
        <v>119</v>
      </c>
      <c r="F425" t="s">
        <v>69</v>
      </c>
      <c r="G425">
        <v>26</v>
      </c>
      <c r="H425" t="s">
        <v>85</v>
      </c>
      <c r="I425" t="s">
        <v>23</v>
      </c>
      <c r="J425" t="s">
        <v>86</v>
      </c>
      <c r="K425" t="s">
        <v>39</v>
      </c>
      <c r="L425">
        <v>3</v>
      </c>
      <c r="M425" t="s">
        <v>26</v>
      </c>
      <c r="N425" t="s">
        <v>34</v>
      </c>
      <c r="O425" t="s">
        <v>76</v>
      </c>
      <c r="P425" t="s">
        <v>26</v>
      </c>
      <c r="Q425" t="s">
        <v>26</v>
      </c>
      <c r="R425">
        <v>21</v>
      </c>
      <c r="S425" t="s">
        <v>27</v>
      </c>
      <c r="T425" t="str">
        <f t="shared" si="12"/>
        <v>2-week</v>
      </c>
      <c r="U425">
        <f>VLOOKUP(T425,[1]tablescore!$B$3:$C$8, 2,FALSE)</f>
        <v>26</v>
      </c>
      <c r="V425" t="str">
        <f t="shared" si="13"/>
        <v>Loyal</v>
      </c>
      <c r="W425" t="s">
        <v>77</v>
      </c>
    </row>
    <row r="426" spans="1:23" x14ac:dyDescent="0.25">
      <c r="A426">
        <v>425</v>
      </c>
      <c r="B426">
        <v>66</v>
      </c>
      <c r="C426" t="str" cm="1">
        <f t="array" ref="C426">_xlfn.IFS(
  AND(B426&gt;=18, B426&lt;=24), "18-24",
  AND(B426&gt;=25, B426&lt;=34), "25-34",
  AND(B426&gt;=35, B426&lt;=44), "35-44",
  AND(B426&gt;=45, B426&lt;=54), "45-54",
  B426&gt;=55, "55+"
)</f>
        <v>55+</v>
      </c>
      <c r="D426" t="s">
        <v>19</v>
      </c>
      <c r="E426" t="s">
        <v>31</v>
      </c>
      <c r="F426" t="s">
        <v>21</v>
      </c>
      <c r="G426">
        <v>23</v>
      </c>
      <c r="H426" t="s">
        <v>115</v>
      </c>
      <c r="I426" t="s">
        <v>45</v>
      </c>
      <c r="J426" t="s">
        <v>81</v>
      </c>
      <c r="K426" t="s">
        <v>25</v>
      </c>
      <c r="L426">
        <v>4.3</v>
      </c>
      <c r="M426" t="s">
        <v>26</v>
      </c>
      <c r="N426" t="s">
        <v>27</v>
      </c>
      <c r="O426" t="s">
        <v>55</v>
      </c>
      <c r="P426" t="s">
        <v>26</v>
      </c>
      <c r="Q426" t="s">
        <v>26</v>
      </c>
      <c r="R426">
        <v>42</v>
      </c>
      <c r="S426" t="s">
        <v>46</v>
      </c>
      <c r="T426" t="str">
        <f t="shared" si="12"/>
        <v>2-week</v>
      </c>
      <c r="U426">
        <f>VLOOKUP(T426,[1]tablescore!$B$3:$C$8, 2,FALSE)</f>
        <v>26</v>
      </c>
      <c r="V426" t="str">
        <f t="shared" si="13"/>
        <v>Loyal</v>
      </c>
      <c r="W426" t="s">
        <v>30</v>
      </c>
    </row>
    <row r="427" spans="1:23" x14ac:dyDescent="0.25">
      <c r="A427">
        <v>426</v>
      </c>
      <c r="B427">
        <v>40</v>
      </c>
      <c r="C427" t="str" cm="1">
        <f t="array" ref="C427">_xlfn.IFS(
  AND(B427&gt;=18, B427&lt;=24), "18-24",
  AND(B427&gt;=25, B427&lt;=34), "25-34",
  AND(B427&gt;=35, B427&lt;=44), "35-44",
  AND(B427&gt;=45, B427&lt;=54), "45-54",
  B427&gt;=55, "55+"
)</f>
        <v>35-44</v>
      </c>
      <c r="D427" t="s">
        <v>19</v>
      </c>
      <c r="E427" t="s">
        <v>36</v>
      </c>
      <c r="F427" t="s">
        <v>21</v>
      </c>
      <c r="G427">
        <v>87</v>
      </c>
      <c r="H427" t="s">
        <v>114</v>
      </c>
      <c r="I427" t="s">
        <v>38</v>
      </c>
      <c r="J427" t="s">
        <v>86</v>
      </c>
      <c r="K427" t="s">
        <v>25</v>
      </c>
      <c r="L427">
        <v>3.3</v>
      </c>
      <c r="M427" t="s">
        <v>26</v>
      </c>
      <c r="N427" t="s">
        <v>59</v>
      </c>
      <c r="O427" t="s">
        <v>76</v>
      </c>
      <c r="P427" t="s">
        <v>26</v>
      </c>
      <c r="Q427" t="s">
        <v>26</v>
      </c>
      <c r="R427">
        <v>4</v>
      </c>
      <c r="S427" t="s">
        <v>27</v>
      </c>
      <c r="T427" t="str">
        <f t="shared" si="12"/>
        <v>Quarterly</v>
      </c>
      <c r="U427">
        <f>VLOOKUP(T427,[1]tablescore!$B$3:$C$8, 2,FALSE)</f>
        <v>4</v>
      </c>
      <c r="V427" t="str">
        <f t="shared" si="13"/>
        <v>Low Loyalty</v>
      </c>
      <c r="W427" t="s">
        <v>60</v>
      </c>
    </row>
    <row r="428" spans="1:23" x14ac:dyDescent="0.25">
      <c r="A428">
        <v>427</v>
      </c>
      <c r="B428">
        <v>43</v>
      </c>
      <c r="C428" t="str" cm="1">
        <f t="array" ref="C428">_xlfn.IFS(
  AND(B428&gt;=18, B428&lt;=24), "18-24",
  AND(B428&gt;=25, B428&lt;=34), "25-34",
  AND(B428&gt;=35, B428&lt;=44), "35-44",
  AND(B428&gt;=45, B428&lt;=54), "45-54",
  B428&gt;=55, "55+"
)</f>
        <v>35-44</v>
      </c>
      <c r="D428" t="s">
        <v>19</v>
      </c>
      <c r="E428" t="s">
        <v>95</v>
      </c>
      <c r="F428" t="s">
        <v>21</v>
      </c>
      <c r="G428">
        <v>71</v>
      </c>
      <c r="H428" t="s">
        <v>62</v>
      </c>
      <c r="I428" t="s">
        <v>45</v>
      </c>
      <c r="J428" t="s">
        <v>84</v>
      </c>
      <c r="K428" t="s">
        <v>25</v>
      </c>
      <c r="L428">
        <v>4.7</v>
      </c>
      <c r="M428" t="s">
        <v>26</v>
      </c>
      <c r="N428" t="s">
        <v>35</v>
      </c>
      <c r="O428" t="s">
        <v>28</v>
      </c>
      <c r="P428" t="s">
        <v>26</v>
      </c>
      <c r="Q428" t="s">
        <v>26</v>
      </c>
      <c r="R428">
        <v>19</v>
      </c>
      <c r="S428" t="s">
        <v>27</v>
      </c>
      <c r="T428" t="str">
        <f t="shared" si="12"/>
        <v>Quarterly</v>
      </c>
      <c r="U428">
        <f>VLOOKUP(T428,[1]tablescore!$B$3:$C$8, 2,FALSE)</f>
        <v>4</v>
      </c>
      <c r="V428" t="str">
        <f t="shared" si="13"/>
        <v>Low Loyalty</v>
      </c>
      <c r="W428" t="s">
        <v>60</v>
      </c>
    </row>
    <row r="429" spans="1:23" x14ac:dyDescent="0.25">
      <c r="A429">
        <v>428</v>
      </c>
      <c r="B429">
        <v>58</v>
      </c>
      <c r="C429" t="str" cm="1">
        <f t="array" ref="C429">_xlfn.IFS(
  AND(B429&gt;=18, B429&lt;=24), "18-24",
  AND(B429&gt;=25, B429&lt;=34), "25-34",
  AND(B429&gt;=35, B429&lt;=44), "35-44",
  AND(B429&gt;=45, B429&lt;=54), "45-54",
  B429&gt;=55, "55+"
)</f>
        <v>55+</v>
      </c>
      <c r="D429" t="s">
        <v>19</v>
      </c>
      <c r="E429" t="s">
        <v>133</v>
      </c>
      <c r="F429" t="s">
        <v>69</v>
      </c>
      <c r="G429">
        <v>91</v>
      </c>
      <c r="H429" t="s">
        <v>115</v>
      </c>
      <c r="I429" t="s">
        <v>23</v>
      </c>
      <c r="J429" t="s">
        <v>94</v>
      </c>
      <c r="K429" t="s">
        <v>25</v>
      </c>
      <c r="L429">
        <v>4.5</v>
      </c>
      <c r="M429" t="s">
        <v>26</v>
      </c>
      <c r="N429" t="s">
        <v>35</v>
      </c>
      <c r="O429" t="s">
        <v>76</v>
      </c>
      <c r="P429" t="s">
        <v>26</v>
      </c>
      <c r="Q429" t="s">
        <v>26</v>
      </c>
      <c r="R429">
        <v>6</v>
      </c>
      <c r="S429" t="s">
        <v>27</v>
      </c>
      <c r="T429" t="str">
        <f t="shared" si="12"/>
        <v>Quarterly</v>
      </c>
      <c r="U429">
        <f>VLOOKUP(T429,[1]tablescore!$B$3:$C$8, 2,FALSE)</f>
        <v>4</v>
      </c>
      <c r="V429" t="str">
        <f t="shared" si="13"/>
        <v>Low Loyalty</v>
      </c>
      <c r="W429" t="s">
        <v>60</v>
      </c>
    </row>
    <row r="430" spans="1:23" x14ac:dyDescent="0.25">
      <c r="A430">
        <v>429</v>
      </c>
      <c r="B430">
        <v>21</v>
      </c>
      <c r="C430" t="str" cm="1">
        <f t="array" ref="C430">_xlfn.IFS(
  AND(B430&gt;=18, B430&lt;=24), "18-24",
  AND(B430&gt;=25, B430&lt;=34), "25-34",
  AND(B430&gt;=35, B430&lt;=44), "35-44",
  AND(B430&gt;=45, B430&lt;=54), "45-54",
  B430&gt;=55, "55+"
)</f>
        <v>18-24</v>
      </c>
      <c r="D430" t="s">
        <v>19</v>
      </c>
      <c r="E430" t="s">
        <v>64</v>
      </c>
      <c r="F430" t="s">
        <v>65</v>
      </c>
      <c r="G430">
        <v>64</v>
      </c>
      <c r="H430" t="s">
        <v>52</v>
      </c>
      <c r="I430" t="s">
        <v>92</v>
      </c>
      <c r="J430" t="s">
        <v>81</v>
      </c>
      <c r="K430" t="s">
        <v>25</v>
      </c>
      <c r="L430">
        <v>2.9</v>
      </c>
      <c r="M430" t="s">
        <v>26</v>
      </c>
      <c r="N430" t="s">
        <v>29</v>
      </c>
      <c r="O430" t="s">
        <v>40</v>
      </c>
      <c r="P430" t="s">
        <v>26</v>
      </c>
      <c r="Q430" t="s">
        <v>26</v>
      </c>
      <c r="R430">
        <v>2</v>
      </c>
      <c r="S430" t="s">
        <v>59</v>
      </c>
      <c r="T430" t="str">
        <f t="shared" si="12"/>
        <v>2-week</v>
      </c>
      <c r="U430">
        <f>VLOOKUP(T430,[1]tablescore!$B$3:$C$8, 2,FALSE)</f>
        <v>26</v>
      </c>
      <c r="V430" t="str">
        <f t="shared" si="13"/>
        <v>Loyal</v>
      </c>
      <c r="W430" t="s">
        <v>30</v>
      </c>
    </row>
    <row r="431" spans="1:23" x14ac:dyDescent="0.25">
      <c r="A431">
        <v>430</v>
      </c>
      <c r="B431">
        <v>42</v>
      </c>
      <c r="C431" t="str" cm="1">
        <f t="array" ref="C431">_xlfn.IFS(
  AND(B431&gt;=18, B431&lt;=24), "18-24",
  AND(B431&gt;=25, B431&lt;=34), "25-34",
  AND(B431&gt;=35, B431&lt;=44), "35-44",
  AND(B431&gt;=45, B431&lt;=54), "45-54",
  B431&gt;=55, "55+"
)</f>
        <v>35-44</v>
      </c>
      <c r="D431" t="s">
        <v>19</v>
      </c>
      <c r="E431" t="s">
        <v>42</v>
      </c>
      <c r="F431" t="s">
        <v>43</v>
      </c>
      <c r="G431">
        <v>94</v>
      </c>
      <c r="H431" t="s">
        <v>140</v>
      </c>
      <c r="I431" t="s">
        <v>45</v>
      </c>
      <c r="J431" t="s">
        <v>81</v>
      </c>
      <c r="K431" t="s">
        <v>25</v>
      </c>
      <c r="L431">
        <v>4.0999999999999996</v>
      </c>
      <c r="M431" t="s">
        <v>26</v>
      </c>
      <c r="N431" t="s">
        <v>29</v>
      </c>
      <c r="O431" t="s">
        <v>72</v>
      </c>
      <c r="P431" t="s">
        <v>26</v>
      </c>
      <c r="Q431" t="s">
        <v>26</v>
      </c>
      <c r="R431">
        <v>21</v>
      </c>
      <c r="S431" t="s">
        <v>35</v>
      </c>
      <c r="T431" t="str">
        <f t="shared" si="12"/>
        <v>2-week</v>
      </c>
      <c r="U431">
        <f>VLOOKUP(T431,[1]tablescore!$B$3:$C$8, 2,FALSE)</f>
        <v>26</v>
      </c>
      <c r="V431" t="str">
        <f t="shared" si="13"/>
        <v>Loyal</v>
      </c>
      <c r="W431" t="s">
        <v>30</v>
      </c>
    </row>
    <row r="432" spans="1:23" x14ac:dyDescent="0.25">
      <c r="A432">
        <v>431</v>
      </c>
      <c r="B432">
        <v>24</v>
      </c>
      <c r="C432" t="str" cm="1">
        <f t="array" ref="C432">_xlfn.IFS(
  AND(B432&gt;=18, B432&lt;=24), "18-24",
  AND(B432&gt;=25, B432&lt;=34), "25-34",
  AND(B432&gt;=35, B432&lt;=44), "35-44",
  AND(B432&gt;=45, B432&lt;=54), "45-54",
  B432&gt;=55, "55+"
)</f>
        <v>18-24</v>
      </c>
      <c r="D432" t="s">
        <v>19</v>
      </c>
      <c r="E432" t="s">
        <v>56</v>
      </c>
      <c r="F432" t="s">
        <v>21</v>
      </c>
      <c r="G432">
        <v>40</v>
      </c>
      <c r="H432" t="s">
        <v>105</v>
      </c>
      <c r="I432" t="s">
        <v>45</v>
      </c>
      <c r="J432" t="s">
        <v>110</v>
      </c>
      <c r="K432" t="s">
        <v>54</v>
      </c>
      <c r="L432">
        <v>3.5</v>
      </c>
      <c r="M432" t="s">
        <v>26</v>
      </c>
      <c r="N432" t="s">
        <v>59</v>
      </c>
      <c r="O432" t="s">
        <v>76</v>
      </c>
      <c r="P432" t="s">
        <v>26</v>
      </c>
      <c r="Q432" t="s">
        <v>26</v>
      </c>
      <c r="R432">
        <v>40</v>
      </c>
      <c r="S432" t="s">
        <v>59</v>
      </c>
      <c r="T432" t="str">
        <f t="shared" si="12"/>
        <v>Annually</v>
      </c>
      <c r="U432">
        <f>VLOOKUP(T432,[1]tablescore!$B$3:$C$8, 2,FALSE)</f>
        <v>1</v>
      </c>
      <c r="V432" t="str">
        <f t="shared" si="13"/>
        <v>Low Loyalty</v>
      </c>
      <c r="W432" t="s">
        <v>50</v>
      </c>
    </row>
    <row r="433" spans="1:23" x14ac:dyDescent="0.25">
      <c r="A433">
        <v>432</v>
      </c>
      <c r="B433">
        <v>43</v>
      </c>
      <c r="C433" t="str" cm="1">
        <f t="array" ref="C433">_xlfn.IFS(
  AND(B433&gt;=18, B433&lt;=24), "18-24",
  AND(B433&gt;=25, B433&lt;=34), "25-34",
  AND(B433&gt;=35, B433&lt;=44), "35-44",
  AND(B433&gt;=45, B433&lt;=54), "45-54",
  B433&gt;=55, "55+"
)</f>
        <v>35-44</v>
      </c>
      <c r="D433" t="s">
        <v>19</v>
      </c>
      <c r="E433" t="s">
        <v>125</v>
      </c>
      <c r="F433" t="s">
        <v>69</v>
      </c>
      <c r="G433">
        <v>76</v>
      </c>
      <c r="H433" t="s">
        <v>83</v>
      </c>
      <c r="I433" t="s">
        <v>23</v>
      </c>
      <c r="J433" t="s">
        <v>109</v>
      </c>
      <c r="K433" t="s">
        <v>25</v>
      </c>
      <c r="L433">
        <v>3.4</v>
      </c>
      <c r="M433" t="s">
        <v>26</v>
      </c>
      <c r="N433" t="s">
        <v>27</v>
      </c>
      <c r="O433" t="s">
        <v>76</v>
      </c>
      <c r="P433" t="s">
        <v>26</v>
      </c>
      <c r="Q433" t="s">
        <v>26</v>
      </c>
      <c r="R433">
        <v>33</v>
      </c>
      <c r="S433" t="s">
        <v>35</v>
      </c>
      <c r="T433" t="str">
        <f t="shared" si="12"/>
        <v>2-week</v>
      </c>
      <c r="U433">
        <f>VLOOKUP(T433,[1]tablescore!$B$3:$C$8, 2,FALSE)</f>
        <v>26</v>
      </c>
      <c r="V433" t="str">
        <f t="shared" si="13"/>
        <v>Loyal</v>
      </c>
      <c r="W433" t="s">
        <v>30</v>
      </c>
    </row>
    <row r="434" spans="1:23" x14ac:dyDescent="0.25">
      <c r="A434">
        <v>433</v>
      </c>
      <c r="B434">
        <v>47</v>
      </c>
      <c r="C434" t="str" cm="1">
        <f t="array" ref="C434">_xlfn.IFS(
  AND(B434&gt;=18, B434&lt;=24), "18-24",
  AND(B434&gt;=25, B434&lt;=34), "25-34",
  AND(B434&gt;=35, B434&lt;=44), "35-44",
  AND(B434&gt;=45, B434&lt;=54), "45-54",
  B434&gt;=55, "55+"
)</f>
        <v>45-54</v>
      </c>
      <c r="D434" t="s">
        <v>19</v>
      </c>
      <c r="E434" t="s">
        <v>56</v>
      </c>
      <c r="F434" t="s">
        <v>21</v>
      </c>
      <c r="G434">
        <v>86</v>
      </c>
      <c r="H434" t="s">
        <v>116</v>
      </c>
      <c r="I434" t="s">
        <v>38</v>
      </c>
      <c r="J434" t="s">
        <v>129</v>
      </c>
      <c r="K434" t="s">
        <v>58</v>
      </c>
      <c r="L434">
        <v>3.3</v>
      </c>
      <c r="M434" t="s">
        <v>26</v>
      </c>
      <c r="N434" t="s">
        <v>59</v>
      </c>
      <c r="O434" t="s">
        <v>40</v>
      </c>
      <c r="P434" t="s">
        <v>26</v>
      </c>
      <c r="Q434" t="s">
        <v>26</v>
      </c>
      <c r="R434">
        <v>26</v>
      </c>
      <c r="S434" t="s">
        <v>29</v>
      </c>
      <c r="T434" t="str">
        <f t="shared" si="12"/>
        <v>Daily</v>
      </c>
      <c r="U434">
        <f>VLOOKUP(T434,[1]tablescore!$B$3:$C$8, 2,FALSE)</f>
        <v>30</v>
      </c>
      <c r="V434" t="str">
        <f t="shared" si="13"/>
        <v>Highly Loyal</v>
      </c>
      <c r="W434" t="s">
        <v>41</v>
      </c>
    </row>
    <row r="435" spans="1:23" x14ac:dyDescent="0.25">
      <c r="A435">
        <v>434</v>
      </c>
      <c r="B435">
        <v>49</v>
      </c>
      <c r="C435" t="str" cm="1">
        <f t="array" ref="C435">_xlfn.IFS(
  AND(B435&gt;=18, B435&lt;=24), "18-24",
  AND(B435&gt;=25, B435&lt;=34), "25-34",
  AND(B435&gt;=35, B435&lt;=44), "35-44",
  AND(B435&gt;=45, B435&lt;=54), "45-54",
  B435&gt;=55, "55+"
)</f>
        <v>45-54</v>
      </c>
      <c r="D435" t="s">
        <v>19</v>
      </c>
      <c r="E435" t="s">
        <v>87</v>
      </c>
      <c r="F435" t="s">
        <v>21</v>
      </c>
      <c r="G435">
        <v>92</v>
      </c>
      <c r="H435" t="s">
        <v>90</v>
      </c>
      <c r="I435" t="s">
        <v>45</v>
      </c>
      <c r="J435" t="s">
        <v>121</v>
      </c>
      <c r="K435" t="s">
        <v>58</v>
      </c>
      <c r="L435">
        <v>3.2</v>
      </c>
      <c r="M435" t="s">
        <v>26</v>
      </c>
      <c r="N435" t="s">
        <v>34</v>
      </c>
      <c r="O435" t="s">
        <v>76</v>
      </c>
      <c r="P435" t="s">
        <v>26</v>
      </c>
      <c r="Q435" t="s">
        <v>26</v>
      </c>
      <c r="R435">
        <v>23</v>
      </c>
      <c r="S435" t="s">
        <v>27</v>
      </c>
      <c r="T435" t="str">
        <f t="shared" si="12"/>
        <v>2-week</v>
      </c>
      <c r="U435">
        <f>VLOOKUP(T435,[1]tablescore!$B$3:$C$8, 2,FALSE)</f>
        <v>26</v>
      </c>
      <c r="V435" t="str">
        <f t="shared" si="13"/>
        <v>Loyal</v>
      </c>
      <c r="W435" t="s">
        <v>30</v>
      </c>
    </row>
    <row r="436" spans="1:23" x14ac:dyDescent="0.25">
      <c r="A436">
        <v>435</v>
      </c>
      <c r="B436">
        <v>50</v>
      </c>
      <c r="C436" t="str" cm="1">
        <f t="array" ref="C436">_xlfn.IFS(
  AND(B436&gt;=18, B436&lt;=24), "18-24",
  AND(B436&gt;=25, B436&lt;=34), "25-34",
  AND(B436&gt;=35, B436&lt;=44), "35-44",
  AND(B436&gt;=45, B436&lt;=54), "45-54",
  B436&gt;=55, "55+"
)</f>
        <v>45-54</v>
      </c>
      <c r="D436" t="s">
        <v>19</v>
      </c>
      <c r="E436" t="s">
        <v>73</v>
      </c>
      <c r="F436" t="s">
        <v>43</v>
      </c>
      <c r="G436">
        <v>52</v>
      </c>
      <c r="H436" t="s">
        <v>101</v>
      </c>
      <c r="I436" t="s">
        <v>23</v>
      </c>
      <c r="J436" t="s">
        <v>71</v>
      </c>
      <c r="K436" t="s">
        <v>39</v>
      </c>
      <c r="L436">
        <v>4</v>
      </c>
      <c r="M436" t="s">
        <v>26</v>
      </c>
      <c r="N436" t="s">
        <v>34</v>
      </c>
      <c r="O436" t="s">
        <v>76</v>
      </c>
      <c r="P436" t="s">
        <v>26</v>
      </c>
      <c r="Q436" t="s">
        <v>26</v>
      </c>
      <c r="R436">
        <v>39</v>
      </c>
      <c r="S436" t="s">
        <v>46</v>
      </c>
      <c r="T436" t="str">
        <f t="shared" si="12"/>
        <v>Quarterly</v>
      </c>
      <c r="U436">
        <f>VLOOKUP(T436,[1]tablescore!$B$3:$C$8, 2,FALSE)</f>
        <v>4</v>
      </c>
      <c r="V436" t="str">
        <f t="shared" si="13"/>
        <v>Low Loyalty</v>
      </c>
      <c r="W436" t="s">
        <v>97</v>
      </c>
    </row>
    <row r="437" spans="1:23" x14ac:dyDescent="0.25">
      <c r="A437">
        <v>436</v>
      </c>
      <c r="B437">
        <v>51</v>
      </c>
      <c r="C437" t="str" cm="1">
        <f t="array" ref="C437">_xlfn.IFS(
  AND(B437&gt;=18, B437&lt;=24), "18-24",
  AND(B437&gt;=25, B437&lt;=34), "25-34",
  AND(B437&gt;=35, B437&lt;=44), "35-44",
  AND(B437&gt;=45, B437&lt;=54), "45-54",
  B437&gt;=55, "55+"
)</f>
        <v>45-54</v>
      </c>
      <c r="D437" t="s">
        <v>19</v>
      </c>
      <c r="E437" t="s">
        <v>64</v>
      </c>
      <c r="F437" t="s">
        <v>65</v>
      </c>
      <c r="G437">
        <v>28</v>
      </c>
      <c r="H437" t="s">
        <v>57</v>
      </c>
      <c r="I437" t="s">
        <v>92</v>
      </c>
      <c r="J437" t="s">
        <v>79</v>
      </c>
      <c r="K437" t="s">
        <v>25</v>
      </c>
      <c r="L437">
        <v>3.6</v>
      </c>
      <c r="M437" t="s">
        <v>26</v>
      </c>
      <c r="N437" t="s">
        <v>46</v>
      </c>
      <c r="O437" t="s">
        <v>47</v>
      </c>
      <c r="P437" t="s">
        <v>26</v>
      </c>
      <c r="Q437" t="s">
        <v>26</v>
      </c>
      <c r="R437">
        <v>42</v>
      </c>
      <c r="S437" t="s">
        <v>34</v>
      </c>
      <c r="T437" t="str">
        <f t="shared" si="12"/>
        <v>Month</v>
      </c>
      <c r="U437">
        <f>VLOOKUP(T437,[1]tablescore!$B$3:$C$8, 2,FALSE)</f>
        <v>12</v>
      </c>
      <c r="V437" t="str">
        <f t="shared" si="13"/>
        <v>Moderate</v>
      </c>
      <c r="W437" t="s">
        <v>88</v>
      </c>
    </row>
    <row r="438" spans="1:23" x14ac:dyDescent="0.25">
      <c r="A438">
        <v>437</v>
      </c>
      <c r="B438">
        <v>40</v>
      </c>
      <c r="C438" t="str" cm="1">
        <f t="array" ref="C438">_xlfn.IFS(
  AND(B438&gt;=18, B438&lt;=24), "18-24",
  AND(B438&gt;=25, B438&lt;=34), "25-34",
  AND(B438&gt;=35, B438&lt;=44), "35-44",
  AND(B438&gt;=45, B438&lt;=54), "45-54",
  B438&gt;=55, "55+"
)</f>
        <v>35-44</v>
      </c>
      <c r="D438" t="s">
        <v>19</v>
      </c>
      <c r="E438" t="s">
        <v>95</v>
      </c>
      <c r="F438" t="s">
        <v>21</v>
      </c>
      <c r="G438">
        <v>46</v>
      </c>
      <c r="H438" t="s">
        <v>122</v>
      </c>
      <c r="I438" t="s">
        <v>23</v>
      </c>
      <c r="J438" t="s">
        <v>109</v>
      </c>
      <c r="K438" t="s">
        <v>54</v>
      </c>
      <c r="L438">
        <v>4.5999999999999996</v>
      </c>
      <c r="M438" t="s">
        <v>26</v>
      </c>
      <c r="N438" t="s">
        <v>35</v>
      </c>
      <c r="O438" t="s">
        <v>40</v>
      </c>
      <c r="P438" t="s">
        <v>26</v>
      </c>
      <c r="Q438" t="s">
        <v>26</v>
      </c>
      <c r="R438">
        <v>41</v>
      </c>
      <c r="S438" t="s">
        <v>34</v>
      </c>
      <c r="T438" t="str">
        <f t="shared" si="12"/>
        <v>Daily</v>
      </c>
      <c r="U438">
        <f>VLOOKUP(T438,[1]tablescore!$B$3:$C$8, 2,FALSE)</f>
        <v>30</v>
      </c>
      <c r="V438" t="str">
        <f t="shared" si="13"/>
        <v>Highly Loyal</v>
      </c>
      <c r="W438" t="s">
        <v>41</v>
      </c>
    </row>
    <row r="439" spans="1:23" x14ac:dyDescent="0.25">
      <c r="A439">
        <v>438</v>
      </c>
      <c r="B439">
        <v>45</v>
      </c>
      <c r="C439" t="str" cm="1">
        <f t="array" ref="C439">_xlfn.IFS(
  AND(B439&gt;=18, B439&lt;=24), "18-24",
  AND(B439&gt;=25, B439&lt;=34), "25-34",
  AND(B439&gt;=35, B439&lt;=44), "35-44",
  AND(B439&gt;=45, B439&lt;=54), "45-54",
  B439&gt;=55, "55+"
)</f>
        <v>45-54</v>
      </c>
      <c r="D439" t="s">
        <v>19</v>
      </c>
      <c r="E439" t="s">
        <v>106</v>
      </c>
      <c r="F439" t="s">
        <v>69</v>
      </c>
      <c r="G439">
        <v>50</v>
      </c>
      <c r="H439" t="s">
        <v>123</v>
      </c>
      <c r="I439" t="s">
        <v>45</v>
      </c>
      <c r="J439" t="s">
        <v>100</v>
      </c>
      <c r="K439" t="s">
        <v>54</v>
      </c>
      <c r="L439">
        <v>2.6</v>
      </c>
      <c r="M439" t="s">
        <v>26</v>
      </c>
      <c r="N439" t="s">
        <v>27</v>
      </c>
      <c r="O439" t="s">
        <v>47</v>
      </c>
      <c r="P439" t="s">
        <v>26</v>
      </c>
      <c r="Q439" t="s">
        <v>26</v>
      </c>
      <c r="R439">
        <v>41</v>
      </c>
      <c r="S439" t="s">
        <v>46</v>
      </c>
      <c r="T439" t="str">
        <f t="shared" si="12"/>
        <v>Annually</v>
      </c>
      <c r="U439">
        <f>VLOOKUP(T439,[1]tablescore!$B$3:$C$8, 2,FALSE)</f>
        <v>1</v>
      </c>
      <c r="V439" t="str">
        <f t="shared" si="13"/>
        <v>Low Loyalty</v>
      </c>
      <c r="W439" t="s">
        <v>50</v>
      </c>
    </row>
    <row r="440" spans="1:23" x14ac:dyDescent="0.25">
      <c r="A440">
        <v>439</v>
      </c>
      <c r="B440">
        <v>52</v>
      </c>
      <c r="C440" t="str" cm="1">
        <f t="array" ref="C440">_xlfn.IFS(
  AND(B440&gt;=18, B440&lt;=24), "18-24",
  AND(B440&gt;=25, B440&lt;=34), "25-34",
  AND(B440&gt;=35, B440&lt;=44), "35-44",
  AND(B440&gt;=45, B440&lt;=54), "45-54",
  B440&gt;=55, "55+"
)</f>
        <v>45-54</v>
      </c>
      <c r="D440" t="s">
        <v>19</v>
      </c>
      <c r="E440" t="s">
        <v>136</v>
      </c>
      <c r="F440" t="s">
        <v>69</v>
      </c>
      <c r="G440">
        <v>23</v>
      </c>
      <c r="H440" t="s">
        <v>150</v>
      </c>
      <c r="I440" t="s">
        <v>45</v>
      </c>
      <c r="J440" t="s">
        <v>49</v>
      </c>
      <c r="K440" t="s">
        <v>25</v>
      </c>
      <c r="L440">
        <v>4.3</v>
      </c>
      <c r="M440" t="s">
        <v>26</v>
      </c>
      <c r="N440" t="s">
        <v>35</v>
      </c>
      <c r="O440" t="s">
        <v>28</v>
      </c>
      <c r="P440" t="s">
        <v>26</v>
      </c>
      <c r="Q440" t="s">
        <v>26</v>
      </c>
      <c r="R440">
        <v>12</v>
      </c>
      <c r="S440" t="s">
        <v>27</v>
      </c>
      <c r="T440" t="str">
        <f t="shared" si="12"/>
        <v>2-week</v>
      </c>
      <c r="U440">
        <f>VLOOKUP(T440,[1]tablescore!$B$3:$C$8, 2,FALSE)</f>
        <v>26</v>
      </c>
      <c r="V440" t="str">
        <f t="shared" si="13"/>
        <v>Loyal</v>
      </c>
      <c r="W440" t="s">
        <v>30</v>
      </c>
    </row>
    <row r="441" spans="1:23" x14ac:dyDescent="0.25">
      <c r="A441">
        <v>440</v>
      </c>
      <c r="B441">
        <v>62</v>
      </c>
      <c r="C441" t="str" cm="1">
        <f t="array" ref="C441">_xlfn.IFS(
  AND(B441&gt;=18, B441&lt;=24), "18-24",
  AND(B441&gt;=25, B441&lt;=34), "25-34",
  AND(B441&gt;=35, B441&lt;=44), "35-44",
  AND(B441&gt;=45, B441&lt;=54), "45-54",
  B441&gt;=55, "55+"
)</f>
        <v>55+</v>
      </c>
      <c r="D441" t="s">
        <v>19</v>
      </c>
      <c r="E441" t="s">
        <v>102</v>
      </c>
      <c r="F441" t="s">
        <v>65</v>
      </c>
      <c r="G441">
        <v>50</v>
      </c>
      <c r="H441" t="s">
        <v>144</v>
      </c>
      <c r="I441" t="s">
        <v>45</v>
      </c>
      <c r="J441" t="s">
        <v>49</v>
      </c>
      <c r="K441" t="s">
        <v>54</v>
      </c>
      <c r="L441">
        <v>3.4</v>
      </c>
      <c r="M441" t="s">
        <v>26</v>
      </c>
      <c r="N441" t="s">
        <v>46</v>
      </c>
      <c r="O441" t="s">
        <v>40</v>
      </c>
      <c r="P441" t="s">
        <v>26</v>
      </c>
      <c r="Q441" t="s">
        <v>26</v>
      </c>
      <c r="R441">
        <v>31</v>
      </c>
      <c r="S441" t="s">
        <v>35</v>
      </c>
      <c r="T441" t="str">
        <f t="shared" si="12"/>
        <v>Month</v>
      </c>
      <c r="U441">
        <f>VLOOKUP(T441,[1]tablescore!$B$3:$C$8, 2,FALSE)</f>
        <v>12</v>
      </c>
      <c r="V441" t="str">
        <f t="shared" si="13"/>
        <v>Moderate</v>
      </c>
      <c r="W441" t="s">
        <v>88</v>
      </c>
    </row>
    <row r="442" spans="1:23" x14ac:dyDescent="0.25">
      <c r="A442">
        <v>441</v>
      </c>
      <c r="B442">
        <v>20</v>
      </c>
      <c r="C442" t="str" cm="1">
        <f t="array" ref="C442">_xlfn.IFS(
  AND(B442&gt;=18, B442&lt;=24), "18-24",
  AND(B442&gt;=25, B442&lt;=34), "25-34",
  AND(B442&gt;=35, B442&lt;=44), "35-44",
  AND(B442&gt;=45, B442&lt;=54), "45-54",
  B442&gt;=55, "55+"
)</f>
        <v>18-24</v>
      </c>
      <c r="D442" t="s">
        <v>19</v>
      </c>
      <c r="E442" t="s">
        <v>56</v>
      </c>
      <c r="F442" t="s">
        <v>21</v>
      </c>
      <c r="G442">
        <v>89</v>
      </c>
      <c r="H442" t="s">
        <v>101</v>
      </c>
      <c r="I442" t="s">
        <v>92</v>
      </c>
      <c r="J442" t="s">
        <v>33</v>
      </c>
      <c r="K442" t="s">
        <v>25</v>
      </c>
      <c r="L442">
        <v>3.5</v>
      </c>
      <c r="M442" t="s">
        <v>26</v>
      </c>
      <c r="N442" t="s">
        <v>59</v>
      </c>
      <c r="O442" t="s">
        <v>76</v>
      </c>
      <c r="P442" t="s">
        <v>26</v>
      </c>
      <c r="Q442" t="s">
        <v>26</v>
      </c>
      <c r="R442">
        <v>34</v>
      </c>
      <c r="S442" t="s">
        <v>59</v>
      </c>
      <c r="T442" t="str">
        <f t="shared" si="12"/>
        <v>2-week</v>
      </c>
      <c r="U442">
        <f>VLOOKUP(T442,[1]tablescore!$B$3:$C$8, 2,FALSE)</f>
        <v>26</v>
      </c>
      <c r="V442" t="str">
        <f t="shared" si="13"/>
        <v>Loyal</v>
      </c>
      <c r="W442" t="s">
        <v>30</v>
      </c>
    </row>
    <row r="443" spans="1:23" x14ac:dyDescent="0.25">
      <c r="A443">
        <v>442</v>
      </c>
      <c r="B443">
        <v>43</v>
      </c>
      <c r="C443" t="str" cm="1">
        <f t="array" ref="C443">_xlfn.IFS(
  AND(B443&gt;=18, B443&lt;=24), "18-24",
  AND(B443&gt;=25, B443&lt;=34), "25-34",
  AND(B443&gt;=35, B443&lt;=44), "35-44",
  AND(B443&gt;=45, B443&lt;=54), "45-54",
  B443&gt;=55, "55+"
)</f>
        <v>35-44</v>
      </c>
      <c r="D443" t="s">
        <v>19</v>
      </c>
      <c r="E443" t="s">
        <v>104</v>
      </c>
      <c r="F443" t="s">
        <v>21</v>
      </c>
      <c r="G443">
        <v>81</v>
      </c>
      <c r="H443" t="s">
        <v>103</v>
      </c>
      <c r="I443" t="s">
        <v>45</v>
      </c>
      <c r="J443" t="s">
        <v>33</v>
      </c>
      <c r="K443" t="s">
        <v>25</v>
      </c>
      <c r="L443">
        <v>4.2</v>
      </c>
      <c r="M443" t="s">
        <v>26</v>
      </c>
      <c r="N443" t="s">
        <v>34</v>
      </c>
      <c r="O443" t="s">
        <v>55</v>
      </c>
      <c r="P443" t="s">
        <v>26</v>
      </c>
      <c r="Q443" t="s">
        <v>26</v>
      </c>
      <c r="R443">
        <v>32</v>
      </c>
      <c r="S443" t="s">
        <v>27</v>
      </c>
      <c r="T443" t="str">
        <f t="shared" si="12"/>
        <v>Annually</v>
      </c>
      <c r="U443">
        <f>VLOOKUP(T443,[1]tablescore!$B$3:$C$8, 2,FALSE)</f>
        <v>1</v>
      </c>
      <c r="V443" t="str">
        <f t="shared" si="13"/>
        <v>Low Loyalty</v>
      </c>
      <c r="W443" t="s">
        <v>50</v>
      </c>
    </row>
    <row r="444" spans="1:23" x14ac:dyDescent="0.25">
      <c r="A444">
        <v>443</v>
      </c>
      <c r="B444">
        <v>29</v>
      </c>
      <c r="C444" t="str" cm="1">
        <f t="array" ref="C444">_xlfn.IFS(
  AND(B444&gt;=18, B444&lt;=24), "18-24",
  AND(B444&gt;=25, B444&lt;=34), "25-34",
  AND(B444&gt;=35, B444&lt;=44), "35-44",
  AND(B444&gt;=45, B444&lt;=54), "45-54",
  B444&gt;=55, "55+"
)</f>
        <v>25-34</v>
      </c>
      <c r="D444" t="s">
        <v>19</v>
      </c>
      <c r="E444" t="s">
        <v>89</v>
      </c>
      <c r="F444" t="s">
        <v>69</v>
      </c>
      <c r="G444">
        <v>69</v>
      </c>
      <c r="H444" t="s">
        <v>151</v>
      </c>
      <c r="I444" t="s">
        <v>45</v>
      </c>
      <c r="J444" t="s">
        <v>79</v>
      </c>
      <c r="K444" t="s">
        <v>58</v>
      </c>
      <c r="L444">
        <v>3.5</v>
      </c>
      <c r="M444" t="s">
        <v>26</v>
      </c>
      <c r="N444" t="s">
        <v>34</v>
      </c>
      <c r="O444" t="s">
        <v>76</v>
      </c>
      <c r="P444" t="s">
        <v>26</v>
      </c>
      <c r="Q444" t="s">
        <v>26</v>
      </c>
      <c r="R444">
        <v>31</v>
      </c>
      <c r="S444" t="s">
        <v>27</v>
      </c>
      <c r="T444" t="str">
        <f t="shared" si="12"/>
        <v>Quarterly</v>
      </c>
      <c r="U444">
        <f>VLOOKUP(T444,[1]tablescore!$B$3:$C$8, 2,FALSE)</f>
        <v>4</v>
      </c>
      <c r="V444" t="str">
        <f t="shared" si="13"/>
        <v>Low Loyalty</v>
      </c>
      <c r="W444" t="s">
        <v>60</v>
      </c>
    </row>
    <row r="445" spans="1:23" x14ac:dyDescent="0.25">
      <c r="A445">
        <v>444</v>
      </c>
      <c r="B445">
        <v>22</v>
      </c>
      <c r="C445" t="str" cm="1">
        <f t="array" ref="C445">_xlfn.IFS(
  AND(B445&gt;=18, B445&lt;=24), "18-24",
  AND(B445&gt;=25, B445&lt;=34), "25-34",
  AND(B445&gt;=35, B445&lt;=44), "35-44",
  AND(B445&gt;=45, B445&lt;=54), "45-54",
  B445&gt;=55, "55+"
)</f>
        <v>18-24</v>
      </c>
      <c r="D445" t="s">
        <v>19</v>
      </c>
      <c r="E445" t="s">
        <v>89</v>
      </c>
      <c r="F445" t="s">
        <v>69</v>
      </c>
      <c r="G445">
        <v>67</v>
      </c>
      <c r="H445" t="s">
        <v>78</v>
      </c>
      <c r="I445" t="s">
        <v>45</v>
      </c>
      <c r="J445" t="s">
        <v>147</v>
      </c>
      <c r="K445" t="s">
        <v>54</v>
      </c>
      <c r="L445">
        <v>3.6</v>
      </c>
      <c r="M445" t="s">
        <v>26</v>
      </c>
      <c r="N445" t="s">
        <v>46</v>
      </c>
      <c r="O445" t="s">
        <v>40</v>
      </c>
      <c r="P445" t="s">
        <v>26</v>
      </c>
      <c r="Q445" t="s">
        <v>26</v>
      </c>
      <c r="R445">
        <v>24</v>
      </c>
      <c r="S445" t="s">
        <v>46</v>
      </c>
      <c r="T445" t="str">
        <f t="shared" si="12"/>
        <v>Annually</v>
      </c>
      <c r="U445">
        <f>VLOOKUP(T445,[1]tablescore!$B$3:$C$8, 2,FALSE)</f>
        <v>1</v>
      </c>
      <c r="V445" t="str">
        <f t="shared" si="13"/>
        <v>Low Loyalty</v>
      </c>
      <c r="W445" t="s">
        <v>50</v>
      </c>
    </row>
    <row r="446" spans="1:23" x14ac:dyDescent="0.25">
      <c r="A446">
        <v>445</v>
      </c>
      <c r="B446">
        <v>48</v>
      </c>
      <c r="C446" t="str" cm="1">
        <f t="array" ref="C446">_xlfn.IFS(
  AND(B446&gt;=18, B446&lt;=24), "18-24",
  AND(B446&gt;=25, B446&lt;=34), "25-34",
  AND(B446&gt;=35, B446&lt;=44), "35-44",
  AND(B446&gt;=45, B446&lt;=54), "45-54",
  B446&gt;=55, "55+"
)</f>
        <v>45-54</v>
      </c>
      <c r="D446" t="s">
        <v>19</v>
      </c>
      <c r="E446" t="s">
        <v>82</v>
      </c>
      <c r="F446" t="s">
        <v>21</v>
      </c>
      <c r="G446">
        <v>20</v>
      </c>
      <c r="H446" t="s">
        <v>99</v>
      </c>
      <c r="I446" t="s">
        <v>45</v>
      </c>
      <c r="J446" t="s">
        <v>108</v>
      </c>
      <c r="K446" t="s">
        <v>54</v>
      </c>
      <c r="L446">
        <v>4.3</v>
      </c>
      <c r="M446" t="s">
        <v>26</v>
      </c>
      <c r="N446" t="s">
        <v>59</v>
      </c>
      <c r="O446" t="s">
        <v>76</v>
      </c>
      <c r="P446" t="s">
        <v>26</v>
      </c>
      <c r="Q446" t="s">
        <v>26</v>
      </c>
      <c r="R446">
        <v>31</v>
      </c>
      <c r="S446" t="s">
        <v>59</v>
      </c>
      <c r="T446" t="str">
        <f t="shared" si="12"/>
        <v>Annually</v>
      </c>
      <c r="U446">
        <f>VLOOKUP(T446,[1]tablescore!$B$3:$C$8, 2,FALSE)</f>
        <v>1</v>
      </c>
      <c r="V446" t="str">
        <f t="shared" si="13"/>
        <v>Low Loyalty</v>
      </c>
      <c r="W446" t="s">
        <v>50</v>
      </c>
    </row>
    <row r="447" spans="1:23" x14ac:dyDescent="0.25">
      <c r="A447">
        <v>446</v>
      </c>
      <c r="B447">
        <v>42</v>
      </c>
      <c r="C447" t="str" cm="1">
        <f t="array" ref="C447">_xlfn.IFS(
  AND(B447&gt;=18, B447&lt;=24), "18-24",
  AND(B447&gt;=25, B447&lt;=34), "25-34",
  AND(B447&gt;=35, B447&lt;=44), "35-44",
  AND(B447&gt;=45, B447&lt;=54), "45-54",
  B447&gt;=55, "55+"
)</f>
        <v>35-44</v>
      </c>
      <c r="D447" t="s">
        <v>19</v>
      </c>
      <c r="E447" t="s">
        <v>132</v>
      </c>
      <c r="F447" t="s">
        <v>43</v>
      </c>
      <c r="G447">
        <v>29</v>
      </c>
      <c r="H447" t="s">
        <v>150</v>
      </c>
      <c r="I447" t="s">
        <v>45</v>
      </c>
      <c r="J447" t="s">
        <v>79</v>
      </c>
      <c r="K447" t="s">
        <v>58</v>
      </c>
      <c r="L447">
        <v>4.9000000000000004</v>
      </c>
      <c r="M447" t="s">
        <v>26</v>
      </c>
      <c r="N447" t="s">
        <v>34</v>
      </c>
      <c r="O447" t="s">
        <v>55</v>
      </c>
      <c r="P447" t="s">
        <v>26</v>
      </c>
      <c r="Q447" t="s">
        <v>26</v>
      </c>
      <c r="R447">
        <v>18</v>
      </c>
      <c r="S447" t="s">
        <v>29</v>
      </c>
      <c r="T447" t="str">
        <f t="shared" si="12"/>
        <v>Annually</v>
      </c>
      <c r="U447">
        <f>VLOOKUP(T447,[1]tablescore!$B$3:$C$8, 2,FALSE)</f>
        <v>1</v>
      </c>
      <c r="V447" t="str">
        <f t="shared" si="13"/>
        <v>Low Loyalty</v>
      </c>
      <c r="W447" t="s">
        <v>50</v>
      </c>
    </row>
    <row r="448" spans="1:23" x14ac:dyDescent="0.25">
      <c r="A448">
        <v>447</v>
      </c>
      <c r="B448">
        <v>19</v>
      </c>
      <c r="C448" t="str" cm="1">
        <f t="array" ref="C448">_xlfn.IFS(
  AND(B448&gt;=18, B448&lt;=24), "18-24",
  AND(B448&gt;=25, B448&lt;=34), "25-34",
  AND(B448&gt;=35, B448&lt;=44), "35-44",
  AND(B448&gt;=45, B448&lt;=54), "45-54",
  B448&gt;=55, "55+"
)</f>
        <v>18-24</v>
      </c>
      <c r="D448" t="s">
        <v>19</v>
      </c>
      <c r="E448" t="s">
        <v>56</v>
      </c>
      <c r="F448" t="s">
        <v>21</v>
      </c>
      <c r="G448">
        <v>74</v>
      </c>
      <c r="H448" t="s">
        <v>66</v>
      </c>
      <c r="I448" t="s">
        <v>45</v>
      </c>
      <c r="J448" t="s">
        <v>67</v>
      </c>
      <c r="K448" t="s">
        <v>54</v>
      </c>
      <c r="L448">
        <v>4.0999999999999996</v>
      </c>
      <c r="M448" t="s">
        <v>26</v>
      </c>
      <c r="N448" t="s">
        <v>34</v>
      </c>
      <c r="O448" t="s">
        <v>76</v>
      </c>
      <c r="P448" t="s">
        <v>26</v>
      </c>
      <c r="Q448" t="s">
        <v>26</v>
      </c>
      <c r="R448">
        <v>15</v>
      </c>
      <c r="S448" t="s">
        <v>29</v>
      </c>
      <c r="T448" t="str">
        <f t="shared" si="12"/>
        <v>Month</v>
      </c>
      <c r="U448">
        <f>VLOOKUP(T448,[1]tablescore!$B$3:$C$8, 2,FALSE)</f>
        <v>12</v>
      </c>
      <c r="V448" t="str">
        <f t="shared" si="13"/>
        <v>Moderate</v>
      </c>
      <c r="W448" t="s">
        <v>88</v>
      </c>
    </row>
    <row r="449" spans="1:23" x14ac:dyDescent="0.25">
      <c r="A449">
        <v>448</v>
      </c>
      <c r="B449">
        <v>60</v>
      </c>
      <c r="C449" t="str" cm="1">
        <f t="array" ref="C449">_xlfn.IFS(
  AND(B449&gt;=18, B449&lt;=24), "18-24",
  AND(B449&gt;=25, B449&lt;=34), "25-34",
  AND(B449&gt;=35, B449&lt;=44), "35-44",
  AND(B449&gt;=45, B449&lt;=54), "45-54",
  B449&gt;=55, "55+"
)</f>
        <v>55+</v>
      </c>
      <c r="D449" t="s">
        <v>19</v>
      </c>
      <c r="E449" t="s">
        <v>61</v>
      </c>
      <c r="F449" t="s">
        <v>21</v>
      </c>
      <c r="G449">
        <v>82</v>
      </c>
      <c r="H449" t="s">
        <v>140</v>
      </c>
      <c r="I449" t="s">
        <v>38</v>
      </c>
      <c r="J449" t="s">
        <v>49</v>
      </c>
      <c r="K449" t="s">
        <v>39</v>
      </c>
      <c r="L449">
        <v>3.6</v>
      </c>
      <c r="M449" t="s">
        <v>26</v>
      </c>
      <c r="N449" t="s">
        <v>29</v>
      </c>
      <c r="O449" t="s">
        <v>55</v>
      </c>
      <c r="P449" t="s">
        <v>26</v>
      </c>
      <c r="Q449" t="s">
        <v>26</v>
      </c>
      <c r="R449">
        <v>7</v>
      </c>
      <c r="S449" t="s">
        <v>34</v>
      </c>
      <c r="T449" t="str">
        <f t="shared" si="12"/>
        <v>Quarterly</v>
      </c>
      <c r="U449">
        <f>VLOOKUP(T449,[1]tablescore!$B$3:$C$8, 2,FALSE)</f>
        <v>4</v>
      </c>
      <c r="V449" t="str">
        <f t="shared" si="13"/>
        <v>Low Loyalty</v>
      </c>
      <c r="W449" t="s">
        <v>97</v>
      </c>
    </row>
    <row r="450" spans="1:23" x14ac:dyDescent="0.25">
      <c r="A450">
        <v>449</v>
      </c>
      <c r="B450">
        <v>32</v>
      </c>
      <c r="C450" t="str" cm="1">
        <f t="array" ref="C450">_xlfn.IFS(
  AND(B450&gt;=18, B450&lt;=24), "18-24",
  AND(B450&gt;=25, B450&lt;=34), "25-34",
  AND(B450&gt;=35, B450&lt;=44), "35-44",
  AND(B450&gt;=45, B450&lt;=54), "45-54",
  B450&gt;=55, "55+"
)</f>
        <v>25-34</v>
      </c>
      <c r="D450" t="s">
        <v>19</v>
      </c>
      <c r="E450" t="s">
        <v>127</v>
      </c>
      <c r="F450" t="s">
        <v>69</v>
      </c>
      <c r="G450">
        <v>23</v>
      </c>
      <c r="H450" t="s">
        <v>70</v>
      </c>
      <c r="I450" t="s">
        <v>45</v>
      </c>
      <c r="J450" t="s">
        <v>139</v>
      </c>
      <c r="K450" t="s">
        <v>54</v>
      </c>
      <c r="L450">
        <v>3.4</v>
      </c>
      <c r="M450" t="s">
        <v>26</v>
      </c>
      <c r="N450" t="s">
        <v>27</v>
      </c>
      <c r="O450" t="s">
        <v>47</v>
      </c>
      <c r="P450" t="s">
        <v>26</v>
      </c>
      <c r="Q450" t="s">
        <v>26</v>
      </c>
      <c r="R450">
        <v>35</v>
      </c>
      <c r="S450" t="s">
        <v>34</v>
      </c>
      <c r="T450" t="str">
        <f t="shared" si="12"/>
        <v>2-week</v>
      </c>
      <c r="U450">
        <f>VLOOKUP(T450,[1]tablescore!$B$3:$C$8, 2,FALSE)</f>
        <v>26</v>
      </c>
      <c r="V450" t="str">
        <f t="shared" si="13"/>
        <v>Loyal</v>
      </c>
      <c r="W450" t="s">
        <v>30</v>
      </c>
    </row>
    <row r="451" spans="1:23" x14ac:dyDescent="0.25">
      <c r="A451">
        <v>450</v>
      </c>
      <c r="B451">
        <v>26</v>
      </c>
      <c r="C451" t="str" cm="1">
        <f t="array" ref="C451">_xlfn.IFS(
  AND(B451&gt;=18, B451&lt;=24), "18-24",
  AND(B451&gt;=25, B451&lt;=34), "25-34",
  AND(B451&gt;=35, B451&lt;=44), "35-44",
  AND(B451&gt;=45, B451&lt;=54), "45-54",
  B451&gt;=55, "55+"
)</f>
        <v>25-34</v>
      </c>
      <c r="D451" t="s">
        <v>19</v>
      </c>
      <c r="E451" t="s">
        <v>106</v>
      </c>
      <c r="F451" t="s">
        <v>69</v>
      </c>
      <c r="G451">
        <v>45</v>
      </c>
      <c r="H451" t="s">
        <v>85</v>
      </c>
      <c r="I451" t="s">
        <v>23</v>
      </c>
      <c r="J451" t="s">
        <v>100</v>
      </c>
      <c r="K451" t="s">
        <v>54</v>
      </c>
      <c r="L451">
        <v>2.9</v>
      </c>
      <c r="M451" t="s">
        <v>26</v>
      </c>
      <c r="N451" t="s">
        <v>46</v>
      </c>
      <c r="O451" t="s">
        <v>72</v>
      </c>
      <c r="P451" t="s">
        <v>26</v>
      </c>
      <c r="Q451" t="s">
        <v>26</v>
      </c>
      <c r="R451">
        <v>35</v>
      </c>
      <c r="S451" t="s">
        <v>34</v>
      </c>
      <c r="T451" t="str">
        <f t="shared" ref="T451:T514" si="14">IF(TRIM(W451)="Every 3 months","Quarterly",IF(TRIM(W451)="Fortnightly","2-week",IF(TRIM(W451)="Bi-Weekly","2-week",IF(TRIM(W451)="Weekly","Daily",IF(TRIM(W451)="Monthly","Month",TRIM(W451))))))</f>
        <v>Month</v>
      </c>
      <c r="U451">
        <f>VLOOKUP(T451,[1]tablescore!$B$3:$C$8, 2,FALSE)</f>
        <v>12</v>
      </c>
      <c r="V451" t="str">
        <f t="shared" ref="V451:V514" si="15">_xlfn.IFS(U451&gt;=30, "Highly Loyal", U451&gt;=26, "Loyal", U451&gt;=12, "Moderate", U451&lt;5, "Low Loyalty")</f>
        <v>Moderate</v>
      </c>
      <c r="W451" t="s">
        <v>88</v>
      </c>
    </row>
    <row r="452" spans="1:23" x14ac:dyDescent="0.25">
      <c r="A452">
        <v>451</v>
      </c>
      <c r="B452">
        <v>25</v>
      </c>
      <c r="C452" t="str" cm="1">
        <f t="array" ref="C452">_xlfn.IFS(
  AND(B452&gt;=18, B452&lt;=24), "18-24",
  AND(B452&gt;=25, B452&lt;=34), "25-34",
  AND(B452&gt;=35, B452&lt;=44), "35-44",
  AND(B452&gt;=45, B452&lt;=54), "45-54",
  B452&gt;=55, "55+"
)</f>
        <v>25-34</v>
      </c>
      <c r="D452" t="s">
        <v>19</v>
      </c>
      <c r="E452" t="s">
        <v>132</v>
      </c>
      <c r="F452" t="s">
        <v>43</v>
      </c>
      <c r="G452">
        <v>21</v>
      </c>
      <c r="H452" t="s">
        <v>146</v>
      </c>
      <c r="I452" t="s">
        <v>23</v>
      </c>
      <c r="J452" t="s">
        <v>118</v>
      </c>
      <c r="K452" t="s">
        <v>54</v>
      </c>
      <c r="L452">
        <v>2.7</v>
      </c>
      <c r="M452" t="s">
        <v>26</v>
      </c>
      <c r="N452" t="s">
        <v>29</v>
      </c>
      <c r="O452" t="s">
        <v>76</v>
      </c>
      <c r="P452" t="s">
        <v>26</v>
      </c>
      <c r="Q452" t="s">
        <v>26</v>
      </c>
      <c r="R452">
        <v>19</v>
      </c>
      <c r="S452" t="s">
        <v>27</v>
      </c>
      <c r="T452" t="str">
        <f t="shared" si="14"/>
        <v>Month</v>
      </c>
      <c r="U452">
        <f>VLOOKUP(T452,[1]tablescore!$B$3:$C$8, 2,FALSE)</f>
        <v>12</v>
      </c>
      <c r="V452" t="str">
        <f t="shared" si="15"/>
        <v>Moderate</v>
      </c>
      <c r="W452" t="s">
        <v>88</v>
      </c>
    </row>
    <row r="453" spans="1:23" x14ac:dyDescent="0.25">
      <c r="A453">
        <v>452</v>
      </c>
      <c r="B453">
        <v>66</v>
      </c>
      <c r="C453" t="str" cm="1">
        <f t="array" ref="C453">_xlfn.IFS(
  AND(B453&gt;=18, B453&lt;=24), "18-24",
  AND(B453&gt;=25, B453&lt;=34), "25-34",
  AND(B453&gt;=35, B453&lt;=44), "35-44",
  AND(B453&gt;=45, B453&lt;=54), "45-54",
  B453&gt;=55, "55+"
)</f>
        <v>55+</v>
      </c>
      <c r="D453" t="s">
        <v>19</v>
      </c>
      <c r="E453" t="s">
        <v>106</v>
      </c>
      <c r="F453" t="s">
        <v>69</v>
      </c>
      <c r="G453">
        <v>31</v>
      </c>
      <c r="H453" t="s">
        <v>128</v>
      </c>
      <c r="I453" t="s">
        <v>45</v>
      </c>
      <c r="J453" t="s">
        <v>71</v>
      </c>
      <c r="K453" t="s">
        <v>54</v>
      </c>
      <c r="L453">
        <v>4.3</v>
      </c>
      <c r="M453" t="s">
        <v>26</v>
      </c>
      <c r="N453" t="s">
        <v>35</v>
      </c>
      <c r="O453" t="s">
        <v>28</v>
      </c>
      <c r="P453" t="s">
        <v>26</v>
      </c>
      <c r="Q453" t="s">
        <v>26</v>
      </c>
      <c r="R453">
        <v>26</v>
      </c>
      <c r="S453" t="s">
        <v>27</v>
      </c>
      <c r="T453" t="str">
        <f t="shared" si="14"/>
        <v>2-week</v>
      </c>
      <c r="U453">
        <f>VLOOKUP(T453,[1]tablescore!$B$3:$C$8, 2,FALSE)</f>
        <v>26</v>
      </c>
      <c r="V453" t="str">
        <f t="shared" si="15"/>
        <v>Loyal</v>
      </c>
      <c r="W453" t="s">
        <v>30</v>
      </c>
    </row>
    <row r="454" spans="1:23" x14ac:dyDescent="0.25">
      <c r="A454">
        <v>453</v>
      </c>
      <c r="B454">
        <v>45</v>
      </c>
      <c r="C454" t="str" cm="1">
        <f t="array" ref="C454">_xlfn.IFS(
  AND(B454&gt;=18, B454&lt;=24), "18-24",
  AND(B454&gt;=25, B454&lt;=34), "25-34",
  AND(B454&gt;=35, B454&lt;=44), "35-44",
  AND(B454&gt;=45, B454&lt;=54), "45-54",
  B454&gt;=55, "55+"
)</f>
        <v>45-54</v>
      </c>
      <c r="D454" t="s">
        <v>19</v>
      </c>
      <c r="E454" t="s">
        <v>95</v>
      </c>
      <c r="F454" t="s">
        <v>21</v>
      </c>
      <c r="G454">
        <v>45</v>
      </c>
      <c r="H454" t="s">
        <v>70</v>
      </c>
      <c r="I454" t="s">
        <v>45</v>
      </c>
      <c r="J454" t="s">
        <v>84</v>
      </c>
      <c r="K454" t="s">
        <v>54</v>
      </c>
      <c r="L454">
        <v>3.3</v>
      </c>
      <c r="M454" t="s">
        <v>26</v>
      </c>
      <c r="N454" t="s">
        <v>59</v>
      </c>
      <c r="O454" t="s">
        <v>28</v>
      </c>
      <c r="P454" t="s">
        <v>26</v>
      </c>
      <c r="Q454" t="s">
        <v>26</v>
      </c>
      <c r="R454">
        <v>39</v>
      </c>
      <c r="S454" t="s">
        <v>46</v>
      </c>
      <c r="T454" t="str">
        <f t="shared" si="14"/>
        <v>2-week</v>
      </c>
      <c r="U454">
        <f>VLOOKUP(T454,[1]tablescore!$B$3:$C$8, 2,FALSE)</f>
        <v>26</v>
      </c>
      <c r="V454" t="str">
        <f t="shared" si="15"/>
        <v>Loyal</v>
      </c>
      <c r="W454" t="s">
        <v>30</v>
      </c>
    </row>
    <row r="455" spans="1:23" x14ac:dyDescent="0.25">
      <c r="A455">
        <v>454</v>
      </c>
      <c r="B455">
        <v>54</v>
      </c>
      <c r="C455" t="str" cm="1">
        <f t="array" ref="C455">_xlfn.IFS(
  AND(B455&gt;=18, B455&lt;=24), "18-24",
  AND(B455&gt;=25, B455&lt;=34), "25-34",
  AND(B455&gt;=35, B455&lt;=44), "35-44",
  AND(B455&gt;=45, B455&lt;=54), "45-54",
  B455&gt;=55, "55+"
)</f>
        <v>45-54</v>
      </c>
      <c r="D455" t="s">
        <v>19</v>
      </c>
      <c r="E455" t="s">
        <v>106</v>
      </c>
      <c r="F455" t="s">
        <v>69</v>
      </c>
      <c r="G455">
        <v>56</v>
      </c>
      <c r="H455" t="s">
        <v>143</v>
      </c>
      <c r="I455" t="s">
        <v>92</v>
      </c>
      <c r="J455" t="s">
        <v>100</v>
      </c>
      <c r="K455" t="s">
        <v>25</v>
      </c>
      <c r="L455">
        <v>2.8</v>
      </c>
      <c r="M455" t="s">
        <v>26</v>
      </c>
      <c r="N455" t="s">
        <v>35</v>
      </c>
      <c r="O455" t="s">
        <v>47</v>
      </c>
      <c r="P455" t="s">
        <v>26</v>
      </c>
      <c r="Q455" t="s">
        <v>26</v>
      </c>
      <c r="R455">
        <v>22</v>
      </c>
      <c r="S455" t="s">
        <v>27</v>
      </c>
      <c r="T455" t="str">
        <f t="shared" si="14"/>
        <v>Daily</v>
      </c>
      <c r="U455">
        <f>VLOOKUP(T455,[1]tablescore!$B$3:$C$8, 2,FALSE)</f>
        <v>30</v>
      </c>
      <c r="V455" t="str">
        <f t="shared" si="15"/>
        <v>Highly Loyal</v>
      </c>
      <c r="W455" t="s">
        <v>41</v>
      </c>
    </row>
    <row r="456" spans="1:23" x14ac:dyDescent="0.25">
      <c r="A456">
        <v>455</v>
      </c>
      <c r="B456">
        <v>37</v>
      </c>
      <c r="C456" t="str" cm="1">
        <f t="array" ref="C456">_xlfn.IFS(
  AND(B456&gt;=18, B456&lt;=24), "18-24",
  AND(B456&gt;=25, B456&lt;=34), "25-34",
  AND(B456&gt;=35, B456&lt;=44), "35-44",
  AND(B456&gt;=45, B456&lt;=54), "45-54",
  B456&gt;=55, "55+"
)</f>
        <v>35-44</v>
      </c>
      <c r="D456" t="s">
        <v>19</v>
      </c>
      <c r="E456" t="s">
        <v>102</v>
      </c>
      <c r="F456" t="s">
        <v>65</v>
      </c>
      <c r="G456">
        <v>97</v>
      </c>
      <c r="H456" t="s">
        <v>137</v>
      </c>
      <c r="I456" t="s">
        <v>38</v>
      </c>
      <c r="J456" t="s">
        <v>81</v>
      </c>
      <c r="K456" t="s">
        <v>54</v>
      </c>
      <c r="L456">
        <v>3.2</v>
      </c>
      <c r="M456" t="s">
        <v>26</v>
      </c>
      <c r="N456" t="s">
        <v>59</v>
      </c>
      <c r="O456" t="s">
        <v>47</v>
      </c>
      <c r="P456" t="s">
        <v>26</v>
      </c>
      <c r="Q456" t="s">
        <v>26</v>
      </c>
      <c r="R456">
        <v>14</v>
      </c>
      <c r="S456" t="s">
        <v>35</v>
      </c>
      <c r="T456" t="str">
        <f t="shared" si="14"/>
        <v>2-week</v>
      </c>
      <c r="U456">
        <f>VLOOKUP(T456,[1]tablescore!$B$3:$C$8, 2,FALSE)</f>
        <v>26</v>
      </c>
      <c r="V456" t="str">
        <f t="shared" si="15"/>
        <v>Loyal</v>
      </c>
      <c r="W456" t="s">
        <v>77</v>
      </c>
    </row>
    <row r="457" spans="1:23" x14ac:dyDescent="0.25">
      <c r="A457">
        <v>456</v>
      </c>
      <c r="B457">
        <v>54</v>
      </c>
      <c r="C457" t="str" cm="1">
        <f t="array" ref="C457">_xlfn.IFS(
  AND(B457&gt;=18, B457&lt;=24), "18-24",
  AND(B457&gt;=25, B457&lt;=34), "25-34",
  AND(B457&gt;=35, B457&lt;=44), "35-44",
  AND(B457&gt;=45, B457&lt;=54), "45-54",
  B457&gt;=55, "55+"
)</f>
        <v>45-54</v>
      </c>
      <c r="D457" t="s">
        <v>19</v>
      </c>
      <c r="E457" t="s">
        <v>20</v>
      </c>
      <c r="F457" t="s">
        <v>21</v>
      </c>
      <c r="G457">
        <v>100</v>
      </c>
      <c r="H457" t="s">
        <v>149</v>
      </c>
      <c r="I457" t="s">
        <v>92</v>
      </c>
      <c r="J457" t="s">
        <v>81</v>
      </c>
      <c r="K457" t="s">
        <v>58</v>
      </c>
      <c r="L457">
        <v>3.6</v>
      </c>
      <c r="M457" t="s">
        <v>26</v>
      </c>
      <c r="N457" t="s">
        <v>27</v>
      </c>
      <c r="O457" t="s">
        <v>76</v>
      </c>
      <c r="P457" t="s">
        <v>26</v>
      </c>
      <c r="Q457" t="s">
        <v>26</v>
      </c>
      <c r="R457">
        <v>50</v>
      </c>
      <c r="S457" t="s">
        <v>59</v>
      </c>
      <c r="T457" t="str">
        <f t="shared" si="14"/>
        <v>2-week</v>
      </c>
      <c r="U457">
        <f>VLOOKUP(T457,[1]tablescore!$B$3:$C$8, 2,FALSE)</f>
        <v>26</v>
      </c>
      <c r="V457" t="str">
        <f t="shared" si="15"/>
        <v>Loyal</v>
      </c>
      <c r="W457" t="s">
        <v>30</v>
      </c>
    </row>
    <row r="458" spans="1:23" x14ac:dyDescent="0.25">
      <c r="A458">
        <v>457</v>
      </c>
      <c r="B458">
        <v>50</v>
      </c>
      <c r="C458" t="str" cm="1">
        <f t="array" ref="C458">_xlfn.IFS(
  AND(B458&gt;=18, B458&lt;=24), "18-24",
  AND(B458&gt;=25, B458&lt;=34), "25-34",
  AND(B458&gt;=35, B458&lt;=44), "35-44",
  AND(B458&gt;=45, B458&lt;=54), "45-54",
  B458&gt;=55, "55+"
)</f>
        <v>45-54</v>
      </c>
      <c r="D458" t="s">
        <v>19</v>
      </c>
      <c r="E458" t="s">
        <v>20</v>
      </c>
      <c r="F458" t="s">
        <v>21</v>
      </c>
      <c r="G458">
        <v>96</v>
      </c>
      <c r="H458" t="s">
        <v>98</v>
      </c>
      <c r="I458" t="s">
        <v>38</v>
      </c>
      <c r="J458" t="s">
        <v>129</v>
      </c>
      <c r="K458" t="s">
        <v>58</v>
      </c>
      <c r="L458">
        <v>4</v>
      </c>
      <c r="M458" t="s">
        <v>26</v>
      </c>
      <c r="N458" t="s">
        <v>34</v>
      </c>
      <c r="O458" t="s">
        <v>72</v>
      </c>
      <c r="P458" t="s">
        <v>26</v>
      </c>
      <c r="Q458" t="s">
        <v>26</v>
      </c>
      <c r="R458">
        <v>33</v>
      </c>
      <c r="S458" t="s">
        <v>27</v>
      </c>
      <c r="T458" t="str">
        <f t="shared" si="14"/>
        <v>Quarterly</v>
      </c>
      <c r="U458">
        <f>VLOOKUP(T458,[1]tablescore!$B$3:$C$8, 2,FALSE)</f>
        <v>4</v>
      </c>
      <c r="V458" t="str">
        <f t="shared" si="15"/>
        <v>Low Loyalty</v>
      </c>
      <c r="W458" t="s">
        <v>60</v>
      </c>
    </row>
    <row r="459" spans="1:23" x14ac:dyDescent="0.25">
      <c r="A459">
        <v>458</v>
      </c>
      <c r="B459">
        <v>25</v>
      </c>
      <c r="C459" t="str" cm="1">
        <f t="array" ref="C459">_xlfn.IFS(
  AND(B459&gt;=18, B459&lt;=24), "18-24",
  AND(B459&gt;=25, B459&lt;=34), "25-34",
  AND(B459&gt;=35, B459&lt;=44), "35-44",
  AND(B459&gt;=45, B459&lt;=54), "45-54",
  B459&gt;=55, "55+"
)</f>
        <v>25-34</v>
      </c>
      <c r="D459" t="s">
        <v>19</v>
      </c>
      <c r="E459" t="s">
        <v>127</v>
      </c>
      <c r="F459" t="s">
        <v>69</v>
      </c>
      <c r="G459">
        <v>99</v>
      </c>
      <c r="H459" t="s">
        <v>44</v>
      </c>
      <c r="I459" t="s">
        <v>45</v>
      </c>
      <c r="J459" t="s">
        <v>138</v>
      </c>
      <c r="K459" t="s">
        <v>39</v>
      </c>
      <c r="L459">
        <v>4.9000000000000004</v>
      </c>
      <c r="M459" t="s">
        <v>26</v>
      </c>
      <c r="N459" t="s">
        <v>27</v>
      </c>
      <c r="O459" t="s">
        <v>47</v>
      </c>
      <c r="P459" t="s">
        <v>26</v>
      </c>
      <c r="Q459" t="s">
        <v>26</v>
      </c>
      <c r="R459">
        <v>48</v>
      </c>
      <c r="S459" t="s">
        <v>59</v>
      </c>
      <c r="T459" t="str">
        <f t="shared" si="14"/>
        <v>Quarterly</v>
      </c>
      <c r="U459">
        <f>VLOOKUP(T459,[1]tablescore!$B$3:$C$8, 2,FALSE)</f>
        <v>4</v>
      </c>
      <c r="V459" t="str">
        <f t="shared" si="15"/>
        <v>Low Loyalty</v>
      </c>
      <c r="W459" t="s">
        <v>97</v>
      </c>
    </row>
    <row r="460" spans="1:23" x14ac:dyDescent="0.25">
      <c r="A460">
        <v>459</v>
      </c>
      <c r="B460">
        <v>47</v>
      </c>
      <c r="C460" t="str" cm="1">
        <f t="array" ref="C460">_xlfn.IFS(
  AND(B460&gt;=18, B460&lt;=24), "18-24",
  AND(B460&gt;=25, B460&lt;=34), "25-34",
  AND(B460&gt;=35, B460&lt;=44), "35-44",
  AND(B460&gt;=45, B460&lt;=54), "45-54",
  B460&gt;=55, "55+"
)</f>
        <v>45-54</v>
      </c>
      <c r="D460" t="s">
        <v>19</v>
      </c>
      <c r="E460" t="s">
        <v>61</v>
      </c>
      <c r="F460" t="s">
        <v>21</v>
      </c>
      <c r="G460">
        <v>91</v>
      </c>
      <c r="H460" t="s">
        <v>74</v>
      </c>
      <c r="I460" t="s">
        <v>23</v>
      </c>
      <c r="J460" t="s">
        <v>94</v>
      </c>
      <c r="K460" t="s">
        <v>25</v>
      </c>
      <c r="L460">
        <v>4</v>
      </c>
      <c r="M460" t="s">
        <v>26</v>
      </c>
      <c r="N460" t="s">
        <v>59</v>
      </c>
      <c r="O460" t="s">
        <v>72</v>
      </c>
      <c r="P460" t="s">
        <v>26</v>
      </c>
      <c r="Q460" t="s">
        <v>26</v>
      </c>
      <c r="R460">
        <v>48</v>
      </c>
      <c r="S460" t="s">
        <v>46</v>
      </c>
      <c r="T460" t="str">
        <f t="shared" si="14"/>
        <v>Month</v>
      </c>
      <c r="U460">
        <f>VLOOKUP(T460,[1]tablescore!$B$3:$C$8, 2,FALSE)</f>
        <v>12</v>
      </c>
      <c r="V460" t="str">
        <f t="shared" si="15"/>
        <v>Moderate</v>
      </c>
      <c r="W460" t="s">
        <v>88</v>
      </c>
    </row>
    <row r="461" spans="1:23" x14ac:dyDescent="0.25">
      <c r="A461">
        <v>460</v>
      </c>
      <c r="B461">
        <v>63</v>
      </c>
      <c r="C461" t="str" cm="1">
        <f t="array" ref="C461">_xlfn.IFS(
  AND(B461&gt;=18, B461&lt;=24), "18-24",
  AND(B461&gt;=25, B461&lt;=34), "25-34",
  AND(B461&gt;=35, B461&lt;=44), "35-44",
  AND(B461&gt;=45, B461&lt;=54), "45-54",
  B461&gt;=55, "55+"
)</f>
        <v>55+</v>
      </c>
      <c r="D461" t="s">
        <v>19</v>
      </c>
      <c r="E461" t="s">
        <v>125</v>
      </c>
      <c r="F461" t="s">
        <v>69</v>
      </c>
      <c r="G461">
        <v>30</v>
      </c>
      <c r="H461" t="s">
        <v>135</v>
      </c>
      <c r="I461" t="s">
        <v>23</v>
      </c>
      <c r="J461" t="s">
        <v>94</v>
      </c>
      <c r="K461" t="s">
        <v>25</v>
      </c>
      <c r="L461">
        <v>3.8</v>
      </c>
      <c r="M461" t="s">
        <v>26</v>
      </c>
      <c r="N461" t="s">
        <v>59</v>
      </c>
      <c r="O461" t="s">
        <v>55</v>
      </c>
      <c r="P461" t="s">
        <v>26</v>
      </c>
      <c r="Q461" t="s">
        <v>26</v>
      </c>
      <c r="R461">
        <v>27</v>
      </c>
      <c r="S461" t="s">
        <v>46</v>
      </c>
      <c r="T461" t="str">
        <f t="shared" si="14"/>
        <v>2-week</v>
      </c>
      <c r="U461">
        <f>VLOOKUP(T461,[1]tablescore!$B$3:$C$8, 2,FALSE)</f>
        <v>26</v>
      </c>
      <c r="V461" t="str">
        <f t="shared" si="15"/>
        <v>Loyal</v>
      </c>
      <c r="W461" t="s">
        <v>30</v>
      </c>
    </row>
    <row r="462" spans="1:23" x14ac:dyDescent="0.25">
      <c r="A462">
        <v>461</v>
      </c>
      <c r="B462">
        <v>64</v>
      </c>
      <c r="C462" t="str" cm="1">
        <f t="array" ref="C462">_xlfn.IFS(
  AND(B462&gt;=18, B462&lt;=24), "18-24",
  AND(B462&gt;=25, B462&lt;=34), "25-34",
  AND(B462&gt;=35, B462&lt;=44), "35-44",
  AND(B462&gt;=45, B462&lt;=54), "45-54",
  B462&gt;=55, "55+"
)</f>
        <v>55+</v>
      </c>
      <c r="D462" t="s">
        <v>19</v>
      </c>
      <c r="E462" t="s">
        <v>73</v>
      </c>
      <c r="F462" t="s">
        <v>43</v>
      </c>
      <c r="G462">
        <v>65</v>
      </c>
      <c r="H462" t="s">
        <v>126</v>
      </c>
      <c r="I462" t="s">
        <v>23</v>
      </c>
      <c r="J462" t="s">
        <v>86</v>
      </c>
      <c r="K462" t="s">
        <v>54</v>
      </c>
      <c r="L462">
        <v>3.7</v>
      </c>
      <c r="M462" t="s">
        <v>26</v>
      </c>
      <c r="N462" t="s">
        <v>29</v>
      </c>
      <c r="O462" t="s">
        <v>76</v>
      </c>
      <c r="P462" t="s">
        <v>26</v>
      </c>
      <c r="Q462" t="s">
        <v>26</v>
      </c>
      <c r="R462">
        <v>27</v>
      </c>
      <c r="S462" t="s">
        <v>34</v>
      </c>
      <c r="T462" t="str">
        <f t="shared" si="14"/>
        <v>Daily</v>
      </c>
      <c r="U462">
        <f>VLOOKUP(T462,[1]tablescore!$B$3:$C$8, 2,FALSE)</f>
        <v>30</v>
      </c>
      <c r="V462" t="str">
        <f t="shared" si="15"/>
        <v>Highly Loyal</v>
      </c>
      <c r="W462" t="s">
        <v>41</v>
      </c>
    </row>
    <row r="463" spans="1:23" x14ac:dyDescent="0.25">
      <c r="A463">
        <v>462</v>
      </c>
      <c r="B463">
        <v>18</v>
      </c>
      <c r="C463" t="str" cm="1">
        <f t="array" ref="C463">_xlfn.IFS(
  AND(B463&gt;=18, B463&lt;=24), "18-24",
  AND(B463&gt;=25, B463&lt;=34), "25-34",
  AND(B463&gt;=35, B463&lt;=44), "35-44",
  AND(B463&gt;=45, B463&lt;=54), "45-54",
  B463&gt;=55, "55+"
)</f>
        <v>18-24</v>
      </c>
      <c r="D463" t="s">
        <v>19</v>
      </c>
      <c r="E463" t="s">
        <v>132</v>
      </c>
      <c r="F463" t="s">
        <v>43</v>
      </c>
      <c r="G463">
        <v>93</v>
      </c>
      <c r="H463" t="s">
        <v>124</v>
      </c>
      <c r="I463" t="s">
        <v>45</v>
      </c>
      <c r="J463" t="s">
        <v>139</v>
      </c>
      <c r="K463" t="s">
        <v>25</v>
      </c>
      <c r="L463">
        <v>3.9</v>
      </c>
      <c r="M463" t="s">
        <v>26</v>
      </c>
      <c r="N463" t="s">
        <v>35</v>
      </c>
      <c r="O463" t="s">
        <v>28</v>
      </c>
      <c r="P463" t="s">
        <v>26</v>
      </c>
      <c r="Q463" t="s">
        <v>26</v>
      </c>
      <c r="R463">
        <v>20</v>
      </c>
      <c r="S463" t="s">
        <v>29</v>
      </c>
      <c r="T463" t="str">
        <f t="shared" si="14"/>
        <v>Daily</v>
      </c>
      <c r="U463">
        <f>VLOOKUP(T463,[1]tablescore!$B$3:$C$8, 2,FALSE)</f>
        <v>30</v>
      </c>
      <c r="V463" t="str">
        <f t="shared" si="15"/>
        <v>Highly Loyal</v>
      </c>
      <c r="W463" t="s">
        <v>41</v>
      </c>
    </row>
    <row r="464" spans="1:23" x14ac:dyDescent="0.25">
      <c r="A464">
        <v>463</v>
      </c>
      <c r="B464">
        <v>59</v>
      </c>
      <c r="C464" t="str" cm="1">
        <f t="array" ref="C464">_xlfn.IFS(
  AND(B464&gt;=18, B464&lt;=24), "18-24",
  AND(B464&gt;=25, B464&lt;=34), "25-34",
  AND(B464&gt;=35, B464&lt;=44), "35-44",
  AND(B464&gt;=45, B464&lt;=54), "45-54",
  B464&gt;=55, "55+"
)</f>
        <v>55+</v>
      </c>
      <c r="D464" t="s">
        <v>19</v>
      </c>
      <c r="E464" t="s">
        <v>102</v>
      </c>
      <c r="F464" t="s">
        <v>65</v>
      </c>
      <c r="G464">
        <v>81</v>
      </c>
      <c r="H464" t="s">
        <v>115</v>
      </c>
      <c r="I464" t="s">
        <v>45</v>
      </c>
      <c r="J464" t="s">
        <v>53</v>
      </c>
      <c r="K464" t="s">
        <v>58</v>
      </c>
      <c r="L464">
        <v>3.3</v>
      </c>
      <c r="M464" t="s">
        <v>26</v>
      </c>
      <c r="N464" t="s">
        <v>59</v>
      </c>
      <c r="O464" t="s">
        <v>28</v>
      </c>
      <c r="P464" t="s">
        <v>26</v>
      </c>
      <c r="Q464" t="s">
        <v>26</v>
      </c>
      <c r="R464">
        <v>48</v>
      </c>
      <c r="S464" t="s">
        <v>29</v>
      </c>
      <c r="T464" t="str">
        <f t="shared" si="14"/>
        <v>Quarterly</v>
      </c>
      <c r="U464">
        <f>VLOOKUP(T464,[1]tablescore!$B$3:$C$8, 2,FALSE)</f>
        <v>4</v>
      </c>
      <c r="V464" t="str">
        <f t="shared" si="15"/>
        <v>Low Loyalty</v>
      </c>
      <c r="W464" t="s">
        <v>97</v>
      </c>
    </row>
    <row r="465" spans="1:23" x14ac:dyDescent="0.25">
      <c r="A465">
        <v>464</v>
      </c>
      <c r="B465">
        <v>37</v>
      </c>
      <c r="C465" t="str" cm="1">
        <f t="array" ref="C465">_xlfn.IFS(
  AND(B465&gt;=18, B465&lt;=24), "18-24",
  AND(B465&gt;=25, B465&lt;=34), "25-34",
  AND(B465&gt;=35, B465&lt;=44), "35-44",
  AND(B465&gt;=45, B465&lt;=54), "45-54",
  B465&gt;=55, "55+"
)</f>
        <v>35-44</v>
      </c>
      <c r="D465" t="s">
        <v>19</v>
      </c>
      <c r="E465" t="s">
        <v>106</v>
      </c>
      <c r="F465" t="s">
        <v>69</v>
      </c>
      <c r="G465">
        <v>81</v>
      </c>
      <c r="H465" t="s">
        <v>142</v>
      </c>
      <c r="I465" t="s">
        <v>38</v>
      </c>
      <c r="J465" t="s">
        <v>121</v>
      </c>
      <c r="K465" t="s">
        <v>54</v>
      </c>
      <c r="L465">
        <v>2.7</v>
      </c>
      <c r="M465" t="s">
        <v>26</v>
      </c>
      <c r="N465" t="s">
        <v>29</v>
      </c>
      <c r="O465" t="s">
        <v>55</v>
      </c>
      <c r="P465" t="s">
        <v>26</v>
      </c>
      <c r="Q465" t="s">
        <v>26</v>
      </c>
      <c r="R465">
        <v>29</v>
      </c>
      <c r="S465" t="s">
        <v>29</v>
      </c>
      <c r="T465" t="str">
        <f t="shared" si="14"/>
        <v>Daily</v>
      </c>
      <c r="U465">
        <f>VLOOKUP(T465,[1]tablescore!$B$3:$C$8, 2,FALSE)</f>
        <v>30</v>
      </c>
      <c r="V465" t="str">
        <f t="shared" si="15"/>
        <v>Highly Loyal</v>
      </c>
      <c r="W465" t="s">
        <v>41</v>
      </c>
    </row>
    <row r="466" spans="1:23" x14ac:dyDescent="0.25">
      <c r="A466">
        <v>465</v>
      </c>
      <c r="B466">
        <v>23</v>
      </c>
      <c r="C466" t="str" cm="1">
        <f t="array" ref="C466">_xlfn.IFS(
  AND(B466&gt;=18, B466&lt;=24), "18-24",
  AND(B466&gt;=25, B466&lt;=34), "25-34",
  AND(B466&gt;=35, B466&lt;=44), "35-44",
  AND(B466&gt;=45, B466&lt;=54), "45-54",
  B466&gt;=55, "55+"
)</f>
        <v>18-24</v>
      </c>
      <c r="D466" t="s">
        <v>19</v>
      </c>
      <c r="E466" t="s">
        <v>89</v>
      </c>
      <c r="F466" t="s">
        <v>69</v>
      </c>
      <c r="G466">
        <v>52</v>
      </c>
      <c r="H466" t="s">
        <v>90</v>
      </c>
      <c r="I466" t="s">
        <v>45</v>
      </c>
      <c r="J466" t="s">
        <v>67</v>
      </c>
      <c r="K466" t="s">
        <v>25</v>
      </c>
      <c r="L466">
        <v>4.7</v>
      </c>
      <c r="M466" t="s">
        <v>26</v>
      </c>
      <c r="N466" t="s">
        <v>46</v>
      </c>
      <c r="O466" t="s">
        <v>47</v>
      </c>
      <c r="P466" t="s">
        <v>26</v>
      </c>
      <c r="Q466" t="s">
        <v>26</v>
      </c>
      <c r="R466">
        <v>45</v>
      </c>
      <c r="S466" t="s">
        <v>46</v>
      </c>
      <c r="T466" t="str">
        <f t="shared" si="14"/>
        <v>Month</v>
      </c>
      <c r="U466">
        <f>VLOOKUP(T466,[1]tablescore!$B$3:$C$8, 2,FALSE)</f>
        <v>12</v>
      </c>
      <c r="V466" t="str">
        <f t="shared" si="15"/>
        <v>Moderate</v>
      </c>
      <c r="W466" t="s">
        <v>88</v>
      </c>
    </row>
    <row r="467" spans="1:23" x14ac:dyDescent="0.25">
      <c r="A467">
        <v>466</v>
      </c>
      <c r="B467">
        <v>54</v>
      </c>
      <c r="C467" t="str" cm="1">
        <f t="array" ref="C467">_xlfn.IFS(
  AND(B467&gt;=18, B467&lt;=24), "18-24",
  AND(B467&gt;=25, B467&lt;=34), "25-34",
  AND(B467&gt;=35, B467&lt;=44), "35-44",
  AND(B467&gt;=45, B467&lt;=54), "45-54",
  B467&gt;=55, "55+"
)</f>
        <v>45-54</v>
      </c>
      <c r="D467" t="s">
        <v>19</v>
      </c>
      <c r="E467" t="s">
        <v>87</v>
      </c>
      <c r="F467" t="s">
        <v>21</v>
      </c>
      <c r="G467">
        <v>88</v>
      </c>
      <c r="H467" t="s">
        <v>101</v>
      </c>
      <c r="I467" t="s">
        <v>45</v>
      </c>
      <c r="J467" t="s">
        <v>71</v>
      </c>
      <c r="K467" t="s">
        <v>54</v>
      </c>
      <c r="L467">
        <v>2.8</v>
      </c>
      <c r="M467" t="s">
        <v>26</v>
      </c>
      <c r="N467" t="s">
        <v>35</v>
      </c>
      <c r="O467" t="s">
        <v>47</v>
      </c>
      <c r="P467" t="s">
        <v>26</v>
      </c>
      <c r="Q467" t="s">
        <v>26</v>
      </c>
      <c r="R467">
        <v>25</v>
      </c>
      <c r="S467" t="s">
        <v>35</v>
      </c>
      <c r="T467" t="str">
        <f t="shared" si="14"/>
        <v>Quarterly</v>
      </c>
      <c r="U467">
        <f>VLOOKUP(T467,[1]tablescore!$B$3:$C$8, 2,FALSE)</f>
        <v>4</v>
      </c>
      <c r="V467" t="str">
        <f t="shared" si="15"/>
        <v>Low Loyalty</v>
      </c>
      <c r="W467" t="s">
        <v>60</v>
      </c>
    </row>
    <row r="468" spans="1:23" x14ac:dyDescent="0.25">
      <c r="A468">
        <v>467</v>
      </c>
      <c r="B468">
        <v>38</v>
      </c>
      <c r="C468" t="str" cm="1">
        <f t="array" ref="C468">_xlfn.IFS(
  AND(B468&gt;=18, B468&lt;=24), "18-24",
  AND(B468&gt;=25, B468&lt;=34), "25-34",
  AND(B468&gt;=35, B468&lt;=44), "35-44",
  AND(B468&gt;=45, B468&lt;=54), "45-54",
  B468&gt;=55, "55+"
)</f>
        <v>35-44</v>
      </c>
      <c r="D468" t="s">
        <v>19</v>
      </c>
      <c r="E468" t="s">
        <v>36</v>
      </c>
      <c r="F468" t="s">
        <v>21</v>
      </c>
      <c r="G468">
        <v>24</v>
      </c>
      <c r="H468" t="s">
        <v>145</v>
      </c>
      <c r="I468" t="s">
        <v>23</v>
      </c>
      <c r="J468" t="s">
        <v>49</v>
      </c>
      <c r="K468" t="s">
        <v>25</v>
      </c>
      <c r="L468">
        <v>4.5999999999999996</v>
      </c>
      <c r="M468" t="s">
        <v>26</v>
      </c>
      <c r="N468" t="s">
        <v>27</v>
      </c>
      <c r="O468" t="s">
        <v>40</v>
      </c>
      <c r="P468" t="s">
        <v>26</v>
      </c>
      <c r="Q468" t="s">
        <v>26</v>
      </c>
      <c r="R468">
        <v>25</v>
      </c>
      <c r="S468" t="s">
        <v>46</v>
      </c>
      <c r="T468" t="str">
        <f t="shared" si="14"/>
        <v>Daily</v>
      </c>
      <c r="U468">
        <f>VLOOKUP(T468,[1]tablescore!$B$3:$C$8, 2,FALSE)</f>
        <v>30</v>
      </c>
      <c r="V468" t="str">
        <f t="shared" si="15"/>
        <v>Highly Loyal</v>
      </c>
      <c r="W468" t="s">
        <v>41</v>
      </c>
    </row>
    <row r="469" spans="1:23" x14ac:dyDescent="0.25">
      <c r="A469">
        <v>468</v>
      </c>
      <c r="B469">
        <v>19</v>
      </c>
      <c r="C469" t="str" cm="1">
        <f t="array" ref="C469">_xlfn.IFS(
  AND(B469&gt;=18, B469&lt;=24), "18-24",
  AND(B469&gt;=25, B469&lt;=34), "25-34",
  AND(B469&gt;=35, B469&lt;=44), "35-44",
  AND(B469&gt;=45, B469&lt;=54), "45-54",
  B469&gt;=55, "55+"
)</f>
        <v>18-24</v>
      </c>
      <c r="D469" t="s">
        <v>19</v>
      </c>
      <c r="E469" t="s">
        <v>133</v>
      </c>
      <c r="F469" t="s">
        <v>69</v>
      </c>
      <c r="G469">
        <v>51</v>
      </c>
      <c r="H469" t="s">
        <v>143</v>
      </c>
      <c r="I469" t="s">
        <v>38</v>
      </c>
      <c r="J469" t="s">
        <v>121</v>
      </c>
      <c r="K469" t="s">
        <v>39</v>
      </c>
      <c r="L469">
        <v>4.5</v>
      </c>
      <c r="M469" t="s">
        <v>26</v>
      </c>
      <c r="N469" t="s">
        <v>27</v>
      </c>
      <c r="O469" t="s">
        <v>72</v>
      </c>
      <c r="P469" t="s">
        <v>26</v>
      </c>
      <c r="Q469" t="s">
        <v>26</v>
      </c>
      <c r="R469">
        <v>37</v>
      </c>
      <c r="S469" t="s">
        <v>59</v>
      </c>
      <c r="T469" t="str">
        <f t="shared" si="14"/>
        <v>Quarterly</v>
      </c>
      <c r="U469">
        <f>VLOOKUP(T469,[1]tablescore!$B$3:$C$8, 2,FALSE)</f>
        <v>4</v>
      </c>
      <c r="V469" t="str">
        <f t="shared" si="15"/>
        <v>Low Loyalty</v>
      </c>
      <c r="W469" t="s">
        <v>97</v>
      </c>
    </row>
    <row r="470" spans="1:23" x14ac:dyDescent="0.25">
      <c r="A470">
        <v>469</v>
      </c>
      <c r="B470">
        <v>34</v>
      </c>
      <c r="C470" t="str" cm="1">
        <f t="array" ref="C470">_xlfn.IFS(
  AND(B470&gt;=18, B470&lt;=24), "18-24",
  AND(B470&gt;=25, B470&lt;=34), "25-34",
  AND(B470&gt;=35, B470&lt;=44), "35-44",
  AND(B470&gt;=45, B470&lt;=54), "45-54",
  B470&gt;=55, "55+"
)</f>
        <v>25-34</v>
      </c>
      <c r="D470" t="s">
        <v>19</v>
      </c>
      <c r="E470" t="s">
        <v>133</v>
      </c>
      <c r="F470" t="s">
        <v>69</v>
      </c>
      <c r="G470">
        <v>38</v>
      </c>
      <c r="H470" t="s">
        <v>142</v>
      </c>
      <c r="I470" t="s">
        <v>38</v>
      </c>
      <c r="J470" t="s">
        <v>100</v>
      </c>
      <c r="K470" t="s">
        <v>58</v>
      </c>
      <c r="L470">
        <v>5</v>
      </c>
      <c r="M470" t="s">
        <v>26</v>
      </c>
      <c r="N470" t="s">
        <v>34</v>
      </c>
      <c r="O470" t="s">
        <v>40</v>
      </c>
      <c r="P470" t="s">
        <v>26</v>
      </c>
      <c r="Q470" t="s">
        <v>26</v>
      </c>
      <c r="R470">
        <v>16</v>
      </c>
      <c r="S470" t="s">
        <v>35</v>
      </c>
      <c r="T470" t="str">
        <f t="shared" si="14"/>
        <v>Quarterly</v>
      </c>
      <c r="U470">
        <f>VLOOKUP(T470,[1]tablescore!$B$3:$C$8, 2,FALSE)</f>
        <v>4</v>
      </c>
      <c r="V470" t="str">
        <f t="shared" si="15"/>
        <v>Low Loyalty</v>
      </c>
      <c r="W470" t="s">
        <v>60</v>
      </c>
    </row>
    <row r="471" spans="1:23" x14ac:dyDescent="0.25">
      <c r="A471">
        <v>470</v>
      </c>
      <c r="B471">
        <v>21</v>
      </c>
      <c r="C471" t="str" cm="1">
        <f t="array" ref="C471">_xlfn.IFS(
  AND(B471&gt;=18, B471&lt;=24), "18-24",
  AND(B471&gt;=25, B471&lt;=34), "25-34",
  AND(B471&gt;=35, B471&lt;=44), "35-44",
  AND(B471&gt;=45, B471&lt;=54), "45-54",
  B471&gt;=55, "55+"
)</f>
        <v>18-24</v>
      </c>
      <c r="D471" t="s">
        <v>19</v>
      </c>
      <c r="E471" t="s">
        <v>61</v>
      </c>
      <c r="F471" t="s">
        <v>21</v>
      </c>
      <c r="G471">
        <v>46</v>
      </c>
      <c r="H471" t="s">
        <v>90</v>
      </c>
      <c r="I471" t="s">
        <v>23</v>
      </c>
      <c r="J471" t="s">
        <v>71</v>
      </c>
      <c r="K471" t="s">
        <v>58</v>
      </c>
      <c r="L471">
        <v>4.0999999999999996</v>
      </c>
      <c r="M471" t="s">
        <v>26</v>
      </c>
      <c r="N471" t="s">
        <v>59</v>
      </c>
      <c r="O471" t="s">
        <v>72</v>
      </c>
      <c r="P471" t="s">
        <v>26</v>
      </c>
      <c r="Q471" t="s">
        <v>26</v>
      </c>
      <c r="R471">
        <v>30</v>
      </c>
      <c r="S471" t="s">
        <v>59</v>
      </c>
      <c r="T471" t="str">
        <f t="shared" si="14"/>
        <v>2-week</v>
      </c>
      <c r="U471">
        <f>VLOOKUP(T471,[1]tablescore!$B$3:$C$8, 2,FALSE)</f>
        <v>26</v>
      </c>
      <c r="V471" t="str">
        <f t="shared" si="15"/>
        <v>Loyal</v>
      </c>
      <c r="W471" t="s">
        <v>77</v>
      </c>
    </row>
    <row r="472" spans="1:23" x14ac:dyDescent="0.25">
      <c r="A472">
        <v>471</v>
      </c>
      <c r="B472">
        <v>50</v>
      </c>
      <c r="C472" t="str" cm="1">
        <f t="array" ref="C472">_xlfn.IFS(
  AND(B472&gt;=18, B472&lt;=24), "18-24",
  AND(B472&gt;=25, B472&lt;=34), "25-34",
  AND(B472&gt;=35, B472&lt;=44), "35-44",
  AND(B472&gt;=45, B472&lt;=54), "45-54",
  B472&gt;=55, "55+"
)</f>
        <v>45-54</v>
      </c>
      <c r="D472" t="s">
        <v>19</v>
      </c>
      <c r="E472" t="s">
        <v>82</v>
      </c>
      <c r="F472" t="s">
        <v>21</v>
      </c>
      <c r="G472">
        <v>63</v>
      </c>
      <c r="H472" t="s">
        <v>134</v>
      </c>
      <c r="I472" t="s">
        <v>23</v>
      </c>
      <c r="J472" t="s">
        <v>86</v>
      </c>
      <c r="K472" t="s">
        <v>54</v>
      </c>
      <c r="L472">
        <v>4.5999999999999996</v>
      </c>
      <c r="M472" t="s">
        <v>26</v>
      </c>
      <c r="N472" t="s">
        <v>35</v>
      </c>
      <c r="O472" t="s">
        <v>28</v>
      </c>
      <c r="P472" t="s">
        <v>26</v>
      </c>
      <c r="Q472" t="s">
        <v>26</v>
      </c>
      <c r="R472">
        <v>6</v>
      </c>
      <c r="S472" t="s">
        <v>35</v>
      </c>
      <c r="T472" t="str">
        <f t="shared" si="14"/>
        <v>Quarterly</v>
      </c>
      <c r="U472">
        <f>VLOOKUP(T472,[1]tablescore!$B$3:$C$8, 2,FALSE)</f>
        <v>4</v>
      </c>
      <c r="V472" t="str">
        <f t="shared" si="15"/>
        <v>Low Loyalty</v>
      </c>
      <c r="W472" t="s">
        <v>97</v>
      </c>
    </row>
    <row r="473" spans="1:23" x14ac:dyDescent="0.25">
      <c r="A473">
        <v>472</v>
      </c>
      <c r="B473">
        <v>55</v>
      </c>
      <c r="C473" t="str" cm="1">
        <f t="array" ref="C473">_xlfn.IFS(
  AND(B473&gt;=18, B473&lt;=24), "18-24",
  AND(B473&gt;=25, B473&lt;=34), "25-34",
  AND(B473&gt;=35, B473&lt;=44), "35-44",
  AND(B473&gt;=45, B473&lt;=54), "45-54",
  B473&gt;=55, "55+"
)</f>
        <v>55+</v>
      </c>
      <c r="D473" t="s">
        <v>19</v>
      </c>
      <c r="E473" t="s">
        <v>119</v>
      </c>
      <c r="F473" t="s">
        <v>69</v>
      </c>
      <c r="G473">
        <v>72</v>
      </c>
      <c r="H473" t="s">
        <v>70</v>
      </c>
      <c r="I473" t="s">
        <v>92</v>
      </c>
      <c r="J473" t="s">
        <v>53</v>
      </c>
      <c r="K473" t="s">
        <v>25</v>
      </c>
      <c r="L473">
        <v>4.9000000000000004</v>
      </c>
      <c r="M473" t="s">
        <v>26</v>
      </c>
      <c r="N473" t="s">
        <v>27</v>
      </c>
      <c r="O473" t="s">
        <v>72</v>
      </c>
      <c r="P473" t="s">
        <v>26</v>
      </c>
      <c r="Q473" t="s">
        <v>26</v>
      </c>
      <c r="R473">
        <v>36</v>
      </c>
      <c r="S473" t="s">
        <v>34</v>
      </c>
      <c r="T473" t="str">
        <f t="shared" si="14"/>
        <v>Quarterly</v>
      </c>
      <c r="U473">
        <f>VLOOKUP(T473,[1]tablescore!$B$3:$C$8, 2,FALSE)</f>
        <v>4</v>
      </c>
      <c r="V473" t="str">
        <f t="shared" si="15"/>
        <v>Low Loyalty</v>
      </c>
      <c r="W473" t="s">
        <v>60</v>
      </c>
    </row>
    <row r="474" spans="1:23" x14ac:dyDescent="0.25">
      <c r="A474">
        <v>473</v>
      </c>
      <c r="B474">
        <v>20</v>
      </c>
      <c r="C474" t="str" cm="1">
        <f t="array" ref="C474">_xlfn.IFS(
  AND(B474&gt;=18, B474&lt;=24), "18-24",
  AND(B474&gt;=25, B474&lt;=34), "25-34",
  AND(B474&gt;=35, B474&lt;=44), "35-44",
  AND(B474&gt;=45, B474&lt;=54), "45-54",
  B474&gt;=55, "55+"
)</f>
        <v>18-24</v>
      </c>
      <c r="D474" t="s">
        <v>19</v>
      </c>
      <c r="E474" t="s">
        <v>36</v>
      </c>
      <c r="F474" t="s">
        <v>21</v>
      </c>
      <c r="G474">
        <v>39</v>
      </c>
      <c r="H474" t="s">
        <v>142</v>
      </c>
      <c r="I474" t="s">
        <v>23</v>
      </c>
      <c r="J474" t="s">
        <v>24</v>
      </c>
      <c r="K474" t="s">
        <v>25</v>
      </c>
      <c r="L474">
        <v>3.9</v>
      </c>
      <c r="M474" t="s">
        <v>26</v>
      </c>
      <c r="N474" t="s">
        <v>35</v>
      </c>
      <c r="O474" t="s">
        <v>40</v>
      </c>
      <c r="P474" t="s">
        <v>26</v>
      </c>
      <c r="Q474" t="s">
        <v>26</v>
      </c>
      <c r="R474">
        <v>3</v>
      </c>
      <c r="S474" t="s">
        <v>34</v>
      </c>
      <c r="T474" t="str">
        <f t="shared" si="14"/>
        <v>Quarterly</v>
      </c>
      <c r="U474">
        <f>VLOOKUP(T474,[1]tablescore!$B$3:$C$8, 2,FALSE)</f>
        <v>4</v>
      </c>
      <c r="V474" t="str">
        <f t="shared" si="15"/>
        <v>Low Loyalty</v>
      </c>
      <c r="W474" t="s">
        <v>60</v>
      </c>
    </row>
    <row r="475" spans="1:23" x14ac:dyDescent="0.25">
      <c r="A475">
        <v>474</v>
      </c>
      <c r="B475">
        <v>34</v>
      </c>
      <c r="C475" t="str" cm="1">
        <f t="array" ref="C475">_xlfn.IFS(
  AND(B475&gt;=18, B475&lt;=24), "18-24",
  AND(B475&gt;=25, B475&lt;=34), "25-34",
  AND(B475&gt;=35, B475&lt;=44), "35-44",
  AND(B475&gt;=45, B475&lt;=54), "45-54",
  B475&gt;=55, "55+"
)</f>
        <v>25-34</v>
      </c>
      <c r="D475" t="s">
        <v>19</v>
      </c>
      <c r="E475" t="s">
        <v>64</v>
      </c>
      <c r="F475" t="s">
        <v>65</v>
      </c>
      <c r="G475">
        <v>42</v>
      </c>
      <c r="H475" t="s">
        <v>66</v>
      </c>
      <c r="I475" t="s">
        <v>23</v>
      </c>
      <c r="J475" t="s">
        <v>79</v>
      </c>
      <c r="K475" t="s">
        <v>39</v>
      </c>
      <c r="L475">
        <v>3.9</v>
      </c>
      <c r="M475" t="s">
        <v>26</v>
      </c>
      <c r="N475" t="s">
        <v>29</v>
      </c>
      <c r="O475" t="s">
        <v>76</v>
      </c>
      <c r="P475" t="s">
        <v>26</v>
      </c>
      <c r="Q475" t="s">
        <v>26</v>
      </c>
      <c r="R475">
        <v>29</v>
      </c>
      <c r="S475" t="s">
        <v>46</v>
      </c>
      <c r="T475" t="str">
        <f t="shared" si="14"/>
        <v>Quarterly</v>
      </c>
      <c r="U475">
        <f>VLOOKUP(T475,[1]tablescore!$B$3:$C$8, 2,FALSE)</f>
        <v>4</v>
      </c>
      <c r="V475" t="str">
        <f t="shared" si="15"/>
        <v>Low Loyalty</v>
      </c>
      <c r="W475" t="s">
        <v>97</v>
      </c>
    </row>
    <row r="476" spans="1:23" x14ac:dyDescent="0.25">
      <c r="A476">
        <v>475</v>
      </c>
      <c r="B476">
        <v>62</v>
      </c>
      <c r="C476" t="str" cm="1">
        <f t="array" ref="C476">_xlfn.IFS(
  AND(B476&gt;=18, B476&lt;=24), "18-24",
  AND(B476&gt;=25, B476&lt;=34), "25-34",
  AND(B476&gt;=35, B476&lt;=44), "35-44",
  AND(B476&gt;=45, B476&lt;=54), "45-54",
  B476&gt;=55, "55+"
)</f>
        <v>55+</v>
      </c>
      <c r="D476" t="s">
        <v>19</v>
      </c>
      <c r="E476" t="s">
        <v>31</v>
      </c>
      <c r="F476" t="s">
        <v>21</v>
      </c>
      <c r="G476">
        <v>76</v>
      </c>
      <c r="H476" t="s">
        <v>74</v>
      </c>
      <c r="I476" t="s">
        <v>92</v>
      </c>
      <c r="J476" t="s">
        <v>33</v>
      </c>
      <c r="K476" t="s">
        <v>54</v>
      </c>
      <c r="L476">
        <v>2.6</v>
      </c>
      <c r="M476" t="s">
        <v>26</v>
      </c>
      <c r="N476" t="s">
        <v>59</v>
      </c>
      <c r="O476" t="s">
        <v>72</v>
      </c>
      <c r="P476" t="s">
        <v>26</v>
      </c>
      <c r="Q476" t="s">
        <v>26</v>
      </c>
      <c r="R476">
        <v>15</v>
      </c>
      <c r="S476" t="s">
        <v>35</v>
      </c>
      <c r="T476" t="str">
        <f t="shared" si="14"/>
        <v>Quarterly</v>
      </c>
      <c r="U476">
        <f>VLOOKUP(T476,[1]tablescore!$B$3:$C$8, 2,FALSE)</f>
        <v>4</v>
      </c>
      <c r="V476" t="str">
        <f t="shared" si="15"/>
        <v>Low Loyalty</v>
      </c>
      <c r="W476" t="s">
        <v>60</v>
      </c>
    </row>
    <row r="477" spans="1:23" x14ac:dyDescent="0.25">
      <c r="A477">
        <v>476</v>
      </c>
      <c r="B477">
        <v>21</v>
      </c>
      <c r="C477" t="str" cm="1">
        <f t="array" ref="C477">_xlfn.IFS(
  AND(B477&gt;=18, B477&lt;=24), "18-24",
  AND(B477&gt;=25, B477&lt;=34), "25-34",
  AND(B477&gt;=35, B477&lt;=44), "35-44",
  AND(B477&gt;=45, B477&lt;=54), "45-54",
  B477&gt;=55, "55+"
)</f>
        <v>18-24</v>
      </c>
      <c r="D477" t="s">
        <v>19</v>
      </c>
      <c r="E477" t="s">
        <v>51</v>
      </c>
      <c r="F477" t="s">
        <v>43</v>
      </c>
      <c r="G477">
        <v>66</v>
      </c>
      <c r="H477" t="s">
        <v>124</v>
      </c>
      <c r="I477" t="s">
        <v>23</v>
      </c>
      <c r="J477" t="s">
        <v>147</v>
      </c>
      <c r="K477" t="s">
        <v>54</v>
      </c>
      <c r="L477">
        <v>2.7</v>
      </c>
      <c r="M477" t="s">
        <v>26</v>
      </c>
      <c r="N477" t="s">
        <v>35</v>
      </c>
      <c r="O477" t="s">
        <v>40</v>
      </c>
      <c r="P477" t="s">
        <v>26</v>
      </c>
      <c r="Q477" t="s">
        <v>26</v>
      </c>
      <c r="R477">
        <v>18</v>
      </c>
      <c r="S477" t="s">
        <v>59</v>
      </c>
      <c r="T477" t="str">
        <f t="shared" si="14"/>
        <v>Annually</v>
      </c>
      <c r="U477">
        <f>VLOOKUP(T477,[1]tablescore!$B$3:$C$8, 2,FALSE)</f>
        <v>1</v>
      </c>
      <c r="V477" t="str">
        <f t="shared" si="15"/>
        <v>Low Loyalty</v>
      </c>
      <c r="W477" t="s">
        <v>50</v>
      </c>
    </row>
    <row r="478" spans="1:23" x14ac:dyDescent="0.25">
      <c r="A478">
        <v>477</v>
      </c>
      <c r="B478">
        <v>21</v>
      </c>
      <c r="C478" t="str" cm="1">
        <f t="array" ref="C478">_xlfn.IFS(
  AND(B478&gt;=18, B478&lt;=24), "18-24",
  AND(B478&gt;=25, B478&lt;=34), "25-34",
  AND(B478&gt;=35, B478&lt;=44), "35-44",
  AND(B478&gt;=45, B478&lt;=54), "45-54",
  B478&gt;=55, "55+"
)</f>
        <v>18-24</v>
      </c>
      <c r="D478" t="s">
        <v>19</v>
      </c>
      <c r="E478" t="s">
        <v>119</v>
      </c>
      <c r="F478" t="s">
        <v>69</v>
      </c>
      <c r="G478">
        <v>90</v>
      </c>
      <c r="H478" t="s">
        <v>146</v>
      </c>
      <c r="I478" t="s">
        <v>45</v>
      </c>
      <c r="J478" t="s">
        <v>147</v>
      </c>
      <c r="K478" t="s">
        <v>39</v>
      </c>
      <c r="L478">
        <v>3.5</v>
      </c>
      <c r="M478" t="s">
        <v>26</v>
      </c>
      <c r="N478" t="s">
        <v>29</v>
      </c>
      <c r="O478" t="s">
        <v>40</v>
      </c>
      <c r="P478" t="s">
        <v>26</v>
      </c>
      <c r="Q478" t="s">
        <v>26</v>
      </c>
      <c r="R478">
        <v>2</v>
      </c>
      <c r="S478" t="s">
        <v>59</v>
      </c>
      <c r="T478" t="str">
        <f t="shared" si="14"/>
        <v>2-week</v>
      </c>
      <c r="U478">
        <f>VLOOKUP(T478,[1]tablescore!$B$3:$C$8, 2,FALSE)</f>
        <v>26</v>
      </c>
      <c r="V478" t="str">
        <f t="shared" si="15"/>
        <v>Loyal</v>
      </c>
      <c r="W478" t="s">
        <v>30</v>
      </c>
    </row>
    <row r="479" spans="1:23" x14ac:dyDescent="0.25">
      <c r="A479">
        <v>478</v>
      </c>
      <c r="B479">
        <v>42</v>
      </c>
      <c r="C479" t="str" cm="1">
        <f t="array" ref="C479">_xlfn.IFS(
  AND(B479&gt;=18, B479&lt;=24), "18-24",
  AND(B479&gt;=25, B479&lt;=34), "25-34",
  AND(B479&gt;=35, B479&lt;=44), "35-44",
  AND(B479&gt;=45, B479&lt;=54), "45-54",
  B479&gt;=55, "55+"
)</f>
        <v>35-44</v>
      </c>
      <c r="D479" t="s">
        <v>19</v>
      </c>
      <c r="E479" t="s">
        <v>31</v>
      </c>
      <c r="F479" t="s">
        <v>21</v>
      </c>
      <c r="G479">
        <v>56</v>
      </c>
      <c r="H479" t="s">
        <v>114</v>
      </c>
      <c r="I479" t="s">
        <v>45</v>
      </c>
      <c r="J479" t="s">
        <v>96</v>
      </c>
      <c r="K479" t="s">
        <v>54</v>
      </c>
      <c r="L479">
        <v>3.7</v>
      </c>
      <c r="M479" t="s">
        <v>26</v>
      </c>
      <c r="N479" t="s">
        <v>27</v>
      </c>
      <c r="O479" t="s">
        <v>40</v>
      </c>
      <c r="P479" t="s">
        <v>26</v>
      </c>
      <c r="Q479" t="s">
        <v>26</v>
      </c>
      <c r="R479">
        <v>49</v>
      </c>
      <c r="S479" t="s">
        <v>59</v>
      </c>
      <c r="T479" t="str">
        <f t="shared" si="14"/>
        <v>Daily</v>
      </c>
      <c r="U479">
        <f>VLOOKUP(T479,[1]tablescore!$B$3:$C$8, 2,FALSE)</f>
        <v>30</v>
      </c>
      <c r="V479" t="str">
        <f t="shared" si="15"/>
        <v>Highly Loyal</v>
      </c>
      <c r="W479" t="s">
        <v>41</v>
      </c>
    </row>
    <row r="480" spans="1:23" x14ac:dyDescent="0.25">
      <c r="A480">
        <v>479</v>
      </c>
      <c r="B480">
        <v>35</v>
      </c>
      <c r="C480" t="str" cm="1">
        <f t="array" ref="C480">_xlfn.IFS(
  AND(B480&gt;=18, B480&lt;=24), "18-24",
  AND(B480&gt;=25, B480&lt;=34), "25-34",
  AND(B480&gt;=35, B480&lt;=44), "35-44",
  AND(B480&gt;=45, B480&lt;=54), "45-54",
  B480&gt;=55, "55+"
)</f>
        <v>35-44</v>
      </c>
      <c r="D480" t="s">
        <v>19</v>
      </c>
      <c r="E480" t="s">
        <v>106</v>
      </c>
      <c r="F480" t="s">
        <v>69</v>
      </c>
      <c r="G480">
        <v>43</v>
      </c>
      <c r="H480" t="s">
        <v>111</v>
      </c>
      <c r="I480" t="s">
        <v>92</v>
      </c>
      <c r="J480" t="s">
        <v>49</v>
      </c>
      <c r="K480" t="s">
        <v>25</v>
      </c>
      <c r="L480">
        <v>3.2</v>
      </c>
      <c r="M480" t="s">
        <v>26</v>
      </c>
      <c r="N480" t="s">
        <v>59</v>
      </c>
      <c r="O480" t="s">
        <v>40</v>
      </c>
      <c r="P480" t="s">
        <v>26</v>
      </c>
      <c r="Q480" t="s">
        <v>26</v>
      </c>
      <c r="R480">
        <v>48</v>
      </c>
      <c r="S480" t="s">
        <v>29</v>
      </c>
      <c r="T480" t="str">
        <f t="shared" si="14"/>
        <v>Annually</v>
      </c>
      <c r="U480">
        <f>VLOOKUP(T480,[1]tablescore!$B$3:$C$8, 2,FALSE)</f>
        <v>1</v>
      </c>
      <c r="V480" t="str">
        <f t="shared" si="15"/>
        <v>Low Loyalty</v>
      </c>
      <c r="W480" t="s">
        <v>50</v>
      </c>
    </row>
    <row r="481" spans="1:23" x14ac:dyDescent="0.25">
      <c r="A481">
        <v>480</v>
      </c>
      <c r="B481">
        <v>39</v>
      </c>
      <c r="C481" t="str" cm="1">
        <f t="array" ref="C481">_xlfn.IFS(
  AND(B481&gt;=18, B481&lt;=24), "18-24",
  AND(B481&gt;=25, B481&lt;=34), "25-34",
  AND(B481&gt;=35, B481&lt;=44), "35-44",
  AND(B481&gt;=45, B481&lt;=54), "45-54",
  B481&gt;=55, "55+"
)</f>
        <v>35-44</v>
      </c>
      <c r="D481" t="s">
        <v>19</v>
      </c>
      <c r="E481" t="s">
        <v>68</v>
      </c>
      <c r="F481" t="s">
        <v>69</v>
      </c>
      <c r="G481">
        <v>84</v>
      </c>
      <c r="H481" t="s">
        <v>150</v>
      </c>
      <c r="I481" t="s">
        <v>23</v>
      </c>
      <c r="J481" t="s">
        <v>139</v>
      </c>
      <c r="K481" t="s">
        <v>25</v>
      </c>
      <c r="L481">
        <v>3.3</v>
      </c>
      <c r="M481" t="s">
        <v>26</v>
      </c>
      <c r="N481" t="s">
        <v>34</v>
      </c>
      <c r="O481" t="s">
        <v>76</v>
      </c>
      <c r="P481" t="s">
        <v>26</v>
      </c>
      <c r="Q481" t="s">
        <v>26</v>
      </c>
      <c r="R481">
        <v>43</v>
      </c>
      <c r="S481" t="s">
        <v>29</v>
      </c>
      <c r="T481" t="str">
        <f t="shared" si="14"/>
        <v>Month</v>
      </c>
      <c r="U481">
        <f>VLOOKUP(T481,[1]tablescore!$B$3:$C$8, 2,FALSE)</f>
        <v>12</v>
      </c>
      <c r="V481" t="str">
        <f t="shared" si="15"/>
        <v>Moderate</v>
      </c>
      <c r="W481" t="s">
        <v>88</v>
      </c>
    </row>
    <row r="482" spans="1:23" x14ac:dyDescent="0.25">
      <c r="A482">
        <v>481</v>
      </c>
      <c r="B482">
        <v>68</v>
      </c>
      <c r="C482" t="str" cm="1">
        <f t="array" ref="C482">_xlfn.IFS(
  AND(B482&gt;=18, B482&lt;=24), "18-24",
  AND(B482&gt;=25, B482&lt;=34), "25-34",
  AND(B482&gt;=35, B482&lt;=44), "35-44",
  AND(B482&gt;=45, B482&lt;=54), "45-54",
  B482&gt;=55, "55+"
)</f>
        <v>55+</v>
      </c>
      <c r="D482" t="s">
        <v>19</v>
      </c>
      <c r="E482" t="s">
        <v>104</v>
      </c>
      <c r="F482" t="s">
        <v>21</v>
      </c>
      <c r="G482">
        <v>88</v>
      </c>
      <c r="H482" t="s">
        <v>145</v>
      </c>
      <c r="I482" t="s">
        <v>45</v>
      </c>
      <c r="J482" t="s">
        <v>24</v>
      </c>
      <c r="K482" t="s">
        <v>54</v>
      </c>
      <c r="L482">
        <v>4.8</v>
      </c>
      <c r="M482" t="s">
        <v>26</v>
      </c>
      <c r="N482" t="s">
        <v>27</v>
      </c>
      <c r="O482" t="s">
        <v>55</v>
      </c>
      <c r="P482" t="s">
        <v>26</v>
      </c>
      <c r="Q482" t="s">
        <v>26</v>
      </c>
      <c r="R482">
        <v>30</v>
      </c>
      <c r="S482" t="s">
        <v>59</v>
      </c>
      <c r="T482" t="str">
        <f t="shared" si="14"/>
        <v>2-week</v>
      </c>
      <c r="U482">
        <f>VLOOKUP(T482,[1]tablescore!$B$3:$C$8, 2,FALSE)</f>
        <v>26</v>
      </c>
      <c r="V482" t="str">
        <f t="shared" si="15"/>
        <v>Loyal</v>
      </c>
      <c r="W482" t="s">
        <v>77</v>
      </c>
    </row>
    <row r="483" spans="1:23" x14ac:dyDescent="0.25">
      <c r="A483">
        <v>482</v>
      </c>
      <c r="B483">
        <v>46</v>
      </c>
      <c r="C483" t="str" cm="1">
        <f t="array" ref="C483">_xlfn.IFS(
  AND(B483&gt;=18, B483&lt;=24), "18-24",
  AND(B483&gt;=25, B483&lt;=34), "25-34",
  AND(B483&gt;=35, B483&lt;=44), "35-44",
  AND(B483&gt;=45, B483&lt;=54), "45-54",
  B483&gt;=55, "55+"
)</f>
        <v>45-54</v>
      </c>
      <c r="D483" t="s">
        <v>19</v>
      </c>
      <c r="E483" t="s">
        <v>125</v>
      </c>
      <c r="F483" t="s">
        <v>69</v>
      </c>
      <c r="G483">
        <v>88</v>
      </c>
      <c r="H483" t="s">
        <v>148</v>
      </c>
      <c r="I483" t="s">
        <v>23</v>
      </c>
      <c r="J483" t="s">
        <v>100</v>
      </c>
      <c r="K483" t="s">
        <v>58</v>
      </c>
      <c r="L483">
        <v>3.2</v>
      </c>
      <c r="M483" t="s">
        <v>26</v>
      </c>
      <c r="N483" t="s">
        <v>46</v>
      </c>
      <c r="O483" t="s">
        <v>72</v>
      </c>
      <c r="P483" t="s">
        <v>26</v>
      </c>
      <c r="Q483" t="s">
        <v>26</v>
      </c>
      <c r="R483">
        <v>10</v>
      </c>
      <c r="S483" t="s">
        <v>46</v>
      </c>
      <c r="T483" t="str">
        <f t="shared" si="14"/>
        <v>2-week</v>
      </c>
      <c r="U483">
        <f>VLOOKUP(T483,[1]tablescore!$B$3:$C$8, 2,FALSE)</f>
        <v>26</v>
      </c>
      <c r="V483" t="str">
        <f t="shared" si="15"/>
        <v>Loyal</v>
      </c>
      <c r="W483" t="s">
        <v>30</v>
      </c>
    </row>
    <row r="484" spans="1:23" x14ac:dyDescent="0.25">
      <c r="A484">
        <v>483</v>
      </c>
      <c r="B484">
        <v>41</v>
      </c>
      <c r="C484" t="str" cm="1">
        <f t="array" ref="C484">_xlfn.IFS(
  AND(B484&gt;=18, B484&lt;=24), "18-24",
  AND(B484&gt;=25, B484&lt;=34), "25-34",
  AND(B484&gt;=35, B484&lt;=44), "35-44",
  AND(B484&gt;=45, B484&lt;=54), "45-54",
  B484&gt;=55, "55+"
)</f>
        <v>35-44</v>
      </c>
      <c r="D484" t="s">
        <v>19</v>
      </c>
      <c r="E484" t="s">
        <v>136</v>
      </c>
      <c r="F484" t="s">
        <v>69</v>
      </c>
      <c r="G484">
        <v>42</v>
      </c>
      <c r="H484" t="s">
        <v>146</v>
      </c>
      <c r="I484" t="s">
        <v>45</v>
      </c>
      <c r="J484" t="s">
        <v>139</v>
      </c>
      <c r="K484" t="s">
        <v>25</v>
      </c>
      <c r="L484">
        <v>2.5</v>
      </c>
      <c r="M484" t="s">
        <v>26</v>
      </c>
      <c r="N484" t="s">
        <v>46</v>
      </c>
      <c r="O484" t="s">
        <v>72</v>
      </c>
      <c r="P484" t="s">
        <v>26</v>
      </c>
      <c r="Q484" t="s">
        <v>26</v>
      </c>
      <c r="R484">
        <v>11</v>
      </c>
      <c r="S484" t="s">
        <v>29</v>
      </c>
      <c r="T484" t="str">
        <f t="shared" si="14"/>
        <v>Annually</v>
      </c>
      <c r="U484">
        <f>VLOOKUP(T484,[1]tablescore!$B$3:$C$8, 2,FALSE)</f>
        <v>1</v>
      </c>
      <c r="V484" t="str">
        <f t="shared" si="15"/>
        <v>Low Loyalty</v>
      </c>
      <c r="W484" t="s">
        <v>50</v>
      </c>
    </row>
    <row r="485" spans="1:23" x14ac:dyDescent="0.25">
      <c r="A485">
        <v>484</v>
      </c>
      <c r="B485">
        <v>23</v>
      </c>
      <c r="C485" t="str" cm="1">
        <f t="array" ref="C485">_xlfn.IFS(
  AND(B485&gt;=18, B485&lt;=24), "18-24",
  AND(B485&gt;=25, B485&lt;=34), "25-34",
  AND(B485&gt;=35, B485&lt;=44), "35-44",
  AND(B485&gt;=45, B485&lt;=54), "45-54",
  B485&gt;=55, "55+"
)</f>
        <v>18-24</v>
      </c>
      <c r="D485" t="s">
        <v>19</v>
      </c>
      <c r="E485" t="s">
        <v>104</v>
      </c>
      <c r="F485" t="s">
        <v>21</v>
      </c>
      <c r="G485">
        <v>73</v>
      </c>
      <c r="H485" t="s">
        <v>101</v>
      </c>
      <c r="I485" t="s">
        <v>45</v>
      </c>
      <c r="J485" t="s">
        <v>53</v>
      </c>
      <c r="K485" t="s">
        <v>58</v>
      </c>
      <c r="L485">
        <v>3.9</v>
      </c>
      <c r="M485" t="s">
        <v>26</v>
      </c>
      <c r="N485" t="s">
        <v>29</v>
      </c>
      <c r="O485" t="s">
        <v>76</v>
      </c>
      <c r="P485" t="s">
        <v>26</v>
      </c>
      <c r="Q485" t="s">
        <v>26</v>
      </c>
      <c r="R485">
        <v>12</v>
      </c>
      <c r="S485" t="s">
        <v>59</v>
      </c>
      <c r="T485" t="str">
        <f t="shared" si="14"/>
        <v>Daily</v>
      </c>
      <c r="U485">
        <f>VLOOKUP(T485,[1]tablescore!$B$3:$C$8, 2,FALSE)</f>
        <v>30</v>
      </c>
      <c r="V485" t="str">
        <f t="shared" si="15"/>
        <v>Highly Loyal</v>
      </c>
      <c r="W485" t="s">
        <v>41</v>
      </c>
    </row>
    <row r="486" spans="1:23" x14ac:dyDescent="0.25">
      <c r="A486">
        <v>485</v>
      </c>
      <c r="B486">
        <v>68</v>
      </c>
      <c r="C486" t="str" cm="1">
        <f t="array" ref="C486">_xlfn.IFS(
  AND(B486&gt;=18, B486&lt;=24), "18-24",
  AND(B486&gt;=25, B486&lt;=34), "25-34",
  AND(B486&gt;=35, B486&lt;=44), "35-44",
  AND(B486&gt;=45, B486&lt;=54), "45-54",
  B486&gt;=55, "55+"
)</f>
        <v>55+</v>
      </c>
      <c r="D486" t="s">
        <v>19</v>
      </c>
      <c r="E486" t="s">
        <v>125</v>
      </c>
      <c r="F486" t="s">
        <v>69</v>
      </c>
      <c r="G486">
        <v>73</v>
      </c>
      <c r="H486" t="s">
        <v>70</v>
      </c>
      <c r="I486" t="s">
        <v>23</v>
      </c>
      <c r="J486" t="s">
        <v>93</v>
      </c>
      <c r="K486" t="s">
        <v>54</v>
      </c>
      <c r="L486">
        <v>4.7</v>
      </c>
      <c r="M486" t="s">
        <v>26</v>
      </c>
      <c r="N486" t="s">
        <v>27</v>
      </c>
      <c r="O486" t="s">
        <v>40</v>
      </c>
      <c r="P486" t="s">
        <v>26</v>
      </c>
      <c r="Q486" t="s">
        <v>26</v>
      </c>
      <c r="R486">
        <v>28</v>
      </c>
      <c r="S486" t="s">
        <v>34</v>
      </c>
      <c r="T486" t="str">
        <f t="shared" si="14"/>
        <v>Quarterly</v>
      </c>
      <c r="U486">
        <f>VLOOKUP(T486,[1]tablescore!$B$3:$C$8, 2,FALSE)</f>
        <v>4</v>
      </c>
      <c r="V486" t="str">
        <f t="shared" si="15"/>
        <v>Low Loyalty</v>
      </c>
      <c r="W486" t="s">
        <v>60</v>
      </c>
    </row>
    <row r="487" spans="1:23" x14ac:dyDescent="0.25">
      <c r="A487">
        <v>486</v>
      </c>
      <c r="B487">
        <v>48</v>
      </c>
      <c r="C487" t="str" cm="1">
        <f t="array" ref="C487">_xlfn.IFS(
  AND(B487&gt;=18, B487&lt;=24), "18-24",
  AND(B487&gt;=25, B487&lt;=34), "25-34",
  AND(B487&gt;=35, B487&lt;=44), "35-44",
  AND(B487&gt;=45, B487&lt;=54), "45-54",
  B487&gt;=55, "55+"
)</f>
        <v>45-54</v>
      </c>
      <c r="D487" t="s">
        <v>19</v>
      </c>
      <c r="E487" t="s">
        <v>73</v>
      </c>
      <c r="F487" t="s">
        <v>43</v>
      </c>
      <c r="G487">
        <v>44</v>
      </c>
      <c r="H487" t="s">
        <v>122</v>
      </c>
      <c r="I487" t="s">
        <v>38</v>
      </c>
      <c r="J487" t="s">
        <v>138</v>
      </c>
      <c r="K487" t="s">
        <v>39</v>
      </c>
      <c r="L487">
        <v>2.6</v>
      </c>
      <c r="M487" t="s">
        <v>26</v>
      </c>
      <c r="N487" t="s">
        <v>59</v>
      </c>
      <c r="O487" t="s">
        <v>47</v>
      </c>
      <c r="P487" t="s">
        <v>26</v>
      </c>
      <c r="Q487" t="s">
        <v>26</v>
      </c>
      <c r="R487">
        <v>36</v>
      </c>
      <c r="S487" t="s">
        <v>59</v>
      </c>
      <c r="T487" t="str">
        <f t="shared" si="14"/>
        <v>2-week</v>
      </c>
      <c r="U487">
        <f>VLOOKUP(T487,[1]tablescore!$B$3:$C$8, 2,FALSE)</f>
        <v>26</v>
      </c>
      <c r="V487" t="str">
        <f t="shared" si="15"/>
        <v>Loyal</v>
      </c>
      <c r="W487" t="s">
        <v>30</v>
      </c>
    </row>
    <row r="488" spans="1:23" x14ac:dyDescent="0.25">
      <c r="A488">
        <v>487</v>
      </c>
      <c r="B488">
        <v>38</v>
      </c>
      <c r="C488" t="str" cm="1">
        <f t="array" ref="C488">_xlfn.IFS(
  AND(B488&gt;=18, B488&lt;=24), "18-24",
  AND(B488&gt;=25, B488&lt;=34), "25-34",
  AND(B488&gt;=35, B488&lt;=44), "35-44",
  AND(B488&gt;=45, B488&lt;=54), "45-54",
  B488&gt;=55, "55+"
)</f>
        <v>35-44</v>
      </c>
      <c r="D488" t="s">
        <v>19</v>
      </c>
      <c r="E488" t="s">
        <v>42</v>
      </c>
      <c r="F488" t="s">
        <v>43</v>
      </c>
      <c r="G488">
        <v>63</v>
      </c>
      <c r="H488" t="s">
        <v>123</v>
      </c>
      <c r="I488" t="s">
        <v>45</v>
      </c>
      <c r="J488" t="s">
        <v>63</v>
      </c>
      <c r="K488" t="s">
        <v>58</v>
      </c>
      <c r="L488">
        <v>2.8</v>
      </c>
      <c r="M488" t="s">
        <v>26</v>
      </c>
      <c r="N488" t="s">
        <v>59</v>
      </c>
      <c r="O488" t="s">
        <v>76</v>
      </c>
      <c r="P488" t="s">
        <v>26</v>
      </c>
      <c r="Q488" t="s">
        <v>26</v>
      </c>
      <c r="R488">
        <v>37</v>
      </c>
      <c r="S488" t="s">
        <v>29</v>
      </c>
      <c r="T488" t="str">
        <f t="shared" si="14"/>
        <v>Quarterly</v>
      </c>
      <c r="U488">
        <f>VLOOKUP(T488,[1]tablescore!$B$3:$C$8, 2,FALSE)</f>
        <v>4</v>
      </c>
      <c r="V488" t="str">
        <f t="shared" si="15"/>
        <v>Low Loyalty</v>
      </c>
      <c r="W488" t="s">
        <v>97</v>
      </c>
    </row>
    <row r="489" spans="1:23" x14ac:dyDescent="0.25">
      <c r="A489">
        <v>488</v>
      </c>
      <c r="B489">
        <v>41</v>
      </c>
      <c r="C489" t="str" cm="1">
        <f t="array" ref="C489">_xlfn.IFS(
  AND(B489&gt;=18, B489&lt;=24), "18-24",
  AND(B489&gt;=25, B489&lt;=34), "25-34",
  AND(B489&gt;=35, B489&lt;=44), "35-44",
  AND(B489&gt;=45, B489&lt;=54), "45-54",
  B489&gt;=55, "55+"
)</f>
        <v>35-44</v>
      </c>
      <c r="D489" t="s">
        <v>19</v>
      </c>
      <c r="E489" t="s">
        <v>102</v>
      </c>
      <c r="F489" t="s">
        <v>65</v>
      </c>
      <c r="G489">
        <v>68</v>
      </c>
      <c r="H489" t="s">
        <v>150</v>
      </c>
      <c r="I489" t="s">
        <v>23</v>
      </c>
      <c r="J489" t="s">
        <v>108</v>
      </c>
      <c r="K489" t="s">
        <v>25</v>
      </c>
      <c r="L489">
        <v>4.4000000000000004</v>
      </c>
      <c r="M489" t="s">
        <v>26</v>
      </c>
      <c r="N489" t="s">
        <v>27</v>
      </c>
      <c r="O489" t="s">
        <v>76</v>
      </c>
      <c r="P489" t="s">
        <v>26</v>
      </c>
      <c r="Q489" t="s">
        <v>26</v>
      </c>
      <c r="R489">
        <v>22</v>
      </c>
      <c r="S489" t="s">
        <v>27</v>
      </c>
      <c r="T489" t="str">
        <f t="shared" si="14"/>
        <v>Quarterly</v>
      </c>
      <c r="U489">
        <f>VLOOKUP(T489,[1]tablescore!$B$3:$C$8, 2,FALSE)</f>
        <v>4</v>
      </c>
      <c r="V489" t="str">
        <f t="shared" si="15"/>
        <v>Low Loyalty</v>
      </c>
      <c r="W489" t="s">
        <v>60</v>
      </c>
    </row>
    <row r="490" spans="1:23" x14ac:dyDescent="0.25">
      <c r="A490">
        <v>489</v>
      </c>
      <c r="B490">
        <v>58</v>
      </c>
      <c r="C490" t="str" cm="1">
        <f t="array" ref="C490">_xlfn.IFS(
  AND(B490&gt;=18, B490&lt;=24), "18-24",
  AND(B490&gt;=25, B490&lt;=34), "25-34",
  AND(B490&gt;=35, B490&lt;=44), "35-44",
  AND(B490&gt;=45, B490&lt;=54), "45-54",
  B490&gt;=55, "55+"
)</f>
        <v>55+</v>
      </c>
      <c r="D490" t="s">
        <v>19</v>
      </c>
      <c r="E490" t="s">
        <v>31</v>
      </c>
      <c r="F490" t="s">
        <v>21</v>
      </c>
      <c r="G490">
        <v>29</v>
      </c>
      <c r="H490" t="s">
        <v>32</v>
      </c>
      <c r="I490" t="s">
        <v>23</v>
      </c>
      <c r="J490" t="s">
        <v>79</v>
      </c>
      <c r="K490" t="s">
        <v>39</v>
      </c>
      <c r="L490">
        <v>4.5999999999999996</v>
      </c>
      <c r="M490" t="s">
        <v>26</v>
      </c>
      <c r="N490" t="s">
        <v>29</v>
      </c>
      <c r="O490" t="s">
        <v>55</v>
      </c>
      <c r="P490" t="s">
        <v>26</v>
      </c>
      <c r="Q490" t="s">
        <v>26</v>
      </c>
      <c r="R490">
        <v>32</v>
      </c>
      <c r="S490" t="s">
        <v>29</v>
      </c>
      <c r="T490" t="str">
        <f t="shared" si="14"/>
        <v>Daily</v>
      </c>
      <c r="U490">
        <f>VLOOKUP(T490,[1]tablescore!$B$3:$C$8, 2,FALSE)</f>
        <v>30</v>
      </c>
      <c r="V490" t="str">
        <f t="shared" si="15"/>
        <v>Highly Loyal</v>
      </c>
      <c r="W490" t="s">
        <v>41</v>
      </c>
    </row>
    <row r="491" spans="1:23" x14ac:dyDescent="0.25">
      <c r="A491">
        <v>490</v>
      </c>
      <c r="B491">
        <v>49</v>
      </c>
      <c r="C491" t="str" cm="1">
        <f t="array" ref="C491">_xlfn.IFS(
  AND(B491&gt;=18, B491&lt;=24), "18-24",
  AND(B491&gt;=25, B491&lt;=34), "25-34",
  AND(B491&gt;=35, B491&lt;=44), "35-44",
  AND(B491&gt;=45, B491&lt;=54), "45-54",
  B491&gt;=55, "55+"
)</f>
        <v>45-54</v>
      </c>
      <c r="D491" t="s">
        <v>19</v>
      </c>
      <c r="E491" t="s">
        <v>131</v>
      </c>
      <c r="F491" t="s">
        <v>21</v>
      </c>
      <c r="G491">
        <v>85</v>
      </c>
      <c r="H491" t="s">
        <v>130</v>
      </c>
      <c r="I491" t="s">
        <v>45</v>
      </c>
      <c r="J491" t="s">
        <v>96</v>
      </c>
      <c r="K491" t="s">
        <v>54</v>
      </c>
      <c r="L491">
        <v>3.2</v>
      </c>
      <c r="M491" t="s">
        <v>26</v>
      </c>
      <c r="N491" t="s">
        <v>29</v>
      </c>
      <c r="O491" t="s">
        <v>55</v>
      </c>
      <c r="P491" t="s">
        <v>26</v>
      </c>
      <c r="Q491" t="s">
        <v>26</v>
      </c>
      <c r="R491">
        <v>40</v>
      </c>
      <c r="S491" t="s">
        <v>46</v>
      </c>
      <c r="T491" t="str">
        <f t="shared" si="14"/>
        <v>Annually</v>
      </c>
      <c r="U491">
        <f>VLOOKUP(T491,[1]tablescore!$B$3:$C$8, 2,FALSE)</f>
        <v>1</v>
      </c>
      <c r="V491" t="str">
        <f t="shared" si="15"/>
        <v>Low Loyalty</v>
      </c>
      <c r="W491" t="s">
        <v>50</v>
      </c>
    </row>
    <row r="492" spans="1:23" x14ac:dyDescent="0.25">
      <c r="A492">
        <v>491</v>
      </c>
      <c r="B492">
        <v>57</v>
      </c>
      <c r="C492" t="str" cm="1">
        <f t="array" ref="C492">_xlfn.IFS(
  AND(B492&gt;=18, B492&lt;=24), "18-24",
  AND(B492&gt;=25, B492&lt;=34), "25-34",
  AND(B492&gt;=35, B492&lt;=44), "35-44",
  AND(B492&gt;=45, B492&lt;=54), "45-54",
  B492&gt;=55, "55+"
)</f>
        <v>55+</v>
      </c>
      <c r="D492" t="s">
        <v>19</v>
      </c>
      <c r="E492" t="s">
        <v>51</v>
      </c>
      <c r="F492" t="s">
        <v>43</v>
      </c>
      <c r="G492">
        <v>42</v>
      </c>
      <c r="H492" t="s">
        <v>112</v>
      </c>
      <c r="I492" t="s">
        <v>45</v>
      </c>
      <c r="J492" t="s">
        <v>67</v>
      </c>
      <c r="K492" t="s">
        <v>25</v>
      </c>
      <c r="L492">
        <v>4.2</v>
      </c>
      <c r="M492" t="s">
        <v>26</v>
      </c>
      <c r="N492" t="s">
        <v>46</v>
      </c>
      <c r="O492" t="s">
        <v>72</v>
      </c>
      <c r="P492" t="s">
        <v>26</v>
      </c>
      <c r="Q492" t="s">
        <v>26</v>
      </c>
      <c r="R492">
        <v>47</v>
      </c>
      <c r="S492" t="s">
        <v>35</v>
      </c>
      <c r="T492" t="str">
        <f t="shared" si="14"/>
        <v>Month</v>
      </c>
      <c r="U492">
        <f>VLOOKUP(T492,[1]tablescore!$B$3:$C$8, 2,FALSE)</f>
        <v>12</v>
      </c>
      <c r="V492" t="str">
        <f t="shared" si="15"/>
        <v>Moderate</v>
      </c>
      <c r="W492" t="s">
        <v>88</v>
      </c>
    </row>
    <row r="493" spans="1:23" x14ac:dyDescent="0.25">
      <c r="A493">
        <v>492</v>
      </c>
      <c r="B493">
        <v>49</v>
      </c>
      <c r="C493" t="str" cm="1">
        <f t="array" ref="C493">_xlfn.IFS(
  AND(B493&gt;=18, B493&lt;=24), "18-24",
  AND(B493&gt;=25, B493&lt;=34), "25-34",
  AND(B493&gt;=35, B493&lt;=44), "35-44",
  AND(B493&gt;=45, B493&lt;=54), "45-54",
  B493&gt;=55, "55+"
)</f>
        <v>45-54</v>
      </c>
      <c r="D493" t="s">
        <v>19</v>
      </c>
      <c r="E493" t="s">
        <v>64</v>
      </c>
      <c r="F493" t="s">
        <v>65</v>
      </c>
      <c r="G493">
        <v>69</v>
      </c>
      <c r="H493" t="s">
        <v>145</v>
      </c>
      <c r="I493" t="s">
        <v>45</v>
      </c>
      <c r="J493" t="s">
        <v>67</v>
      </c>
      <c r="K493" t="s">
        <v>54</v>
      </c>
      <c r="L493">
        <v>3.7</v>
      </c>
      <c r="M493" t="s">
        <v>26</v>
      </c>
      <c r="N493" t="s">
        <v>34</v>
      </c>
      <c r="O493" t="s">
        <v>72</v>
      </c>
      <c r="P493" t="s">
        <v>26</v>
      </c>
      <c r="Q493" t="s">
        <v>26</v>
      </c>
      <c r="R493">
        <v>24</v>
      </c>
      <c r="S493" t="s">
        <v>27</v>
      </c>
      <c r="T493" t="str">
        <f t="shared" si="14"/>
        <v>2-week</v>
      </c>
      <c r="U493">
        <f>VLOOKUP(T493,[1]tablescore!$B$3:$C$8, 2,FALSE)</f>
        <v>26</v>
      </c>
      <c r="V493" t="str">
        <f t="shared" si="15"/>
        <v>Loyal</v>
      </c>
      <c r="W493" t="s">
        <v>77</v>
      </c>
    </row>
    <row r="494" spans="1:23" x14ac:dyDescent="0.25">
      <c r="A494">
        <v>493</v>
      </c>
      <c r="B494">
        <v>50</v>
      </c>
      <c r="C494" t="str" cm="1">
        <f t="array" ref="C494">_xlfn.IFS(
  AND(B494&gt;=18, B494&lt;=24), "18-24",
  AND(B494&gt;=25, B494&lt;=34), "25-34",
  AND(B494&gt;=35, B494&lt;=44), "35-44",
  AND(B494&gt;=45, B494&lt;=54), "45-54",
  B494&gt;=55, "55+"
)</f>
        <v>45-54</v>
      </c>
      <c r="D494" t="s">
        <v>19</v>
      </c>
      <c r="E494" t="s">
        <v>56</v>
      </c>
      <c r="F494" t="s">
        <v>21</v>
      </c>
      <c r="G494">
        <v>62</v>
      </c>
      <c r="H494" t="s">
        <v>151</v>
      </c>
      <c r="I494" t="s">
        <v>45</v>
      </c>
      <c r="J494" t="s">
        <v>94</v>
      </c>
      <c r="K494" t="s">
        <v>58</v>
      </c>
      <c r="L494">
        <v>3.9</v>
      </c>
      <c r="M494" t="s">
        <v>26</v>
      </c>
      <c r="N494" t="s">
        <v>46</v>
      </c>
      <c r="O494" t="s">
        <v>55</v>
      </c>
      <c r="P494" t="s">
        <v>26</v>
      </c>
      <c r="Q494" t="s">
        <v>26</v>
      </c>
      <c r="R494">
        <v>11</v>
      </c>
      <c r="S494" t="s">
        <v>59</v>
      </c>
      <c r="T494" t="str">
        <f t="shared" si="14"/>
        <v>Daily</v>
      </c>
      <c r="U494">
        <f>VLOOKUP(T494,[1]tablescore!$B$3:$C$8, 2,FALSE)</f>
        <v>30</v>
      </c>
      <c r="V494" t="str">
        <f t="shared" si="15"/>
        <v>Highly Loyal</v>
      </c>
      <c r="W494" t="s">
        <v>41</v>
      </c>
    </row>
    <row r="495" spans="1:23" x14ac:dyDescent="0.25">
      <c r="A495">
        <v>494</v>
      </c>
      <c r="B495">
        <v>28</v>
      </c>
      <c r="C495" t="str" cm="1">
        <f t="array" ref="C495">_xlfn.IFS(
  AND(B495&gt;=18, B495&lt;=24), "18-24",
  AND(B495&gt;=25, B495&lt;=34), "25-34",
  AND(B495&gt;=35, B495&lt;=44), "35-44",
  AND(B495&gt;=45, B495&lt;=54), "45-54",
  B495&gt;=55, "55+"
)</f>
        <v>25-34</v>
      </c>
      <c r="D495" t="s">
        <v>19</v>
      </c>
      <c r="E495" t="s">
        <v>133</v>
      </c>
      <c r="F495" t="s">
        <v>69</v>
      </c>
      <c r="G495">
        <v>48</v>
      </c>
      <c r="H495" t="s">
        <v>107</v>
      </c>
      <c r="I495" t="s">
        <v>92</v>
      </c>
      <c r="J495" t="s">
        <v>108</v>
      </c>
      <c r="K495" t="s">
        <v>54</v>
      </c>
      <c r="L495">
        <v>4.7</v>
      </c>
      <c r="M495" t="s">
        <v>26</v>
      </c>
      <c r="N495" t="s">
        <v>59</v>
      </c>
      <c r="O495" t="s">
        <v>76</v>
      </c>
      <c r="P495" t="s">
        <v>26</v>
      </c>
      <c r="Q495" t="s">
        <v>26</v>
      </c>
      <c r="R495">
        <v>19</v>
      </c>
      <c r="S495" t="s">
        <v>35</v>
      </c>
      <c r="T495" t="str">
        <f t="shared" si="14"/>
        <v>2-week</v>
      </c>
      <c r="U495">
        <f>VLOOKUP(T495,[1]tablescore!$B$3:$C$8, 2,FALSE)</f>
        <v>26</v>
      </c>
      <c r="V495" t="str">
        <f t="shared" si="15"/>
        <v>Loyal</v>
      </c>
      <c r="W495" t="s">
        <v>77</v>
      </c>
    </row>
    <row r="496" spans="1:23" x14ac:dyDescent="0.25">
      <c r="A496">
        <v>495</v>
      </c>
      <c r="B496">
        <v>38</v>
      </c>
      <c r="C496" t="str" cm="1">
        <f t="array" ref="C496">_xlfn.IFS(
  AND(B496&gt;=18, B496&lt;=24), "18-24",
  AND(B496&gt;=25, B496&lt;=34), "25-34",
  AND(B496&gt;=35, B496&lt;=44), "35-44",
  AND(B496&gt;=45, B496&lt;=54), "45-54",
  B496&gt;=55, "55+"
)</f>
        <v>35-44</v>
      </c>
      <c r="D496" t="s">
        <v>19</v>
      </c>
      <c r="E496" t="s">
        <v>132</v>
      </c>
      <c r="F496" t="s">
        <v>43</v>
      </c>
      <c r="G496">
        <v>68</v>
      </c>
      <c r="H496" t="s">
        <v>116</v>
      </c>
      <c r="I496" t="s">
        <v>45</v>
      </c>
      <c r="J496" t="s">
        <v>129</v>
      </c>
      <c r="K496" t="s">
        <v>25</v>
      </c>
      <c r="L496">
        <v>4.5</v>
      </c>
      <c r="M496" t="s">
        <v>26</v>
      </c>
      <c r="N496" t="s">
        <v>46</v>
      </c>
      <c r="O496" t="s">
        <v>28</v>
      </c>
      <c r="P496" t="s">
        <v>26</v>
      </c>
      <c r="Q496" t="s">
        <v>26</v>
      </c>
      <c r="R496">
        <v>42</v>
      </c>
      <c r="S496" t="s">
        <v>59</v>
      </c>
      <c r="T496" t="str">
        <f t="shared" si="14"/>
        <v>Daily</v>
      </c>
      <c r="U496">
        <f>VLOOKUP(T496,[1]tablescore!$B$3:$C$8, 2,FALSE)</f>
        <v>30</v>
      </c>
      <c r="V496" t="str">
        <f t="shared" si="15"/>
        <v>Highly Loyal</v>
      </c>
      <c r="W496" t="s">
        <v>41</v>
      </c>
    </row>
    <row r="497" spans="1:23" x14ac:dyDescent="0.25">
      <c r="A497">
        <v>496</v>
      </c>
      <c r="B497">
        <v>33</v>
      </c>
      <c r="C497" t="str" cm="1">
        <f t="array" ref="C497">_xlfn.IFS(
  AND(B497&gt;=18, B497&lt;=24), "18-24",
  AND(B497&gt;=25, B497&lt;=34), "25-34",
  AND(B497&gt;=35, B497&lt;=44), "35-44",
  AND(B497&gt;=45, B497&lt;=54), "45-54",
  B497&gt;=55, "55+"
)</f>
        <v>25-34</v>
      </c>
      <c r="D497" t="s">
        <v>19</v>
      </c>
      <c r="E497" t="s">
        <v>68</v>
      </c>
      <c r="F497" t="s">
        <v>69</v>
      </c>
      <c r="G497">
        <v>36</v>
      </c>
      <c r="H497" t="s">
        <v>151</v>
      </c>
      <c r="I497" t="s">
        <v>92</v>
      </c>
      <c r="J497" t="s">
        <v>109</v>
      </c>
      <c r="K497" t="s">
        <v>58</v>
      </c>
      <c r="L497">
        <v>3.3</v>
      </c>
      <c r="M497" t="s">
        <v>26</v>
      </c>
      <c r="N497" t="s">
        <v>27</v>
      </c>
      <c r="O497" t="s">
        <v>40</v>
      </c>
      <c r="P497" t="s">
        <v>26</v>
      </c>
      <c r="Q497" t="s">
        <v>26</v>
      </c>
      <c r="R497">
        <v>6</v>
      </c>
      <c r="S497" t="s">
        <v>59</v>
      </c>
      <c r="T497" t="str">
        <f t="shared" si="14"/>
        <v>2-week</v>
      </c>
      <c r="U497">
        <f>VLOOKUP(T497,[1]tablescore!$B$3:$C$8, 2,FALSE)</f>
        <v>26</v>
      </c>
      <c r="V497" t="str">
        <f t="shared" si="15"/>
        <v>Loyal</v>
      </c>
      <c r="W497" t="s">
        <v>30</v>
      </c>
    </row>
    <row r="498" spans="1:23" x14ac:dyDescent="0.25">
      <c r="A498">
        <v>497</v>
      </c>
      <c r="B498">
        <v>30</v>
      </c>
      <c r="C498" t="str" cm="1">
        <f t="array" ref="C498">_xlfn.IFS(
  AND(B498&gt;=18, B498&lt;=24), "18-24",
  AND(B498&gt;=25, B498&lt;=34), "25-34",
  AND(B498&gt;=35, B498&lt;=44), "35-44",
  AND(B498&gt;=45, B498&lt;=54), "45-54",
  B498&gt;=55, "55+"
)</f>
        <v>25-34</v>
      </c>
      <c r="D498" t="s">
        <v>19</v>
      </c>
      <c r="E498" t="s">
        <v>82</v>
      </c>
      <c r="F498" t="s">
        <v>21</v>
      </c>
      <c r="G498">
        <v>63</v>
      </c>
      <c r="H498" t="s">
        <v>99</v>
      </c>
      <c r="I498" t="s">
        <v>38</v>
      </c>
      <c r="J498" t="s">
        <v>33</v>
      </c>
      <c r="K498" t="s">
        <v>58</v>
      </c>
      <c r="L498">
        <v>3.3</v>
      </c>
      <c r="M498" t="s">
        <v>26</v>
      </c>
      <c r="N498" t="s">
        <v>29</v>
      </c>
      <c r="O498" t="s">
        <v>28</v>
      </c>
      <c r="P498" t="s">
        <v>26</v>
      </c>
      <c r="Q498" t="s">
        <v>26</v>
      </c>
      <c r="R498">
        <v>31</v>
      </c>
      <c r="S498" t="s">
        <v>29</v>
      </c>
      <c r="T498" t="str">
        <f t="shared" si="14"/>
        <v>2-week</v>
      </c>
      <c r="U498">
        <f>VLOOKUP(T498,[1]tablescore!$B$3:$C$8, 2,FALSE)</f>
        <v>26</v>
      </c>
      <c r="V498" t="str">
        <f t="shared" si="15"/>
        <v>Loyal</v>
      </c>
      <c r="W498" t="s">
        <v>30</v>
      </c>
    </row>
    <row r="499" spans="1:23" x14ac:dyDescent="0.25">
      <c r="A499">
        <v>498</v>
      </c>
      <c r="B499">
        <v>43</v>
      </c>
      <c r="C499" t="str" cm="1">
        <f t="array" ref="C499">_xlfn.IFS(
  AND(B499&gt;=18, B499&lt;=24), "18-24",
  AND(B499&gt;=25, B499&lt;=34), "25-34",
  AND(B499&gt;=35, B499&lt;=44), "35-44",
  AND(B499&gt;=45, B499&lt;=54), "45-54",
  B499&gt;=55, "55+"
)</f>
        <v>35-44</v>
      </c>
      <c r="D499" t="s">
        <v>19</v>
      </c>
      <c r="E499" t="s">
        <v>51</v>
      </c>
      <c r="F499" t="s">
        <v>43</v>
      </c>
      <c r="G499">
        <v>39</v>
      </c>
      <c r="H499" t="s">
        <v>101</v>
      </c>
      <c r="I499" t="s">
        <v>38</v>
      </c>
      <c r="J499" t="s">
        <v>67</v>
      </c>
      <c r="K499" t="s">
        <v>25</v>
      </c>
      <c r="L499">
        <v>4.5999999999999996</v>
      </c>
      <c r="M499" t="s">
        <v>26</v>
      </c>
      <c r="N499" t="s">
        <v>34</v>
      </c>
      <c r="O499" t="s">
        <v>40</v>
      </c>
      <c r="P499" t="s">
        <v>26</v>
      </c>
      <c r="Q499" t="s">
        <v>26</v>
      </c>
      <c r="R499">
        <v>31</v>
      </c>
      <c r="S499" t="s">
        <v>35</v>
      </c>
      <c r="T499" t="str">
        <f t="shared" si="14"/>
        <v>Daily</v>
      </c>
      <c r="U499">
        <f>VLOOKUP(T499,[1]tablescore!$B$3:$C$8, 2,FALSE)</f>
        <v>30</v>
      </c>
      <c r="V499" t="str">
        <f t="shared" si="15"/>
        <v>Highly Loyal</v>
      </c>
      <c r="W499" t="s">
        <v>41</v>
      </c>
    </row>
    <row r="500" spans="1:23" x14ac:dyDescent="0.25">
      <c r="A500">
        <v>499</v>
      </c>
      <c r="B500">
        <v>43</v>
      </c>
      <c r="C500" t="str" cm="1">
        <f t="array" ref="C500">_xlfn.IFS(
  AND(B500&gt;=18, B500&lt;=24), "18-24",
  AND(B500&gt;=25, B500&lt;=34), "25-34",
  AND(B500&gt;=35, B500&lt;=44), "35-44",
  AND(B500&gt;=45, B500&lt;=54), "45-54",
  B500&gt;=55, "55+"
)</f>
        <v>35-44</v>
      </c>
      <c r="D500" t="s">
        <v>19</v>
      </c>
      <c r="E500" t="s">
        <v>132</v>
      </c>
      <c r="F500" t="s">
        <v>43</v>
      </c>
      <c r="G500">
        <v>78</v>
      </c>
      <c r="H500" t="s">
        <v>150</v>
      </c>
      <c r="I500" t="s">
        <v>45</v>
      </c>
      <c r="J500" t="s">
        <v>93</v>
      </c>
      <c r="K500" t="s">
        <v>39</v>
      </c>
      <c r="L500">
        <v>3.6</v>
      </c>
      <c r="M500" t="s">
        <v>26</v>
      </c>
      <c r="N500" t="s">
        <v>46</v>
      </c>
      <c r="O500" t="s">
        <v>40</v>
      </c>
      <c r="P500" t="s">
        <v>26</v>
      </c>
      <c r="Q500" t="s">
        <v>26</v>
      </c>
      <c r="R500">
        <v>27</v>
      </c>
      <c r="S500" t="s">
        <v>34</v>
      </c>
      <c r="T500" t="str">
        <f t="shared" si="14"/>
        <v>Month</v>
      </c>
      <c r="U500">
        <f>VLOOKUP(T500,[1]tablescore!$B$3:$C$8, 2,FALSE)</f>
        <v>12</v>
      </c>
      <c r="V500" t="str">
        <f t="shared" si="15"/>
        <v>Moderate</v>
      </c>
      <c r="W500" t="s">
        <v>88</v>
      </c>
    </row>
    <row r="501" spans="1:23" x14ac:dyDescent="0.25">
      <c r="A501">
        <v>500</v>
      </c>
      <c r="B501">
        <v>36</v>
      </c>
      <c r="C501" t="str" cm="1">
        <f t="array" ref="C501">_xlfn.IFS(
  AND(B501&gt;=18, B501&lt;=24), "18-24",
  AND(B501&gt;=25, B501&lt;=34), "25-34",
  AND(B501&gt;=35, B501&lt;=44), "35-44",
  AND(B501&gt;=45, B501&lt;=54), "45-54",
  B501&gt;=55, "55+"
)</f>
        <v>35-44</v>
      </c>
      <c r="D501" t="s">
        <v>19</v>
      </c>
      <c r="E501" t="s">
        <v>73</v>
      </c>
      <c r="F501" t="s">
        <v>43</v>
      </c>
      <c r="G501">
        <v>99</v>
      </c>
      <c r="H501" t="s">
        <v>44</v>
      </c>
      <c r="I501" t="s">
        <v>23</v>
      </c>
      <c r="J501" t="s">
        <v>67</v>
      </c>
      <c r="K501" t="s">
        <v>25</v>
      </c>
      <c r="L501">
        <v>4.8</v>
      </c>
      <c r="M501" t="s">
        <v>26</v>
      </c>
      <c r="N501" t="s">
        <v>27</v>
      </c>
      <c r="O501" t="s">
        <v>28</v>
      </c>
      <c r="P501" t="s">
        <v>26</v>
      </c>
      <c r="Q501" t="s">
        <v>26</v>
      </c>
      <c r="R501">
        <v>24</v>
      </c>
      <c r="S501" t="s">
        <v>46</v>
      </c>
      <c r="T501" t="str">
        <f t="shared" si="14"/>
        <v>Month</v>
      </c>
      <c r="U501">
        <f>VLOOKUP(T501,[1]tablescore!$B$3:$C$8, 2,FALSE)</f>
        <v>12</v>
      </c>
      <c r="V501" t="str">
        <f t="shared" si="15"/>
        <v>Moderate</v>
      </c>
      <c r="W501" t="s">
        <v>88</v>
      </c>
    </row>
    <row r="502" spans="1:23" x14ac:dyDescent="0.25">
      <c r="A502">
        <v>501</v>
      </c>
      <c r="B502">
        <v>36</v>
      </c>
      <c r="C502" t="str" cm="1">
        <f t="array" ref="C502">_xlfn.IFS(
  AND(B502&gt;=18, B502&lt;=24), "18-24",
  AND(B502&gt;=25, B502&lt;=34), "25-34",
  AND(B502&gt;=35, B502&lt;=44), "35-44",
  AND(B502&gt;=45, B502&lt;=54), "45-54",
  B502&gt;=55, "55+"
)</f>
        <v>35-44</v>
      </c>
      <c r="D502" t="s">
        <v>19</v>
      </c>
      <c r="E502" t="s">
        <v>113</v>
      </c>
      <c r="F502" t="s">
        <v>21</v>
      </c>
      <c r="G502">
        <v>31</v>
      </c>
      <c r="H502" t="s">
        <v>140</v>
      </c>
      <c r="I502" t="s">
        <v>23</v>
      </c>
      <c r="J502" t="s">
        <v>75</v>
      </c>
      <c r="K502" t="s">
        <v>58</v>
      </c>
      <c r="L502">
        <v>4.8</v>
      </c>
      <c r="M502" t="s">
        <v>26</v>
      </c>
      <c r="N502" t="s">
        <v>34</v>
      </c>
      <c r="O502" t="s">
        <v>47</v>
      </c>
      <c r="P502" t="s">
        <v>26</v>
      </c>
      <c r="Q502" t="s">
        <v>26</v>
      </c>
      <c r="R502">
        <v>35</v>
      </c>
      <c r="S502" t="s">
        <v>29</v>
      </c>
      <c r="T502" t="str">
        <f t="shared" si="14"/>
        <v>Quarterly</v>
      </c>
      <c r="U502">
        <f>VLOOKUP(T502,[1]tablescore!$B$3:$C$8, 2,FALSE)</f>
        <v>4</v>
      </c>
      <c r="V502" t="str">
        <f t="shared" si="15"/>
        <v>Low Loyalty</v>
      </c>
      <c r="W502" t="s">
        <v>97</v>
      </c>
    </row>
    <row r="503" spans="1:23" x14ac:dyDescent="0.25">
      <c r="A503">
        <v>502</v>
      </c>
      <c r="B503">
        <v>64</v>
      </c>
      <c r="C503" t="str" cm="1">
        <f t="array" ref="C503">_xlfn.IFS(
  AND(B503&gt;=18, B503&lt;=24), "18-24",
  AND(B503&gt;=25, B503&lt;=34), "25-34",
  AND(B503&gt;=35, B503&lt;=44), "35-44",
  AND(B503&gt;=45, B503&lt;=54), "45-54",
  B503&gt;=55, "55+"
)</f>
        <v>55+</v>
      </c>
      <c r="D503" t="s">
        <v>19</v>
      </c>
      <c r="E503" t="s">
        <v>132</v>
      </c>
      <c r="F503" t="s">
        <v>43</v>
      </c>
      <c r="G503">
        <v>45</v>
      </c>
      <c r="H503" t="s">
        <v>103</v>
      </c>
      <c r="I503" t="s">
        <v>45</v>
      </c>
      <c r="J503" t="s">
        <v>109</v>
      </c>
      <c r="K503" t="s">
        <v>39</v>
      </c>
      <c r="L503">
        <v>2.9</v>
      </c>
      <c r="M503" t="s">
        <v>26</v>
      </c>
      <c r="N503" t="s">
        <v>59</v>
      </c>
      <c r="O503" t="s">
        <v>47</v>
      </c>
      <c r="P503" t="s">
        <v>26</v>
      </c>
      <c r="Q503" t="s">
        <v>26</v>
      </c>
      <c r="R503">
        <v>21</v>
      </c>
      <c r="S503" t="s">
        <v>29</v>
      </c>
      <c r="T503" t="str">
        <f t="shared" si="14"/>
        <v>Annually</v>
      </c>
      <c r="U503">
        <f>VLOOKUP(T503,[1]tablescore!$B$3:$C$8, 2,FALSE)</f>
        <v>1</v>
      </c>
      <c r="V503" t="str">
        <f t="shared" si="15"/>
        <v>Low Loyalty</v>
      </c>
      <c r="W503" t="s">
        <v>50</v>
      </c>
    </row>
    <row r="504" spans="1:23" x14ac:dyDescent="0.25">
      <c r="A504">
        <v>503</v>
      </c>
      <c r="B504">
        <v>59</v>
      </c>
      <c r="C504" t="str" cm="1">
        <f t="array" ref="C504">_xlfn.IFS(
  AND(B504&gt;=18, B504&lt;=24), "18-24",
  AND(B504&gt;=25, B504&lt;=34), "25-34",
  AND(B504&gt;=35, B504&lt;=44), "35-44",
  AND(B504&gt;=45, B504&lt;=54), "45-54",
  B504&gt;=55, "55+"
)</f>
        <v>55+</v>
      </c>
      <c r="D504" t="s">
        <v>19</v>
      </c>
      <c r="E504" t="s">
        <v>95</v>
      </c>
      <c r="F504" t="s">
        <v>21</v>
      </c>
      <c r="G504">
        <v>30</v>
      </c>
      <c r="H504" t="s">
        <v>126</v>
      </c>
      <c r="I504" t="s">
        <v>38</v>
      </c>
      <c r="J504" t="s">
        <v>109</v>
      </c>
      <c r="K504" t="s">
        <v>58</v>
      </c>
      <c r="L504">
        <v>2.8</v>
      </c>
      <c r="M504" t="s">
        <v>26</v>
      </c>
      <c r="N504" t="s">
        <v>35</v>
      </c>
      <c r="O504" t="s">
        <v>28</v>
      </c>
      <c r="P504" t="s">
        <v>26</v>
      </c>
      <c r="Q504" t="s">
        <v>26</v>
      </c>
      <c r="R504">
        <v>8</v>
      </c>
      <c r="S504" t="s">
        <v>46</v>
      </c>
      <c r="T504" t="str">
        <f t="shared" si="14"/>
        <v>2-week</v>
      </c>
      <c r="U504">
        <f>VLOOKUP(T504,[1]tablescore!$B$3:$C$8, 2,FALSE)</f>
        <v>26</v>
      </c>
      <c r="V504" t="str">
        <f t="shared" si="15"/>
        <v>Loyal</v>
      </c>
      <c r="W504" t="s">
        <v>30</v>
      </c>
    </row>
    <row r="505" spans="1:23" x14ac:dyDescent="0.25">
      <c r="A505">
        <v>504</v>
      </c>
      <c r="B505">
        <v>55</v>
      </c>
      <c r="C505" t="str" cm="1">
        <f t="array" ref="C505">_xlfn.IFS(
  AND(B505&gt;=18, B505&lt;=24), "18-24",
  AND(B505&gt;=25, B505&lt;=34), "25-34",
  AND(B505&gt;=35, B505&lt;=44), "35-44",
  AND(B505&gt;=45, B505&lt;=54), "45-54",
  B505&gt;=55, "55+"
)</f>
        <v>55+</v>
      </c>
      <c r="D505" t="s">
        <v>19</v>
      </c>
      <c r="E505" t="s">
        <v>73</v>
      </c>
      <c r="F505" t="s">
        <v>43</v>
      </c>
      <c r="G505">
        <v>24</v>
      </c>
      <c r="H505" t="s">
        <v>66</v>
      </c>
      <c r="I505" t="s">
        <v>45</v>
      </c>
      <c r="J505" t="s">
        <v>93</v>
      </c>
      <c r="K505" t="s">
        <v>54</v>
      </c>
      <c r="L505">
        <v>3.2</v>
      </c>
      <c r="M505" t="s">
        <v>26</v>
      </c>
      <c r="N505" t="s">
        <v>27</v>
      </c>
      <c r="O505" t="s">
        <v>47</v>
      </c>
      <c r="P505" t="s">
        <v>26</v>
      </c>
      <c r="Q505" t="s">
        <v>26</v>
      </c>
      <c r="R505">
        <v>26</v>
      </c>
      <c r="S505" t="s">
        <v>34</v>
      </c>
      <c r="T505" t="str">
        <f t="shared" si="14"/>
        <v>Quarterly</v>
      </c>
      <c r="U505">
        <f>VLOOKUP(T505,[1]tablescore!$B$3:$C$8, 2,FALSE)</f>
        <v>4</v>
      </c>
      <c r="V505" t="str">
        <f t="shared" si="15"/>
        <v>Low Loyalty</v>
      </c>
      <c r="W505" t="s">
        <v>60</v>
      </c>
    </row>
    <row r="506" spans="1:23" x14ac:dyDescent="0.25">
      <c r="A506">
        <v>505</v>
      </c>
      <c r="B506">
        <v>42</v>
      </c>
      <c r="C506" t="str" cm="1">
        <f t="array" ref="C506">_xlfn.IFS(
  AND(B506&gt;=18, B506&lt;=24), "18-24",
  AND(B506&gt;=25, B506&lt;=34), "25-34",
  AND(B506&gt;=35, B506&lt;=44), "35-44",
  AND(B506&gt;=45, B506&lt;=54), "45-54",
  B506&gt;=55, "55+"
)</f>
        <v>35-44</v>
      </c>
      <c r="D506" t="s">
        <v>19</v>
      </c>
      <c r="E506" t="s">
        <v>73</v>
      </c>
      <c r="F506" t="s">
        <v>43</v>
      </c>
      <c r="G506">
        <v>22</v>
      </c>
      <c r="H506" t="s">
        <v>70</v>
      </c>
      <c r="I506" t="s">
        <v>45</v>
      </c>
      <c r="J506" t="s">
        <v>33</v>
      </c>
      <c r="K506" t="s">
        <v>25</v>
      </c>
      <c r="L506">
        <v>3.9</v>
      </c>
      <c r="M506" t="s">
        <v>26</v>
      </c>
      <c r="N506" t="s">
        <v>34</v>
      </c>
      <c r="O506" t="s">
        <v>40</v>
      </c>
      <c r="P506" t="s">
        <v>26</v>
      </c>
      <c r="Q506" t="s">
        <v>26</v>
      </c>
      <c r="R506">
        <v>26</v>
      </c>
      <c r="S506" t="s">
        <v>46</v>
      </c>
      <c r="T506" t="str">
        <f t="shared" si="14"/>
        <v>Annually</v>
      </c>
      <c r="U506">
        <f>VLOOKUP(T506,[1]tablescore!$B$3:$C$8, 2,FALSE)</f>
        <v>1</v>
      </c>
      <c r="V506" t="str">
        <f t="shared" si="15"/>
        <v>Low Loyalty</v>
      </c>
      <c r="W506" t="s">
        <v>50</v>
      </c>
    </row>
    <row r="507" spans="1:23" x14ac:dyDescent="0.25">
      <c r="A507">
        <v>506</v>
      </c>
      <c r="B507">
        <v>61</v>
      </c>
      <c r="C507" t="str" cm="1">
        <f t="array" ref="C507">_xlfn.IFS(
  AND(B507&gt;=18, B507&lt;=24), "18-24",
  AND(B507&gt;=25, B507&lt;=34), "25-34",
  AND(B507&gt;=35, B507&lt;=44), "35-44",
  AND(B507&gt;=45, B507&lt;=54), "45-54",
  B507&gt;=55, "55+"
)</f>
        <v>55+</v>
      </c>
      <c r="D507" t="s">
        <v>19</v>
      </c>
      <c r="E507" t="s">
        <v>113</v>
      </c>
      <c r="F507" t="s">
        <v>21</v>
      </c>
      <c r="G507">
        <v>63</v>
      </c>
      <c r="H507" t="s">
        <v>32</v>
      </c>
      <c r="I507" t="s">
        <v>23</v>
      </c>
      <c r="J507" t="s">
        <v>24</v>
      </c>
      <c r="K507" t="s">
        <v>39</v>
      </c>
      <c r="L507">
        <v>4.3</v>
      </c>
      <c r="M507" t="s">
        <v>26</v>
      </c>
      <c r="N507" t="s">
        <v>27</v>
      </c>
      <c r="O507" t="s">
        <v>28</v>
      </c>
      <c r="P507" t="s">
        <v>26</v>
      </c>
      <c r="Q507" t="s">
        <v>26</v>
      </c>
      <c r="R507">
        <v>9</v>
      </c>
      <c r="S507" t="s">
        <v>35</v>
      </c>
      <c r="T507" t="str">
        <f t="shared" si="14"/>
        <v>2-week</v>
      </c>
      <c r="U507">
        <f>VLOOKUP(T507,[1]tablescore!$B$3:$C$8, 2,FALSE)</f>
        <v>26</v>
      </c>
      <c r="V507" t="str">
        <f t="shared" si="15"/>
        <v>Loyal</v>
      </c>
      <c r="W507" t="s">
        <v>77</v>
      </c>
    </row>
    <row r="508" spans="1:23" x14ac:dyDescent="0.25">
      <c r="A508">
        <v>507</v>
      </c>
      <c r="B508">
        <v>28</v>
      </c>
      <c r="C508" t="str" cm="1">
        <f t="array" ref="C508">_xlfn.IFS(
  AND(B508&gt;=18, B508&lt;=24), "18-24",
  AND(B508&gt;=25, B508&lt;=34), "25-34",
  AND(B508&gt;=35, B508&lt;=44), "35-44",
  AND(B508&gt;=45, B508&lt;=54), "45-54",
  B508&gt;=55, "55+"
)</f>
        <v>25-34</v>
      </c>
      <c r="D508" t="s">
        <v>19</v>
      </c>
      <c r="E508" t="s">
        <v>119</v>
      </c>
      <c r="F508" t="s">
        <v>69</v>
      </c>
      <c r="G508">
        <v>40</v>
      </c>
      <c r="H508" t="s">
        <v>142</v>
      </c>
      <c r="I508" t="s">
        <v>45</v>
      </c>
      <c r="J508" t="s">
        <v>79</v>
      </c>
      <c r="K508" t="s">
        <v>58</v>
      </c>
      <c r="L508">
        <v>2.7</v>
      </c>
      <c r="M508" t="s">
        <v>26</v>
      </c>
      <c r="N508" t="s">
        <v>35</v>
      </c>
      <c r="O508" t="s">
        <v>72</v>
      </c>
      <c r="P508" t="s">
        <v>26</v>
      </c>
      <c r="Q508" t="s">
        <v>26</v>
      </c>
      <c r="R508">
        <v>48</v>
      </c>
      <c r="S508" t="s">
        <v>59</v>
      </c>
      <c r="T508" t="str">
        <f t="shared" si="14"/>
        <v>Annually</v>
      </c>
      <c r="U508">
        <f>VLOOKUP(T508,[1]tablescore!$B$3:$C$8, 2,FALSE)</f>
        <v>1</v>
      </c>
      <c r="V508" t="str">
        <f t="shared" si="15"/>
        <v>Low Loyalty</v>
      </c>
      <c r="W508" t="s">
        <v>50</v>
      </c>
    </row>
    <row r="509" spans="1:23" x14ac:dyDescent="0.25">
      <c r="A509">
        <v>508</v>
      </c>
      <c r="B509">
        <v>65</v>
      </c>
      <c r="C509" t="str" cm="1">
        <f t="array" ref="C509">_xlfn.IFS(
  AND(B509&gt;=18, B509&lt;=24), "18-24",
  AND(B509&gt;=25, B509&lt;=34), "25-34",
  AND(B509&gt;=35, B509&lt;=44), "35-44",
  AND(B509&gt;=45, B509&lt;=54), "45-54",
  B509&gt;=55, "55+"
)</f>
        <v>55+</v>
      </c>
      <c r="D509" t="s">
        <v>19</v>
      </c>
      <c r="E509" t="s">
        <v>61</v>
      </c>
      <c r="F509" t="s">
        <v>21</v>
      </c>
      <c r="G509">
        <v>20</v>
      </c>
      <c r="H509" t="s">
        <v>32</v>
      </c>
      <c r="I509" t="s">
        <v>45</v>
      </c>
      <c r="J509" t="s">
        <v>147</v>
      </c>
      <c r="K509" t="s">
        <v>39</v>
      </c>
      <c r="L509">
        <v>5</v>
      </c>
      <c r="M509" t="s">
        <v>26</v>
      </c>
      <c r="N509" t="s">
        <v>34</v>
      </c>
      <c r="O509" t="s">
        <v>76</v>
      </c>
      <c r="P509" t="s">
        <v>26</v>
      </c>
      <c r="Q509" t="s">
        <v>26</v>
      </c>
      <c r="R509">
        <v>33</v>
      </c>
      <c r="S509" t="s">
        <v>59</v>
      </c>
      <c r="T509" t="str">
        <f t="shared" si="14"/>
        <v>2-week</v>
      </c>
      <c r="U509">
        <f>VLOOKUP(T509,[1]tablescore!$B$3:$C$8, 2,FALSE)</f>
        <v>26</v>
      </c>
      <c r="V509" t="str">
        <f t="shared" si="15"/>
        <v>Loyal</v>
      </c>
      <c r="W509" t="s">
        <v>30</v>
      </c>
    </row>
    <row r="510" spans="1:23" x14ac:dyDescent="0.25">
      <c r="A510">
        <v>509</v>
      </c>
      <c r="B510">
        <v>27</v>
      </c>
      <c r="C510" t="str" cm="1">
        <f t="array" ref="C510">_xlfn.IFS(
  AND(B510&gt;=18, B510&lt;=24), "18-24",
  AND(B510&gt;=25, B510&lt;=34), "25-34",
  AND(B510&gt;=35, B510&lt;=44), "35-44",
  AND(B510&gt;=45, B510&lt;=54), "45-54",
  B510&gt;=55, "55+"
)</f>
        <v>25-34</v>
      </c>
      <c r="D510" t="s">
        <v>19</v>
      </c>
      <c r="E510" t="s">
        <v>106</v>
      </c>
      <c r="F510" t="s">
        <v>69</v>
      </c>
      <c r="G510">
        <v>20</v>
      </c>
      <c r="H510" t="s">
        <v>115</v>
      </c>
      <c r="I510" t="s">
        <v>38</v>
      </c>
      <c r="J510" t="s">
        <v>139</v>
      </c>
      <c r="K510" t="s">
        <v>25</v>
      </c>
      <c r="L510">
        <v>3.7</v>
      </c>
      <c r="M510" t="s">
        <v>26</v>
      </c>
      <c r="N510" t="s">
        <v>35</v>
      </c>
      <c r="O510" t="s">
        <v>76</v>
      </c>
      <c r="P510" t="s">
        <v>26</v>
      </c>
      <c r="Q510" t="s">
        <v>26</v>
      </c>
      <c r="R510">
        <v>31</v>
      </c>
      <c r="S510" t="s">
        <v>46</v>
      </c>
      <c r="T510" t="str">
        <f t="shared" si="14"/>
        <v>Quarterly</v>
      </c>
      <c r="U510">
        <f>VLOOKUP(T510,[1]tablescore!$B$3:$C$8, 2,FALSE)</f>
        <v>4</v>
      </c>
      <c r="V510" t="str">
        <f t="shared" si="15"/>
        <v>Low Loyalty</v>
      </c>
      <c r="W510" t="s">
        <v>60</v>
      </c>
    </row>
    <row r="511" spans="1:23" x14ac:dyDescent="0.25">
      <c r="A511">
        <v>510</v>
      </c>
      <c r="B511">
        <v>41</v>
      </c>
      <c r="C511" t="str" cm="1">
        <f t="array" ref="C511">_xlfn.IFS(
  AND(B511&gt;=18, B511&lt;=24), "18-24",
  AND(B511&gt;=25, B511&lt;=34), "25-34",
  AND(B511&gt;=35, B511&lt;=44), "35-44",
  AND(B511&gt;=45, B511&lt;=54), "45-54",
  B511&gt;=55, "55+"
)</f>
        <v>35-44</v>
      </c>
      <c r="D511" t="s">
        <v>19</v>
      </c>
      <c r="E511" t="s">
        <v>113</v>
      </c>
      <c r="F511" t="s">
        <v>21</v>
      </c>
      <c r="G511">
        <v>80</v>
      </c>
      <c r="H511" t="s">
        <v>80</v>
      </c>
      <c r="I511" t="s">
        <v>23</v>
      </c>
      <c r="J511" t="s">
        <v>109</v>
      </c>
      <c r="K511" t="s">
        <v>54</v>
      </c>
      <c r="L511">
        <v>3.9</v>
      </c>
      <c r="M511" t="s">
        <v>26</v>
      </c>
      <c r="N511" t="s">
        <v>34</v>
      </c>
      <c r="O511" t="s">
        <v>40</v>
      </c>
      <c r="P511" t="s">
        <v>26</v>
      </c>
      <c r="Q511" t="s">
        <v>26</v>
      </c>
      <c r="R511">
        <v>17</v>
      </c>
      <c r="S511" t="s">
        <v>59</v>
      </c>
      <c r="T511" t="str">
        <f t="shared" si="14"/>
        <v>Daily</v>
      </c>
      <c r="U511">
        <f>VLOOKUP(T511,[1]tablescore!$B$3:$C$8, 2,FALSE)</f>
        <v>30</v>
      </c>
      <c r="V511" t="str">
        <f t="shared" si="15"/>
        <v>Highly Loyal</v>
      </c>
      <c r="W511" t="s">
        <v>41</v>
      </c>
    </row>
    <row r="512" spans="1:23" x14ac:dyDescent="0.25">
      <c r="A512">
        <v>511</v>
      </c>
      <c r="B512">
        <v>21</v>
      </c>
      <c r="C512" t="str" cm="1">
        <f t="array" ref="C512">_xlfn.IFS(
  AND(B512&gt;=18, B512&lt;=24), "18-24",
  AND(B512&gt;=25, B512&lt;=34), "25-34",
  AND(B512&gt;=35, B512&lt;=44), "35-44",
  AND(B512&gt;=45, B512&lt;=54), "45-54",
  B512&gt;=55, "55+"
)</f>
        <v>18-24</v>
      </c>
      <c r="D512" t="s">
        <v>19</v>
      </c>
      <c r="E512" t="s">
        <v>56</v>
      </c>
      <c r="F512" t="s">
        <v>21</v>
      </c>
      <c r="G512">
        <v>87</v>
      </c>
      <c r="H512" t="s">
        <v>66</v>
      </c>
      <c r="I512" t="s">
        <v>45</v>
      </c>
      <c r="J512" t="s">
        <v>86</v>
      </c>
      <c r="K512" t="s">
        <v>58</v>
      </c>
      <c r="L512">
        <v>3.9</v>
      </c>
      <c r="M512" t="s">
        <v>26</v>
      </c>
      <c r="N512" t="s">
        <v>27</v>
      </c>
      <c r="O512" t="s">
        <v>72</v>
      </c>
      <c r="P512" t="s">
        <v>26</v>
      </c>
      <c r="Q512" t="s">
        <v>26</v>
      </c>
      <c r="R512">
        <v>22</v>
      </c>
      <c r="S512" t="s">
        <v>29</v>
      </c>
      <c r="T512" t="str">
        <f t="shared" si="14"/>
        <v>Annually</v>
      </c>
      <c r="U512">
        <f>VLOOKUP(T512,[1]tablescore!$B$3:$C$8, 2,FALSE)</f>
        <v>1</v>
      </c>
      <c r="V512" t="str">
        <f t="shared" si="15"/>
        <v>Low Loyalty</v>
      </c>
      <c r="W512" t="s">
        <v>50</v>
      </c>
    </row>
    <row r="513" spans="1:23" x14ac:dyDescent="0.25">
      <c r="A513">
        <v>512</v>
      </c>
      <c r="B513">
        <v>61</v>
      </c>
      <c r="C513" t="str" cm="1">
        <f t="array" ref="C513">_xlfn.IFS(
  AND(B513&gt;=18, B513&lt;=24), "18-24",
  AND(B513&gt;=25, B513&lt;=34), "25-34",
  AND(B513&gt;=35, B513&lt;=44), "35-44",
  AND(B513&gt;=45, B513&lt;=54), "45-54",
  B513&gt;=55, "55+"
)</f>
        <v>55+</v>
      </c>
      <c r="D513" t="s">
        <v>19</v>
      </c>
      <c r="E513" t="s">
        <v>56</v>
      </c>
      <c r="F513" t="s">
        <v>21</v>
      </c>
      <c r="G513">
        <v>46</v>
      </c>
      <c r="H513" t="s">
        <v>78</v>
      </c>
      <c r="I513" t="s">
        <v>23</v>
      </c>
      <c r="J513" t="s">
        <v>139</v>
      </c>
      <c r="K513" t="s">
        <v>58</v>
      </c>
      <c r="L513">
        <v>3.1</v>
      </c>
      <c r="M513" t="s">
        <v>26</v>
      </c>
      <c r="N513" t="s">
        <v>59</v>
      </c>
      <c r="O513" t="s">
        <v>40</v>
      </c>
      <c r="P513" t="s">
        <v>26</v>
      </c>
      <c r="Q513" t="s">
        <v>26</v>
      </c>
      <c r="R513">
        <v>8</v>
      </c>
      <c r="S513" t="s">
        <v>46</v>
      </c>
      <c r="T513" t="str">
        <f t="shared" si="14"/>
        <v>Annually</v>
      </c>
      <c r="U513">
        <f>VLOOKUP(T513,[1]tablescore!$B$3:$C$8, 2,FALSE)</f>
        <v>1</v>
      </c>
      <c r="V513" t="str">
        <f t="shared" si="15"/>
        <v>Low Loyalty</v>
      </c>
      <c r="W513" t="s">
        <v>50</v>
      </c>
    </row>
    <row r="514" spans="1:23" x14ac:dyDescent="0.25">
      <c r="A514">
        <v>513</v>
      </c>
      <c r="B514">
        <v>19</v>
      </c>
      <c r="C514" t="str" cm="1">
        <f t="array" ref="C514">_xlfn.IFS(
  AND(B514&gt;=18, B514&lt;=24), "18-24",
  AND(B514&gt;=25, B514&lt;=34), "25-34",
  AND(B514&gt;=35, B514&lt;=44), "35-44",
  AND(B514&gt;=45, B514&lt;=54), "45-54",
  B514&gt;=55, "55+"
)</f>
        <v>18-24</v>
      </c>
      <c r="D514" t="s">
        <v>19</v>
      </c>
      <c r="E514" t="s">
        <v>127</v>
      </c>
      <c r="F514" t="s">
        <v>69</v>
      </c>
      <c r="G514">
        <v>49</v>
      </c>
      <c r="H514" t="s">
        <v>85</v>
      </c>
      <c r="I514" t="s">
        <v>23</v>
      </c>
      <c r="J514" t="s">
        <v>100</v>
      </c>
      <c r="K514" t="s">
        <v>25</v>
      </c>
      <c r="L514">
        <v>3.3</v>
      </c>
      <c r="M514" t="s">
        <v>26</v>
      </c>
      <c r="N514" t="s">
        <v>27</v>
      </c>
      <c r="O514" t="s">
        <v>47</v>
      </c>
      <c r="P514" t="s">
        <v>26</v>
      </c>
      <c r="Q514" t="s">
        <v>26</v>
      </c>
      <c r="R514">
        <v>2</v>
      </c>
      <c r="S514" t="s">
        <v>34</v>
      </c>
      <c r="T514" t="str">
        <f t="shared" si="14"/>
        <v>Month</v>
      </c>
      <c r="U514">
        <f>VLOOKUP(T514,[1]tablescore!$B$3:$C$8, 2,FALSE)</f>
        <v>12</v>
      </c>
      <c r="V514" t="str">
        <f t="shared" si="15"/>
        <v>Moderate</v>
      </c>
      <c r="W514" t="s">
        <v>88</v>
      </c>
    </row>
    <row r="515" spans="1:23" x14ac:dyDescent="0.25">
      <c r="A515">
        <v>514</v>
      </c>
      <c r="B515">
        <v>22</v>
      </c>
      <c r="C515" t="str" cm="1">
        <f t="array" ref="C515">_xlfn.IFS(
  AND(B515&gt;=18, B515&lt;=24), "18-24",
  AND(B515&gt;=25, B515&lt;=34), "25-34",
  AND(B515&gt;=35, B515&lt;=44), "35-44",
  AND(B515&gt;=45, B515&lt;=54), "45-54",
  B515&gt;=55, "55+"
)</f>
        <v>18-24</v>
      </c>
      <c r="D515" t="s">
        <v>19</v>
      </c>
      <c r="E515" t="s">
        <v>119</v>
      </c>
      <c r="F515" t="s">
        <v>69</v>
      </c>
      <c r="G515">
        <v>65</v>
      </c>
      <c r="H515" t="s">
        <v>123</v>
      </c>
      <c r="I515" t="s">
        <v>45</v>
      </c>
      <c r="J515" t="s">
        <v>100</v>
      </c>
      <c r="K515" t="s">
        <v>58</v>
      </c>
      <c r="L515">
        <v>3.6</v>
      </c>
      <c r="M515" t="s">
        <v>26</v>
      </c>
      <c r="N515" t="s">
        <v>46</v>
      </c>
      <c r="O515" t="s">
        <v>76</v>
      </c>
      <c r="P515" t="s">
        <v>26</v>
      </c>
      <c r="Q515" t="s">
        <v>26</v>
      </c>
      <c r="R515">
        <v>45</v>
      </c>
      <c r="S515" t="s">
        <v>29</v>
      </c>
      <c r="T515" t="str">
        <f t="shared" ref="T515:T578" si="16">IF(TRIM(W515)="Every 3 months","Quarterly",IF(TRIM(W515)="Fortnightly","2-week",IF(TRIM(W515)="Bi-Weekly","2-week",IF(TRIM(W515)="Weekly","Daily",IF(TRIM(W515)="Monthly","Month",TRIM(W515))))))</f>
        <v>Annually</v>
      </c>
      <c r="U515">
        <f>VLOOKUP(T515,[1]tablescore!$B$3:$C$8, 2,FALSE)</f>
        <v>1</v>
      </c>
      <c r="V515" t="str">
        <f t="shared" ref="V515:V578" si="17">_xlfn.IFS(U515&gt;=30, "Highly Loyal", U515&gt;=26, "Loyal", U515&gt;=12, "Moderate", U515&lt;5, "Low Loyalty")</f>
        <v>Low Loyalty</v>
      </c>
      <c r="W515" t="s">
        <v>50</v>
      </c>
    </row>
    <row r="516" spans="1:23" x14ac:dyDescent="0.25">
      <c r="A516">
        <v>515</v>
      </c>
      <c r="B516">
        <v>64</v>
      </c>
      <c r="C516" t="str" cm="1">
        <f t="array" ref="C516">_xlfn.IFS(
  AND(B516&gt;=18, B516&lt;=24), "18-24",
  AND(B516&gt;=25, B516&lt;=34), "25-34",
  AND(B516&gt;=35, B516&lt;=44), "35-44",
  AND(B516&gt;=45, B516&lt;=54), "45-54",
  B516&gt;=55, "55+"
)</f>
        <v>55+</v>
      </c>
      <c r="D516" t="s">
        <v>19</v>
      </c>
      <c r="E516" t="s">
        <v>87</v>
      </c>
      <c r="F516" t="s">
        <v>21</v>
      </c>
      <c r="G516">
        <v>62</v>
      </c>
      <c r="H516" t="s">
        <v>116</v>
      </c>
      <c r="I516" t="s">
        <v>38</v>
      </c>
      <c r="J516" t="s">
        <v>79</v>
      </c>
      <c r="K516" t="s">
        <v>25</v>
      </c>
      <c r="L516">
        <v>4.3</v>
      </c>
      <c r="M516" t="s">
        <v>26</v>
      </c>
      <c r="N516" t="s">
        <v>59</v>
      </c>
      <c r="O516" t="s">
        <v>55</v>
      </c>
      <c r="P516" t="s">
        <v>26</v>
      </c>
      <c r="Q516" t="s">
        <v>26</v>
      </c>
      <c r="R516">
        <v>47</v>
      </c>
      <c r="S516" t="s">
        <v>46</v>
      </c>
      <c r="T516" t="str">
        <f t="shared" si="16"/>
        <v>Quarterly</v>
      </c>
      <c r="U516">
        <f>VLOOKUP(T516,[1]tablescore!$B$3:$C$8, 2,FALSE)</f>
        <v>4</v>
      </c>
      <c r="V516" t="str">
        <f t="shared" si="17"/>
        <v>Low Loyalty</v>
      </c>
      <c r="W516" t="s">
        <v>60</v>
      </c>
    </row>
    <row r="517" spans="1:23" x14ac:dyDescent="0.25">
      <c r="A517">
        <v>516</v>
      </c>
      <c r="B517">
        <v>28</v>
      </c>
      <c r="C517" t="str" cm="1">
        <f t="array" ref="C517">_xlfn.IFS(
  AND(B517&gt;=18, B517&lt;=24), "18-24",
  AND(B517&gt;=25, B517&lt;=34), "25-34",
  AND(B517&gt;=35, B517&lt;=44), "35-44",
  AND(B517&gt;=45, B517&lt;=54), "45-54",
  B517&gt;=55, "55+"
)</f>
        <v>25-34</v>
      </c>
      <c r="D517" t="s">
        <v>19</v>
      </c>
      <c r="E517" t="s">
        <v>125</v>
      </c>
      <c r="F517" t="s">
        <v>69</v>
      </c>
      <c r="G517">
        <v>67</v>
      </c>
      <c r="H517" t="s">
        <v>22</v>
      </c>
      <c r="I517" t="s">
        <v>23</v>
      </c>
      <c r="J517" t="s">
        <v>63</v>
      </c>
      <c r="K517" t="s">
        <v>39</v>
      </c>
      <c r="L517">
        <v>4.5</v>
      </c>
      <c r="M517" t="s">
        <v>26</v>
      </c>
      <c r="N517" t="s">
        <v>27</v>
      </c>
      <c r="O517" t="s">
        <v>47</v>
      </c>
      <c r="P517" t="s">
        <v>26</v>
      </c>
      <c r="Q517" t="s">
        <v>26</v>
      </c>
      <c r="R517">
        <v>7</v>
      </c>
      <c r="S517" t="s">
        <v>35</v>
      </c>
      <c r="T517" t="str">
        <f t="shared" si="16"/>
        <v>Month</v>
      </c>
      <c r="U517">
        <f>VLOOKUP(T517,[1]tablescore!$B$3:$C$8, 2,FALSE)</f>
        <v>12</v>
      </c>
      <c r="V517" t="str">
        <f t="shared" si="17"/>
        <v>Moderate</v>
      </c>
      <c r="W517" t="s">
        <v>88</v>
      </c>
    </row>
    <row r="518" spans="1:23" x14ac:dyDescent="0.25">
      <c r="A518">
        <v>517</v>
      </c>
      <c r="B518">
        <v>34</v>
      </c>
      <c r="C518" t="str" cm="1">
        <f t="array" ref="C518">_xlfn.IFS(
  AND(B518&gt;=18, B518&lt;=24), "18-24",
  AND(B518&gt;=25, B518&lt;=34), "25-34",
  AND(B518&gt;=35, B518&lt;=44), "35-44",
  AND(B518&gt;=45, B518&lt;=54), "45-54",
  B518&gt;=55, "55+"
)</f>
        <v>25-34</v>
      </c>
      <c r="D518" t="s">
        <v>19</v>
      </c>
      <c r="E518" t="s">
        <v>104</v>
      </c>
      <c r="F518" t="s">
        <v>21</v>
      </c>
      <c r="G518">
        <v>41</v>
      </c>
      <c r="H518" t="s">
        <v>66</v>
      </c>
      <c r="I518" t="s">
        <v>23</v>
      </c>
      <c r="J518" t="s">
        <v>129</v>
      </c>
      <c r="K518" t="s">
        <v>58</v>
      </c>
      <c r="L518">
        <v>2.8</v>
      </c>
      <c r="M518" t="s">
        <v>26</v>
      </c>
      <c r="N518" t="s">
        <v>35</v>
      </c>
      <c r="O518" t="s">
        <v>72</v>
      </c>
      <c r="P518" t="s">
        <v>26</v>
      </c>
      <c r="Q518" t="s">
        <v>26</v>
      </c>
      <c r="R518">
        <v>19</v>
      </c>
      <c r="S518" t="s">
        <v>59</v>
      </c>
      <c r="T518" t="str">
        <f t="shared" si="16"/>
        <v>2-week</v>
      </c>
      <c r="U518">
        <f>VLOOKUP(T518,[1]tablescore!$B$3:$C$8, 2,FALSE)</f>
        <v>26</v>
      </c>
      <c r="V518" t="str">
        <f t="shared" si="17"/>
        <v>Loyal</v>
      </c>
      <c r="W518" t="s">
        <v>77</v>
      </c>
    </row>
    <row r="519" spans="1:23" x14ac:dyDescent="0.25">
      <c r="A519">
        <v>518</v>
      </c>
      <c r="B519">
        <v>61</v>
      </c>
      <c r="C519" t="str" cm="1">
        <f t="array" ref="C519">_xlfn.IFS(
  AND(B519&gt;=18, B519&lt;=24), "18-24",
  AND(B519&gt;=25, B519&lt;=34), "25-34",
  AND(B519&gt;=35, B519&lt;=44), "35-44",
  AND(B519&gt;=45, B519&lt;=54), "45-54",
  B519&gt;=55, "55+"
)</f>
        <v>55+</v>
      </c>
      <c r="D519" t="s">
        <v>19</v>
      </c>
      <c r="E519" t="s">
        <v>132</v>
      </c>
      <c r="F519" t="s">
        <v>43</v>
      </c>
      <c r="G519">
        <v>49</v>
      </c>
      <c r="H519" t="s">
        <v>114</v>
      </c>
      <c r="I519" t="s">
        <v>23</v>
      </c>
      <c r="J519" t="s">
        <v>67</v>
      </c>
      <c r="K519" t="s">
        <v>58</v>
      </c>
      <c r="L519">
        <v>2.7</v>
      </c>
      <c r="M519" t="s">
        <v>26</v>
      </c>
      <c r="N519" t="s">
        <v>59</v>
      </c>
      <c r="O519" t="s">
        <v>40</v>
      </c>
      <c r="P519" t="s">
        <v>26</v>
      </c>
      <c r="Q519" t="s">
        <v>26</v>
      </c>
      <c r="R519">
        <v>44</v>
      </c>
      <c r="S519" t="s">
        <v>35</v>
      </c>
      <c r="T519" t="str">
        <f t="shared" si="16"/>
        <v>Quarterly</v>
      </c>
      <c r="U519">
        <f>VLOOKUP(T519,[1]tablescore!$B$3:$C$8, 2,FALSE)</f>
        <v>4</v>
      </c>
      <c r="V519" t="str">
        <f t="shared" si="17"/>
        <v>Low Loyalty</v>
      </c>
      <c r="W519" t="s">
        <v>97</v>
      </c>
    </row>
    <row r="520" spans="1:23" x14ac:dyDescent="0.25">
      <c r="A520">
        <v>519</v>
      </c>
      <c r="B520">
        <v>24</v>
      </c>
      <c r="C520" t="str" cm="1">
        <f t="array" ref="C520">_xlfn.IFS(
  AND(B520&gt;=18, B520&lt;=24), "18-24",
  AND(B520&gt;=25, B520&lt;=34), "25-34",
  AND(B520&gt;=35, B520&lt;=44), "35-44",
  AND(B520&gt;=45, B520&lt;=54), "45-54",
  B520&gt;=55, "55+"
)</f>
        <v>18-24</v>
      </c>
      <c r="D520" t="s">
        <v>19</v>
      </c>
      <c r="E520" t="s">
        <v>20</v>
      </c>
      <c r="F520" t="s">
        <v>21</v>
      </c>
      <c r="G520">
        <v>100</v>
      </c>
      <c r="H520" t="s">
        <v>48</v>
      </c>
      <c r="I520" t="s">
        <v>45</v>
      </c>
      <c r="J520" t="s">
        <v>118</v>
      </c>
      <c r="K520" t="s">
        <v>58</v>
      </c>
      <c r="L520">
        <v>2.9</v>
      </c>
      <c r="M520" t="s">
        <v>26</v>
      </c>
      <c r="N520" t="s">
        <v>46</v>
      </c>
      <c r="O520" t="s">
        <v>47</v>
      </c>
      <c r="P520" t="s">
        <v>26</v>
      </c>
      <c r="Q520" t="s">
        <v>26</v>
      </c>
      <c r="R520">
        <v>16</v>
      </c>
      <c r="S520" t="s">
        <v>29</v>
      </c>
      <c r="T520" t="str">
        <f t="shared" si="16"/>
        <v>Quarterly</v>
      </c>
      <c r="U520">
        <f>VLOOKUP(T520,[1]tablescore!$B$3:$C$8, 2,FALSE)</f>
        <v>4</v>
      </c>
      <c r="V520" t="str">
        <f t="shared" si="17"/>
        <v>Low Loyalty</v>
      </c>
      <c r="W520" t="s">
        <v>97</v>
      </c>
    </row>
    <row r="521" spans="1:23" x14ac:dyDescent="0.25">
      <c r="A521">
        <v>520</v>
      </c>
      <c r="B521">
        <v>19</v>
      </c>
      <c r="C521" t="str" cm="1">
        <f t="array" ref="C521">_xlfn.IFS(
  AND(B521&gt;=18, B521&lt;=24), "18-24",
  AND(B521&gt;=25, B521&lt;=34), "25-34",
  AND(B521&gt;=35, B521&lt;=44), "35-44",
  AND(B521&gt;=45, B521&lt;=54), "45-54",
  B521&gt;=55, "55+"
)</f>
        <v>18-24</v>
      </c>
      <c r="D521" t="s">
        <v>19</v>
      </c>
      <c r="E521" t="s">
        <v>136</v>
      </c>
      <c r="F521" t="s">
        <v>69</v>
      </c>
      <c r="G521">
        <v>54</v>
      </c>
      <c r="H521" t="s">
        <v>134</v>
      </c>
      <c r="I521" t="s">
        <v>23</v>
      </c>
      <c r="J521" t="s">
        <v>138</v>
      </c>
      <c r="K521" t="s">
        <v>54</v>
      </c>
      <c r="L521">
        <v>4.4000000000000004</v>
      </c>
      <c r="M521" t="s">
        <v>26</v>
      </c>
      <c r="N521" t="s">
        <v>35</v>
      </c>
      <c r="O521" t="s">
        <v>72</v>
      </c>
      <c r="P521" t="s">
        <v>26</v>
      </c>
      <c r="Q521" t="s">
        <v>26</v>
      </c>
      <c r="R521">
        <v>17</v>
      </c>
      <c r="S521" t="s">
        <v>34</v>
      </c>
      <c r="T521" t="str">
        <f t="shared" si="16"/>
        <v>Quarterly</v>
      </c>
      <c r="U521">
        <f>VLOOKUP(T521,[1]tablescore!$B$3:$C$8, 2,FALSE)</f>
        <v>4</v>
      </c>
      <c r="V521" t="str">
        <f t="shared" si="17"/>
        <v>Low Loyalty</v>
      </c>
      <c r="W521" t="s">
        <v>60</v>
      </c>
    </row>
    <row r="522" spans="1:23" x14ac:dyDescent="0.25">
      <c r="A522">
        <v>521</v>
      </c>
      <c r="B522">
        <v>51</v>
      </c>
      <c r="C522" t="str" cm="1">
        <f t="array" ref="C522">_xlfn.IFS(
  AND(B522&gt;=18, B522&lt;=24), "18-24",
  AND(B522&gt;=25, B522&lt;=34), "25-34",
  AND(B522&gt;=35, B522&lt;=44), "35-44",
  AND(B522&gt;=45, B522&lt;=54), "45-54",
  B522&gt;=55, "55+"
)</f>
        <v>45-54</v>
      </c>
      <c r="D522" t="s">
        <v>19</v>
      </c>
      <c r="E522" t="s">
        <v>89</v>
      </c>
      <c r="F522" t="s">
        <v>69</v>
      </c>
      <c r="G522">
        <v>84</v>
      </c>
      <c r="H522" t="s">
        <v>126</v>
      </c>
      <c r="I522" t="s">
        <v>45</v>
      </c>
      <c r="J522" t="s">
        <v>53</v>
      </c>
      <c r="K522" t="s">
        <v>39</v>
      </c>
      <c r="L522">
        <v>3.9</v>
      </c>
      <c r="M522" t="s">
        <v>26</v>
      </c>
      <c r="N522" t="s">
        <v>34</v>
      </c>
      <c r="O522" t="s">
        <v>40</v>
      </c>
      <c r="P522" t="s">
        <v>26</v>
      </c>
      <c r="Q522" t="s">
        <v>26</v>
      </c>
      <c r="R522">
        <v>20</v>
      </c>
      <c r="S522" t="s">
        <v>59</v>
      </c>
      <c r="T522" t="str">
        <f t="shared" si="16"/>
        <v>Quarterly</v>
      </c>
      <c r="U522">
        <f>VLOOKUP(T522,[1]tablescore!$B$3:$C$8, 2,FALSE)</f>
        <v>4</v>
      </c>
      <c r="V522" t="str">
        <f t="shared" si="17"/>
        <v>Low Loyalty</v>
      </c>
      <c r="W522" t="s">
        <v>60</v>
      </c>
    </row>
    <row r="523" spans="1:23" x14ac:dyDescent="0.25">
      <c r="A523">
        <v>522</v>
      </c>
      <c r="B523">
        <v>36</v>
      </c>
      <c r="C523" t="str" cm="1">
        <f t="array" ref="C523">_xlfn.IFS(
  AND(B523&gt;=18, B523&lt;=24), "18-24",
  AND(B523&gt;=25, B523&lt;=34), "25-34",
  AND(B523&gt;=35, B523&lt;=44), "35-44",
  AND(B523&gt;=45, B523&lt;=54), "45-54",
  B523&gt;=55, "55+"
)</f>
        <v>35-44</v>
      </c>
      <c r="D523" t="s">
        <v>19</v>
      </c>
      <c r="E523" t="s">
        <v>61</v>
      </c>
      <c r="F523" t="s">
        <v>21</v>
      </c>
      <c r="G523">
        <v>41</v>
      </c>
      <c r="H523" t="s">
        <v>145</v>
      </c>
      <c r="I523" t="s">
        <v>23</v>
      </c>
      <c r="J523" t="s">
        <v>81</v>
      </c>
      <c r="K523" t="s">
        <v>25</v>
      </c>
      <c r="L523">
        <v>3.5</v>
      </c>
      <c r="M523" t="s">
        <v>26</v>
      </c>
      <c r="N523" t="s">
        <v>27</v>
      </c>
      <c r="O523" t="s">
        <v>55</v>
      </c>
      <c r="P523" t="s">
        <v>26</v>
      </c>
      <c r="Q523" t="s">
        <v>26</v>
      </c>
      <c r="R523">
        <v>50</v>
      </c>
      <c r="S523" t="s">
        <v>34</v>
      </c>
      <c r="T523" t="str">
        <f t="shared" si="16"/>
        <v>Annually</v>
      </c>
      <c r="U523">
        <f>VLOOKUP(T523,[1]tablescore!$B$3:$C$8, 2,FALSE)</f>
        <v>1</v>
      </c>
      <c r="V523" t="str">
        <f t="shared" si="17"/>
        <v>Low Loyalty</v>
      </c>
      <c r="W523" t="s">
        <v>50</v>
      </c>
    </row>
    <row r="524" spans="1:23" x14ac:dyDescent="0.25">
      <c r="A524">
        <v>523</v>
      </c>
      <c r="B524">
        <v>65</v>
      </c>
      <c r="C524" t="str" cm="1">
        <f t="array" ref="C524">_xlfn.IFS(
  AND(B524&gt;=18, B524&lt;=24), "18-24",
  AND(B524&gt;=25, B524&lt;=34), "25-34",
  AND(B524&gt;=35, B524&lt;=44), "35-44",
  AND(B524&gt;=45, B524&lt;=54), "45-54",
  B524&gt;=55, "55+"
)</f>
        <v>55+</v>
      </c>
      <c r="D524" t="s">
        <v>19</v>
      </c>
      <c r="E524" t="s">
        <v>127</v>
      </c>
      <c r="F524" t="s">
        <v>69</v>
      </c>
      <c r="G524">
        <v>88</v>
      </c>
      <c r="H524" t="s">
        <v>134</v>
      </c>
      <c r="I524" t="s">
        <v>45</v>
      </c>
      <c r="J524" t="s">
        <v>138</v>
      </c>
      <c r="K524" t="s">
        <v>39</v>
      </c>
      <c r="L524">
        <v>2.5</v>
      </c>
      <c r="M524" t="s">
        <v>26</v>
      </c>
      <c r="N524" t="s">
        <v>46</v>
      </c>
      <c r="O524" t="s">
        <v>76</v>
      </c>
      <c r="P524" t="s">
        <v>26</v>
      </c>
      <c r="Q524" t="s">
        <v>26</v>
      </c>
      <c r="R524">
        <v>37</v>
      </c>
      <c r="S524" t="s">
        <v>35</v>
      </c>
      <c r="T524" t="str">
        <f t="shared" si="16"/>
        <v>Quarterly</v>
      </c>
      <c r="U524">
        <f>VLOOKUP(T524,[1]tablescore!$B$3:$C$8, 2,FALSE)</f>
        <v>4</v>
      </c>
      <c r="V524" t="str">
        <f t="shared" si="17"/>
        <v>Low Loyalty</v>
      </c>
      <c r="W524" t="s">
        <v>60</v>
      </c>
    </row>
    <row r="525" spans="1:23" x14ac:dyDescent="0.25">
      <c r="A525">
        <v>524</v>
      </c>
      <c r="B525">
        <v>46</v>
      </c>
      <c r="C525" t="str" cm="1">
        <f t="array" ref="C525">_xlfn.IFS(
  AND(B525&gt;=18, B525&lt;=24), "18-24",
  AND(B525&gt;=25, B525&lt;=34), "25-34",
  AND(B525&gt;=35, B525&lt;=44), "35-44",
  AND(B525&gt;=45, B525&lt;=54), "45-54",
  B525&gt;=55, "55+"
)</f>
        <v>45-54</v>
      </c>
      <c r="D525" t="s">
        <v>19</v>
      </c>
      <c r="E525" t="s">
        <v>42</v>
      </c>
      <c r="F525" t="s">
        <v>43</v>
      </c>
      <c r="G525">
        <v>40</v>
      </c>
      <c r="H525" t="s">
        <v>80</v>
      </c>
      <c r="I525" t="s">
        <v>45</v>
      </c>
      <c r="J525" t="s">
        <v>121</v>
      </c>
      <c r="K525" t="s">
        <v>39</v>
      </c>
      <c r="L525">
        <v>4.9000000000000004</v>
      </c>
      <c r="M525" t="s">
        <v>26</v>
      </c>
      <c r="N525" t="s">
        <v>35</v>
      </c>
      <c r="O525" t="s">
        <v>28</v>
      </c>
      <c r="P525" t="s">
        <v>26</v>
      </c>
      <c r="Q525" t="s">
        <v>26</v>
      </c>
      <c r="R525">
        <v>5</v>
      </c>
      <c r="S525" t="s">
        <v>46</v>
      </c>
      <c r="T525" t="str">
        <f t="shared" si="16"/>
        <v>Quarterly</v>
      </c>
      <c r="U525">
        <f>VLOOKUP(T525,[1]tablescore!$B$3:$C$8, 2,FALSE)</f>
        <v>4</v>
      </c>
      <c r="V525" t="str">
        <f t="shared" si="17"/>
        <v>Low Loyalty</v>
      </c>
      <c r="W525" t="s">
        <v>60</v>
      </c>
    </row>
    <row r="526" spans="1:23" x14ac:dyDescent="0.25">
      <c r="A526">
        <v>525</v>
      </c>
      <c r="B526">
        <v>59</v>
      </c>
      <c r="C526" t="str" cm="1">
        <f t="array" ref="C526">_xlfn.IFS(
  AND(B526&gt;=18, B526&lt;=24), "18-24",
  AND(B526&gt;=25, B526&lt;=34), "25-34",
  AND(B526&gt;=35, B526&lt;=44), "35-44",
  AND(B526&gt;=45, B526&lt;=54), "45-54",
  B526&gt;=55, "55+"
)</f>
        <v>55+</v>
      </c>
      <c r="D526" t="s">
        <v>19</v>
      </c>
      <c r="E526" t="s">
        <v>56</v>
      </c>
      <c r="F526" t="s">
        <v>21</v>
      </c>
      <c r="G526">
        <v>39</v>
      </c>
      <c r="H526" t="s">
        <v>141</v>
      </c>
      <c r="I526" t="s">
        <v>45</v>
      </c>
      <c r="J526" t="s">
        <v>81</v>
      </c>
      <c r="K526" t="s">
        <v>54</v>
      </c>
      <c r="L526">
        <v>4.8</v>
      </c>
      <c r="M526" t="s">
        <v>26</v>
      </c>
      <c r="N526" t="s">
        <v>29</v>
      </c>
      <c r="O526" t="s">
        <v>40</v>
      </c>
      <c r="P526" t="s">
        <v>26</v>
      </c>
      <c r="Q526" t="s">
        <v>26</v>
      </c>
      <c r="R526">
        <v>44</v>
      </c>
      <c r="S526" t="s">
        <v>46</v>
      </c>
      <c r="T526" t="str">
        <f t="shared" si="16"/>
        <v>Annually</v>
      </c>
      <c r="U526">
        <f>VLOOKUP(T526,[1]tablescore!$B$3:$C$8, 2,FALSE)</f>
        <v>1</v>
      </c>
      <c r="V526" t="str">
        <f t="shared" si="17"/>
        <v>Low Loyalty</v>
      </c>
      <c r="W526" t="s">
        <v>50</v>
      </c>
    </row>
    <row r="527" spans="1:23" x14ac:dyDescent="0.25">
      <c r="A527">
        <v>526</v>
      </c>
      <c r="B527">
        <v>51</v>
      </c>
      <c r="C527" t="str" cm="1">
        <f t="array" ref="C527">_xlfn.IFS(
  AND(B527&gt;=18, B527&lt;=24), "18-24",
  AND(B527&gt;=25, B527&lt;=34), "25-34",
  AND(B527&gt;=35, B527&lt;=44), "35-44",
  AND(B527&gt;=45, B527&lt;=54), "45-54",
  B527&gt;=55, "55+"
)</f>
        <v>45-54</v>
      </c>
      <c r="D527" t="s">
        <v>19</v>
      </c>
      <c r="E527" t="s">
        <v>64</v>
      </c>
      <c r="F527" t="s">
        <v>65</v>
      </c>
      <c r="G527">
        <v>37</v>
      </c>
      <c r="H527" t="s">
        <v>150</v>
      </c>
      <c r="I527" t="s">
        <v>45</v>
      </c>
      <c r="J527" t="s">
        <v>109</v>
      </c>
      <c r="K527" t="s">
        <v>39</v>
      </c>
      <c r="L527">
        <v>3.2</v>
      </c>
      <c r="M527" t="s">
        <v>26</v>
      </c>
      <c r="N527" t="s">
        <v>27</v>
      </c>
      <c r="O527" t="s">
        <v>47</v>
      </c>
      <c r="P527" t="s">
        <v>26</v>
      </c>
      <c r="Q527" t="s">
        <v>26</v>
      </c>
      <c r="R527">
        <v>41</v>
      </c>
      <c r="S527" t="s">
        <v>59</v>
      </c>
      <c r="T527" t="str">
        <f t="shared" si="16"/>
        <v>Month</v>
      </c>
      <c r="U527">
        <f>VLOOKUP(T527,[1]tablescore!$B$3:$C$8, 2,FALSE)</f>
        <v>12</v>
      </c>
      <c r="V527" t="str">
        <f t="shared" si="17"/>
        <v>Moderate</v>
      </c>
      <c r="W527" t="s">
        <v>88</v>
      </c>
    </row>
    <row r="528" spans="1:23" x14ac:dyDescent="0.25">
      <c r="A528">
        <v>527</v>
      </c>
      <c r="B528">
        <v>51</v>
      </c>
      <c r="C528" t="str" cm="1">
        <f t="array" ref="C528">_xlfn.IFS(
  AND(B528&gt;=18, B528&lt;=24), "18-24",
  AND(B528&gt;=25, B528&lt;=34), "25-34",
  AND(B528&gt;=35, B528&lt;=44), "35-44",
  AND(B528&gt;=45, B528&lt;=54), "45-54",
  B528&gt;=55, "55+"
)</f>
        <v>45-54</v>
      </c>
      <c r="D528" t="s">
        <v>19</v>
      </c>
      <c r="E528" t="s">
        <v>95</v>
      </c>
      <c r="F528" t="s">
        <v>21</v>
      </c>
      <c r="G528">
        <v>52</v>
      </c>
      <c r="H528" t="s">
        <v>137</v>
      </c>
      <c r="I528" t="s">
        <v>38</v>
      </c>
      <c r="J528" t="s">
        <v>108</v>
      </c>
      <c r="K528" t="s">
        <v>25</v>
      </c>
      <c r="L528">
        <v>4.9000000000000004</v>
      </c>
      <c r="M528" t="s">
        <v>26</v>
      </c>
      <c r="N528" t="s">
        <v>35</v>
      </c>
      <c r="O528" t="s">
        <v>55</v>
      </c>
      <c r="P528" t="s">
        <v>26</v>
      </c>
      <c r="Q528" t="s">
        <v>26</v>
      </c>
      <c r="R528">
        <v>19</v>
      </c>
      <c r="S528" t="s">
        <v>35</v>
      </c>
      <c r="T528" t="str">
        <f t="shared" si="16"/>
        <v>Month</v>
      </c>
      <c r="U528">
        <f>VLOOKUP(T528,[1]tablescore!$B$3:$C$8, 2,FALSE)</f>
        <v>12</v>
      </c>
      <c r="V528" t="str">
        <f t="shared" si="17"/>
        <v>Moderate</v>
      </c>
      <c r="W528" t="s">
        <v>88</v>
      </c>
    </row>
    <row r="529" spans="1:23" x14ac:dyDescent="0.25">
      <c r="A529">
        <v>528</v>
      </c>
      <c r="B529">
        <v>21</v>
      </c>
      <c r="C529" t="str" cm="1">
        <f t="array" ref="C529">_xlfn.IFS(
  AND(B529&gt;=18, B529&lt;=24), "18-24",
  AND(B529&gt;=25, B529&lt;=34), "25-34",
  AND(B529&gt;=35, B529&lt;=44), "35-44",
  AND(B529&gt;=45, B529&lt;=54), "45-54",
  B529&gt;=55, "55+"
)</f>
        <v>18-24</v>
      </c>
      <c r="D529" t="s">
        <v>19</v>
      </c>
      <c r="E529" t="s">
        <v>113</v>
      </c>
      <c r="F529" t="s">
        <v>21</v>
      </c>
      <c r="G529">
        <v>23</v>
      </c>
      <c r="H529" t="s">
        <v>126</v>
      </c>
      <c r="I529" t="s">
        <v>23</v>
      </c>
      <c r="J529" t="s">
        <v>139</v>
      </c>
      <c r="K529" t="s">
        <v>25</v>
      </c>
      <c r="L529">
        <v>4.3</v>
      </c>
      <c r="M529" t="s">
        <v>26</v>
      </c>
      <c r="N529" t="s">
        <v>34</v>
      </c>
      <c r="O529" t="s">
        <v>47</v>
      </c>
      <c r="P529" t="s">
        <v>26</v>
      </c>
      <c r="Q529" t="s">
        <v>26</v>
      </c>
      <c r="R529">
        <v>47</v>
      </c>
      <c r="S529" t="s">
        <v>34</v>
      </c>
      <c r="T529" t="str">
        <f t="shared" si="16"/>
        <v>Quarterly</v>
      </c>
      <c r="U529">
        <f>VLOOKUP(T529,[1]tablescore!$B$3:$C$8, 2,FALSE)</f>
        <v>4</v>
      </c>
      <c r="V529" t="str">
        <f t="shared" si="17"/>
        <v>Low Loyalty</v>
      </c>
      <c r="W529" t="s">
        <v>97</v>
      </c>
    </row>
    <row r="530" spans="1:23" x14ac:dyDescent="0.25">
      <c r="A530">
        <v>529</v>
      </c>
      <c r="B530">
        <v>34</v>
      </c>
      <c r="C530" t="str" cm="1">
        <f t="array" ref="C530">_xlfn.IFS(
  AND(B530&gt;=18, B530&lt;=24), "18-24",
  AND(B530&gt;=25, B530&lt;=34), "25-34",
  AND(B530&gt;=35, B530&lt;=44), "35-44",
  AND(B530&gt;=45, B530&lt;=54), "45-54",
  B530&gt;=55, "55+"
)</f>
        <v>25-34</v>
      </c>
      <c r="D530" t="s">
        <v>19</v>
      </c>
      <c r="E530" t="s">
        <v>51</v>
      </c>
      <c r="F530" t="s">
        <v>43</v>
      </c>
      <c r="G530">
        <v>88</v>
      </c>
      <c r="H530" t="s">
        <v>135</v>
      </c>
      <c r="I530" t="s">
        <v>38</v>
      </c>
      <c r="J530" t="s">
        <v>118</v>
      </c>
      <c r="K530" t="s">
        <v>25</v>
      </c>
      <c r="L530">
        <v>3.2</v>
      </c>
      <c r="M530" t="s">
        <v>26</v>
      </c>
      <c r="N530" t="s">
        <v>29</v>
      </c>
      <c r="O530" t="s">
        <v>28</v>
      </c>
      <c r="P530" t="s">
        <v>26</v>
      </c>
      <c r="Q530" t="s">
        <v>26</v>
      </c>
      <c r="R530">
        <v>40</v>
      </c>
      <c r="S530" t="s">
        <v>35</v>
      </c>
      <c r="T530" t="str">
        <f t="shared" si="16"/>
        <v>Annually</v>
      </c>
      <c r="U530">
        <f>VLOOKUP(T530,[1]tablescore!$B$3:$C$8, 2,FALSE)</f>
        <v>1</v>
      </c>
      <c r="V530" t="str">
        <f t="shared" si="17"/>
        <v>Low Loyalty</v>
      </c>
      <c r="W530" t="s">
        <v>50</v>
      </c>
    </row>
    <row r="531" spans="1:23" x14ac:dyDescent="0.25">
      <c r="A531">
        <v>530</v>
      </c>
      <c r="B531">
        <v>32</v>
      </c>
      <c r="C531" t="str" cm="1">
        <f t="array" ref="C531">_xlfn.IFS(
  AND(B531&gt;=18, B531&lt;=24), "18-24",
  AND(B531&gt;=25, B531&lt;=34), "25-34",
  AND(B531&gt;=35, B531&lt;=44), "35-44",
  AND(B531&gt;=45, B531&lt;=54), "45-54",
  B531&gt;=55, "55+"
)</f>
        <v>25-34</v>
      </c>
      <c r="D531" t="s">
        <v>19</v>
      </c>
      <c r="E531" t="s">
        <v>61</v>
      </c>
      <c r="F531" t="s">
        <v>21</v>
      </c>
      <c r="G531">
        <v>84</v>
      </c>
      <c r="H531" t="s">
        <v>99</v>
      </c>
      <c r="I531" t="s">
        <v>45</v>
      </c>
      <c r="J531" t="s">
        <v>121</v>
      </c>
      <c r="K531" t="s">
        <v>58</v>
      </c>
      <c r="L531">
        <v>3.7</v>
      </c>
      <c r="M531" t="s">
        <v>26</v>
      </c>
      <c r="N531" t="s">
        <v>35</v>
      </c>
      <c r="O531" t="s">
        <v>55</v>
      </c>
      <c r="P531" t="s">
        <v>26</v>
      </c>
      <c r="Q531" t="s">
        <v>26</v>
      </c>
      <c r="R531">
        <v>6</v>
      </c>
      <c r="S531" t="s">
        <v>27</v>
      </c>
      <c r="T531" t="str">
        <f t="shared" si="16"/>
        <v>Month</v>
      </c>
      <c r="U531">
        <f>VLOOKUP(T531,[1]tablescore!$B$3:$C$8, 2,FALSE)</f>
        <v>12</v>
      </c>
      <c r="V531" t="str">
        <f t="shared" si="17"/>
        <v>Moderate</v>
      </c>
      <c r="W531" t="s">
        <v>88</v>
      </c>
    </row>
    <row r="532" spans="1:23" x14ac:dyDescent="0.25">
      <c r="A532">
        <v>531</v>
      </c>
      <c r="B532">
        <v>48</v>
      </c>
      <c r="C532" t="str" cm="1">
        <f t="array" ref="C532">_xlfn.IFS(
  AND(B532&gt;=18, B532&lt;=24), "18-24",
  AND(B532&gt;=25, B532&lt;=34), "25-34",
  AND(B532&gt;=35, B532&lt;=44), "35-44",
  AND(B532&gt;=45, B532&lt;=54), "45-54",
  B532&gt;=55, "55+"
)</f>
        <v>45-54</v>
      </c>
      <c r="D532" t="s">
        <v>19</v>
      </c>
      <c r="E532" t="s">
        <v>64</v>
      </c>
      <c r="F532" t="s">
        <v>65</v>
      </c>
      <c r="G532">
        <v>37</v>
      </c>
      <c r="H532" t="s">
        <v>57</v>
      </c>
      <c r="I532" t="s">
        <v>92</v>
      </c>
      <c r="J532" t="s">
        <v>147</v>
      </c>
      <c r="K532" t="s">
        <v>25</v>
      </c>
      <c r="L532">
        <v>3.2</v>
      </c>
      <c r="M532" t="s">
        <v>26</v>
      </c>
      <c r="N532" t="s">
        <v>29</v>
      </c>
      <c r="O532" t="s">
        <v>76</v>
      </c>
      <c r="P532" t="s">
        <v>26</v>
      </c>
      <c r="Q532" t="s">
        <v>26</v>
      </c>
      <c r="R532">
        <v>25</v>
      </c>
      <c r="S532" t="s">
        <v>27</v>
      </c>
      <c r="T532" t="str">
        <f t="shared" si="16"/>
        <v>2-week</v>
      </c>
      <c r="U532">
        <f>VLOOKUP(T532,[1]tablescore!$B$3:$C$8, 2,FALSE)</f>
        <v>26</v>
      </c>
      <c r="V532" t="str">
        <f t="shared" si="17"/>
        <v>Loyal</v>
      </c>
      <c r="W532" t="s">
        <v>77</v>
      </c>
    </row>
    <row r="533" spans="1:23" x14ac:dyDescent="0.25">
      <c r="A533">
        <v>532</v>
      </c>
      <c r="B533">
        <v>50</v>
      </c>
      <c r="C533" t="str" cm="1">
        <f t="array" ref="C533">_xlfn.IFS(
  AND(B533&gt;=18, B533&lt;=24), "18-24",
  AND(B533&gt;=25, B533&lt;=34), "25-34",
  AND(B533&gt;=35, B533&lt;=44), "35-44",
  AND(B533&gt;=45, B533&lt;=54), "45-54",
  B533&gt;=55, "55+"
)</f>
        <v>45-54</v>
      </c>
      <c r="D533" t="s">
        <v>19</v>
      </c>
      <c r="E533" t="s">
        <v>42</v>
      </c>
      <c r="F533" t="s">
        <v>43</v>
      </c>
      <c r="G533">
        <v>51</v>
      </c>
      <c r="H533" t="s">
        <v>145</v>
      </c>
      <c r="I533" t="s">
        <v>23</v>
      </c>
      <c r="J533" t="s">
        <v>75</v>
      </c>
      <c r="K533" t="s">
        <v>58</v>
      </c>
      <c r="L533">
        <v>3.4</v>
      </c>
      <c r="M533" t="s">
        <v>26</v>
      </c>
      <c r="N533" t="s">
        <v>34</v>
      </c>
      <c r="O533" t="s">
        <v>47</v>
      </c>
      <c r="P533" t="s">
        <v>26</v>
      </c>
      <c r="Q533" t="s">
        <v>26</v>
      </c>
      <c r="R533">
        <v>42</v>
      </c>
      <c r="S533" t="s">
        <v>35</v>
      </c>
      <c r="T533" t="str">
        <f t="shared" si="16"/>
        <v>Daily</v>
      </c>
      <c r="U533">
        <f>VLOOKUP(T533,[1]tablescore!$B$3:$C$8, 2,FALSE)</f>
        <v>30</v>
      </c>
      <c r="V533" t="str">
        <f t="shared" si="17"/>
        <v>Highly Loyal</v>
      </c>
      <c r="W533" t="s">
        <v>41</v>
      </c>
    </row>
    <row r="534" spans="1:23" x14ac:dyDescent="0.25">
      <c r="A534">
        <v>533</v>
      </c>
      <c r="B534">
        <v>26</v>
      </c>
      <c r="C534" t="str" cm="1">
        <f t="array" ref="C534">_xlfn.IFS(
  AND(B534&gt;=18, B534&lt;=24), "18-24",
  AND(B534&gt;=25, B534&lt;=34), "25-34",
  AND(B534&gt;=35, B534&lt;=44), "35-44",
  AND(B534&gt;=45, B534&lt;=54), "45-54",
  B534&gt;=55, "55+"
)</f>
        <v>25-34</v>
      </c>
      <c r="D534" t="s">
        <v>19</v>
      </c>
      <c r="E534" t="s">
        <v>95</v>
      </c>
      <c r="F534" t="s">
        <v>21</v>
      </c>
      <c r="G534">
        <v>76</v>
      </c>
      <c r="H534" t="s">
        <v>105</v>
      </c>
      <c r="I534" t="s">
        <v>23</v>
      </c>
      <c r="J534" t="s">
        <v>94</v>
      </c>
      <c r="K534" t="s">
        <v>25</v>
      </c>
      <c r="L534">
        <v>4.0999999999999996</v>
      </c>
      <c r="M534" t="s">
        <v>26</v>
      </c>
      <c r="N534" t="s">
        <v>34</v>
      </c>
      <c r="O534" t="s">
        <v>28</v>
      </c>
      <c r="P534" t="s">
        <v>26</v>
      </c>
      <c r="Q534" t="s">
        <v>26</v>
      </c>
      <c r="R534">
        <v>35</v>
      </c>
      <c r="S534" t="s">
        <v>34</v>
      </c>
      <c r="T534" t="str">
        <f t="shared" si="16"/>
        <v>Quarterly</v>
      </c>
      <c r="U534">
        <f>VLOOKUP(T534,[1]tablescore!$B$3:$C$8, 2,FALSE)</f>
        <v>4</v>
      </c>
      <c r="V534" t="str">
        <f t="shared" si="17"/>
        <v>Low Loyalty</v>
      </c>
      <c r="W534" t="s">
        <v>97</v>
      </c>
    </row>
    <row r="535" spans="1:23" x14ac:dyDescent="0.25">
      <c r="A535">
        <v>534</v>
      </c>
      <c r="B535">
        <v>57</v>
      </c>
      <c r="C535" t="str" cm="1">
        <f t="array" ref="C535">_xlfn.IFS(
  AND(B535&gt;=18, B535&lt;=24), "18-24",
  AND(B535&gt;=25, B535&lt;=34), "25-34",
  AND(B535&gt;=35, B535&lt;=44), "35-44",
  AND(B535&gt;=45, B535&lt;=54), "45-54",
  B535&gt;=55, "55+"
)</f>
        <v>55+</v>
      </c>
      <c r="D535" t="s">
        <v>19</v>
      </c>
      <c r="E535" t="s">
        <v>42</v>
      </c>
      <c r="F535" t="s">
        <v>43</v>
      </c>
      <c r="G535">
        <v>60</v>
      </c>
      <c r="H535" t="s">
        <v>98</v>
      </c>
      <c r="I535" t="s">
        <v>23</v>
      </c>
      <c r="J535" t="s">
        <v>71</v>
      </c>
      <c r="K535" t="s">
        <v>39</v>
      </c>
      <c r="L535">
        <v>4.5</v>
      </c>
      <c r="M535" t="s">
        <v>26</v>
      </c>
      <c r="N535" t="s">
        <v>46</v>
      </c>
      <c r="O535" t="s">
        <v>47</v>
      </c>
      <c r="P535" t="s">
        <v>26</v>
      </c>
      <c r="Q535" t="s">
        <v>26</v>
      </c>
      <c r="R535">
        <v>17</v>
      </c>
      <c r="S535" t="s">
        <v>59</v>
      </c>
      <c r="T535" t="str">
        <f t="shared" si="16"/>
        <v>Daily</v>
      </c>
      <c r="U535">
        <f>VLOOKUP(T535,[1]tablescore!$B$3:$C$8, 2,FALSE)</f>
        <v>30</v>
      </c>
      <c r="V535" t="str">
        <f t="shared" si="17"/>
        <v>Highly Loyal</v>
      </c>
      <c r="W535" t="s">
        <v>41</v>
      </c>
    </row>
    <row r="536" spans="1:23" x14ac:dyDescent="0.25">
      <c r="A536">
        <v>535</v>
      </c>
      <c r="B536">
        <v>65</v>
      </c>
      <c r="C536" t="str" cm="1">
        <f t="array" ref="C536">_xlfn.IFS(
  AND(B536&gt;=18, B536&lt;=24), "18-24",
  AND(B536&gt;=25, B536&lt;=34), "25-34",
  AND(B536&gt;=35, B536&lt;=44), "35-44",
  AND(B536&gt;=45, B536&lt;=54), "45-54",
  B536&gt;=55, "55+"
)</f>
        <v>55+</v>
      </c>
      <c r="D536" t="s">
        <v>19</v>
      </c>
      <c r="E536" t="s">
        <v>127</v>
      </c>
      <c r="F536" t="s">
        <v>69</v>
      </c>
      <c r="G536">
        <v>72</v>
      </c>
      <c r="H536" t="s">
        <v>103</v>
      </c>
      <c r="I536" t="s">
        <v>23</v>
      </c>
      <c r="J536" t="s">
        <v>71</v>
      </c>
      <c r="K536" t="s">
        <v>58</v>
      </c>
      <c r="L536">
        <v>4.5</v>
      </c>
      <c r="M536" t="s">
        <v>26</v>
      </c>
      <c r="N536" t="s">
        <v>34</v>
      </c>
      <c r="O536" t="s">
        <v>47</v>
      </c>
      <c r="P536" t="s">
        <v>26</v>
      </c>
      <c r="Q536" t="s">
        <v>26</v>
      </c>
      <c r="R536">
        <v>4</v>
      </c>
      <c r="S536" t="s">
        <v>46</v>
      </c>
      <c r="T536" t="str">
        <f t="shared" si="16"/>
        <v>Quarterly</v>
      </c>
      <c r="U536">
        <f>VLOOKUP(T536,[1]tablescore!$B$3:$C$8, 2,FALSE)</f>
        <v>4</v>
      </c>
      <c r="V536" t="str">
        <f t="shared" si="17"/>
        <v>Low Loyalty</v>
      </c>
      <c r="W536" t="s">
        <v>60</v>
      </c>
    </row>
    <row r="537" spans="1:23" x14ac:dyDescent="0.25">
      <c r="A537">
        <v>536</v>
      </c>
      <c r="B537">
        <v>56</v>
      </c>
      <c r="C537" t="str" cm="1">
        <f t="array" ref="C537">_xlfn.IFS(
  AND(B537&gt;=18, B537&lt;=24), "18-24",
  AND(B537&gt;=25, B537&lt;=34), "25-34",
  AND(B537&gt;=35, B537&lt;=44), "35-44",
  AND(B537&gt;=45, B537&lt;=54), "45-54",
  B537&gt;=55, "55+"
)</f>
        <v>55+</v>
      </c>
      <c r="D537" t="s">
        <v>19</v>
      </c>
      <c r="E537" t="s">
        <v>113</v>
      </c>
      <c r="F537" t="s">
        <v>21</v>
      </c>
      <c r="G537">
        <v>45</v>
      </c>
      <c r="H537" t="s">
        <v>66</v>
      </c>
      <c r="I537" t="s">
        <v>23</v>
      </c>
      <c r="J537" t="s">
        <v>33</v>
      </c>
      <c r="K537" t="s">
        <v>39</v>
      </c>
      <c r="L537">
        <v>3.2</v>
      </c>
      <c r="M537" t="s">
        <v>26</v>
      </c>
      <c r="N537" t="s">
        <v>27</v>
      </c>
      <c r="O537" t="s">
        <v>40</v>
      </c>
      <c r="P537" t="s">
        <v>26</v>
      </c>
      <c r="Q537" t="s">
        <v>26</v>
      </c>
      <c r="R537">
        <v>24</v>
      </c>
      <c r="S537" t="s">
        <v>34</v>
      </c>
      <c r="T537" t="str">
        <f t="shared" si="16"/>
        <v>Daily</v>
      </c>
      <c r="U537">
        <f>VLOOKUP(T537,[1]tablescore!$B$3:$C$8, 2,FALSE)</f>
        <v>30</v>
      </c>
      <c r="V537" t="str">
        <f t="shared" si="17"/>
        <v>Highly Loyal</v>
      </c>
      <c r="W537" t="s">
        <v>41</v>
      </c>
    </row>
    <row r="538" spans="1:23" x14ac:dyDescent="0.25">
      <c r="A538">
        <v>537</v>
      </c>
      <c r="B538">
        <v>44</v>
      </c>
      <c r="C538" t="str" cm="1">
        <f t="array" ref="C538">_xlfn.IFS(
  AND(B538&gt;=18, B538&lt;=24), "18-24",
  AND(B538&gt;=25, B538&lt;=34), "25-34",
  AND(B538&gt;=35, B538&lt;=44), "35-44",
  AND(B538&gt;=45, B538&lt;=54), "45-54",
  B538&gt;=55, "55+"
)</f>
        <v>35-44</v>
      </c>
      <c r="D538" t="s">
        <v>19</v>
      </c>
      <c r="E538" t="s">
        <v>102</v>
      </c>
      <c r="F538" t="s">
        <v>65</v>
      </c>
      <c r="G538">
        <v>84</v>
      </c>
      <c r="H538" t="s">
        <v>115</v>
      </c>
      <c r="I538" t="s">
        <v>38</v>
      </c>
      <c r="J538" t="s">
        <v>33</v>
      </c>
      <c r="K538" t="s">
        <v>58</v>
      </c>
      <c r="L538">
        <v>4.4000000000000004</v>
      </c>
      <c r="M538" t="s">
        <v>26</v>
      </c>
      <c r="N538" t="s">
        <v>59</v>
      </c>
      <c r="O538" t="s">
        <v>76</v>
      </c>
      <c r="P538" t="s">
        <v>26</v>
      </c>
      <c r="Q538" t="s">
        <v>26</v>
      </c>
      <c r="R538">
        <v>16</v>
      </c>
      <c r="S538" t="s">
        <v>59</v>
      </c>
      <c r="T538" t="str">
        <f t="shared" si="16"/>
        <v>Quarterly</v>
      </c>
      <c r="U538">
        <f>VLOOKUP(T538,[1]tablescore!$B$3:$C$8, 2,FALSE)</f>
        <v>4</v>
      </c>
      <c r="V538" t="str">
        <f t="shared" si="17"/>
        <v>Low Loyalty</v>
      </c>
      <c r="W538" t="s">
        <v>97</v>
      </c>
    </row>
    <row r="539" spans="1:23" x14ac:dyDescent="0.25">
      <c r="A539">
        <v>538</v>
      </c>
      <c r="B539">
        <v>50</v>
      </c>
      <c r="C539" t="str" cm="1">
        <f t="array" ref="C539">_xlfn.IFS(
  AND(B539&gt;=18, B539&lt;=24), "18-24",
  AND(B539&gt;=25, B539&lt;=34), "25-34",
  AND(B539&gt;=35, B539&lt;=44), "35-44",
  AND(B539&gt;=45, B539&lt;=54), "45-54",
  B539&gt;=55, "55+"
)</f>
        <v>45-54</v>
      </c>
      <c r="D539" t="s">
        <v>19</v>
      </c>
      <c r="E539" t="s">
        <v>20</v>
      </c>
      <c r="F539" t="s">
        <v>21</v>
      </c>
      <c r="G539">
        <v>49</v>
      </c>
      <c r="H539" t="s">
        <v>128</v>
      </c>
      <c r="I539" t="s">
        <v>38</v>
      </c>
      <c r="J539" t="s">
        <v>49</v>
      </c>
      <c r="K539" t="s">
        <v>54</v>
      </c>
      <c r="L539">
        <v>3</v>
      </c>
      <c r="M539" t="s">
        <v>26</v>
      </c>
      <c r="N539" t="s">
        <v>27</v>
      </c>
      <c r="O539" t="s">
        <v>76</v>
      </c>
      <c r="P539" t="s">
        <v>26</v>
      </c>
      <c r="Q539" t="s">
        <v>26</v>
      </c>
      <c r="R539">
        <v>14</v>
      </c>
      <c r="S539" t="s">
        <v>59</v>
      </c>
      <c r="T539" t="str">
        <f t="shared" si="16"/>
        <v>Annually</v>
      </c>
      <c r="U539">
        <f>VLOOKUP(T539,[1]tablescore!$B$3:$C$8, 2,FALSE)</f>
        <v>1</v>
      </c>
      <c r="V539" t="str">
        <f t="shared" si="17"/>
        <v>Low Loyalty</v>
      </c>
      <c r="W539" t="s">
        <v>50</v>
      </c>
    </row>
    <row r="540" spans="1:23" x14ac:dyDescent="0.25">
      <c r="A540">
        <v>539</v>
      </c>
      <c r="B540">
        <v>27</v>
      </c>
      <c r="C540" t="str" cm="1">
        <f t="array" ref="C540">_xlfn.IFS(
  AND(B540&gt;=18, B540&lt;=24), "18-24",
  AND(B540&gt;=25, B540&lt;=34), "25-34",
  AND(B540&gt;=35, B540&lt;=44), "35-44",
  AND(B540&gt;=45, B540&lt;=54), "45-54",
  B540&gt;=55, "55+"
)</f>
        <v>25-34</v>
      </c>
      <c r="D540" t="s">
        <v>19</v>
      </c>
      <c r="E540" t="s">
        <v>131</v>
      </c>
      <c r="F540" t="s">
        <v>21</v>
      </c>
      <c r="G540">
        <v>22</v>
      </c>
      <c r="H540" t="s">
        <v>128</v>
      </c>
      <c r="I540" t="s">
        <v>92</v>
      </c>
      <c r="J540" t="s">
        <v>96</v>
      </c>
      <c r="K540" t="s">
        <v>39</v>
      </c>
      <c r="L540">
        <v>3.2</v>
      </c>
      <c r="M540" t="s">
        <v>26</v>
      </c>
      <c r="N540" t="s">
        <v>46</v>
      </c>
      <c r="O540" t="s">
        <v>40</v>
      </c>
      <c r="P540" t="s">
        <v>26</v>
      </c>
      <c r="Q540" t="s">
        <v>26</v>
      </c>
      <c r="R540">
        <v>43</v>
      </c>
      <c r="S540" t="s">
        <v>35</v>
      </c>
      <c r="T540" t="str">
        <f t="shared" si="16"/>
        <v>Daily</v>
      </c>
      <c r="U540">
        <f>VLOOKUP(T540,[1]tablescore!$B$3:$C$8, 2,FALSE)</f>
        <v>30</v>
      </c>
      <c r="V540" t="str">
        <f t="shared" si="17"/>
        <v>Highly Loyal</v>
      </c>
      <c r="W540" t="s">
        <v>41</v>
      </c>
    </row>
    <row r="541" spans="1:23" x14ac:dyDescent="0.25">
      <c r="A541">
        <v>540</v>
      </c>
      <c r="B541">
        <v>49</v>
      </c>
      <c r="C541" t="str" cm="1">
        <f t="array" ref="C541">_xlfn.IFS(
  AND(B541&gt;=18, B541&lt;=24), "18-24",
  AND(B541&gt;=25, B541&lt;=34), "25-34",
  AND(B541&gt;=35, B541&lt;=44), "35-44",
  AND(B541&gt;=45, B541&lt;=54), "45-54",
  B541&gt;=55, "55+"
)</f>
        <v>45-54</v>
      </c>
      <c r="D541" t="s">
        <v>19</v>
      </c>
      <c r="E541" t="s">
        <v>64</v>
      </c>
      <c r="F541" t="s">
        <v>65</v>
      </c>
      <c r="G541">
        <v>48</v>
      </c>
      <c r="H541" t="s">
        <v>52</v>
      </c>
      <c r="I541" t="s">
        <v>45</v>
      </c>
      <c r="J541" t="s">
        <v>84</v>
      </c>
      <c r="K541" t="s">
        <v>25</v>
      </c>
      <c r="L541">
        <v>4</v>
      </c>
      <c r="M541" t="s">
        <v>26</v>
      </c>
      <c r="N541" t="s">
        <v>35</v>
      </c>
      <c r="O541" t="s">
        <v>76</v>
      </c>
      <c r="P541" t="s">
        <v>26</v>
      </c>
      <c r="Q541" t="s">
        <v>26</v>
      </c>
      <c r="R541">
        <v>49</v>
      </c>
      <c r="S541" t="s">
        <v>59</v>
      </c>
      <c r="T541" t="str">
        <f t="shared" si="16"/>
        <v>Daily</v>
      </c>
      <c r="U541">
        <f>VLOOKUP(T541,[1]tablescore!$B$3:$C$8, 2,FALSE)</f>
        <v>30</v>
      </c>
      <c r="V541" t="str">
        <f t="shared" si="17"/>
        <v>Highly Loyal</v>
      </c>
      <c r="W541" t="s">
        <v>41</v>
      </c>
    </row>
    <row r="542" spans="1:23" x14ac:dyDescent="0.25">
      <c r="A542">
        <v>541</v>
      </c>
      <c r="B542">
        <v>49</v>
      </c>
      <c r="C542" t="str" cm="1">
        <f t="array" ref="C542">_xlfn.IFS(
  AND(B542&gt;=18, B542&lt;=24), "18-24",
  AND(B542&gt;=25, B542&lt;=34), "25-34",
  AND(B542&gt;=35, B542&lt;=44), "35-44",
  AND(B542&gt;=45, B542&lt;=54), "45-54",
  B542&gt;=55, "55+"
)</f>
        <v>45-54</v>
      </c>
      <c r="D542" t="s">
        <v>19</v>
      </c>
      <c r="E542" t="s">
        <v>82</v>
      </c>
      <c r="F542" t="s">
        <v>21</v>
      </c>
      <c r="G542">
        <v>37</v>
      </c>
      <c r="H542" t="s">
        <v>126</v>
      </c>
      <c r="I542" t="s">
        <v>45</v>
      </c>
      <c r="J542" t="s">
        <v>93</v>
      </c>
      <c r="K542" t="s">
        <v>39</v>
      </c>
      <c r="L542">
        <v>3.1</v>
      </c>
      <c r="M542" t="s">
        <v>26</v>
      </c>
      <c r="N542" t="s">
        <v>29</v>
      </c>
      <c r="O542" t="s">
        <v>47</v>
      </c>
      <c r="P542" t="s">
        <v>26</v>
      </c>
      <c r="Q542" t="s">
        <v>26</v>
      </c>
      <c r="R542">
        <v>33</v>
      </c>
      <c r="S542" t="s">
        <v>35</v>
      </c>
      <c r="T542" t="str">
        <f t="shared" si="16"/>
        <v>Quarterly</v>
      </c>
      <c r="U542">
        <f>VLOOKUP(T542,[1]tablescore!$B$3:$C$8, 2,FALSE)</f>
        <v>4</v>
      </c>
      <c r="V542" t="str">
        <f t="shared" si="17"/>
        <v>Low Loyalty</v>
      </c>
      <c r="W542" t="s">
        <v>97</v>
      </c>
    </row>
    <row r="543" spans="1:23" x14ac:dyDescent="0.25">
      <c r="A543">
        <v>542</v>
      </c>
      <c r="B543">
        <v>52</v>
      </c>
      <c r="C543" t="str" cm="1">
        <f t="array" ref="C543">_xlfn.IFS(
  AND(B543&gt;=18, B543&lt;=24), "18-24",
  AND(B543&gt;=25, B543&lt;=34), "25-34",
  AND(B543&gt;=35, B543&lt;=44), "35-44",
  AND(B543&gt;=45, B543&lt;=54), "45-54",
  B543&gt;=55, "55+"
)</f>
        <v>45-54</v>
      </c>
      <c r="D543" t="s">
        <v>19</v>
      </c>
      <c r="E543" t="s">
        <v>102</v>
      </c>
      <c r="F543" t="s">
        <v>65</v>
      </c>
      <c r="G543">
        <v>27</v>
      </c>
      <c r="H543" t="s">
        <v>146</v>
      </c>
      <c r="I543" t="s">
        <v>23</v>
      </c>
      <c r="J543" t="s">
        <v>24</v>
      </c>
      <c r="K543" t="s">
        <v>58</v>
      </c>
      <c r="L543">
        <v>2.8</v>
      </c>
      <c r="M543" t="s">
        <v>26</v>
      </c>
      <c r="N543" t="s">
        <v>34</v>
      </c>
      <c r="O543" t="s">
        <v>47</v>
      </c>
      <c r="P543" t="s">
        <v>26</v>
      </c>
      <c r="Q543" t="s">
        <v>26</v>
      </c>
      <c r="R543">
        <v>45</v>
      </c>
      <c r="S543" t="s">
        <v>35</v>
      </c>
      <c r="T543" t="str">
        <f t="shared" si="16"/>
        <v>2-week</v>
      </c>
      <c r="U543">
        <f>VLOOKUP(T543,[1]tablescore!$B$3:$C$8, 2,FALSE)</f>
        <v>26</v>
      </c>
      <c r="V543" t="str">
        <f t="shared" si="17"/>
        <v>Loyal</v>
      </c>
      <c r="W543" t="s">
        <v>77</v>
      </c>
    </row>
    <row r="544" spans="1:23" x14ac:dyDescent="0.25">
      <c r="A544">
        <v>543</v>
      </c>
      <c r="B544">
        <v>27</v>
      </c>
      <c r="C544" t="str" cm="1">
        <f t="array" ref="C544">_xlfn.IFS(
  AND(B544&gt;=18, B544&lt;=24), "18-24",
  AND(B544&gt;=25, B544&lt;=34), "25-34",
  AND(B544&gt;=35, B544&lt;=44), "35-44",
  AND(B544&gt;=45, B544&lt;=54), "45-54",
  B544&gt;=55, "55+"
)</f>
        <v>25-34</v>
      </c>
      <c r="D544" t="s">
        <v>19</v>
      </c>
      <c r="E544" t="s">
        <v>132</v>
      </c>
      <c r="F544" t="s">
        <v>43</v>
      </c>
      <c r="G544">
        <v>79</v>
      </c>
      <c r="H544" t="s">
        <v>115</v>
      </c>
      <c r="I544" t="s">
        <v>92</v>
      </c>
      <c r="J544" t="s">
        <v>86</v>
      </c>
      <c r="K544" t="s">
        <v>39</v>
      </c>
      <c r="L544">
        <v>4.5999999999999996</v>
      </c>
      <c r="M544" t="s">
        <v>26</v>
      </c>
      <c r="N544" t="s">
        <v>29</v>
      </c>
      <c r="O544" t="s">
        <v>47</v>
      </c>
      <c r="P544" t="s">
        <v>26</v>
      </c>
      <c r="Q544" t="s">
        <v>26</v>
      </c>
      <c r="R544">
        <v>35</v>
      </c>
      <c r="S544" t="s">
        <v>35</v>
      </c>
      <c r="T544" t="str">
        <f t="shared" si="16"/>
        <v>2-week</v>
      </c>
      <c r="U544">
        <f>VLOOKUP(T544,[1]tablescore!$B$3:$C$8, 2,FALSE)</f>
        <v>26</v>
      </c>
      <c r="V544" t="str">
        <f t="shared" si="17"/>
        <v>Loyal</v>
      </c>
      <c r="W544" t="s">
        <v>77</v>
      </c>
    </row>
    <row r="545" spans="1:23" x14ac:dyDescent="0.25">
      <c r="A545">
        <v>544</v>
      </c>
      <c r="B545">
        <v>53</v>
      </c>
      <c r="C545" t="str" cm="1">
        <f t="array" ref="C545">_xlfn.IFS(
  AND(B545&gt;=18, B545&lt;=24), "18-24",
  AND(B545&gt;=25, B545&lt;=34), "25-34",
  AND(B545&gt;=35, B545&lt;=44), "35-44",
  AND(B545&gt;=45, B545&lt;=54), "45-54",
  B545&gt;=55, "55+"
)</f>
        <v>45-54</v>
      </c>
      <c r="D545" t="s">
        <v>19</v>
      </c>
      <c r="E545" t="s">
        <v>87</v>
      </c>
      <c r="F545" t="s">
        <v>21</v>
      </c>
      <c r="G545">
        <v>98</v>
      </c>
      <c r="H545" t="s">
        <v>90</v>
      </c>
      <c r="I545" t="s">
        <v>38</v>
      </c>
      <c r="J545" t="s">
        <v>108</v>
      </c>
      <c r="K545" t="s">
        <v>39</v>
      </c>
      <c r="L545">
        <v>4.3</v>
      </c>
      <c r="M545" t="s">
        <v>26</v>
      </c>
      <c r="N545" t="s">
        <v>59</v>
      </c>
      <c r="O545" t="s">
        <v>28</v>
      </c>
      <c r="P545" t="s">
        <v>26</v>
      </c>
      <c r="Q545" t="s">
        <v>26</v>
      </c>
      <c r="R545">
        <v>11</v>
      </c>
      <c r="S545" t="s">
        <v>27</v>
      </c>
      <c r="T545" t="str">
        <f t="shared" si="16"/>
        <v>Month</v>
      </c>
      <c r="U545">
        <f>VLOOKUP(T545,[1]tablescore!$B$3:$C$8, 2,FALSE)</f>
        <v>12</v>
      </c>
      <c r="V545" t="str">
        <f t="shared" si="17"/>
        <v>Moderate</v>
      </c>
      <c r="W545" t="s">
        <v>88</v>
      </c>
    </row>
    <row r="546" spans="1:23" x14ac:dyDescent="0.25">
      <c r="A546">
        <v>545</v>
      </c>
      <c r="B546">
        <v>34</v>
      </c>
      <c r="C546" t="str" cm="1">
        <f t="array" ref="C546">_xlfn.IFS(
  AND(B546&gt;=18, B546&lt;=24), "18-24",
  AND(B546&gt;=25, B546&lt;=34), "25-34",
  AND(B546&gt;=35, B546&lt;=44), "35-44",
  AND(B546&gt;=45, B546&lt;=54), "45-54",
  B546&gt;=55, "55+"
)</f>
        <v>25-34</v>
      </c>
      <c r="D546" t="s">
        <v>19</v>
      </c>
      <c r="E546" t="s">
        <v>42</v>
      </c>
      <c r="F546" t="s">
        <v>43</v>
      </c>
      <c r="G546">
        <v>64</v>
      </c>
      <c r="H546" t="s">
        <v>140</v>
      </c>
      <c r="I546" t="s">
        <v>38</v>
      </c>
      <c r="J546" t="s">
        <v>139</v>
      </c>
      <c r="K546" t="s">
        <v>54</v>
      </c>
      <c r="L546">
        <v>3.3</v>
      </c>
      <c r="M546" t="s">
        <v>26</v>
      </c>
      <c r="N546" t="s">
        <v>35</v>
      </c>
      <c r="O546" t="s">
        <v>55</v>
      </c>
      <c r="P546" t="s">
        <v>26</v>
      </c>
      <c r="Q546" t="s">
        <v>26</v>
      </c>
      <c r="R546">
        <v>30</v>
      </c>
      <c r="S546" t="s">
        <v>34</v>
      </c>
      <c r="T546" t="str">
        <f t="shared" si="16"/>
        <v>Quarterly</v>
      </c>
      <c r="U546">
        <f>VLOOKUP(T546,[1]tablescore!$B$3:$C$8, 2,FALSE)</f>
        <v>4</v>
      </c>
      <c r="V546" t="str">
        <f t="shared" si="17"/>
        <v>Low Loyalty</v>
      </c>
      <c r="W546" t="s">
        <v>97</v>
      </c>
    </row>
    <row r="547" spans="1:23" x14ac:dyDescent="0.25">
      <c r="A547">
        <v>546</v>
      </c>
      <c r="B547">
        <v>33</v>
      </c>
      <c r="C547" t="str" cm="1">
        <f t="array" ref="C547">_xlfn.IFS(
  AND(B547&gt;=18, B547&lt;=24), "18-24",
  AND(B547&gt;=25, B547&lt;=34), "25-34",
  AND(B547&gt;=35, B547&lt;=44), "35-44",
  AND(B547&gt;=45, B547&lt;=54), "45-54",
  B547&gt;=55, "55+"
)</f>
        <v>25-34</v>
      </c>
      <c r="D547" t="s">
        <v>19</v>
      </c>
      <c r="E547" t="s">
        <v>64</v>
      </c>
      <c r="F547" t="s">
        <v>65</v>
      </c>
      <c r="G547">
        <v>32</v>
      </c>
      <c r="H547" t="s">
        <v>90</v>
      </c>
      <c r="I547" t="s">
        <v>23</v>
      </c>
      <c r="J547" t="s">
        <v>147</v>
      </c>
      <c r="K547" t="s">
        <v>54</v>
      </c>
      <c r="L547">
        <v>3.5</v>
      </c>
      <c r="M547" t="s">
        <v>26</v>
      </c>
      <c r="N547" t="s">
        <v>34</v>
      </c>
      <c r="O547" t="s">
        <v>72</v>
      </c>
      <c r="P547" t="s">
        <v>26</v>
      </c>
      <c r="Q547" t="s">
        <v>26</v>
      </c>
      <c r="R547">
        <v>48</v>
      </c>
      <c r="S547" t="s">
        <v>59</v>
      </c>
      <c r="T547" t="str">
        <f t="shared" si="16"/>
        <v>Annually</v>
      </c>
      <c r="U547">
        <f>VLOOKUP(T547,[1]tablescore!$B$3:$C$8, 2,FALSE)</f>
        <v>1</v>
      </c>
      <c r="V547" t="str">
        <f t="shared" si="17"/>
        <v>Low Loyalty</v>
      </c>
      <c r="W547" t="s">
        <v>50</v>
      </c>
    </row>
    <row r="548" spans="1:23" x14ac:dyDescent="0.25">
      <c r="A548">
        <v>547</v>
      </c>
      <c r="B548">
        <v>62</v>
      </c>
      <c r="C548" t="str" cm="1">
        <f t="array" ref="C548">_xlfn.IFS(
  AND(B548&gt;=18, B548&lt;=24), "18-24",
  AND(B548&gt;=25, B548&lt;=34), "25-34",
  AND(B548&gt;=35, B548&lt;=44), "35-44",
  AND(B548&gt;=45, B548&lt;=54), "45-54",
  B548&gt;=55, "55+"
)</f>
        <v>55+</v>
      </c>
      <c r="D548" t="s">
        <v>19</v>
      </c>
      <c r="E548" t="s">
        <v>104</v>
      </c>
      <c r="F548" t="s">
        <v>21</v>
      </c>
      <c r="G548">
        <v>74</v>
      </c>
      <c r="H548" t="s">
        <v>123</v>
      </c>
      <c r="I548" t="s">
        <v>45</v>
      </c>
      <c r="J548" t="s">
        <v>110</v>
      </c>
      <c r="K548" t="s">
        <v>25</v>
      </c>
      <c r="L548">
        <v>3.4</v>
      </c>
      <c r="M548" t="s">
        <v>26</v>
      </c>
      <c r="N548" t="s">
        <v>35</v>
      </c>
      <c r="O548" t="s">
        <v>40</v>
      </c>
      <c r="P548" t="s">
        <v>26</v>
      </c>
      <c r="Q548" t="s">
        <v>26</v>
      </c>
      <c r="R548">
        <v>45</v>
      </c>
      <c r="S548" t="s">
        <v>29</v>
      </c>
      <c r="T548" t="str">
        <f t="shared" si="16"/>
        <v>2-week</v>
      </c>
      <c r="U548">
        <f>VLOOKUP(T548,[1]tablescore!$B$3:$C$8, 2,FALSE)</f>
        <v>26</v>
      </c>
      <c r="V548" t="str">
        <f t="shared" si="17"/>
        <v>Loyal</v>
      </c>
      <c r="W548" t="s">
        <v>77</v>
      </c>
    </row>
    <row r="549" spans="1:23" x14ac:dyDescent="0.25">
      <c r="A549">
        <v>548</v>
      </c>
      <c r="B549">
        <v>38</v>
      </c>
      <c r="C549" t="str" cm="1">
        <f t="array" ref="C549">_xlfn.IFS(
  AND(B549&gt;=18, B549&lt;=24), "18-24",
  AND(B549&gt;=25, B549&lt;=34), "25-34",
  AND(B549&gt;=35, B549&lt;=44), "35-44",
  AND(B549&gt;=45, B549&lt;=54), "45-54",
  B549&gt;=55, "55+"
)</f>
        <v>35-44</v>
      </c>
      <c r="D549" t="s">
        <v>19</v>
      </c>
      <c r="E549" t="s">
        <v>102</v>
      </c>
      <c r="F549" t="s">
        <v>65</v>
      </c>
      <c r="G549">
        <v>50</v>
      </c>
      <c r="H549" t="s">
        <v>107</v>
      </c>
      <c r="I549" t="s">
        <v>45</v>
      </c>
      <c r="J549" t="s">
        <v>138</v>
      </c>
      <c r="K549" t="s">
        <v>25</v>
      </c>
      <c r="L549">
        <v>2.8</v>
      </c>
      <c r="M549" t="s">
        <v>26</v>
      </c>
      <c r="N549" t="s">
        <v>59</v>
      </c>
      <c r="O549" t="s">
        <v>40</v>
      </c>
      <c r="P549" t="s">
        <v>26</v>
      </c>
      <c r="Q549" t="s">
        <v>26</v>
      </c>
      <c r="R549">
        <v>26</v>
      </c>
      <c r="S549" t="s">
        <v>29</v>
      </c>
      <c r="T549" t="str">
        <f t="shared" si="16"/>
        <v>Daily</v>
      </c>
      <c r="U549">
        <f>VLOOKUP(T549,[1]tablescore!$B$3:$C$8, 2,FALSE)</f>
        <v>30</v>
      </c>
      <c r="V549" t="str">
        <f t="shared" si="17"/>
        <v>Highly Loyal</v>
      </c>
      <c r="W549" t="s">
        <v>41</v>
      </c>
    </row>
    <row r="550" spans="1:23" x14ac:dyDescent="0.25">
      <c r="A550">
        <v>549</v>
      </c>
      <c r="B550">
        <v>36</v>
      </c>
      <c r="C550" t="str" cm="1">
        <f t="array" ref="C550">_xlfn.IFS(
  AND(B550&gt;=18, B550&lt;=24), "18-24",
  AND(B550&gt;=25, B550&lt;=34), "25-34",
  AND(B550&gt;=35, B550&lt;=44), "35-44",
  AND(B550&gt;=45, B550&lt;=54), "45-54",
  B550&gt;=55, "55+"
)</f>
        <v>35-44</v>
      </c>
      <c r="D550" t="s">
        <v>19</v>
      </c>
      <c r="E550" t="s">
        <v>133</v>
      </c>
      <c r="F550" t="s">
        <v>69</v>
      </c>
      <c r="G550">
        <v>64</v>
      </c>
      <c r="H550" t="s">
        <v>143</v>
      </c>
      <c r="I550" t="s">
        <v>45</v>
      </c>
      <c r="J550" t="s">
        <v>94</v>
      </c>
      <c r="K550" t="s">
        <v>25</v>
      </c>
      <c r="L550">
        <v>4.5999999999999996</v>
      </c>
      <c r="M550" t="s">
        <v>26</v>
      </c>
      <c r="N550" t="s">
        <v>46</v>
      </c>
      <c r="O550" t="s">
        <v>76</v>
      </c>
      <c r="P550" t="s">
        <v>26</v>
      </c>
      <c r="Q550" t="s">
        <v>26</v>
      </c>
      <c r="R550">
        <v>41</v>
      </c>
      <c r="S550" t="s">
        <v>59</v>
      </c>
      <c r="T550" t="str">
        <f t="shared" si="16"/>
        <v>Quarterly</v>
      </c>
      <c r="U550">
        <f>VLOOKUP(T550,[1]tablescore!$B$3:$C$8, 2,FALSE)</f>
        <v>4</v>
      </c>
      <c r="V550" t="str">
        <f t="shared" si="17"/>
        <v>Low Loyalty</v>
      </c>
      <c r="W550" t="s">
        <v>97</v>
      </c>
    </row>
    <row r="551" spans="1:23" x14ac:dyDescent="0.25">
      <c r="A551">
        <v>550</v>
      </c>
      <c r="B551">
        <v>31</v>
      </c>
      <c r="C551" t="str" cm="1">
        <f t="array" ref="C551">_xlfn.IFS(
  AND(B551&gt;=18, B551&lt;=24), "18-24",
  AND(B551&gt;=25, B551&lt;=34), "25-34",
  AND(B551&gt;=35, B551&lt;=44), "35-44",
  AND(B551&gt;=45, B551&lt;=54), "45-54",
  B551&gt;=55, "55+"
)</f>
        <v>25-34</v>
      </c>
      <c r="D551" t="s">
        <v>19</v>
      </c>
      <c r="E551" t="s">
        <v>133</v>
      </c>
      <c r="F551" t="s">
        <v>69</v>
      </c>
      <c r="G551">
        <v>29</v>
      </c>
      <c r="H551" t="s">
        <v>117</v>
      </c>
      <c r="I551" t="s">
        <v>38</v>
      </c>
      <c r="J551" t="s">
        <v>79</v>
      </c>
      <c r="K551" t="s">
        <v>58</v>
      </c>
      <c r="L551">
        <v>3.6</v>
      </c>
      <c r="M551" t="s">
        <v>26</v>
      </c>
      <c r="N551" t="s">
        <v>35</v>
      </c>
      <c r="O551" t="s">
        <v>28</v>
      </c>
      <c r="P551" t="s">
        <v>26</v>
      </c>
      <c r="Q551" t="s">
        <v>26</v>
      </c>
      <c r="R551">
        <v>37</v>
      </c>
      <c r="S551" t="s">
        <v>29</v>
      </c>
      <c r="T551" t="str">
        <f t="shared" si="16"/>
        <v>2-week</v>
      </c>
      <c r="U551">
        <f>VLOOKUP(T551,[1]tablescore!$B$3:$C$8, 2,FALSE)</f>
        <v>26</v>
      </c>
      <c r="V551" t="str">
        <f t="shared" si="17"/>
        <v>Loyal</v>
      </c>
      <c r="W551" t="s">
        <v>77</v>
      </c>
    </row>
    <row r="552" spans="1:23" x14ac:dyDescent="0.25">
      <c r="A552">
        <v>551</v>
      </c>
      <c r="B552">
        <v>62</v>
      </c>
      <c r="C552" t="str" cm="1">
        <f t="array" ref="C552">_xlfn.IFS(
  AND(B552&gt;=18, B552&lt;=24), "18-24",
  AND(B552&gt;=25, B552&lt;=34), "25-34",
  AND(B552&gt;=35, B552&lt;=44), "35-44",
  AND(B552&gt;=45, B552&lt;=54), "45-54",
  B552&gt;=55, "55+"
)</f>
        <v>55+</v>
      </c>
      <c r="D552" t="s">
        <v>19</v>
      </c>
      <c r="E552" t="s">
        <v>136</v>
      </c>
      <c r="F552" t="s">
        <v>69</v>
      </c>
      <c r="G552">
        <v>62</v>
      </c>
      <c r="H552" t="s">
        <v>142</v>
      </c>
      <c r="I552" t="s">
        <v>45</v>
      </c>
      <c r="J552" t="s">
        <v>79</v>
      </c>
      <c r="K552" t="s">
        <v>54</v>
      </c>
      <c r="L552">
        <v>3.3</v>
      </c>
      <c r="M552" t="s">
        <v>26</v>
      </c>
      <c r="N552" t="s">
        <v>35</v>
      </c>
      <c r="O552" t="s">
        <v>76</v>
      </c>
      <c r="P552" t="s">
        <v>26</v>
      </c>
      <c r="Q552" t="s">
        <v>26</v>
      </c>
      <c r="R552">
        <v>12</v>
      </c>
      <c r="S552" t="s">
        <v>46</v>
      </c>
      <c r="T552" t="str">
        <f t="shared" si="16"/>
        <v>Daily</v>
      </c>
      <c r="U552">
        <f>VLOOKUP(T552,[1]tablescore!$B$3:$C$8, 2,FALSE)</f>
        <v>30</v>
      </c>
      <c r="V552" t="str">
        <f t="shared" si="17"/>
        <v>Highly Loyal</v>
      </c>
      <c r="W552" t="s">
        <v>41</v>
      </c>
    </row>
    <row r="553" spans="1:23" x14ac:dyDescent="0.25">
      <c r="A553">
        <v>552</v>
      </c>
      <c r="B553">
        <v>29</v>
      </c>
      <c r="C553" t="str" cm="1">
        <f t="array" ref="C553">_xlfn.IFS(
  AND(B553&gt;=18, B553&lt;=24), "18-24",
  AND(B553&gt;=25, B553&lt;=34), "25-34",
  AND(B553&gt;=35, B553&lt;=44), "35-44",
  AND(B553&gt;=45, B553&lt;=54), "45-54",
  B553&gt;=55, "55+"
)</f>
        <v>25-34</v>
      </c>
      <c r="D553" t="s">
        <v>19</v>
      </c>
      <c r="E553" t="s">
        <v>64</v>
      </c>
      <c r="F553" t="s">
        <v>65</v>
      </c>
      <c r="G553">
        <v>78</v>
      </c>
      <c r="H553" t="s">
        <v>144</v>
      </c>
      <c r="I553" t="s">
        <v>92</v>
      </c>
      <c r="J553" t="s">
        <v>96</v>
      </c>
      <c r="K553" t="s">
        <v>58</v>
      </c>
      <c r="L553">
        <v>3.1</v>
      </c>
      <c r="M553" t="s">
        <v>26</v>
      </c>
      <c r="N553" t="s">
        <v>29</v>
      </c>
      <c r="O553" t="s">
        <v>72</v>
      </c>
      <c r="P553" t="s">
        <v>26</v>
      </c>
      <c r="Q553" t="s">
        <v>26</v>
      </c>
      <c r="R553">
        <v>27</v>
      </c>
      <c r="S553" t="s">
        <v>35</v>
      </c>
      <c r="T553" t="str">
        <f t="shared" si="16"/>
        <v>2-week</v>
      </c>
      <c r="U553">
        <f>VLOOKUP(T553,[1]tablescore!$B$3:$C$8, 2,FALSE)</f>
        <v>26</v>
      </c>
      <c r="V553" t="str">
        <f t="shared" si="17"/>
        <v>Loyal</v>
      </c>
      <c r="W553" t="s">
        <v>77</v>
      </c>
    </row>
    <row r="554" spans="1:23" x14ac:dyDescent="0.25">
      <c r="A554">
        <v>553</v>
      </c>
      <c r="B554">
        <v>24</v>
      </c>
      <c r="C554" t="str" cm="1">
        <f t="array" ref="C554">_xlfn.IFS(
  AND(B554&gt;=18, B554&lt;=24), "18-24",
  AND(B554&gt;=25, B554&lt;=34), "25-34",
  AND(B554&gt;=35, B554&lt;=44), "35-44",
  AND(B554&gt;=45, B554&lt;=54), "45-54",
  B554&gt;=55, "55+"
)</f>
        <v>18-24</v>
      </c>
      <c r="D554" t="s">
        <v>19</v>
      </c>
      <c r="E554" t="s">
        <v>113</v>
      </c>
      <c r="F554" t="s">
        <v>21</v>
      </c>
      <c r="G554">
        <v>94</v>
      </c>
      <c r="H554" t="s">
        <v>70</v>
      </c>
      <c r="I554" t="s">
        <v>45</v>
      </c>
      <c r="J554" t="s">
        <v>100</v>
      </c>
      <c r="K554" t="s">
        <v>58</v>
      </c>
      <c r="L554">
        <v>3.5</v>
      </c>
      <c r="M554" t="s">
        <v>26</v>
      </c>
      <c r="N554" t="s">
        <v>34</v>
      </c>
      <c r="O554" t="s">
        <v>28</v>
      </c>
      <c r="P554" t="s">
        <v>26</v>
      </c>
      <c r="Q554" t="s">
        <v>26</v>
      </c>
      <c r="R554">
        <v>18</v>
      </c>
      <c r="S554" t="s">
        <v>34</v>
      </c>
      <c r="T554" t="str">
        <f t="shared" si="16"/>
        <v>Daily</v>
      </c>
      <c r="U554">
        <f>VLOOKUP(T554,[1]tablescore!$B$3:$C$8, 2,FALSE)</f>
        <v>30</v>
      </c>
      <c r="V554" t="str">
        <f t="shared" si="17"/>
        <v>Highly Loyal</v>
      </c>
      <c r="W554" t="s">
        <v>41</v>
      </c>
    </row>
    <row r="555" spans="1:23" x14ac:dyDescent="0.25">
      <c r="A555">
        <v>554</v>
      </c>
      <c r="B555">
        <v>63</v>
      </c>
      <c r="C555" t="str" cm="1">
        <f t="array" ref="C555">_xlfn.IFS(
  AND(B555&gt;=18, B555&lt;=24), "18-24",
  AND(B555&gt;=25, B555&lt;=34), "25-34",
  AND(B555&gt;=35, B555&lt;=44), "35-44",
  AND(B555&gt;=45, B555&lt;=54), "45-54",
  B555&gt;=55, "55+"
)</f>
        <v>55+</v>
      </c>
      <c r="D555" t="s">
        <v>19</v>
      </c>
      <c r="E555" t="s">
        <v>89</v>
      </c>
      <c r="F555" t="s">
        <v>69</v>
      </c>
      <c r="G555">
        <v>59</v>
      </c>
      <c r="H555" t="s">
        <v>103</v>
      </c>
      <c r="I555" t="s">
        <v>45</v>
      </c>
      <c r="J555" t="s">
        <v>53</v>
      </c>
      <c r="K555" t="s">
        <v>25</v>
      </c>
      <c r="L555">
        <v>3.2</v>
      </c>
      <c r="M555" t="s">
        <v>26</v>
      </c>
      <c r="N555" t="s">
        <v>29</v>
      </c>
      <c r="O555" t="s">
        <v>28</v>
      </c>
      <c r="P555" t="s">
        <v>26</v>
      </c>
      <c r="Q555" t="s">
        <v>26</v>
      </c>
      <c r="R555">
        <v>15</v>
      </c>
      <c r="S555" t="s">
        <v>27</v>
      </c>
      <c r="T555" t="str">
        <f t="shared" si="16"/>
        <v>Quarterly</v>
      </c>
      <c r="U555">
        <f>VLOOKUP(T555,[1]tablescore!$B$3:$C$8, 2,FALSE)</f>
        <v>4</v>
      </c>
      <c r="V555" t="str">
        <f t="shared" si="17"/>
        <v>Low Loyalty</v>
      </c>
      <c r="W555" t="s">
        <v>60</v>
      </c>
    </row>
    <row r="556" spans="1:23" x14ac:dyDescent="0.25">
      <c r="A556">
        <v>555</v>
      </c>
      <c r="B556">
        <v>56</v>
      </c>
      <c r="C556" t="str" cm="1">
        <f t="array" ref="C556">_xlfn.IFS(
  AND(B556&gt;=18, B556&lt;=24), "18-24",
  AND(B556&gt;=25, B556&lt;=34), "25-34",
  AND(B556&gt;=35, B556&lt;=44), "35-44",
  AND(B556&gt;=45, B556&lt;=54), "45-54",
  B556&gt;=55, "55+"
)</f>
        <v>55+</v>
      </c>
      <c r="D556" t="s">
        <v>19</v>
      </c>
      <c r="E556" t="s">
        <v>51</v>
      </c>
      <c r="F556" t="s">
        <v>43</v>
      </c>
      <c r="G556">
        <v>47</v>
      </c>
      <c r="H556" t="s">
        <v>134</v>
      </c>
      <c r="I556" t="s">
        <v>45</v>
      </c>
      <c r="J556" t="s">
        <v>108</v>
      </c>
      <c r="K556" t="s">
        <v>54</v>
      </c>
      <c r="L556">
        <v>3</v>
      </c>
      <c r="M556" t="s">
        <v>26</v>
      </c>
      <c r="N556" t="s">
        <v>46</v>
      </c>
      <c r="O556" t="s">
        <v>28</v>
      </c>
      <c r="P556" t="s">
        <v>26</v>
      </c>
      <c r="Q556" t="s">
        <v>26</v>
      </c>
      <c r="R556">
        <v>34</v>
      </c>
      <c r="S556" t="s">
        <v>34</v>
      </c>
      <c r="T556" t="str">
        <f t="shared" si="16"/>
        <v>Daily</v>
      </c>
      <c r="U556">
        <f>VLOOKUP(T556,[1]tablescore!$B$3:$C$8, 2,FALSE)</f>
        <v>30</v>
      </c>
      <c r="V556" t="str">
        <f t="shared" si="17"/>
        <v>Highly Loyal</v>
      </c>
      <c r="W556" t="s">
        <v>41</v>
      </c>
    </row>
    <row r="557" spans="1:23" x14ac:dyDescent="0.25">
      <c r="A557">
        <v>556</v>
      </c>
      <c r="B557">
        <v>63</v>
      </c>
      <c r="C557" t="str" cm="1">
        <f t="array" ref="C557">_xlfn.IFS(
  AND(B557&gt;=18, B557&lt;=24), "18-24",
  AND(B557&gt;=25, B557&lt;=34), "25-34",
  AND(B557&gt;=35, B557&lt;=44), "35-44",
  AND(B557&gt;=45, B557&lt;=54), "45-54",
  B557&gt;=55, "55+"
)</f>
        <v>55+</v>
      </c>
      <c r="D557" t="s">
        <v>19</v>
      </c>
      <c r="E557" t="s">
        <v>127</v>
      </c>
      <c r="F557" t="s">
        <v>69</v>
      </c>
      <c r="G557">
        <v>57</v>
      </c>
      <c r="H557" t="s">
        <v>32</v>
      </c>
      <c r="I557" t="s">
        <v>45</v>
      </c>
      <c r="J557" t="s">
        <v>53</v>
      </c>
      <c r="K557" t="s">
        <v>58</v>
      </c>
      <c r="L557">
        <v>4.8</v>
      </c>
      <c r="M557" t="s">
        <v>26</v>
      </c>
      <c r="N557" t="s">
        <v>34</v>
      </c>
      <c r="O557" t="s">
        <v>28</v>
      </c>
      <c r="P557" t="s">
        <v>26</v>
      </c>
      <c r="Q557" t="s">
        <v>26</v>
      </c>
      <c r="R557">
        <v>37</v>
      </c>
      <c r="S557" t="s">
        <v>29</v>
      </c>
      <c r="T557" t="str">
        <f t="shared" si="16"/>
        <v>Annually</v>
      </c>
      <c r="U557">
        <f>VLOOKUP(T557,[1]tablescore!$B$3:$C$8, 2,FALSE)</f>
        <v>1</v>
      </c>
      <c r="V557" t="str">
        <f t="shared" si="17"/>
        <v>Low Loyalty</v>
      </c>
      <c r="W557" t="s">
        <v>50</v>
      </c>
    </row>
    <row r="558" spans="1:23" x14ac:dyDescent="0.25">
      <c r="A558">
        <v>557</v>
      </c>
      <c r="B558">
        <v>40</v>
      </c>
      <c r="C558" t="str" cm="1">
        <f t="array" ref="C558">_xlfn.IFS(
  AND(B558&gt;=18, B558&lt;=24), "18-24",
  AND(B558&gt;=25, B558&lt;=34), "25-34",
  AND(B558&gt;=35, B558&lt;=44), "35-44",
  AND(B558&gt;=45, B558&lt;=54), "45-54",
  B558&gt;=55, "55+"
)</f>
        <v>35-44</v>
      </c>
      <c r="D558" t="s">
        <v>19</v>
      </c>
      <c r="E558" t="s">
        <v>64</v>
      </c>
      <c r="F558" t="s">
        <v>65</v>
      </c>
      <c r="G558">
        <v>90</v>
      </c>
      <c r="H558" t="s">
        <v>57</v>
      </c>
      <c r="I558" t="s">
        <v>23</v>
      </c>
      <c r="J558" t="s">
        <v>129</v>
      </c>
      <c r="K558" t="s">
        <v>25</v>
      </c>
      <c r="L558">
        <v>5</v>
      </c>
      <c r="M558" t="s">
        <v>26</v>
      </c>
      <c r="N558" t="s">
        <v>27</v>
      </c>
      <c r="O558" t="s">
        <v>76</v>
      </c>
      <c r="P558" t="s">
        <v>26</v>
      </c>
      <c r="Q558" t="s">
        <v>26</v>
      </c>
      <c r="R558">
        <v>21</v>
      </c>
      <c r="S558" t="s">
        <v>35</v>
      </c>
      <c r="T558" t="str">
        <f t="shared" si="16"/>
        <v>2-week</v>
      </c>
      <c r="U558">
        <f>VLOOKUP(T558,[1]tablescore!$B$3:$C$8, 2,FALSE)</f>
        <v>26</v>
      </c>
      <c r="V558" t="str">
        <f t="shared" si="17"/>
        <v>Loyal</v>
      </c>
      <c r="W558" t="s">
        <v>30</v>
      </c>
    </row>
    <row r="559" spans="1:23" x14ac:dyDescent="0.25">
      <c r="A559">
        <v>558</v>
      </c>
      <c r="B559">
        <v>18</v>
      </c>
      <c r="C559" t="str" cm="1">
        <f t="array" ref="C559">_xlfn.IFS(
  AND(B559&gt;=18, B559&lt;=24), "18-24",
  AND(B559&gt;=25, B559&lt;=34), "25-34",
  AND(B559&gt;=35, B559&lt;=44), "35-44",
  AND(B559&gt;=45, B559&lt;=54), "45-54",
  B559&gt;=55, "55+"
)</f>
        <v>18-24</v>
      </c>
      <c r="D559" t="s">
        <v>19</v>
      </c>
      <c r="E559" t="s">
        <v>56</v>
      </c>
      <c r="F559" t="s">
        <v>21</v>
      </c>
      <c r="G559">
        <v>60</v>
      </c>
      <c r="H559" t="s">
        <v>120</v>
      </c>
      <c r="I559" t="s">
        <v>45</v>
      </c>
      <c r="J559" t="s">
        <v>53</v>
      </c>
      <c r="K559" t="s">
        <v>39</v>
      </c>
      <c r="L559">
        <v>2.9</v>
      </c>
      <c r="M559" t="s">
        <v>26</v>
      </c>
      <c r="N559" t="s">
        <v>46</v>
      </c>
      <c r="O559" t="s">
        <v>40</v>
      </c>
      <c r="P559" t="s">
        <v>26</v>
      </c>
      <c r="Q559" t="s">
        <v>26</v>
      </c>
      <c r="R559">
        <v>31</v>
      </c>
      <c r="S559" t="s">
        <v>59</v>
      </c>
      <c r="T559" t="str">
        <f t="shared" si="16"/>
        <v>Daily</v>
      </c>
      <c r="U559">
        <f>VLOOKUP(T559,[1]tablescore!$B$3:$C$8, 2,FALSE)</f>
        <v>30</v>
      </c>
      <c r="V559" t="str">
        <f t="shared" si="17"/>
        <v>Highly Loyal</v>
      </c>
      <c r="W559" t="s">
        <v>41</v>
      </c>
    </row>
    <row r="560" spans="1:23" x14ac:dyDescent="0.25">
      <c r="A560">
        <v>559</v>
      </c>
      <c r="B560">
        <v>50</v>
      </c>
      <c r="C560" t="str" cm="1">
        <f t="array" ref="C560">_xlfn.IFS(
  AND(B560&gt;=18, B560&lt;=24), "18-24",
  AND(B560&gt;=25, B560&lt;=34), "25-34",
  AND(B560&gt;=35, B560&lt;=44), "35-44",
  AND(B560&gt;=45, B560&lt;=54), "45-54",
  B560&gt;=55, "55+"
)</f>
        <v>45-54</v>
      </c>
      <c r="D560" t="s">
        <v>19</v>
      </c>
      <c r="E560" t="s">
        <v>51</v>
      </c>
      <c r="F560" t="s">
        <v>43</v>
      </c>
      <c r="G560">
        <v>77</v>
      </c>
      <c r="H560" t="s">
        <v>150</v>
      </c>
      <c r="I560" t="s">
        <v>23</v>
      </c>
      <c r="J560" t="s">
        <v>86</v>
      </c>
      <c r="K560" t="s">
        <v>58</v>
      </c>
      <c r="L560">
        <v>3.2</v>
      </c>
      <c r="M560" t="s">
        <v>26</v>
      </c>
      <c r="N560" t="s">
        <v>29</v>
      </c>
      <c r="O560" t="s">
        <v>28</v>
      </c>
      <c r="P560" t="s">
        <v>26</v>
      </c>
      <c r="Q560" t="s">
        <v>26</v>
      </c>
      <c r="R560">
        <v>43</v>
      </c>
      <c r="S560" t="s">
        <v>59</v>
      </c>
      <c r="T560" t="str">
        <f t="shared" si="16"/>
        <v>Quarterly</v>
      </c>
      <c r="U560">
        <f>VLOOKUP(T560,[1]tablescore!$B$3:$C$8, 2,FALSE)</f>
        <v>4</v>
      </c>
      <c r="V560" t="str">
        <f t="shared" si="17"/>
        <v>Low Loyalty</v>
      </c>
      <c r="W560" t="s">
        <v>97</v>
      </c>
    </row>
    <row r="561" spans="1:23" x14ac:dyDescent="0.25">
      <c r="A561">
        <v>560</v>
      </c>
      <c r="B561">
        <v>66</v>
      </c>
      <c r="C561" t="str" cm="1">
        <f t="array" ref="C561">_xlfn.IFS(
  AND(B561&gt;=18, B561&lt;=24), "18-24",
  AND(B561&gt;=25, B561&lt;=34), "25-34",
  AND(B561&gt;=35, B561&lt;=44), "35-44",
  AND(B561&gt;=45, B561&lt;=54), "45-54",
  B561&gt;=55, "55+"
)</f>
        <v>55+</v>
      </c>
      <c r="D561" t="s">
        <v>19</v>
      </c>
      <c r="E561" t="s">
        <v>119</v>
      </c>
      <c r="F561" t="s">
        <v>69</v>
      </c>
      <c r="G561">
        <v>41</v>
      </c>
      <c r="H561" t="s">
        <v>117</v>
      </c>
      <c r="I561" t="s">
        <v>45</v>
      </c>
      <c r="J561" t="s">
        <v>129</v>
      </c>
      <c r="K561" t="s">
        <v>58</v>
      </c>
      <c r="L561">
        <v>2.9</v>
      </c>
      <c r="M561" t="s">
        <v>26</v>
      </c>
      <c r="N561" t="s">
        <v>34</v>
      </c>
      <c r="O561" t="s">
        <v>76</v>
      </c>
      <c r="P561" t="s">
        <v>26</v>
      </c>
      <c r="Q561" t="s">
        <v>26</v>
      </c>
      <c r="R561">
        <v>22</v>
      </c>
      <c r="S561" t="s">
        <v>34</v>
      </c>
      <c r="T561" t="str">
        <f t="shared" si="16"/>
        <v>Month</v>
      </c>
      <c r="U561">
        <f>VLOOKUP(T561,[1]tablescore!$B$3:$C$8, 2,FALSE)</f>
        <v>12</v>
      </c>
      <c r="V561" t="str">
        <f t="shared" si="17"/>
        <v>Moderate</v>
      </c>
      <c r="W561" t="s">
        <v>88</v>
      </c>
    </row>
    <row r="562" spans="1:23" x14ac:dyDescent="0.25">
      <c r="A562">
        <v>561</v>
      </c>
      <c r="B562">
        <v>25</v>
      </c>
      <c r="C562" t="str" cm="1">
        <f t="array" ref="C562">_xlfn.IFS(
  AND(B562&gt;=18, B562&lt;=24), "18-24",
  AND(B562&gt;=25, B562&lt;=34), "25-34",
  AND(B562&gt;=35, B562&lt;=44), "35-44",
  AND(B562&gt;=45, B562&lt;=54), "45-54",
  B562&gt;=55, "55+"
)</f>
        <v>25-34</v>
      </c>
      <c r="D562" t="s">
        <v>19</v>
      </c>
      <c r="E562" t="s">
        <v>106</v>
      </c>
      <c r="F562" t="s">
        <v>69</v>
      </c>
      <c r="G562">
        <v>48</v>
      </c>
      <c r="H562" t="s">
        <v>62</v>
      </c>
      <c r="I562" t="s">
        <v>23</v>
      </c>
      <c r="J562" t="s">
        <v>108</v>
      </c>
      <c r="K562" t="s">
        <v>58</v>
      </c>
      <c r="L562">
        <v>3.3</v>
      </c>
      <c r="M562" t="s">
        <v>26</v>
      </c>
      <c r="N562" t="s">
        <v>46</v>
      </c>
      <c r="O562" t="s">
        <v>40</v>
      </c>
      <c r="P562" t="s">
        <v>26</v>
      </c>
      <c r="Q562" t="s">
        <v>26</v>
      </c>
      <c r="R562">
        <v>12</v>
      </c>
      <c r="S562" t="s">
        <v>59</v>
      </c>
      <c r="T562" t="str">
        <f t="shared" si="16"/>
        <v>Annually</v>
      </c>
      <c r="U562">
        <f>VLOOKUP(T562,[1]tablescore!$B$3:$C$8, 2,FALSE)</f>
        <v>1</v>
      </c>
      <c r="V562" t="str">
        <f t="shared" si="17"/>
        <v>Low Loyalty</v>
      </c>
      <c r="W562" t="s">
        <v>50</v>
      </c>
    </row>
    <row r="563" spans="1:23" x14ac:dyDescent="0.25">
      <c r="A563">
        <v>562</v>
      </c>
      <c r="B563">
        <v>65</v>
      </c>
      <c r="C563" t="str" cm="1">
        <f t="array" ref="C563">_xlfn.IFS(
  AND(B563&gt;=18, B563&lt;=24), "18-24",
  AND(B563&gt;=25, B563&lt;=34), "25-34",
  AND(B563&gt;=35, B563&lt;=44), "35-44",
  AND(B563&gt;=45, B563&lt;=54), "45-54",
  B563&gt;=55, "55+"
)</f>
        <v>55+</v>
      </c>
      <c r="D563" t="s">
        <v>19</v>
      </c>
      <c r="E563" t="s">
        <v>102</v>
      </c>
      <c r="F563" t="s">
        <v>65</v>
      </c>
      <c r="G563">
        <v>65</v>
      </c>
      <c r="H563" t="s">
        <v>90</v>
      </c>
      <c r="I563" t="s">
        <v>45</v>
      </c>
      <c r="J563" t="s">
        <v>138</v>
      </c>
      <c r="K563" t="s">
        <v>58</v>
      </c>
      <c r="L563">
        <v>2.6</v>
      </c>
      <c r="M563" t="s">
        <v>26</v>
      </c>
      <c r="N563" t="s">
        <v>27</v>
      </c>
      <c r="O563" t="s">
        <v>47</v>
      </c>
      <c r="P563" t="s">
        <v>26</v>
      </c>
      <c r="Q563" t="s">
        <v>26</v>
      </c>
      <c r="R563">
        <v>25</v>
      </c>
      <c r="S563" t="s">
        <v>46</v>
      </c>
      <c r="T563" t="str">
        <f t="shared" si="16"/>
        <v>2-week</v>
      </c>
      <c r="U563">
        <f>VLOOKUP(T563,[1]tablescore!$B$3:$C$8, 2,FALSE)</f>
        <v>26</v>
      </c>
      <c r="V563" t="str">
        <f t="shared" si="17"/>
        <v>Loyal</v>
      </c>
      <c r="W563" t="s">
        <v>30</v>
      </c>
    </row>
    <row r="564" spans="1:23" x14ac:dyDescent="0.25">
      <c r="A564">
        <v>563</v>
      </c>
      <c r="B564">
        <v>53</v>
      </c>
      <c r="C564" t="str" cm="1">
        <f t="array" ref="C564">_xlfn.IFS(
  AND(B564&gt;=18, B564&lt;=24), "18-24",
  AND(B564&gt;=25, B564&lt;=34), "25-34",
  AND(B564&gt;=35, B564&lt;=44), "35-44",
  AND(B564&gt;=45, B564&lt;=54), "45-54",
  B564&gt;=55, "55+"
)</f>
        <v>45-54</v>
      </c>
      <c r="D564" t="s">
        <v>19</v>
      </c>
      <c r="E564" t="s">
        <v>36</v>
      </c>
      <c r="F564" t="s">
        <v>21</v>
      </c>
      <c r="G564">
        <v>62</v>
      </c>
      <c r="H564" t="s">
        <v>70</v>
      </c>
      <c r="I564" t="s">
        <v>45</v>
      </c>
      <c r="J564" t="s">
        <v>138</v>
      </c>
      <c r="K564" t="s">
        <v>54</v>
      </c>
      <c r="L564">
        <v>3.5</v>
      </c>
      <c r="M564" t="s">
        <v>26</v>
      </c>
      <c r="N564" t="s">
        <v>46</v>
      </c>
      <c r="O564" t="s">
        <v>55</v>
      </c>
      <c r="P564" t="s">
        <v>26</v>
      </c>
      <c r="Q564" t="s">
        <v>26</v>
      </c>
      <c r="R564">
        <v>40</v>
      </c>
      <c r="S564" t="s">
        <v>59</v>
      </c>
      <c r="T564" t="str">
        <f t="shared" si="16"/>
        <v>Annually</v>
      </c>
      <c r="U564">
        <f>VLOOKUP(T564,[1]tablescore!$B$3:$C$8, 2,FALSE)</f>
        <v>1</v>
      </c>
      <c r="V564" t="str">
        <f t="shared" si="17"/>
        <v>Low Loyalty</v>
      </c>
      <c r="W564" t="s">
        <v>50</v>
      </c>
    </row>
    <row r="565" spans="1:23" x14ac:dyDescent="0.25">
      <c r="A565">
        <v>564</v>
      </c>
      <c r="B565">
        <v>61</v>
      </c>
      <c r="C565" t="str" cm="1">
        <f t="array" ref="C565">_xlfn.IFS(
  AND(B565&gt;=18, B565&lt;=24), "18-24",
  AND(B565&gt;=25, B565&lt;=34), "25-34",
  AND(B565&gt;=35, B565&lt;=44), "35-44",
  AND(B565&gt;=45, B565&lt;=54), "45-54",
  B565&gt;=55, "55+"
)</f>
        <v>55+</v>
      </c>
      <c r="D565" t="s">
        <v>19</v>
      </c>
      <c r="E565" t="s">
        <v>73</v>
      </c>
      <c r="F565" t="s">
        <v>43</v>
      </c>
      <c r="G565">
        <v>99</v>
      </c>
      <c r="H565" t="s">
        <v>144</v>
      </c>
      <c r="I565" t="s">
        <v>45</v>
      </c>
      <c r="J565" t="s">
        <v>94</v>
      </c>
      <c r="K565" t="s">
        <v>58</v>
      </c>
      <c r="L565">
        <v>4.4000000000000004</v>
      </c>
      <c r="M565" t="s">
        <v>26</v>
      </c>
      <c r="N565" t="s">
        <v>46</v>
      </c>
      <c r="O565" t="s">
        <v>55</v>
      </c>
      <c r="P565" t="s">
        <v>26</v>
      </c>
      <c r="Q565" t="s">
        <v>26</v>
      </c>
      <c r="R565">
        <v>16</v>
      </c>
      <c r="S565" t="s">
        <v>59</v>
      </c>
      <c r="T565" t="str">
        <f t="shared" si="16"/>
        <v>Quarterly</v>
      </c>
      <c r="U565">
        <f>VLOOKUP(T565,[1]tablescore!$B$3:$C$8, 2,FALSE)</f>
        <v>4</v>
      </c>
      <c r="V565" t="str">
        <f t="shared" si="17"/>
        <v>Low Loyalty</v>
      </c>
      <c r="W565" t="s">
        <v>60</v>
      </c>
    </row>
    <row r="566" spans="1:23" x14ac:dyDescent="0.25">
      <c r="A566">
        <v>565</v>
      </c>
      <c r="B566">
        <v>67</v>
      </c>
      <c r="C566" t="str" cm="1">
        <f t="array" ref="C566">_xlfn.IFS(
  AND(B566&gt;=18, B566&lt;=24), "18-24",
  AND(B566&gt;=25, B566&lt;=34), "25-34",
  AND(B566&gt;=35, B566&lt;=44), "35-44",
  AND(B566&gt;=45, B566&lt;=54), "45-54",
  B566&gt;=55, "55+"
)</f>
        <v>55+</v>
      </c>
      <c r="D566" t="s">
        <v>19</v>
      </c>
      <c r="E566" t="s">
        <v>104</v>
      </c>
      <c r="F566" t="s">
        <v>21</v>
      </c>
      <c r="G566">
        <v>58</v>
      </c>
      <c r="H566" t="s">
        <v>103</v>
      </c>
      <c r="I566" t="s">
        <v>45</v>
      </c>
      <c r="J566" t="s">
        <v>79</v>
      </c>
      <c r="K566" t="s">
        <v>25</v>
      </c>
      <c r="L566">
        <v>3.4</v>
      </c>
      <c r="M566" t="s">
        <v>26</v>
      </c>
      <c r="N566" t="s">
        <v>35</v>
      </c>
      <c r="O566" t="s">
        <v>47</v>
      </c>
      <c r="P566" t="s">
        <v>26</v>
      </c>
      <c r="Q566" t="s">
        <v>26</v>
      </c>
      <c r="R566">
        <v>30</v>
      </c>
      <c r="S566" t="s">
        <v>34</v>
      </c>
      <c r="T566" t="str">
        <f t="shared" si="16"/>
        <v>Daily</v>
      </c>
      <c r="U566">
        <f>VLOOKUP(T566,[1]tablescore!$B$3:$C$8, 2,FALSE)</f>
        <v>30</v>
      </c>
      <c r="V566" t="str">
        <f t="shared" si="17"/>
        <v>Highly Loyal</v>
      </c>
      <c r="W566" t="s">
        <v>41</v>
      </c>
    </row>
    <row r="567" spans="1:23" x14ac:dyDescent="0.25">
      <c r="A567">
        <v>566</v>
      </c>
      <c r="B567">
        <v>59</v>
      </c>
      <c r="C567" t="str" cm="1">
        <f t="array" ref="C567">_xlfn.IFS(
  AND(B567&gt;=18, B567&lt;=24), "18-24",
  AND(B567&gt;=25, B567&lt;=34), "25-34",
  AND(B567&gt;=35, B567&lt;=44), "35-44",
  AND(B567&gt;=45, B567&lt;=54), "45-54",
  B567&gt;=55, "55+"
)</f>
        <v>55+</v>
      </c>
      <c r="D567" t="s">
        <v>19</v>
      </c>
      <c r="E567" t="s">
        <v>133</v>
      </c>
      <c r="F567" t="s">
        <v>69</v>
      </c>
      <c r="G567">
        <v>43</v>
      </c>
      <c r="H567" t="s">
        <v>144</v>
      </c>
      <c r="I567" t="s">
        <v>23</v>
      </c>
      <c r="J567" t="s">
        <v>93</v>
      </c>
      <c r="K567" t="s">
        <v>58</v>
      </c>
      <c r="L567">
        <v>4.2</v>
      </c>
      <c r="M567" t="s">
        <v>26</v>
      </c>
      <c r="N567" t="s">
        <v>34</v>
      </c>
      <c r="O567" t="s">
        <v>76</v>
      </c>
      <c r="P567" t="s">
        <v>26</v>
      </c>
      <c r="Q567" t="s">
        <v>26</v>
      </c>
      <c r="R567">
        <v>10</v>
      </c>
      <c r="S567" t="s">
        <v>29</v>
      </c>
      <c r="T567" t="str">
        <f t="shared" si="16"/>
        <v>Daily</v>
      </c>
      <c r="U567">
        <f>VLOOKUP(T567,[1]tablescore!$B$3:$C$8, 2,FALSE)</f>
        <v>30</v>
      </c>
      <c r="V567" t="str">
        <f t="shared" si="17"/>
        <v>Highly Loyal</v>
      </c>
      <c r="W567" t="s">
        <v>41</v>
      </c>
    </row>
    <row r="568" spans="1:23" x14ac:dyDescent="0.25">
      <c r="A568">
        <v>567</v>
      </c>
      <c r="B568">
        <v>55</v>
      </c>
      <c r="C568" t="str" cm="1">
        <f t="array" ref="C568">_xlfn.IFS(
  AND(B568&gt;=18, B568&lt;=24), "18-24",
  AND(B568&gt;=25, B568&lt;=34), "25-34",
  AND(B568&gt;=35, B568&lt;=44), "35-44",
  AND(B568&gt;=45, B568&lt;=54), "45-54",
  B568&gt;=55, "55+"
)</f>
        <v>55+</v>
      </c>
      <c r="D568" t="s">
        <v>19</v>
      </c>
      <c r="E568" t="s">
        <v>51</v>
      </c>
      <c r="F568" t="s">
        <v>43</v>
      </c>
      <c r="G568">
        <v>93</v>
      </c>
      <c r="H568" t="s">
        <v>90</v>
      </c>
      <c r="I568" t="s">
        <v>45</v>
      </c>
      <c r="J568" t="s">
        <v>129</v>
      </c>
      <c r="K568" t="s">
        <v>39</v>
      </c>
      <c r="L568">
        <v>3.6</v>
      </c>
      <c r="M568" t="s">
        <v>26</v>
      </c>
      <c r="N568" t="s">
        <v>46</v>
      </c>
      <c r="O568" t="s">
        <v>76</v>
      </c>
      <c r="P568" t="s">
        <v>26</v>
      </c>
      <c r="Q568" t="s">
        <v>26</v>
      </c>
      <c r="R568">
        <v>1</v>
      </c>
      <c r="S568" t="s">
        <v>59</v>
      </c>
      <c r="T568" t="str">
        <f t="shared" si="16"/>
        <v>2-week</v>
      </c>
      <c r="U568">
        <f>VLOOKUP(T568,[1]tablescore!$B$3:$C$8, 2,FALSE)</f>
        <v>26</v>
      </c>
      <c r="V568" t="str">
        <f t="shared" si="17"/>
        <v>Loyal</v>
      </c>
      <c r="W568" t="s">
        <v>30</v>
      </c>
    </row>
    <row r="569" spans="1:23" x14ac:dyDescent="0.25">
      <c r="A569">
        <v>568</v>
      </c>
      <c r="B569">
        <v>21</v>
      </c>
      <c r="C569" t="str" cm="1">
        <f t="array" ref="C569">_xlfn.IFS(
  AND(B569&gt;=18, B569&lt;=24), "18-24",
  AND(B569&gt;=25, B569&lt;=34), "25-34",
  AND(B569&gt;=35, B569&lt;=44), "35-44",
  AND(B569&gt;=45, B569&lt;=54), "45-54",
  B569&gt;=55, "55+"
)</f>
        <v>18-24</v>
      </c>
      <c r="D569" t="s">
        <v>19</v>
      </c>
      <c r="E569" t="s">
        <v>20</v>
      </c>
      <c r="F569" t="s">
        <v>21</v>
      </c>
      <c r="G569">
        <v>50</v>
      </c>
      <c r="H569" t="s">
        <v>83</v>
      </c>
      <c r="I569" t="s">
        <v>38</v>
      </c>
      <c r="J569" t="s">
        <v>108</v>
      </c>
      <c r="K569" t="s">
        <v>25</v>
      </c>
      <c r="L569">
        <v>3</v>
      </c>
      <c r="M569" t="s">
        <v>26</v>
      </c>
      <c r="N569" t="s">
        <v>29</v>
      </c>
      <c r="O569" t="s">
        <v>47</v>
      </c>
      <c r="P569" t="s">
        <v>26</v>
      </c>
      <c r="Q569" t="s">
        <v>26</v>
      </c>
      <c r="R569">
        <v>24</v>
      </c>
      <c r="S569" t="s">
        <v>29</v>
      </c>
      <c r="T569" t="str">
        <f t="shared" si="16"/>
        <v>2-week</v>
      </c>
      <c r="U569">
        <f>VLOOKUP(T569,[1]tablescore!$B$3:$C$8, 2,FALSE)</f>
        <v>26</v>
      </c>
      <c r="V569" t="str">
        <f t="shared" si="17"/>
        <v>Loyal</v>
      </c>
      <c r="W569" t="s">
        <v>30</v>
      </c>
    </row>
    <row r="570" spans="1:23" x14ac:dyDescent="0.25">
      <c r="A570">
        <v>569</v>
      </c>
      <c r="B570">
        <v>44</v>
      </c>
      <c r="C570" t="str" cm="1">
        <f t="array" ref="C570">_xlfn.IFS(
  AND(B570&gt;=18, B570&lt;=24), "18-24",
  AND(B570&gt;=25, B570&lt;=34), "25-34",
  AND(B570&gt;=35, B570&lt;=44), "35-44",
  AND(B570&gt;=45, B570&lt;=54), "45-54",
  B570&gt;=55, "55+"
)</f>
        <v>35-44</v>
      </c>
      <c r="D570" t="s">
        <v>19</v>
      </c>
      <c r="E570" t="s">
        <v>95</v>
      </c>
      <c r="F570" t="s">
        <v>21</v>
      </c>
      <c r="G570">
        <v>88</v>
      </c>
      <c r="H570" t="s">
        <v>149</v>
      </c>
      <c r="I570" t="s">
        <v>23</v>
      </c>
      <c r="J570" t="s">
        <v>108</v>
      </c>
      <c r="K570" t="s">
        <v>54</v>
      </c>
      <c r="L570">
        <v>4</v>
      </c>
      <c r="M570" t="s">
        <v>26</v>
      </c>
      <c r="N570" t="s">
        <v>34</v>
      </c>
      <c r="O570" t="s">
        <v>40</v>
      </c>
      <c r="P570" t="s">
        <v>26</v>
      </c>
      <c r="Q570" t="s">
        <v>26</v>
      </c>
      <c r="R570">
        <v>36</v>
      </c>
      <c r="S570" t="s">
        <v>46</v>
      </c>
      <c r="T570" t="str">
        <f t="shared" si="16"/>
        <v>Month</v>
      </c>
      <c r="U570">
        <f>VLOOKUP(T570,[1]tablescore!$B$3:$C$8, 2,FALSE)</f>
        <v>12</v>
      </c>
      <c r="V570" t="str">
        <f t="shared" si="17"/>
        <v>Moderate</v>
      </c>
      <c r="W570" t="s">
        <v>88</v>
      </c>
    </row>
    <row r="571" spans="1:23" x14ac:dyDescent="0.25">
      <c r="A571">
        <v>570</v>
      </c>
      <c r="B571">
        <v>65</v>
      </c>
      <c r="C571" t="str" cm="1">
        <f t="array" ref="C571">_xlfn.IFS(
  AND(B571&gt;=18, B571&lt;=24), "18-24",
  AND(B571&gt;=25, B571&lt;=34), "25-34",
  AND(B571&gt;=35, B571&lt;=44), "35-44",
  AND(B571&gt;=45, B571&lt;=54), "45-54",
  B571&gt;=55, "55+"
)</f>
        <v>55+</v>
      </c>
      <c r="D571" t="s">
        <v>19</v>
      </c>
      <c r="E571" t="s">
        <v>87</v>
      </c>
      <c r="F571" t="s">
        <v>21</v>
      </c>
      <c r="G571">
        <v>33</v>
      </c>
      <c r="H571" t="s">
        <v>90</v>
      </c>
      <c r="I571" t="s">
        <v>45</v>
      </c>
      <c r="J571" t="s">
        <v>71</v>
      </c>
      <c r="K571" t="s">
        <v>58</v>
      </c>
      <c r="L571">
        <v>4.4000000000000004</v>
      </c>
      <c r="M571" t="s">
        <v>26</v>
      </c>
      <c r="N571" t="s">
        <v>46</v>
      </c>
      <c r="O571" t="s">
        <v>28</v>
      </c>
      <c r="P571" t="s">
        <v>26</v>
      </c>
      <c r="Q571" t="s">
        <v>26</v>
      </c>
      <c r="R571">
        <v>46</v>
      </c>
      <c r="S571" t="s">
        <v>27</v>
      </c>
      <c r="T571" t="str">
        <f t="shared" si="16"/>
        <v>Quarterly</v>
      </c>
      <c r="U571">
        <f>VLOOKUP(T571,[1]tablescore!$B$3:$C$8, 2,FALSE)</f>
        <v>4</v>
      </c>
      <c r="V571" t="str">
        <f t="shared" si="17"/>
        <v>Low Loyalty</v>
      </c>
      <c r="W571" t="s">
        <v>97</v>
      </c>
    </row>
    <row r="572" spans="1:23" x14ac:dyDescent="0.25">
      <c r="A572">
        <v>571</v>
      </c>
      <c r="B572">
        <v>65</v>
      </c>
      <c r="C572" t="str" cm="1">
        <f t="array" ref="C572">_xlfn.IFS(
  AND(B572&gt;=18, B572&lt;=24), "18-24",
  AND(B572&gt;=25, B572&lt;=34), "25-34",
  AND(B572&gt;=35, B572&lt;=44), "35-44",
  AND(B572&gt;=45, B572&lt;=54), "45-54",
  B572&gt;=55, "55+"
)</f>
        <v>55+</v>
      </c>
      <c r="D572" t="s">
        <v>19</v>
      </c>
      <c r="E572" t="s">
        <v>113</v>
      </c>
      <c r="F572" t="s">
        <v>21</v>
      </c>
      <c r="G572">
        <v>99</v>
      </c>
      <c r="H572" t="s">
        <v>150</v>
      </c>
      <c r="I572" t="s">
        <v>92</v>
      </c>
      <c r="J572" t="s">
        <v>75</v>
      </c>
      <c r="K572" t="s">
        <v>58</v>
      </c>
      <c r="L572">
        <v>4.0999999999999996</v>
      </c>
      <c r="M572" t="s">
        <v>26</v>
      </c>
      <c r="N572" t="s">
        <v>27</v>
      </c>
      <c r="O572" t="s">
        <v>55</v>
      </c>
      <c r="P572" t="s">
        <v>26</v>
      </c>
      <c r="Q572" t="s">
        <v>26</v>
      </c>
      <c r="R572">
        <v>20</v>
      </c>
      <c r="S572" t="s">
        <v>35</v>
      </c>
      <c r="T572" t="str">
        <f t="shared" si="16"/>
        <v>Annually</v>
      </c>
      <c r="U572">
        <f>VLOOKUP(T572,[1]tablescore!$B$3:$C$8, 2,FALSE)</f>
        <v>1</v>
      </c>
      <c r="V572" t="str">
        <f t="shared" si="17"/>
        <v>Low Loyalty</v>
      </c>
      <c r="W572" t="s">
        <v>50</v>
      </c>
    </row>
    <row r="573" spans="1:23" x14ac:dyDescent="0.25">
      <c r="A573">
        <v>572</v>
      </c>
      <c r="B573">
        <v>54</v>
      </c>
      <c r="C573" t="str" cm="1">
        <f t="array" ref="C573">_xlfn.IFS(
  AND(B573&gt;=18, B573&lt;=24), "18-24",
  AND(B573&gt;=25, B573&lt;=34), "25-34",
  AND(B573&gt;=35, B573&lt;=44), "35-44",
  AND(B573&gt;=45, B573&lt;=54), "45-54",
  B573&gt;=55, "55+"
)</f>
        <v>45-54</v>
      </c>
      <c r="D573" t="s">
        <v>19</v>
      </c>
      <c r="E573" t="s">
        <v>102</v>
      </c>
      <c r="F573" t="s">
        <v>65</v>
      </c>
      <c r="G573">
        <v>76</v>
      </c>
      <c r="H573" t="s">
        <v>22</v>
      </c>
      <c r="I573" t="s">
        <v>92</v>
      </c>
      <c r="J573" t="s">
        <v>109</v>
      </c>
      <c r="K573" t="s">
        <v>39</v>
      </c>
      <c r="L573">
        <v>3.6</v>
      </c>
      <c r="M573" t="s">
        <v>26</v>
      </c>
      <c r="N573" t="s">
        <v>29</v>
      </c>
      <c r="O573" t="s">
        <v>40</v>
      </c>
      <c r="P573" t="s">
        <v>26</v>
      </c>
      <c r="Q573" t="s">
        <v>26</v>
      </c>
      <c r="R573">
        <v>37</v>
      </c>
      <c r="S573" t="s">
        <v>29</v>
      </c>
      <c r="T573" t="str">
        <f t="shared" si="16"/>
        <v>Daily</v>
      </c>
      <c r="U573">
        <f>VLOOKUP(T573,[1]tablescore!$B$3:$C$8, 2,FALSE)</f>
        <v>30</v>
      </c>
      <c r="V573" t="str">
        <f t="shared" si="17"/>
        <v>Highly Loyal</v>
      </c>
      <c r="W573" t="s">
        <v>41</v>
      </c>
    </row>
    <row r="574" spans="1:23" x14ac:dyDescent="0.25">
      <c r="A574">
        <v>573</v>
      </c>
      <c r="B574">
        <v>56</v>
      </c>
      <c r="C574" t="str" cm="1">
        <f t="array" ref="C574">_xlfn.IFS(
  AND(B574&gt;=18, B574&lt;=24), "18-24",
  AND(B574&gt;=25, B574&lt;=34), "25-34",
  AND(B574&gt;=35, B574&lt;=44), "35-44",
  AND(B574&gt;=45, B574&lt;=54), "45-54",
  B574&gt;=55, "55+"
)</f>
        <v>55+</v>
      </c>
      <c r="D574" t="s">
        <v>19</v>
      </c>
      <c r="E574" t="s">
        <v>119</v>
      </c>
      <c r="F574" t="s">
        <v>69</v>
      </c>
      <c r="G574">
        <v>97</v>
      </c>
      <c r="H574" t="s">
        <v>126</v>
      </c>
      <c r="I574" t="s">
        <v>92</v>
      </c>
      <c r="J574" t="s">
        <v>109</v>
      </c>
      <c r="K574" t="s">
        <v>54</v>
      </c>
      <c r="L574">
        <v>4.5999999999999996</v>
      </c>
      <c r="M574" t="s">
        <v>26</v>
      </c>
      <c r="N574" t="s">
        <v>27</v>
      </c>
      <c r="O574" t="s">
        <v>47</v>
      </c>
      <c r="P574" t="s">
        <v>26</v>
      </c>
      <c r="Q574" t="s">
        <v>26</v>
      </c>
      <c r="R574">
        <v>26</v>
      </c>
      <c r="S574" t="s">
        <v>34</v>
      </c>
      <c r="T574" t="str">
        <f t="shared" si="16"/>
        <v>Annually</v>
      </c>
      <c r="U574">
        <f>VLOOKUP(T574,[1]tablescore!$B$3:$C$8, 2,FALSE)</f>
        <v>1</v>
      </c>
      <c r="V574" t="str">
        <f t="shared" si="17"/>
        <v>Low Loyalty</v>
      </c>
      <c r="W574" t="s">
        <v>50</v>
      </c>
    </row>
    <row r="575" spans="1:23" x14ac:dyDescent="0.25">
      <c r="A575">
        <v>574</v>
      </c>
      <c r="B575">
        <v>58</v>
      </c>
      <c r="C575" t="str" cm="1">
        <f t="array" ref="C575">_xlfn.IFS(
  AND(B575&gt;=18, B575&lt;=24), "18-24",
  AND(B575&gt;=25, B575&lt;=34), "25-34",
  AND(B575&gt;=35, B575&lt;=44), "35-44",
  AND(B575&gt;=45, B575&lt;=54), "45-54",
  B575&gt;=55, "55+"
)</f>
        <v>55+</v>
      </c>
      <c r="D575" t="s">
        <v>19</v>
      </c>
      <c r="E575" t="s">
        <v>95</v>
      </c>
      <c r="F575" t="s">
        <v>21</v>
      </c>
      <c r="G575">
        <v>68</v>
      </c>
      <c r="H575" t="s">
        <v>99</v>
      </c>
      <c r="I575" t="s">
        <v>45</v>
      </c>
      <c r="J575" t="s">
        <v>63</v>
      </c>
      <c r="K575" t="s">
        <v>54</v>
      </c>
      <c r="L575">
        <v>3.2</v>
      </c>
      <c r="M575" t="s">
        <v>26</v>
      </c>
      <c r="N575" t="s">
        <v>35</v>
      </c>
      <c r="O575" t="s">
        <v>72</v>
      </c>
      <c r="P575" t="s">
        <v>26</v>
      </c>
      <c r="Q575" t="s">
        <v>26</v>
      </c>
      <c r="R575">
        <v>23</v>
      </c>
      <c r="S575" t="s">
        <v>27</v>
      </c>
      <c r="T575" t="str">
        <f t="shared" si="16"/>
        <v>2-week</v>
      </c>
      <c r="U575">
        <f>VLOOKUP(T575,[1]tablescore!$B$3:$C$8, 2,FALSE)</f>
        <v>26</v>
      </c>
      <c r="V575" t="str">
        <f t="shared" si="17"/>
        <v>Loyal</v>
      </c>
      <c r="W575" t="s">
        <v>77</v>
      </c>
    </row>
    <row r="576" spans="1:23" x14ac:dyDescent="0.25">
      <c r="A576">
        <v>575</v>
      </c>
      <c r="B576">
        <v>54</v>
      </c>
      <c r="C576" t="str" cm="1">
        <f t="array" ref="C576">_xlfn.IFS(
  AND(B576&gt;=18, B576&lt;=24), "18-24",
  AND(B576&gt;=25, B576&lt;=34), "25-34",
  AND(B576&gt;=35, B576&lt;=44), "35-44",
  AND(B576&gt;=45, B576&lt;=54), "45-54",
  B576&gt;=55, "55+"
)</f>
        <v>45-54</v>
      </c>
      <c r="D576" t="s">
        <v>19</v>
      </c>
      <c r="E576" t="s">
        <v>51</v>
      </c>
      <c r="F576" t="s">
        <v>43</v>
      </c>
      <c r="G576">
        <v>79</v>
      </c>
      <c r="H576" t="s">
        <v>32</v>
      </c>
      <c r="I576" t="s">
        <v>23</v>
      </c>
      <c r="J576" t="s">
        <v>108</v>
      </c>
      <c r="K576" t="s">
        <v>58</v>
      </c>
      <c r="L576">
        <v>4.8</v>
      </c>
      <c r="M576" t="s">
        <v>26</v>
      </c>
      <c r="N576" t="s">
        <v>46</v>
      </c>
      <c r="O576" t="s">
        <v>40</v>
      </c>
      <c r="P576" t="s">
        <v>26</v>
      </c>
      <c r="Q576" t="s">
        <v>26</v>
      </c>
      <c r="R576">
        <v>20</v>
      </c>
      <c r="S576" t="s">
        <v>34</v>
      </c>
      <c r="T576" t="str">
        <f t="shared" si="16"/>
        <v>2-week</v>
      </c>
      <c r="U576">
        <f>VLOOKUP(T576,[1]tablescore!$B$3:$C$8, 2,FALSE)</f>
        <v>26</v>
      </c>
      <c r="V576" t="str">
        <f t="shared" si="17"/>
        <v>Loyal</v>
      </c>
      <c r="W576" t="s">
        <v>77</v>
      </c>
    </row>
    <row r="577" spans="1:23" x14ac:dyDescent="0.25">
      <c r="A577">
        <v>576</v>
      </c>
      <c r="B577">
        <v>58</v>
      </c>
      <c r="C577" t="str" cm="1">
        <f t="array" ref="C577">_xlfn.IFS(
  AND(B577&gt;=18, B577&lt;=24), "18-24",
  AND(B577&gt;=25, B577&lt;=34), "25-34",
  AND(B577&gt;=35, B577&lt;=44), "35-44",
  AND(B577&gt;=45, B577&lt;=54), "45-54",
  B577&gt;=55, "55+"
)</f>
        <v>55+</v>
      </c>
      <c r="D577" t="s">
        <v>19</v>
      </c>
      <c r="E577" t="s">
        <v>36</v>
      </c>
      <c r="F577" t="s">
        <v>21</v>
      </c>
      <c r="G577">
        <v>86</v>
      </c>
      <c r="H577" t="s">
        <v>143</v>
      </c>
      <c r="I577" t="s">
        <v>45</v>
      </c>
      <c r="J577" t="s">
        <v>100</v>
      </c>
      <c r="K577" t="s">
        <v>58</v>
      </c>
      <c r="L577">
        <v>4.8</v>
      </c>
      <c r="M577" t="s">
        <v>26</v>
      </c>
      <c r="N577" t="s">
        <v>29</v>
      </c>
      <c r="O577" t="s">
        <v>28</v>
      </c>
      <c r="P577" t="s">
        <v>26</v>
      </c>
      <c r="Q577" t="s">
        <v>26</v>
      </c>
      <c r="R577">
        <v>38</v>
      </c>
      <c r="S577" t="s">
        <v>46</v>
      </c>
      <c r="T577" t="str">
        <f t="shared" si="16"/>
        <v>Month</v>
      </c>
      <c r="U577">
        <f>VLOOKUP(T577,[1]tablescore!$B$3:$C$8, 2,FALSE)</f>
        <v>12</v>
      </c>
      <c r="V577" t="str">
        <f t="shared" si="17"/>
        <v>Moderate</v>
      </c>
      <c r="W577" t="s">
        <v>88</v>
      </c>
    </row>
    <row r="578" spans="1:23" x14ac:dyDescent="0.25">
      <c r="A578">
        <v>577</v>
      </c>
      <c r="B578">
        <v>48</v>
      </c>
      <c r="C578" t="str" cm="1">
        <f t="array" ref="C578">_xlfn.IFS(
  AND(B578&gt;=18, B578&lt;=24), "18-24",
  AND(B578&gt;=25, B578&lt;=34), "25-34",
  AND(B578&gt;=35, B578&lt;=44), "35-44",
  AND(B578&gt;=45, B578&lt;=54), "45-54",
  B578&gt;=55, "55+"
)</f>
        <v>45-54</v>
      </c>
      <c r="D578" t="s">
        <v>19</v>
      </c>
      <c r="E578" t="s">
        <v>125</v>
      </c>
      <c r="F578" t="s">
        <v>69</v>
      </c>
      <c r="G578">
        <v>68</v>
      </c>
      <c r="H578" t="s">
        <v>140</v>
      </c>
      <c r="I578" t="s">
        <v>45</v>
      </c>
      <c r="J578" t="s">
        <v>94</v>
      </c>
      <c r="K578" t="s">
        <v>25</v>
      </c>
      <c r="L578">
        <v>5</v>
      </c>
      <c r="M578" t="s">
        <v>26</v>
      </c>
      <c r="N578" t="s">
        <v>29</v>
      </c>
      <c r="O578" t="s">
        <v>72</v>
      </c>
      <c r="P578" t="s">
        <v>26</v>
      </c>
      <c r="Q578" t="s">
        <v>26</v>
      </c>
      <c r="R578">
        <v>5</v>
      </c>
      <c r="S578" t="s">
        <v>27</v>
      </c>
      <c r="T578" t="str">
        <f t="shared" si="16"/>
        <v>Quarterly</v>
      </c>
      <c r="U578">
        <f>VLOOKUP(T578,[1]tablescore!$B$3:$C$8, 2,FALSE)</f>
        <v>4</v>
      </c>
      <c r="V578" t="str">
        <f t="shared" si="17"/>
        <v>Low Loyalty</v>
      </c>
      <c r="W578" t="s">
        <v>97</v>
      </c>
    </row>
    <row r="579" spans="1:23" x14ac:dyDescent="0.25">
      <c r="A579">
        <v>578</v>
      </c>
      <c r="B579">
        <v>19</v>
      </c>
      <c r="C579" t="str" cm="1">
        <f t="array" ref="C579">_xlfn.IFS(
  AND(B579&gt;=18, B579&lt;=24), "18-24",
  AND(B579&gt;=25, B579&lt;=34), "25-34",
  AND(B579&gt;=35, B579&lt;=44), "35-44",
  AND(B579&gt;=45, B579&lt;=54), "45-54",
  B579&gt;=55, "55+"
)</f>
        <v>18-24</v>
      </c>
      <c r="D579" t="s">
        <v>19</v>
      </c>
      <c r="E579" t="s">
        <v>87</v>
      </c>
      <c r="F579" t="s">
        <v>21</v>
      </c>
      <c r="G579">
        <v>52</v>
      </c>
      <c r="H579" t="s">
        <v>90</v>
      </c>
      <c r="I579" t="s">
        <v>45</v>
      </c>
      <c r="J579" t="s">
        <v>94</v>
      </c>
      <c r="K579" t="s">
        <v>58</v>
      </c>
      <c r="L579">
        <v>3.7</v>
      </c>
      <c r="M579" t="s">
        <v>26</v>
      </c>
      <c r="N579" t="s">
        <v>46</v>
      </c>
      <c r="O579" t="s">
        <v>76</v>
      </c>
      <c r="P579" t="s">
        <v>26</v>
      </c>
      <c r="Q579" t="s">
        <v>26</v>
      </c>
      <c r="R579">
        <v>41</v>
      </c>
      <c r="S579" t="s">
        <v>29</v>
      </c>
      <c r="T579" t="str">
        <f t="shared" ref="T579:T642" si="18">IF(TRIM(W579)="Every 3 months","Quarterly",IF(TRIM(W579)="Fortnightly","2-week",IF(TRIM(W579)="Bi-Weekly","2-week",IF(TRIM(W579)="Weekly","Daily",IF(TRIM(W579)="Monthly","Month",TRIM(W579))))))</f>
        <v>Annually</v>
      </c>
      <c r="U579">
        <f>VLOOKUP(T579,[1]tablescore!$B$3:$C$8, 2,FALSE)</f>
        <v>1</v>
      </c>
      <c r="V579" t="str">
        <f t="shared" ref="V579:V642" si="19">_xlfn.IFS(U579&gt;=30, "Highly Loyal", U579&gt;=26, "Loyal", U579&gt;=12, "Moderate", U579&lt;5, "Low Loyalty")</f>
        <v>Low Loyalty</v>
      </c>
      <c r="W579" t="s">
        <v>50</v>
      </c>
    </row>
    <row r="580" spans="1:23" x14ac:dyDescent="0.25">
      <c r="A580">
        <v>579</v>
      </c>
      <c r="B580">
        <v>69</v>
      </c>
      <c r="C580" t="str" cm="1">
        <f t="array" ref="C580">_xlfn.IFS(
  AND(B580&gt;=18, B580&lt;=24), "18-24",
  AND(B580&gt;=25, B580&lt;=34), "25-34",
  AND(B580&gt;=35, B580&lt;=44), "35-44",
  AND(B580&gt;=45, B580&lt;=54), "45-54",
  B580&gt;=55, "55+"
)</f>
        <v>55+</v>
      </c>
      <c r="D580" t="s">
        <v>19</v>
      </c>
      <c r="E580" t="s">
        <v>42</v>
      </c>
      <c r="F580" t="s">
        <v>43</v>
      </c>
      <c r="G580">
        <v>90</v>
      </c>
      <c r="H580" t="s">
        <v>32</v>
      </c>
      <c r="I580" t="s">
        <v>45</v>
      </c>
      <c r="J580" t="s">
        <v>75</v>
      </c>
      <c r="K580" t="s">
        <v>58</v>
      </c>
      <c r="L580">
        <v>4.5999999999999996</v>
      </c>
      <c r="M580" t="s">
        <v>26</v>
      </c>
      <c r="N580" t="s">
        <v>59</v>
      </c>
      <c r="O580" t="s">
        <v>47</v>
      </c>
      <c r="P580" t="s">
        <v>26</v>
      </c>
      <c r="Q580" t="s">
        <v>26</v>
      </c>
      <c r="R580">
        <v>22</v>
      </c>
      <c r="S580" t="s">
        <v>27</v>
      </c>
      <c r="T580" t="str">
        <f t="shared" si="18"/>
        <v>2-week</v>
      </c>
      <c r="U580">
        <f>VLOOKUP(T580,[1]tablescore!$B$3:$C$8, 2,FALSE)</f>
        <v>26</v>
      </c>
      <c r="V580" t="str">
        <f t="shared" si="19"/>
        <v>Loyal</v>
      </c>
      <c r="W580" t="s">
        <v>30</v>
      </c>
    </row>
    <row r="581" spans="1:23" x14ac:dyDescent="0.25">
      <c r="A581">
        <v>580</v>
      </c>
      <c r="B581">
        <v>58</v>
      </c>
      <c r="C581" t="str" cm="1">
        <f t="array" ref="C581">_xlfn.IFS(
  AND(B581&gt;=18, B581&lt;=24), "18-24",
  AND(B581&gt;=25, B581&lt;=34), "25-34",
  AND(B581&gt;=35, B581&lt;=44), "35-44",
  AND(B581&gt;=45, B581&lt;=54), "45-54",
  B581&gt;=55, "55+"
)</f>
        <v>55+</v>
      </c>
      <c r="D581" t="s">
        <v>19</v>
      </c>
      <c r="E581" t="s">
        <v>42</v>
      </c>
      <c r="F581" t="s">
        <v>43</v>
      </c>
      <c r="G581">
        <v>41</v>
      </c>
      <c r="H581" t="s">
        <v>99</v>
      </c>
      <c r="I581" t="s">
        <v>45</v>
      </c>
      <c r="J581" t="s">
        <v>84</v>
      </c>
      <c r="K581" t="s">
        <v>25</v>
      </c>
      <c r="L581">
        <v>3.7</v>
      </c>
      <c r="M581" t="s">
        <v>26</v>
      </c>
      <c r="N581" t="s">
        <v>59</v>
      </c>
      <c r="O581" t="s">
        <v>40</v>
      </c>
      <c r="P581" t="s">
        <v>26</v>
      </c>
      <c r="Q581" t="s">
        <v>26</v>
      </c>
      <c r="R581">
        <v>48</v>
      </c>
      <c r="S581" t="s">
        <v>27</v>
      </c>
      <c r="T581" t="str">
        <f t="shared" si="18"/>
        <v>Annually</v>
      </c>
      <c r="U581">
        <f>VLOOKUP(T581,[1]tablescore!$B$3:$C$8, 2,FALSE)</f>
        <v>1</v>
      </c>
      <c r="V581" t="str">
        <f t="shared" si="19"/>
        <v>Low Loyalty</v>
      </c>
      <c r="W581" t="s">
        <v>50</v>
      </c>
    </row>
    <row r="582" spans="1:23" x14ac:dyDescent="0.25">
      <c r="A582">
        <v>581</v>
      </c>
      <c r="B582">
        <v>49</v>
      </c>
      <c r="C582" t="str" cm="1">
        <f t="array" ref="C582">_xlfn.IFS(
  AND(B582&gt;=18, B582&lt;=24), "18-24",
  AND(B582&gt;=25, B582&lt;=34), "25-34",
  AND(B582&gt;=35, B582&lt;=44), "35-44",
  AND(B582&gt;=45, B582&lt;=54), "45-54",
  B582&gt;=55, "55+"
)</f>
        <v>45-54</v>
      </c>
      <c r="D582" t="s">
        <v>19</v>
      </c>
      <c r="E582" t="s">
        <v>31</v>
      </c>
      <c r="F582" t="s">
        <v>21</v>
      </c>
      <c r="G582">
        <v>80</v>
      </c>
      <c r="H582" t="s">
        <v>150</v>
      </c>
      <c r="I582" t="s">
        <v>45</v>
      </c>
      <c r="J582" t="s">
        <v>121</v>
      </c>
      <c r="K582" t="s">
        <v>39</v>
      </c>
      <c r="L582">
        <v>4.0999999999999996</v>
      </c>
      <c r="M582" t="s">
        <v>26</v>
      </c>
      <c r="N582" t="s">
        <v>46</v>
      </c>
      <c r="O582" t="s">
        <v>40</v>
      </c>
      <c r="P582" t="s">
        <v>26</v>
      </c>
      <c r="Q582" t="s">
        <v>26</v>
      </c>
      <c r="R582">
        <v>10</v>
      </c>
      <c r="S582" t="s">
        <v>46</v>
      </c>
      <c r="T582" t="str">
        <f t="shared" si="18"/>
        <v>Daily</v>
      </c>
      <c r="U582">
        <f>VLOOKUP(T582,[1]tablescore!$B$3:$C$8, 2,FALSE)</f>
        <v>30</v>
      </c>
      <c r="V582" t="str">
        <f t="shared" si="19"/>
        <v>Highly Loyal</v>
      </c>
      <c r="W582" t="s">
        <v>41</v>
      </c>
    </row>
    <row r="583" spans="1:23" x14ac:dyDescent="0.25">
      <c r="A583">
        <v>582</v>
      </c>
      <c r="B583">
        <v>32</v>
      </c>
      <c r="C583" t="str" cm="1">
        <f t="array" ref="C583">_xlfn.IFS(
  AND(B583&gt;=18, B583&lt;=24), "18-24",
  AND(B583&gt;=25, B583&lt;=34), "25-34",
  AND(B583&gt;=35, B583&lt;=44), "35-44",
  AND(B583&gt;=45, B583&lt;=54), "45-54",
  B583&gt;=55, "55+"
)</f>
        <v>25-34</v>
      </c>
      <c r="D583" t="s">
        <v>19</v>
      </c>
      <c r="E583" t="s">
        <v>31</v>
      </c>
      <c r="F583" t="s">
        <v>21</v>
      </c>
      <c r="G583">
        <v>100</v>
      </c>
      <c r="H583" t="s">
        <v>150</v>
      </c>
      <c r="I583" t="s">
        <v>92</v>
      </c>
      <c r="J583" t="s">
        <v>63</v>
      </c>
      <c r="K583" t="s">
        <v>25</v>
      </c>
      <c r="L583">
        <v>2.7</v>
      </c>
      <c r="M583" t="s">
        <v>26</v>
      </c>
      <c r="N583" t="s">
        <v>27</v>
      </c>
      <c r="O583" t="s">
        <v>76</v>
      </c>
      <c r="P583" t="s">
        <v>26</v>
      </c>
      <c r="Q583" t="s">
        <v>26</v>
      </c>
      <c r="R583">
        <v>12</v>
      </c>
      <c r="S583" t="s">
        <v>34</v>
      </c>
      <c r="T583" t="str">
        <f t="shared" si="18"/>
        <v>Quarterly</v>
      </c>
      <c r="U583">
        <f>VLOOKUP(T583,[1]tablescore!$B$3:$C$8, 2,FALSE)</f>
        <v>4</v>
      </c>
      <c r="V583" t="str">
        <f t="shared" si="19"/>
        <v>Low Loyalty</v>
      </c>
      <c r="W583" t="s">
        <v>97</v>
      </c>
    </row>
    <row r="584" spans="1:23" x14ac:dyDescent="0.25">
      <c r="A584">
        <v>583</v>
      </c>
      <c r="B584">
        <v>40</v>
      </c>
      <c r="C584" t="str" cm="1">
        <f t="array" ref="C584">_xlfn.IFS(
  AND(B584&gt;=18, B584&lt;=24), "18-24",
  AND(B584&gt;=25, B584&lt;=34), "25-34",
  AND(B584&gt;=35, B584&lt;=44), "35-44",
  AND(B584&gt;=45, B584&lt;=54), "45-54",
  B584&gt;=55, "55+"
)</f>
        <v>35-44</v>
      </c>
      <c r="D584" t="s">
        <v>19</v>
      </c>
      <c r="E584" t="s">
        <v>102</v>
      </c>
      <c r="F584" t="s">
        <v>65</v>
      </c>
      <c r="G584">
        <v>77</v>
      </c>
      <c r="H584" t="s">
        <v>112</v>
      </c>
      <c r="I584" t="s">
        <v>23</v>
      </c>
      <c r="J584" t="s">
        <v>49</v>
      </c>
      <c r="K584" t="s">
        <v>39</v>
      </c>
      <c r="L584">
        <v>4.9000000000000004</v>
      </c>
      <c r="M584" t="s">
        <v>26</v>
      </c>
      <c r="N584" t="s">
        <v>59</v>
      </c>
      <c r="O584" t="s">
        <v>76</v>
      </c>
      <c r="P584" t="s">
        <v>26</v>
      </c>
      <c r="Q584" t="s">
        <v>26</v>
      </c>
      <c r="R584">
        <v>2</v>
      </c>
      <c r="S584" t="s">
        <v>34</v>
      </c>
      <c r="T584" t="str">
        <f t="shared" si="18"/>
        <v>Quarterly</v>
      </c>
      <c r="U584">
        <f>VLOOKUP(T584,[1]tablescore!$B$3:$C$8, 2,FALSE)</f>
        <v>4</v>
      </c>
      <c r="V584" t="str">
        <f t="shared" si="19"/>
        <v>Low Loyalty</v>
      </c>
      <c r="W584" t="s">
        <v>60</v>
      </c>
    </row>
    <row r="585" spans="1:23" x14ac:dyDescent="0.25">
      <c r="A585">
        <v>584</v>
      </c>
      <c r="B585">
        <v>25</v>
      </c>
      <c r="C585" t="str" cm="1">
        <f t="array" ref="C585">_xlfn.IFS(
  AND(B585&gt;=18, B585&lt;=24), "18-24",
  AND(B585&gt;=25, B585&lt;=34), "25-34",
  AND(B585&gt;=35, B585&lt;=44), "35-44",
  AND(B585&gt;=45, B585&lt;=54), "45-54",
  B585&gt;=55, "55+"
)</f>
        <v>25-34</v>
      </c>
      <c r="D585" t="s">
        <v>19</v>
      </c>
      <c r="E585" t="s">
        <v>61</v>
      </c>
      <c r="F585" t="s">
        <v>21</v>
      </c>
      <c r="G585">
        <v>78</v>
      </c>
      <c r="H585" t="s">
        <v>99</v>
      </c>
      <c r="I585" t="s">
        <v>23</v>
      </c>
      <c r="J585" t="s">
        <v>139</v>
      </c>
      <c r="K585" t="s">
        <v>39</v>
      </c>
      <c r="L585">
        <v>4</v>
      </c>
      <c r="M585" t="s">
        <v>26</v>
      </c>
      <c r="N585" t="s">
        <v>46</v>
      </c>
      <c r="O585" t="s">
        <v>76</v>
      </c>
      <c r="P585" t="s">
        <v>26</v>
      </c>
      <c r="Q585" t="s">
        <v>26</v>
      </c>
      <c r="R585">
        <v>38</v>
      </c>
      <c r="S585" t="s">
        <v>46</v>
      </c>
      <c r="T585" t="str">
        <f t="shared" si="18"/>
        <v>Month</v>
      </c>
      <c r="U585">
        <f>VLOOKUP(T585,[1]tablescore!$B$3:$C$8, 2,FALSE)</f>
        <v>12</v>
      </c>
      <c r="V585" t="str">
        <f t="shared" si="19"/>
        <v>Moderate</v>
      </c>
      <c r="W585" t="s">
        <v>88</v>
      </c>
    </row>
    <row r="586" spans="1:23" x14ac:dyDescent="0.25">
      <c r="A586">
        <v>585</v>
      </c>
      <c r="B586">
        <v>70</v>
      </c>
      <c r="C586" t="str" cm="1">
        <f t="array" ref="C586">_xlfn.IFS(
  AND(B586&gt;=18, B586&lt;=24), "18-24",
  AND(B586&gt;=25, B586&lt;=34), "25-34",
  AND(B586&gt;=35, B586&lt;=44), "35-44",
  AND(B586&gt;=45, B586&lt;=54), "45-54",
  B586&gt;=55, "55+"
)</f>
        <v>55+</v>
      </c>
      <c r="D586" t="s">
        <v>19</v>
      </c>
      <c r="E586" t="s">
        <v>131</v>
      </c>
      <c r="F586" t="s">
        <v>21</v>
      </c>
      <c r="G586">
        <v>94</v>
      </c>
      <c r="H586" t="s">
        <v>116</v>
      </c>
      <c r="I586" t="s">
        <v>45</v>
      </c>
      <c r="J586" t="s">
        <v>53</v>
      </c>
      <c r="K586" t="s">
        <v>39</v>
      </c>
      <c r="L586">
        <v>4.7</v>
      </c>
      <c r="M586" t="s">
        <v>26</v>
      </c>
      <c r="N586" t="s">
        <v>46</v>
      </c>
      <c r="O586" t="s">
        <v>40</v>
      </c>
      <c r="P586" t="s">
        <v>26</v>
      </c>
      <c r="Q586" t="s">
        <v>26</v>
      </c>
      <c r="R586">
        <v>20</v>
      </c>
      <c r="S586" t="s">
        <v>59</v>
      </c>
      <c r="T586" t="str">
        <f t="shared" si="18"/>
        <v>Month</v>
      </c>
      <c r="U586">
        <f>VLOOKUP(T586,[1]tablescore!$B$3:$C$8, 2,FALSE)</f>
        <v>12</v>
      </c>
      <c r="V586" t="str">
        <f t="shared" si="19"/>
        <v>Moderate</v>
      </c>
      <c r="W586" t="s">
        <v>88</v>
      </c>
    </row>
    <row r="587" spans="1:23" x14ac:dyDescent="0.25">
      <c r="A587">
        <v>586</v>
      </c>
      <c r="B587">
        <v>69</v>
      </c>
      <c r="C587" t="str" cm="1">
        <f t="array" ref="C587">_xlfn.IFS(
  AND(B587&gt;=18, B587&lt;=24), "18-24",
  AND(B587&gt;=25, B587&lt;=34), "25-34",
  AND(B587&gt;=35, B587&lt;=44), "35-44",
  AND(B587&gt;=45, B587&lt;=54), "45-54",
  B587&gt;=55, "55+"
)</f>
        <v>55+</v>
      </c>
      <c r="D587" t="s">
        <v>19</v>
      </c>
      <c r="E587" t="s">
        <v>131</v>
      </c>
      <c r="F587" t="s">
        <v>21</v>
      </c>
      <c r="G587">
        <v>23</v>
      </c>
      <c r="H587" t="s">
        <v>126</v>
      </c>
      <c r="I587" t="s">
        <v>45</v>
      </c>
      <c r="J587" t="s">
        <v>24</v>
      </c>
      <c r="K587" t="s">
        <v>58</v>
      </c>
      <c r="L587">
        <v>2.8</v>
      </c>
      <c r="M587" t="s">
        <v>26</v>
      </c>
      <c r="N587" t="s">
        <v>27</v>
      </c>
      <c r="O587" t="s">
        <v>47</v>
      </c>
      <c r="P587" t="s">
        <v>26</v>
      </c>
      <c r="Q587" t="s">
        <v>26</v>
      </c>
      <c r="R587">
        <v>5</v>
      </c>
      <c r="S587" t="s">
        <v>35</v>
      </c>
      <c r="T587" t="str">
        <f t="shared" si="18"/>
        <v>Quarterly</v>
      </c>
      <c r="U587">
        <f>VLOOKUP(T587,[1]tablescore!$B$3:$C$8, 2,FALSE)</f>
        <v>4</v>
      </c>
      <c r="V587" t="str">
        <f t="shared" si="19"/>
        <v>Low Loyalty</v>
      </c>
      <c r="W587" t="s">
        <v>97</v>
      </c>
    </row>
    <row r="588" spans="1:23" x14ac:dyDescent="0.25">
      <c r="A588">
        <v>587</v>
      </c>
      <c r="B588">
        <v>45</v>
      </c>
      <c r="C588" t="str" cm="1">
        <f t="array" ref="C588">_xlfn.IFS(
  AND(B588&gt;=18, B588&lt;=24), "18-24",
  AND(B588&gt;=25, B588&lt;=34), "25-34",
  AND(B588&gt;=35, B588&lt;=44), "35-44",
  AND(B588&gt;=45, B588&lt;=54), "45-54",
  B588&gt;=55, "55+"
)</f>
        <v>45-54</v>
      </c>
      <c r="D588" t="s">
        <v>19</v>
      </c>
      <c r="E588" t="s">
        <v>104</v>
      </c>
      <c r="F588" t="s">
        <v>21</v>
      </c>
      <c r="G588">
        <v>20</v>
      </c>
      <c r="H588" t="s">
        <v>148</v>
      </c>
      <c r="I588" t="s">
        <v>38</v>
      </c>
      <c r="J588" t="s">
        <v>138</v>
      </c>
      <c r="K588" t="s">
        <v>25</v>
      </c>
      <c r="L588">
        <v>4.9000000000000004</v>
      </c>
      <c r="M588" t="s">
        <v>26</v>
      </c>
      <c r="N588" t="s">
        <v>29</v>
      </c>
      <c r="O588" t="s">
        <v>72</v>
      </c>
      <c r="P588" t="s">
        <v>26</v>
      </c>
      <c r="Q588" t="s">
        <v>26</v>
      </c>
      <c r="R588">
        <v>9</v>
      </c>
      <c r="S588" t="s">
        <v>29</v>
      </c>
      <c r="T588" t="str">
        <f t="shared" si="18"/>
        <v>Annually</v>
      </c>
      <c r="U588">
        <f>VLOOKUP(T588,[1]tablescore!$B$3:$C$8, 2,FALSE)</f>
        <v>1</v>
      </c>
      <c r="V588" t="str">
        <f t="shared" si="19"/>
        <v>Low Loyalty</v>
      </c>
      <c r="W588" t="s">
        <v>50</v>
      </c>
    </row>
    <row r="589" spans="1:23" x14ac:dyDescent="0.25">
      <c r="A589">
        <v>588</v>
      </c>
      <c r="B589">
        <v>29</v>
      </c>
      <c r="C589" t="str" cm="1">
        <f t="array" ref="C589">_xlfn.IFS(
  AND(B589&gt;=18, B589&lt;=24), "18-24",
  AND(B589&gt;=25, B589&lt;=34), "25-34",
  AND(B589&gt;=35, B589&lt;=44), "35-44",
  AND(B589&gt;=45, B589&lt;=54), "45-54",
  B589&gt;=55, "55+"
)</f>
        <v>25-34</v>
      </c>
      <c r="D589" t="s">
        <v>19</v>
      </c>
      <c r="E589" t="s">
        <v>131</v>
      </c>
      <c r="F589" t="s">
        <v>21</v>
      </c>
      <c r="G589">
        <v>86</v>
      </c>
      <c r="H589" t="s">
        <v>140</v>
      </c>
      <c r="I589" t="s">
        <v>38</v>
      </c>
      <c r="J589" t="s">
        <v>33</v>
      </c>
      <c r="K589" t="s">
        <v>58</v>
      </c>
      <c r="L589">
        <v>4.2</v>
      </c>
      <c r="M589" t="s">
        <v>26</v>
      </c>
      <c r="N589" t="s">
        <v>46</v>
      </c>
      <c r="O589" t="s">
        <v>28</v>
      </c>
      <c r="P589" t="s">
        <v>26</v>
      </c>
      <c r="Q589" t="s">
        <v>26</v>
      </c>
      <c r="R589">
        <v>48</v>
      </c>
      <c r="S589" t="s">
        <v>59</v>
      </c>
      <c r="T589" t="str">
        <f t="shared" si="18"/>
        <v>Quarterly</v>
      </c>
      <c r="U589">
        <f>VLOOKUP(T589,[1]tablescore!$B$3:$C$8, 2,FALSE)</f>
        <v>4</v>
      </c>
      <c r="V589" t="str">
        <f t="shared" si="19"/>
        <v>Low Loyalty</v>
      </c>
      <c r="W589" t="s">
        <v>97</v>
      </c>
    </row>
    <row r="590" spans="1:23" x14ac:dyDescent="0.25">
      <c r="A590">
        <v>589</v>
      </c>
      <c r="B590">
        <v>47</v>
      </c>
      <c r="C590" t="str" cm="1">
        <f t="array" ref="C590">_xlfn.IFS(
  AND(B590&gt;=18, B590&lt;=24), "18-24",
  AND(B590&gt;=25, B590&lt;=34), "25-34",
  AND(B590&gt;=35, B590&lt;=44), "35-44",
  AND(B590&gt;=45, B590&lt;=54), "45-54",
  B590&gt;=55, "55+"
)</f>
        <v>45-54</v>
      </c>
      <c r="D590" t="s">
        <v>19</v>
      </c>
      <c r="E590" t="s">
        <v>132</v>
      </c>
      <c r="F590" t="s">
        <v>43</v>
      </c>
      <c r="G590">
        <v>60</v>
      </c>
      <c r="H590" t="s">
        <v>130</v>
      </c>
      <c r="I590" t="s">
        <v>45</v>
      </c>
      <c r="J590" t="s">
        <v>84</v>
      </c>
      <c r="K590" t="s">
        <v>58</v>
      </c>
      <c r="L590">
        <v>3</v>
      </c>
      <c r="M590" t="s">
        <v>26</v>
      </c>
      <c r="N590" t="s">
        <v>59</v>
      </c>
      <c r="O590" t="s">
        <v>55</v>
      </c>
      <c r="P590" t="s">
        <v>26</v>
      </c>
      <c r="Q590" t="s">
        <v>26</v>
      </c>
      <c r="R590">
        <v>9</v>
      </c>
      <c r="S590" t="s">
        <v>59</v>
      </c>
      <c r="T590" t="str">
        <f t="shared" si="18"/>
        <v>Quarterly</v>
      </c>
      <c r="U590">
        <f>VLOOKUP(T590,[1]tablescore!$B$3:$C$8, 2,FALSE)</f>
        <v>4</v>
      </c>
      <c r="V590" t="str">
        <f t="shared" si="19"/>
        <v>Low Loyalty</v>
      </c>
      <c r="W590" t="s">
        <v>60</v>
      </c>
    </row>
    <row r="591" spans="1:23" x14ac:dyDescent="0.25">
      <c r="A591">
        <v>590</v>
      </c>
      <c r="B591">
        <v>28</v>
      </c>
      <c r="C591" t="str" cm="1">
        <f t="array" ref="C591">_xlfn.IFS(
  AND(B591&gt;=18, B591&lt;=24), "18-24",
  AND(B591&gt;=25, B591&lt;=34), "25-34",
  AND(B591&gt;=35, B591&lt;=44), "35-44",
  AND(B591&gt;=45, B591&lt;=54), "45-54",
  B591&gt;=55, "55+"
)</f>
        <v>25-34</v>
      </c>
      <c r="D591" t="s">
        <v>19</v>
      </c>
      <c r="E591" t="s">
        <v>56</v>
      </c>
      <c r="F591" t="s">
        <v>21</v>
      </c>
      <c r="G591">
        <v>70</v>
      </c>
      <c r="H591" t="s">
        <v>134</v>
      </c>
      <c r="I591" t="s">
        <v>45</v>
      </c>
      <c r="J591" t="s">
        <v>121</v>
      </c>
      <c r="K591" t="s">
        <v>58</v>
      </c>
      <c r="L591">
        <v>3.4</v>
      </c>
      <c r="M591" t="s">
        <v>26</v>
      </c>
      <c r="N591" t="s">
        <v>59</v>
      </c>
      <c r="O591" t="s">
        <v>72</v>
      </c>
      <c r="P591" t="s">
        <v>26</v>
      </c>
      <c r="Q591" t="s">
        <v>26</v>
      </c>
      <c r="R591">
        <v>40</v>
      </c>
      <c r="S591" t="s">
        <v>46</v>
      </c>
      <c r="T591" t="str">
        <f t="shared" si="18"/>
        <v>Annually</v>
      </c>
      <c r="U591">
        <f>VLOOKUP(T591,[1]tablescore!$B$3:$C$8, 2,FALSE)</f>
        <v>1</v>
      </c>
      <c r="V591" t="str">
        <f t="shared" si="19"/>
        <v>Low Loyalty</v>
      </c>
      <c r="W591" t="s">
        <v>50</v>
      </c>
    </row>
    <row r="592" spans="1:23" x14ac:dyDescent="0.25">
      <c r="A592">
        <v>591</v>
      </c>
      <c r="B592">
        <v>64</v>
      </c>
      <c r="C592" t="str" cm="1">
        <f t="array" ref="C592">_xlfn.IFS(
  AND(B592&gt;=18, B592&lt;=24), "18-24",
  AND(B592&gt;=25, B592&lt;=34), "25-34",
  AND(B592&gt;=35, B592&lt;=44), "35-44",
  AND(B592&gt;=45, B592&lt;=54), "45-54",
  B592&gt;=55, "55+"
)</f>
        <v>55+</v>
      </c>
      <c r="D592" t="s">
        <v>19</v>
      </c>
      <c r="E592" t="s">
        <v>136</v>
      </c>
      <c r="F592" t="s">
        <v>69</v>
      </c>
      <c r="G592">
        <v>39</v>
      </c>
      <c r="H592" t="s">
        <v>120</v>
      </c>
      <c r="I592" t="s">
        <v>38</v>
      </c>
      <c r="J592" t="s">
        <v>49</v>
      </c>
      <c r="K592" t="s">
        <v>58</v>
      </c>
      <c r="L592">
        <v>4.5999999999999996</v>
      </c>
      <c r="M592" t="s">
        <v>26</v>
      </c>
      <c r="N592" t="s">
        <v>27</v>
      </c>
      <c r="O592" t="s">
        <v>55</v>
      </c>
      <c r="P592" t="s">
        <v>26</v>
      </c>
      <c r="Q592" t="s">
        <v>26</v>
      </c>
      <c r="R592">
        <v>30</v>
      </c>
      <c r="S592" t="s">
        <v>29</v>
      </c>
      <c r="T592" t="str">
        <f t="shared" si="18"/>
        <v>2-week</v>
      </c>
      <c r="U592">
        <f>VLOOKUP(T592,[1]tablescore!$B$3:$C$8, 2,FALSE)</f>
        <v>26</v>
      </c>
      <c r="V592" t="str">
        <f t="shared" si="19"/>
        <v>Loyal</v>
      </c>
      <c r="W592" t="s">
        <v>30</v>
      </c>
    </row>
    <row r="593" spans="1:23" x14ac:dyDescent="0.25">
      <c r="A593">
        <v>592</v>
      </c>
      <c r="B593">
        <v>47</v>
      </c>
      <c r="C593" t="str" cm="1">
        <f t="array" ref="C593">_xlfn.IFS(
  AND(B593&gt;=18, B593&lt;=24), "18-24",
  AND(B593&gt;=25, B593&lt;=34), "25-34",
  AND(B593&gt;=35, B593&lt;=44), "35-44",
  AND(B593&gt;=45, B593&lt;=54), "45-54",
  B593&gt;=55, "55+"
)</f>
        <v>45-54</v>
      </c>
      <c r="D593" t="s">
        <v>19</v>
      </c>
      <c r="E593" t="s">
        <v>133</v>
      </c>
      <c r="F593" t="s">
        <v>69</v>
      </c>
      <c r="G593">
        <v>37</v>
      </c>
      <c r="H593" t="s">
        <v>22</v>
      </c>
      <c r="I593" t="s">
        <v>23</v>
      </c>
      <c r="J593" t="s">
        <v>79</v>
      </c>
      <c r="K593" t="s">
        <v>58</v>
      </c>
      <c r="L593">
        <v>4.2</v>
      </c>
      <c r="M593" t="s">
        <v>26</v>
      </c>
      <c r="N593" t="s">
        <v>27</v>
      </c>
      <c r="O593" t="s">
        <v>76</v>
      </c>
      <c r="P593" t="s">
        <v>26</v>
      </c>
      <c r="Q593" t="s">
        <v>26</v>
      </c>
      <c r="R593">
        <v>6</v>
      </c>
      <c r="S593" t="s">
        <v>59</v>
      </c>
      <c r="T593" t="str">
        <f t="shared" si="18"/>
        <v>2-week</v>
      </c>
      <c r="U593">
        <f>VLOOKUP(T593,[1]tablescore!$B$3:$C$8, 2,FALSE)</f>
        <v>26</v>
      </c>
      <c r="V593" t="str">
        <f t="shared" si="19"/>
        <v>Loyal</v>
      </c>
      <c r="W593" t="s">
        <v>77</v>
      </c>
    </row>
    <row r="594" spans="1:23" x14ac:dyDescent="0.25">
      <c r="A594">
        <v>593</v>
      </c>
      <c r="B594">
        <v>60</v>
      </c>
      <c r="C594" t="str" cm="1">
        <f t="array" ref="C594">_xlfn.IFS(
  AND(B594&gt;=18, B594&lt;=24), "18-24",
  AND(B594&gt;=25, B594&lt;=34), "25-34",
  AND(B594&gt;=35, B594&lt;=44), "35-44",
  AND(B594&gt;=45, B594&lt;=54), "45-54",
  B594&gt;=55, "55+"
)</f>
        <v>55+</v>
      </c>
      <c r="D594" t="s">
        <v>19</v>
      </c>
      <c r="E594" t="s">
        <v>132</v>
      </c>
      <c r="F594" t="s">
        <v>43</v>
      </c>
      <c r="G594">
        <v>29</v>
      </c>
      <c r="H594" t="s">
        <v>114</v>
      </c>
      <c r="I594" t="s">
        <v>45</v>
      </c>
      <c r="J594" t="s">
        <v>110</v>
      </c>
      <c r="K594" t="s">
        <v>58</v>
      </c>
      <c r="L594">
        <v>3.2</v>
      </c>
      <c r="M594" t="s">
        <v>26</v>
      </c>
      <c r="N594" t="s">
        <v>29</v>
      </c>
      <c r="O594" t="s">
        <v>40</v>
      </c>
      <c r="P594" t="s">
        <v>26</v>
      </c>
      <c r="Q594" t="s">
        <v>26</v>
      </c>
      <c r="R594">
        <v>42</v>
      </c>
      <c r="S594" t="s">
        <v>29</v>
      </c>
      <c r="T594" t="str">
        <f t="shared" si="18"/>
        <v>Quarterly</v>
      </c>
      <c r="U594">
        <f>VLOOKUP(T594,[1]tablescore!$B$3:$C$8, 2,FALSE)</f>
        <v>4</v>
      </c>
      <c r="V594" t="str">
        <f t="shared" si="19"/>
        <v>Low Loyalty</v>
      </c>
      <c r="W594" t="s">
        <v>97</v>
      </c>
    </row>
    <row r="595" spans="1:23" x14ac:dyDescent="0.25">
      <c r="A595">
        <v>594</v>
      </c>
      <c r="B595">
        <v>67</v>
      </c>
      <c r="C595" t="str" cm="1">
        <f t="array" ref="C595">_xlfn.IFS(
  AND(B595&gt;=18, B595&lt;=24), "18-24",
  AND(B595&gt;=25, B595&lt;=34), "25-34",
  AND(B595&gt;=35, B595&lt;=44), "35-44",
  AND(B595&gt;=45, B595&lt;=54), "45-54",
  B595&gt;=55, "55+"
)</f>
        <v>55+</v>
      </c>
      <c r="D595" t="s">
        <v>19</v>
      </c>
      <c r="E595" t="s">
        <v>64</v>
      </c>
      <c r="F595" t="s">
        <v>65</v>
      </c>
      <c r="G595">
        <v>35</v>
      </c>
      <c r="H595" t="s">
        <v>120</v>
      </c>
      <c r="I595" t="s">
        <v>38</v>
      </c>
      <c r="J595" t="s">
        <v>96</v>
      </c>
      <c r="K595" t="s">
        <v>25</v>
      </c>
      <c r="L595">
        <v>4.4000000000000004</v>
      </c>
      <c r="M595" t="s">
        <v>26</v>
      </c>
      <c r="N595" t="s">
        <v>35</v>
      </c>
      <c r="O595" t="s">
        <v>76</v>
      </c>
      <c r="P595" t="s">
        <v>26</v>
      </c>
      <c r="Q595" t="s">
        <v>26</v>
      </c>
      <c r="R595">
        <v>9</v>
      </c>
      <c r="S595" t="s">
        <v>46</v>
      </c>
      <c r="T595" t="str">
        <f t="shared" si="18"/>
        <v>Quarterly</v>
      </c>
      <c r="U595">
        <f>VLOOKUP(T595,[1]tablescore!$B$3:$C$8, 2,FALSE)</f>
        <v>4</v>
      </c>
      <c r="V595" t="str">
        <f t="shared" si="19"/>
        <v>Low Loyalty</v>
      </c>
      <c r="W595" t="s">
        <v>97</v>
      </c>
    </row>
    <row r="596" spans="1:23" x14ac:dyDescent="0.25">
      <c r="A596">
        <v>595</v>
      </c>
      <c r="B596">
        <v>35</v>
      </c>
      <c r="C596" t="str" cm="1">
        <f t="array" ref="C596">_xlfn.IFS(
  AND(B596&gt;=18, B596&lt;=24), "18-24",
  AND(B596&gt;=25, B596&lt;=34), "25-34",
  AND(B596&gt;=35, B596&lt;=44), "35-44",
  AND(B596&gt;=45, B596&lt;=54), "45-54",
  B596&gt;=55, "55+"
)</f>
        <v>35-44</v>
      </c>
      <c r="D596" t="s">
        <v>19</v>
      </c>
      <c r="E596" t="s">
        <v>104</v>
      </c>
      <c r="F596" t="s">
        <v>21</v>
      </c>
      <c r="G596">
        <v>83</v>
      </c>
      <c r="H596" t="s">
        <v>101</v>
      </c>
      <c r="I596" t="s">
        <v>38</v>
      </c>
      <c r="J596" t="s">
        <v>110</v>
      </c>
      <c r="K596" t="s">
        <v>25</v>
      </c>
      <c r="L596">
        <v>2.5</v>
      </c>
      <c r="M596" t="s">
        <v>26</v>
      </c>
      <c r="N596" t="s">
        <v>35</v>
      </c>
      <c r="O596" t="s">
        <v>47</v>
      </c>
      <c r="P596" t="s">
        <v>26</v>
      </c>
      <c r="Q596" t="s">
        <v>26</v>
      </c>
      <c r="R596">
        <v>6</v>
      </c>
      <c r="S596" t="s">
        <v>59</v>
      </c>
      <c r="T596" t="str">
        <f t="shared" si="18"/>
        <v>Month</v>
      </c>
      <c r="U596">
        <f>VLOOKUP(T596,[1]tablescore!$B$3:$C$8, 2,FALSE)</f>
        <v>12</v>
      </c>
      <c r="V596" t="str">
        <f t="shared" si="19"/>
        <v>Moderate</v>
      </c>
      <c r="W596" t="s">
        <v>88</v>
      </c>
    </row>
    <row r="597" spans="1:23" x14ac:dyDescent="0.25">
      <c r="A597">
        <v>596</v>
      </c>
      <c r="B597">
        <v>30</v>
      </c>
      <c r="C597" t="str" cm="1">
        <f t="array" ref="C597">_xlfn.IFS(
  AND(B597&gt;=18, B597&lt;=24), "18-24",
  AND(B597&gt;=25, B597&lt;=34), "25-34",
  AND(B597&gt;=35, B597&lt;=44), "35-44",
  AND(B597&gt;=45, B597&lt;=54), "45-54",
  B597&gt;=55, "55+"
)</f>
        <v>25-34</v>
      </c>
      <c r="D597" t="s">
        <v>19</v>
      </c>
      <c r="E597" t="s">
        <v>73</v>
      </c>
      <c r="F597" t="s">
        <v>43</v>
      </c>
      <c r="G597">
        <v>77</v>
      </c>
      <c r="H597" t="s">
        <v>80</v>
      </c>
      <c r="I597" t="s">
        <v>45</v>
      </c>
      <c r="J597" t="s">
        <v>67</v>
      </c>
      <c r="K597" t="s">
        <v>54</v>
      </c>
      <c r="L597">
        <v>3.6</v>
      </c>
      <c r="M597" t="s">
        <v>26</v>
      </c>
      <c r="N597" t="s">
        <v>27</v>
      </c>
      <c r="O597" t="s">
        <v>47</v>
      </c>
      <c r="P597" t="s">
        <v>26</v>
      </c>
      <c r="Q597" t="s">
        <v>26</v>
      </c>
      <c r="R597">
        <v>47</v>
      </c>
      <c r="S597" t="s">
        <v>46</v>
      </c>
      <c r="T597" t="str">
        <f t="shared" si="18"/>
        <v>Quarterly</v>
      </c>
      <c r="U597">
        <f>VLOOKUP(T597,[1]tablescore!$B$3:$C$8, 2,FALSE)</f>
        <v>4</v>
      </c>
      <c r="V597" t="str">
        <f t="shared" si="19"/>
        <v>Low Loyalty</v>
      </c>
      <c r="W597" t="s">
        <v>60</v>
      </c>
    </row>
    <row r="598" spans="1:23" x14ac:dyDescent="0.25">
      <c r="A598">
        <v>597</v>
      </c>
      <c r="B598">
        <v>23</v>
      </c>
      <c r="C598" t="str" cm="1">
        <f t="array" ref="C598">_xlfn.IFS(
  AND(B598&gt;=18, B598&lt;=24), "18-24",
  AND(B598&gt;=25, B598&lt;=34), "25-34",
  AND(B598&gt;=35, B598&lt;=44), "35-44",
  AND(B598&gt;=45, B598&lt;=54), "45-54",
  B598&gt;=55, "55+"
)</f>
        <v>18-24</v>
      </c>
      <c r="D598" t="s">
        <v>19</v>
      </c>
      <c r="E598" t="s">
        <v>73</v>
      </c>
      <c r="F598" t="s">
        <v>43</v>
      </c>
      <c r="G598">
        <v>37</v>
      </c>
      <c r="H598" t="s">
        <v>57</v>
      </c>
      <c r="I598" t="s">
        <v>92</v>
      </c>
      <c r="J598" t="s">
        <v>53</v>
      </c>
      <c r="K598" t="s">
        <v>54</v>
      </c>
      <c r="L598">
        <v>4.5</v>
      </c>
      <c r="M598" t="s">
        <v>26</v>
      </c>
      <c r="N598" t="s">
        <v>46</v>
      </c>
      <c r="O598" t="s">
        <v>76</v>
      </c>
      <c r="P598" t="s">
        <v>26</v>
      </c>
      <c r="Q598" t="s">
        <v>26</v>
      </c>
      <c r="R598">
        <v>36</v>
      </c>
      <c r="S598" t="s">
        <v>29</v>
      </c>
      <c r="T598" t="str">
        <f t="shared" si="18"/>
        <v>Annually</v>
      </c>
      <c r="U598">
        <f>VLOOKUP(T598,[1]tablescore!$B$3:$C$8, 2,FALSE)</f>
        <v>1</v>
      </c>
      <c r="V598" t="str">
        <f t="shared" si="19"/>
        <v>Low Loyalty</v>
      </c>
      <c r="W598" t="s">
        <v>50</v>
      </c>
    </row>
    <row r="599" spans="1:23" x14ac:dyDescent="0.25">
      <c r="A599">
        <v>598</v>
      </c>
      <c r="B599">
        <v>70</v>
      </c>
      <c r="C599" t="str" cm="1">
        <f t="array" ref="C599">_xlfn.IFS(
  AND(B599&gt;=18, B599&lt;=24), "18-24",
  AND(B599&gt;=25, B599&lt;=34), "25-34",
  AND(B599&gt;=35, B599&lt;=44), "35-44",
  AND(B599&gt;=45, B599&lt;=54), "45-54",
  B599&gt;=55, "55+"
)</f>
        <v>55+</v>
      </c>
      <c r="D599" t="s">
        <v>19</v>
      </c>
      <c r="E599" t="s">
        <v>106</v>
      </c>
      <c r="F599" t="s">
        <v>69</v>
      </c>
      <c r="G599">
        <v>69</v>
      </c>
      <c r="H599" t="s">
        <v>120</v>
      </c>
      <c r="I599" t="s">
        <v>23</v>
      </c>
      <c r="J599" t="s">
        <v>81</v>
      </c>
      <c r="K599" t="s">
        <v>54</v>
      </c>
      <c r="L599">
        <v>3.4</v>
      </c>
      <c r="M599" t="s">
        <v>26</v>
      </c>
      <c r="N599" t="s">
        <v>34</v>
      </c>
      <c r="O599" t="s">
        <v>55</v>
      </c>
      <c r="P599" t="s">
        <v>26</v>
      </c>
      <c r="Q599" t="s">
        <v>26</v>
      </c>
      <c r="R599">
        <v>19</v>
      </c>
      <c r="S599" t="s">
        <v>34</v>
      </c>
      <c r="T599" t="str">
        <f t="shared" si="18"/>
        <v>2-week</v>
      </c>
      <c r="U599">
        <f>VLOOKUP(T599,[1]tablescore!$B$3:$C$8, 2,FALSE)</f>
        <v>26</v>
      </c>
      <c r="V599" t="str">
        <f t="shared" si="19"/>
        <v>Loyal</v>
      </c>
      <c r="W599" t="s">
        <v>30</v>
      </c>
    </row>
    <row r="600" spans="1:23" x14ac:dyDescent="0.25">
      <c r="A600">
        <v>599</v>
      </c>
      <c r="B600">
        <v>21</v>
      </c>
      <c r="C600" t="str" cm="1">
        <f t="array" ref="C600">_xlfn.IFS(
  AND(B600&gt;=18, B600&lt;=24), "18-24",
  AND(B600&gt;=25, B600&lt;=34), "25-34",
  AND(B600&gt;=35, B600&lt;=44), "35-44",
  AND(B600&gt;=45, B600&lt;=54), "45-54",
  B600&gt;=55, "55+"
)</f>
        <v>18-24</v>
      </c>
      <c r="D600" t="s">
        <v>19</v>
      </c>
      <c r="E600" t="s">
        <v>82</v>
      </c>
      <c r="F600" t="s">
        <v>21</v>
      </c>
      <c r="G600">
        <v>66</v>
      </c>
      <c r="H600" t="s">
        <v>99</v>
      </c>
      <c r="I600" t="s">
        <v>23</v>
      </c>
      <c r="J600" t="s">
        <v>96</v>
      </c>
      <c r="K600" t="s">
        <v>25</v>
      </c>
      <c r="L600">
        <v>3.2</v>
      </c>
      <c r="M600" t="s">
        <v>26</v>
      </c>
      <c r="N600" t="s">
        <v>27</v>
      </c>
      <c r="O600" t="s">
        <v>72</v>
      </c>
      <c r="P600" t="s">
        <v>26</v>
      </c>
      <c r="Q600" t="s">
        <v>26</v>
      </c>
      <c r="R600">
        <v>30</v>
      </c>
      <c r="S600" t="s">
        <v>35</v>
      </c>
      <c r="T600" t="str">
        <f t="shared" si="18"/>
        <v>Quarterly</v>
      </c>
      <c r="U600">
        <f>VLOOKUP(T600,[1]tablescore!$B$3:$C$8, 2,FALSE)</f>
        <v>4</v>
      </c>
      <c r="V600" t="str">
        <f t="shared" si="19"/>
        <v>Low Loyalty</v>
      </c>
      <c r="W600" t="s">
        <v>97</v>
      </c>
    </row>
    <row r="601" spans="1:23" x14ac:dyDescent="0.25">
      <c r="A601">
        <v>600</v>
      </c>
      <c r="B601">
        <v>51</v>
      </c>
      <c r="C601" t="str" cm="1">
        <f t="array" ref="C601">_xlfn.IFS(
  AND(B601&gt;=18, B601&lt;=24), "18-24",
  AND(B601&gt;=25, B601&lt;=34), "25-34",
  AND(B601&gt;=35, B601&lt;=44), "35-44",
  AND(B601&gt;=45, B601&lt;=54), "45-54",
  B601&gt;=55, "55+"
)</f>
        <v>45-54</v>
      </c>
      <c r="D601" t="s">
        <v>19</v>
      </c>
      <c r="E601" t="s">
        <v>132</v>
      </c>
      <c r="F601" t="s">
        <v>43</v>
      </c>
      <c r="G601">
        <v>26</v>
      </c>
      <c r="H601" t="s">
        <v>37</v>
      </c>
      <c r="I601" t="s">
        <v>23</v>
      </c>
      <c r="J601" t="s">
        <v>86</v>
      </c>
      <c r="K601" t="s">
        <v>39</v>
      </c>
      <c r="L601">
        <v>4.2</v>
      </c>
      <c r="M601" t="s">
        <v>26</v>
      </c>
      <c r="N601" t="s">
        <v>35</v>
      </c>
      <c r="O601" t="s">
        <v>55</v>
      </c>
      <c r="P601" t="s">
        <v>26</v>
      </c>
      <c r="Q601" t="s">
        <v>26</v>
      </c>
      <c r="R601">
        <v>27</v>
      </c>
      <c r="S601" t="s">
        <v>59</v>
      </c>
      <c r="T601" t="str">
        <f t="shared" si="18"/>
        <v>Quarterly</v>
      </c>
      <c r="U601">
        <f>VLOOKUP(T601,[1]tablescore!$B$3:$C$8, 2,FALSE)</f>
        <v>4</v>
      </c>
      <c r="V601" t="str">
        <f t="shared" si="19"/>
        <v>Low Loyalty</v>
      </c>
      <c r="W601" t="s">
        <v>97</v>
      </c>
    </row>
    <row r="602" spans="1:23" x14ac:dyDescent="0.25">
      <c r="A602">
        <v>601</v>
      </c>
      <c r="B602">
        <v>22</v>
      </c>
      <c r="C602" t="str" cm="1">
        <f t="array" ref="C602">_xlfn.IFS(
  AND(B602&gt;=18, B602&lt;=24), "18-24",
  AND(B602&gt;=25, B602&lt;=34), "25-34",
  AND(B602&gt;=35, B602&lt;=44), "35-44",
  AND(B602&gt;=45, B602&lt;=54), "45-54",
  B602&gt;=55, "55+"
)</f>
        <v>18-24</v>
      </c>
      <c r="D602" t="s">
        <v>19</v>
      </c>
      <c r="E602" t="s">
        <v>125</v>
      </c>
      <c r="F602" t="s">
        <v>69</v>
      </c>
      <c r="G602">
        <v>63</v>
      </c>
      <c r="H602" t="s">
        <v>126</v>
      </c>
      <c r="I602" t="s">
        <v>45</v>
      </c>
      <c r="J602" t="s">
        <v>63</v>
      </c>
      <c r="K602" t="s">
        <v>39</v>
      </c>
      <c r="L602">
        <v>5</v>
      </c>
      <c r="M602" t="s">
        <v>26</v>
      </c>
      <c r="N602" t="s">
        <v>59</v>
      </c>
      <c r="O602" t="s">
        <v>72</v>
      </c>
      <c r="P602" t="s">
        <v>26</v>
      </c>
      <c r="Q602" t="s">
        <v>26</v>
      </c>
      <c r="R602">
        <v>25</v>
      </c>
      <c r="S602" t="s">
        <v>29</v>
      </c>
      <c r="T602" t="str">
        <f t="shared" si="18"/>
        <v>Month</v>
      </c>
      <c r="U602">
        <f>VLOOKUP(T602,[1]tablescore!$B$3:$C$8, 2,FALSE)</f>
        <v>12</v>
      </c>
      <c r="V602" t="str">
        <f t="shared" si="19"/>
        <v>Moderate</v>
      </c>
      <c r="W602" t="s">
        <v>88</v>
      </c>
    </row>
    <row r="603" spans="1:23" x14ac:dyDescent="0.25">
      <c r="A603">
        <v>602</v>
      </c>
      <c r="B603">
        <v>32</v>
      </c>
      <c r="C603" t="str" cm="1">
        <f t="array" ref="C603">_xlfn.IFS(
  AND(B603&gt;=18, B603&lt;=24), "18-24",
  AND(B603&gt;=25, B603&lt;=34), "25-34",
  AND(B603&gt;=35, B603&lt;=44), "35-44",
  AND(B603&gt;=45, B603&lt;=54), "45-54",
  B603&gt;=55, "55+"
)</f>
        <v>25-34</v>
      </c>
      <c r="D603" t="s">
        <v>19</v>
      </c>
      <c r="E603" t="s">
        <v>133</v>
      </c>
      <c r="F603" t="s">
        <v>69</v>
      </c>
      <c r="G603">
        <v>38</v>
      </c>
      <c r="H603" t="s">
        <v>66</v>
      </c>
      <c r="I603" t="s">
        <v>45</v>
      </c>
      <c r="J603" t="s">
        <v>33</v>
      </c>
      <c r="K603" t="s">
        <v>54</v>
      </c>
      <c r="L603">
        <v>4.7</v>
      </c>
      <c r="M603" t="s">
        <v>26</v>
      </c>
      <c r="N603" t="s">
        <v>35</v>
      </c>
      <c r="O603" t="s">
        <v>76</v>
      </c>
      <c r="P603" t="s">
        <v>26</v>
      </c>
      <c r="Q603" t="s">
        <v>26</v>
      </c>
      <c r="R603">
        <v>5</v>
      </c>
      <c r="S603" t="s">
        <v>35</v>
      </c>
      <c r="T603" t="str">
        <f t="shared" si="18"/>
        <v>2-week</v>
      </c>
      <c r="U603">
        <f>VLOOKUP(T603,[1]tablescore!$B$3:$C$8, 2,FALSE)</f>
        <v>26</v>
      </c>
      <c r="V603" t="str">
        <f t="shared" si="19"/>
        <v>Loyal</v>
      </c>
      <c r="W603" t="s">
        <v>30</v>
      </c>
    </row>
    <row r="604" spans="1:23" x14ac:dyDescent="0.25">
      <c r="A604">
        <v>603</v>
      </c>
      <c r="B604">
        <v>37</v>
      </c>
      <c r="C604" t="str" cm="1">
        <f t="array" ref="C604">_xlfn.IFS(
  AND(B604&gt;=18, B604&lt;=24), "18-24",
  AND(B604&gt;=25, B604&lt;=34), "25-34",
  AND(B604&gt;=35, B604&lt;=44), "35-44",
  AND(B604&gt;=45, B604&lt;=54), "45-54",
  B604&gt;=55, "55+"
)</f>
        <v>35-44</v>
      </c>
      <c r="D604" t="s">
        <v>19</v>
      </c>
      <c r="E604" t="s">
        <v>73</v>
      </c>
      <c r="F604" t="s">
        <v>43</v>
      </c>
      <c r="G604">
        <v>58</v>
      </c>
      <c r="H604" t="s">
        <v>48</v>
      </c>
      <c r="I604" t="s">
        <v>23</v>
      </c>
      <c r="J604" t="s">
        <v>93</v>
      </c>
      <c r="K604" t="s">
        <v>54</v>
      </c>
      <c r="L604">
        <v>4.2</v>
      </c>
      <c r="M604" t="s">
        <v>26</v>
      </c>
      <c r="N604" t="s">
        <v>29</v>
      </c>
      <c r="O604" t="s">
        <v>47</v>
      </c>
      <c r="P604" t="s">
        <v>26</v>
      </c>
      <c r="Q604" t="s">
        <v>26</v>
      </c>
      <c r="R604">
        <v>10</v>
      </c>
      <c r="S604" t="s">
        <v>35</v>
      </c>
      <c r="T604" t="str">
        <f t="shared" si="18"/>
        <v>Quarterly</v>
      </c>
      <c r="U604">
        <f>VLOOKUP(T604,[1]tablescore!$B$3:$C$8, 2,FALSE)</f>
        <v>4</v>
      </c>
      <c r="V604" t="str">
        <f t="shared" si="19"/>
        <v>Low Loyalty</v>
      </c>
      <c r="W604" t="s">
        <v>97</v>
      </c>
    </row>
    <row r="605" spans="1:23" x14ac:dyDescent="0.25">
      <c r="A605">
        <v>604</v>
      </c>
      <c r="B605">
        <v>31</v>
      </c>
      <c r="C605" t="str" cm="1">
        <f t="array" ref="C605">_xlfn.IFS(
  AND(B605&gt;=18, B605&lt;=24), "18-24",
  AND(B605&gt;=25, B605&lt;=34), "25-34",
  AND(B605&gt;=35, B605&lt;=44), "35-44",
  AND(B605&gt;=45, B605&lt;=54), "45-54",
  B605&gt;=55, "55+"
)</f>
        <v>25-34</v>
      </c>
      <c r="D605" t="s">
        <v>19</v>
      </c>
      <c r="E605" t="s">
        <v>68</v>
      </c>
      <c r="F605" t="s">
        <v>69</v>
      </c>
      <c r="G605">
        <v>46</v>
      </c>
      <c r="H605" t="s">
        <v>37</v>
      </c>
      <c r="I605" t="s">
        <v>23</v>
      </c>
      <c r="J605" t="s">
        <v>96</v>
      </c>
      <c r="K605" t="s">
        <v>25</v>
      </c>
      <c r="L605">
        <v>3.4</v>
      </c>
      <c r="M605" t="s">
        <v>26</v>
      </c>
      <c r="N605" t="s">
        <v>59</v>
      </c>
      <c r="O605" t="s">
        <v>72</v>
      </c>
      <c r="P605" t="s">
        <v>26</v>
      </c>
      <c r="Q605" t="s">
        <v>26</v>
      </c>
      <c r="R605">
        <v>26</v>
      </c>
      <c r="S605" t="s">
        <v>46</v>
      </c>
      <c r="T605" t="str">
        <f t="shared" si="18"/>
        <v>Quarterly</v>
      </c>
      <c r="U605">
        <f>VLOOKUP(T605,[1]tablescore!$B$3:$C$8, 2,FALSE)</f>
        <v>4</v>
      </c>
      <c r="V605" t="str">
        <f t="shared" si="19"/>
        <v>Low Loyalty</v>
      </c>
      <c r="W605" t="s">
        <v>97</v>
      </c>
    </row>
    <row r="606" spans="1:23" x14ac:dyDescent="0.25">
      <c r="A606">
        <v>605</v>
      </c>
      <c r="B606">
        <v>44</v>
      </c>
      <c r="C606" t="str" cm="1">
        <f t="array" ref="C606">_xlfn.IFS(
  AND(B606&gt;=18, B606&lt;=24), "18-24",
  AND(B606&gt;=25, B606&lt;=34), "25-34",
  AND(B606&gt;=35, B606&lt;=44), "35-44",
  AND(B606&gt;=45, B606&lt;=54), "45-54",
  B606&gt;=55, "55+"
)</f>
        <v>35-44</v>
      </c>
      <c r="D606" t="s">
        <v>19</v>
      </c>
      <c r="E606" t="s">
        <v>89</v>
      </c>
      <c r="F606" t="s">
        <v>69</v>
      </c>
      <c r="G606">
        <v>92</v>
      </c>
      <c r="H606" t="s">
        <v>66</v>
      </c>
      <c r="I606" t="s">
        <v>38</v>
      </c>
      <c r="J606" t="s">
        <v>71</v>
      </c>
      <c r="K606" t="s">
        <v>58</v>
      </c>
      <c r="L606">
        <v>4.4000000000000004</v>
      </c>
      <c r="M606" t="s">
        <v>26</v>
      </c>
      <c r="N606" t="s">
        <v>34</v>
      </c>
      <c r="O606" t="s">
        <v>76</v>
      </c>
      <c r="P606" t="s">
        <v>26</v>
      </c>
      <c r="Q606" t="s">
        <v>26</v>
      </c>
      <c r="R606">
        <v>11</v>
      </c>
      <c r="S606" t="s">
        <v>27</v>
      </c>
      <c r="T606" t="str">
        <f t="shared" si="18"/>
        <v>Quarterly</v>
      </c>
      <c r="U606">
        <f>VLOOKUP(T606,[1]tablescore!$B$3:$C$8, 2,FALSE)</f>
        <v>4</v>
      </c>
      <c r="V606" t="str">
        <f t="shared" si="19"/>
        <v>Low Loyalty</v>
      </c>
      <c r="W606" t="s">
        <v>97</v>
      </c>
    </row>
    <row r="607" spans="1:23" x14ac:dyDescent="0.25">
      <c r="A607">
        <v>606</v>
      </c>
      <c r="B607">
        <v>40</v>
      </c>
      <c r="C607" t="str" cm="1">
        <f t="array" ref="C607">_xlfn.IFS(
  AND(B607&gt;=18, B607&lt;=24), "18-24",
  AND(B607&gt;=25, B607&lt;=34), "25-34",
  AND(B607&gt;=35, B607&lt;=44), "35-44",
  AND(B607&gt;=45, B607&lt;=54), "45-54",
  B607&gt;=55, "55+"
)</f>
        <v>35-44</v>
      </c>
      <c r="D607" t="s">
        <v>19</v>
      </c>
      <c r="E607" t="s">
        <v>125</v>
      </c>
      <c r="F607" t="s">
        <v>69</v>
      </c>
      <c r="G607">
        <v>32</v>
      </c>
      <c r="H607" t="s">
        <v>99</v>
      </c>
      <c r="I607" t="s">
        <v>92</v>
      </c>
      <c r="J607" t="s">
        <v>63</v>
      </c>
      <c r="K607" t="s">
        <v>25</v>
      </c>
      <c r="L607">
        <v>4.2</v>
      </c>
      <c r="M607" t="s">
        <v>26</v>
      </c>
      <c r="N607" t="s">
        <v>59</v>
      </c>
      <c r="O607" t="s">
        <v>55</v>
      </c>
      <c r="P607" t="s">
        <v>26</v>
      </c>
      <c r="Q607" t="s">
        <v>26</v>
      </c>
      <c r="R607">
        <v>17</v>
      </c>
      <c r="S607" t="s">
        <v>34</v>
      </c>
      <c r="T607" t="str">
        <f t="shared" si="18"/>
        <v>Daily</v>
      </c>
      <c r="U607">
        <f>VLOOKUP(T607,[1]tablescore!$B$3:$C$8, 2,FALSE)</f>
        <v>30</v>
      </c>
      <c r="V607" t="str">
        <f t="shared" si="19"/>
        <v>Highly Loyal</v>
      </c>
      <c r="W607" t="s">
        <v>41</v>
      </c>
    </row>
    <row r="608" spans="1:23" x14ac:dyDescent="0.25">
      <c r="A608">
        <v>607</v>
      </c>
      <c r="B608">
        <v>27</v>
      </c>
      <c r="C608" t="str" cm="1">
        <f t="array" ref="C608">_xlfn.IFS(
  AND(B608&gt;=18, B608&lt;=24), "18-24",
  AND(B608&gt;=25, B608&lt;=34), "25-34",
  AND(B608&gt;=35, B608&lt;=44), "35-44",
  AND(B608&gt;=45, B608&lt;=54), "45-54",
  B608&gt;=55, "55+"
)</f>
        <v>25-34</v>
      </c>
      <c r="D608" t="s">
        <v>19</v>
      </c>
      <c r="E608" t="s">
        <v>119</v>
      </c>
      <c r="F608" t="s">
        <v>69</v>
      </c>
      <c r="G608">
        <v>90</v>
      </c>
      <c r="H608" t="s">
        <v>112</v>
      </c>
      <c r="I608" t="s">
        <v>45</v>
      </c>
      <c r="J608" t="s">
        <v>138</v>
      </c>
      <c r="K608" t="s">
        <v>39</v>
      </c>
      <c r="L608">
        <v>4.5</v>
      </c>
      <c r="M608" t="s">
        <v>26</v>
      </c>
      <c r="N608" t="s">
        <v>27</v>
      </c>
      <c r="O608" t="s">
        <v>55</v>
      </c>
      <c r="P608" t="s">
        <v>26</v>
      </c>
      <c r="Q608" t="s">
        <v>26</v>
      </c>
      <c r="R608">
        <v>44</v>
      </c>
      <c r="S608" t="s">
        <v>46</v>
      </c>
      <c r="T608" t="str">
        <f t="shared" si="18"/>
        <v>Month</v>
      </c>
      <c r="U608">
        <f>VLOOKUP(T608,[1]tablescore!$B$3:$C$8, 2,FALSE)</f>
        <v>12</v>
      </c>
      <c r="V608" t="str">
        <f t="shared" si="19"/>
        <v>Moderate</v>
      </c>
      <c r="W608" t="s">
        <v>88</v>
      </c>
    </row>
    <row r="609" spans="1:23" x14ac:dyDescent="0.25">
      <c r="A609">
        <v>608</v>
      </c>
      <c r="B609">
        <v>47</v>
      </c>
      <c r="C609" t="str" cm="1">
        <f t="array" ref="C609">_xlfn.IFS(
  AND(B609&gt;=18, B609&lt;=24), "18-24",
  AND(B609&gt;=25, B609&lt;=34), "25-34",
  AND(B609&gt;=35, B609&lt;=44), "35-44",
  AND(B609&gt;=45, B609&lt;=54), "45-54",
  B609&gt;=55, "55+"
)</f>
        <v>45-54</v>
      </c>
      <c r="D609" t="s">
        <v>19</v>
      </c>
      <c r="E609" t="s">
        <v>104</v>
      </c>
      <c r="F609" t="s">
        <v>21</v>
      </c>
      <c r="G609">
        <v>23</v>
      </c>
      <c r="H609" t="s">
        <v>116</v>
      </c>
      <c r="I609" t="s">
        <v>23</v>
      </c>
      <c r="J609" t="s">
        <v>75</v>
      </c>
      <c r="K609" t="s">
        <v>58</v>
      </c>
      <c r="L609">
        <v>2.8</v>
      </c>
      <c r="M609" t="s">
        <v>26</v>
      </c>
      <c r="N609" t="s">
        <v>46</v>
      </c>
      <c r="O609" t="s">
        <v>47</v>
      </c>
      <c r="P609" t="s">
        <v>26</v>
      </c>
      <c r="Q609" t="s">
        <v>26</v>
      </c>
      <c r="R609">
        <v>44</v>
      </c>
      <c r="S609" t="s">
        <v>35</v>
      </c>
      <c r="T609" t="str">
        <f t="shared" si="18"/>
        <v>Month</v>
      </c>
      <c r="U609">
        <f>VLOOKUP(T609,[1]tablescore!$B$3:$C$8, 2,FALSE)</f>
        <v>12</v>
      </c>
      <c r="V609" t="str">
        <f t="shared" si="19"/>
        <v>Moderate</v>
      </c>
      <c r="W609" t="s">
        <v>88</v>
      </c>
    </row>
    <row r="610" spans="1:23" x14ac:dyDescent="0.25">
      <c r="A610">
        <v>609</v>
      </c>
      <c r="B610">
        <v>41</v>
      </c>
      <c r="C610" t="str" cm="1">
        <f t="array" ref="C610">_xlfn.IFS(
  AND(B610&gt;=18, B610&lt;=24), "18-24",
  AND(B610&gt;=25, B610&lt;=34), "25-34",
  AND(B610&gt;=35, B610&lt;=44), "35-44",
  AND(B610&gt;=45, B610&lt;=54), "45-54",
  B610&gt;=55, "55+"
)</f>
        <v>35-44</v>
      </c>
      <c r="D610" t="s">
        <v>19</v>
      </c>
      <c r="E610" t="s">
        <v>133</v>
      </c>
      <c r="F610" t="s">
        <v>69</v>
      </c>
      <c r="G610">
        <v>25</v>
      </c>
      <c r="H610" t="s">
        <v>80</v>
      </c>
      <c r="I610" t="s">
        <v>38</v>
      </c>
      <c r="J610" t="s">
        <v>81</v>
      </c>
      <c r="K610" t="s">
        <v>58</v>
      </c>
      <c r="L610">
        <v>3.3</v>
      </c>
      <c r="M610" t="s">
        <v>26</v>
      </c>
      <c r="N610" t="s">
        <v>59</v>
      </c>
      <c r="O610" t="s">
        <v>47</v>
      </c>
      <c r="P610" t="s">
        <v>26</v>
      </c>
      <c r="Q610" t="s">
        <v>26</v>
      </c>
      <c r="R610">
        <v>21</v>
      </c>
      <c r="S610" t="s">
        <v>29</v>
      </c>
      <c r="T610" t="str">
        <f t="shared" si="18"/>
        <v>Quarterly</v>
      </c>
      <c r="U610">
        <f>VLOOKUP(T610,[1]tablescore!$B$3:$C$8, 2,FALSE)</f>
        <v>4</v>
      </c>
      <c r="V610" t="str">
        <f t="shared" si="19"/>
        <v>Low Loyalty</v>
      </c>
      <c r="W610" t="s">
        <v>97</v>
      </c>
    </row>
    <row r="611" spans="1:23" x14ac:dyDescent="0.25">
      <c r="A611">
        <v>610</v>
      </c>
      <c r="B611">
        <v>51</v>
      </c>
      <c r="C611" t="str" cm="1">
        <f t="array" ref="C611">_xlfn.IFS(
  AND(B611&gt;=18, B611&lt;=24), "18-24",
  AND(B611&gt;=25, B611&lt;=34), "25-34",
  AND(B611&gt;=35, B611&lt;=44), "35-44",
  AND(B611&gt;=45, B611&lt;=54), "45-54",
  B611&gt;=55, "55+"
)</f>
        <v>45-54</v>
      </c>
      <c r="D611" t="s">
        <v>19</v>
      </c>
      <c r="E611" t="s">
        <v>31</v>
      </c>
      <c r="F611" t="s">
        <v>21</v>
      </c>
      <c r="G611">
        <v>54</v>
      </c>
      <c r="H611" t="s">
        <v>124</v>
      </c>
      <c r="I611" t="s">
        <v>23</v>
      </c>
      <c r="J611" t="s">
        <v>75</v>
      </c>
      <c r="K611" t="s">
        <v>58</v>
      </c>
      <c r="L611">
        <v>4.5999999999999996</v>
      </c>
      <c r="M611" t="s">
        <v>26</v>
      </c>
      <c r="N611" t="s">
        <v>35</v>
      </c>
      <c r="O611" t="s">
        <v>47</v>
      </c>
      <c r="P611" t="s">
        <v>26</v>
      </c>
      <c r="Q611" t="s">
        <v>26</v>
      </c>
      <c r="R611">
        <v>49</v>
      </c>
      <c r="S611" t="s">
        <v>27</v>
      </c>
      <c r="T611" t="str">
        <f t="shared" si="18"/>
        <v>2-week</v>
      </c>
      <c r="U611">
        <f>VLOOKUP(T611,[1]tablescore!$B$3:$C$8, 2,FALSE)</f>
        <v>26</v>
      </c>
      <c r="V611" t="str">
        <f t="shared" si="19"/>
        <v>Loyal</v>
      </c>
      <c r="W611" t="s">
        <v>30</v>
      </c>
    </row>
    <row r="612" spans="1:23" x14ac:dyDescent="0.25">
      <c r="A612">
        <v>611</v>
      </c>
      <c r="B612">
        <v>53</v>
      </c>
      <c r="C612" t="str" cm="1">
        <f t="array" ref="C612">_xlfn.IFS(
  AND(B612&gt;=18, B612&lt;=24), "18-24",
  AND(B612&gt;=25, B612&lt;=34), "25-34",
  AND(B612&gt;=35, B612&lt;=44), "35-44",
  AND(B612&gt;=45, B612&lt;=54), "45-54",
  B612&gt;=55, "55+"
)</f>
        <v>45-54</v>
      </c>
      <c r="D612" t="s">
        <v>19</v>
      </c>
      <c r="E612" t="s">
        <v>61</v>
      </c>
      <c r="F612" t="s">
        <v>21</v>
      </c>
      <c r="G612">
        <v>72</v>
      </c>
      <c r="H612" t="s">
        <v>101</v>
      </c>
      <c r="I612" t="s">
        <v>45</v>
      </c>
      <c r="J612" t="s">
        <v>63</v>
      </c>
      <c r="K612" t="s">
        <v>54</v>
      </c>
      <c r="L612">
        <v>2.5</v>
      </c>
      <c r="M612" t="s">
        <v>26</v>
      </c>
      <c r="N612" t="s">
        <v>59</v>
      </c>
      <c r="O612" t="s">
        <v>40</v>
      </c>
      <c r="P612" t="s">
        <v>26</v>
      </c>
      <c r="Q612" t="s">
        <v>26</v>
      </c>
      <c r="R612">
        <v>27</v>
      </c>
      <c r="S612" t="s">
        <v>34</v>
      </c>
      <c r="T612" t="str">
        <f t="shared" si="18"/>
        <v>Quarterly</v>
      </c>
      <c r="U612">
        <f>VLOOKUP(T612,[1]tablescore!$B$3:$C$8, 2,FALSE)</f>
        <v>4</v>
      </c>
      <c r="V612" t="str">
        <f t="shared" si="19"/>
        <v>Low Loyalty</v>
      </c>
      <c r="W612" t="s">
        <v>97</v>
      </c>
    </row>
    <row r="613" spans="1:23" x14ac:dyDescent="0.25">
      <c r="A613">
        <v>612</v>
      </c>
      <c r="B613">
        <v>43</v>
      </c>
      <c r="C613" t="str" cm="1">
        <f t="array" ref="C613">_xlfn.IFS(
  AND(B613&gt;=18, B613&lt;=24), "18-24",
  AND(B613&gt;=25, B613&lt;=34), "25-34",
  AND(B613&gt;=35, B613&lt;=44), "35-44",
  AND(B613&gt;=45, B613&lt;=54), "45-54",
  B613&gt;=55, "55+"
)</f>
        <v>35-44</v>
      </c>
      <c r="D613" t="s">
        <v>19</v>
      </c>
      <c r="E613" t="s">
        <v>119</v>
      </c>
      <c r="F613" t="s">
        <v>69</v>
      </c>
      <c r="G613">
        <v>33</v>
      </c>
      <c r="H613" t="s">
        <v>99</v>
      </c>
      <c r="I613" t="s">
        <v>45</v>
      </c>
      <c r="J613" t="s">
        <v>94</v>
      </c>
      <c r="K613" t="s">
        <v>25</v>
      </c>
      <c r="L613">
        <v>4.7</v>
      </c>
      <c r="M613" t="s">
        <v>26</v>
      </c>
      <c r="N613" t="s">
        <v>27</v>
      </c>
      <c r="O613" t="s">
        <v>76</v>
      </c>
      <c r="P613" t="s">
        <v>26</v>
      </c>
      <c r="Q613" t="s">
        <v>26</v>
      </c>
      <c r="R613">
        <v>19</v>
      </c>
      <c r="S613" t="s">
        <v>35</v>
      </c>
      <c r="T613" t="str">
        <f t="shared" si="18"/>
        <v>Month</v>
      </c>
      <c r="U613">
        <f>VLOOKUP(T613,[1]tablescore!$B$3:$C$8, 2,FALSE)</f>
        <v>12</v>
      </c>
      <c r="V613" t="str">
        <f t="shared" si="19"/>
        <v>Moderate</v>
      </c>
      <c r="W613" t="s">
        <v>88</v>
      </c>
    </row>
    <row r="614" spans="1:23" x14ac:dyDescent="0.25">
      <c r="A614">
        <v>613</v>
      </c>
      <c r="B614">
        <v>67</v>
      </c>
      <c r="C614" t="str" cm="1">
        <f t="array" ref="C614">_xlfn.IFS(
  AND(B614&gt;=18, B614&lt;=24), "18-24",
  AND(B614&gt;=25, B614&lt;=34), "25-34",
  AND(B614&gt;=35, B614&lt;=44), "35-44",
  AND(B614&gt;=45, B614&lt;=54), "45-54",
  B614&gt;=55, "55+"
)</f>
        <v>55+</v>
      </c>
      <c r="D614" t="s">
        <v>19</v>
      </c>
      <c r="E614" t="s">
        <v>125</v>
      </c>
      <c r="F614" t="s">
        <v>69</v>
      </c>
      <c r="G614">
        <v>43</v>
      </c>
      <c r="H614" t="s">
        <v>83</v>
      </c>
      <c r="I614" t="s">
        <v>23</v>
      </c>
      <c r="J614" t="s">
        <v>93</v>
      </c>
      <c r="K614" t="s">
        <v>58</v>
      </c>
      <c r="L614">
        <v>4.5999999999999996</v>
      </c>
      <c r="M614" t="s">
        <v>26</v>
      </c>
      <c r="N614" t="s">
        <v>46</v>
      </c>
      <c r="O614" t="s">
        <v>28</v>
      </c>
      <c r="P614" t="s">
        <v>26</v>
      </c>
      <c r="Q614" t="s">
        <v>26</v>
      </c>
      <c r="R614">
        <v>33</v>
      </c>
      <c r="S614" t="s">
        <v>27</v>
      </c>
      <c r="T614" t="str">
        <f t="shared" si="18"/>
        <v>Quarterly</v>
      </c>
      <c r="U614">
        <f>VLOOKUP(T614,[1]tablescore!$B$3:$C$8, 2,FALSE)</f>
        <v>4</v>
      </c>
      <c r="V614" t="str">
        <f t="shared" si="19"/>
        <v>Low Loyalty</v>
      </c>
      <c r="W614" t="s">
        <v>60</v>
      </c>
    </row>
    <row r="615" spans="1:23" x14ac:dyDescent="0.25">
      <c r="A615">
        <v>614</v>
      </c>
      <c r="B615">
        <v>61</v>
      </c>
      <c r="C615" t="str" cm="1">
        <f t="array" ref="C615">_xlfn.IFS(
  AND(B615&gt;=18, B615&lt;=24), "18-24",
  AND(B615&gt;=25, B615&lt;=34), "25-34",
  AND(B615&gt;=35, B615&lt;=44), "35-44",
  AND(B615&gt;=45, B615&lt;=54), "45-54",
  B615&gt;=55, "55+"
)</f>
        <v>55+</v>
      </c>
      <c r="D615" t="s">
        <v>19</v>
      </c>
      <c r="E615" t="s">
        <v>64</v>
      </c>
      <c r="F615" t="s">
        <v>65</v>
      </c>
      <c r="G615">
        <v>51</v>
      </c>
      <c r="H615" t="s">
        <v>141</v>
      </c>
      <c r="I615" t="s">
        <v>23</v>
      </c>
      <c r="J615" t="s">
        <v>93</v>
      </c>
      <c r="K615" t="s">
        <v>58</v>
      </c>
      <c r="L615">
        <v>2.6</v>
      </c>
      <c r="M615" t="s">
        <v>26</v>
      </c>
      <c r="N615" t="s">
        <v>35</v>
      </c>
      <c r="O615" t="s">
        <v>55</v>
      </c>
      <c r="P615" t="s">
        <v>26</v>
      </c>
      <c r="Q615" t="s">
        <v>26</v>
      </c>
      <c r="R615">
        <v>46</v>
      </c>
      <c r="S615" t="s">
        <v>35</v>
      </c>
      <c r="T615" t="str">
        <f t="shared" si="18"/>
        <v>2-week</v>
      </c>
      <c r="U615">
        <f>VLOOKUP(T615,[1]tablescore!$B$3:$C$8, 2,FALSE)</f>
        <v>26</v>
      </c>
      <c r="V615" t="str">
        <f t="shared" si="19"/>
        <v>Loyal</v>
      </c>
      <c r="W615" t="s">
        <v>77</v>
      </c>
    </row>
    <row r="616" spans="1:23" x14ac:dyDescent="0.25">
      <c r="A616">
        <v>615</v>
      </c>
      <c r="B616">
        <v>68</v>
      </c>
      <c r="C616" t="str" cm="1">
        <f t="array" ref="C616">_xlfn.IFS(
  AND(B616&gt;=18, B616&lt;=24), "18-24",
  AND(B616&gt;=25, B616&lt;=34), "25-34",
  AND(B616&gt;=35, B616&lt;=44), "35-44",
  AND(B616&gt;=45, B616&lt;=54), "45-54",
  B616&gt;=55, "55+"
)</f>
        <v>55+</v>
      </c>
      <c r="D616" t="s">
        <v>19</v>
      </c>
      <c r="E616" t="s">
        <v>106</v>
      </c>
      <c r="F616" t="s">
        <v>69</v>
      </c>
      <c r="G616">
        <v>85</v>
      </c>
      <c r="H616" t="s">
        <v>144</v>
      </c>
      <c r="I616" t="s">
        <v>45</v>
      </c>
      <c r="J616" t="s">
        <v>93</v>
      </c>
      <c r="K616" t="s">
        <v>25</v>
      </c>
      <c r="L616">
        <v>4</v>
      </c>
      <c r="M616" t="s">
        <v>26</v>
      </c>
      <c r="N616" t="s">
        <v>35</v>
      </c>
      <c r="O616" t="s">
        <v>55</v>
      </c>
      <c r="P616" t="s">
        <v>26</v>
      </c>
      <c r="Q616" t="s">
        <v>26</v>
      </c>
      <c r="R616">
        <v>21</v>
      </c>
      <c r="S616" t="s">
        <v>27</v>
      </c>
      <c r="T616" t="str">
        <f t="shared" si="18"/>
        <v>2-week</v>
      </c>
      <c r="U616">
        <f>VLOOKUP(T616,[1]tablescore!$B$3:$C$8, 2,FALSE)</f>
        <v>26</v>
      </c>
      <c r="V616" t="str">
        <f t="shared" si="19"/>
        <v>Loyal</v>
      </c>
      <c r="W616" t="s">
        <v>77</v>
      </c>
    </row>
    <row r="617" spans="1:23" x14ac:dyDescent="0.25">
      <c r="A617">
        <v>616</v>
      </c>
      <c r="B617">
        <v>67</v>
      </c>
      <c r="C617" t="str" cm="1">
        <f t="array" ref="C617">_xlfn.IFS(
  AND(B617&gt;=18, B617&lt;=24), "18-24",
  AND(B617&gt;=25, B617&lt;=34), "25-34",
  AND(B617&gt;=35, B617&lt;=44), "35-44",
  AND(B617&gt;=45, B617&lt;=54), "45-54",
  B617&gt;=55, "55+"
)</f>
        <v>55+</v>
      </c>
      <c r="D617" t="s">
        <v>19</v>
      </c>
      <c r="E617" t="s">
        <v>42</v>
      </c>
      <c r="F617" t="s">
        <v>43</v>
      </c>
      <c r="G617">
        <v>100</v>
      </c>
      <c r="H617" t="s">
        <v>135</v>
      </c>
      <c r="I617" t="s">
        <v>23</v>
      </c>
      <c r="J617" t="s">
        <v>79</v>
      </c>
      <c r="K617" t="s">
        <v>54</v>
      </c>
      <c r="L617">
        <v>2.6</v>
      </c>
      <c r="M617" t="s">
        <v>26</v>
      </c>
      <c r="N617" t="s">
        <v>59</v>
      </c>
      <c r="O617" t="s">
        <v>47</v>
      </c>
      <c r="P617" t="s">
        <v>26</v>
      </c>
      <c r="Q617" t="s">
        <v>26</v>
      </c>
      <c r="R617">
        <v>23</v>
      </c>
      <c r="S617" t="s">
        <v>29</v>
      </c>
      <c r="T617" t="str">
        <f t="shared" si="18"/>
        <v>Annually</v>
      </c>
      <c r="U617">
        <f>VLOOKUP(T617,[1]tablescore!$B$3:$C$8, 2,FALSE)</f>
        <v>1</v>
      </c>
      <c r="V617" t="str">
        <f t="shared" si="19"/>
        <v>Low Loyalty</v>
      </c>
      <c r="W617" t="s">
        <v>50</v>
      </c>
    </row>
    <row r="618" spans="1:23" x14ac:dyDescent="0.25">
      <c r="A618">
        <v>617</v>
      </c>
      <c r="B618">
        <v>29</v>
      </c>
      <c r="C618" t="str" cm="1">
        <f t="array" ref="C618">_xlfn.IFS(
  AND(B618&gt;=18, B618&lt;=24), "18-24",
  AND(B618&gt;=25, B618&lt;=34), "25-34",
  AND(B618&gt;=35, B618&lt;=44), "35-44",
  AND(B618&gt;=45, B618&lt;=54), "45-54",
  B618&gt;=55, "55+"
)</f>
        <v>25-34</v>
      </c>
      <c r="D618" t="s">
        <v>19</v>
      </c>
      <c r="E618" t="s">
        <v>127</v>
      </c>
      <c r="F618" t="s">
        <v>69</v>
      </c>
      <c r="G618">
        <v>72</v>
      </c>
      <c r="H618" t="s">
        <v>141</v>
      </c>
      <c r="I618" t="s">
        <v>23</v>
      </c>
      <c r="J618" t="s">
        <v>86</v>
      </c>
      <c r="K618" t="s">
        <v>39</v>
      </c>
      <c r="L618">
        <v>4.5999999999999996</v>
      </c>
      <c r="M618" t="s">
        <v>26</v>
      </c>
      <c r="N618" t="s">
        <v>35</v>
      </c>
      <c r="O618" t="s">
        <v>40</v>
      </c>
      <c r="P618" t="s">
        <v>26</v>
      </c>
      <c r="Q618" t="s">
        <v>26</v>
      </c>
      <c r="R618">
        <v>38</v>
      </c>
      <c r="S618" t="s">
        <v>27</v>
      </c>
      <c r="T618" t="str">
        <f t="shared" si="18"/>
        <v>Quarterly</v>
      </c>
      <c r="U618">
        <f>VLOOKUP(T618,[1]tablescore!$B$3:$C$8, 2,FALSE)</f>
        <v>4</v>
      </c>
      <c r="V618" t="str">
        <f t="shared" si="19"/>
        <v>Low Loyalty</v>
      </c>
      <c r="W618" t="s">
        <v>97</v>
      </c>
    </row>
    <row r="619" spans="1:23" x14ac:dyDescent="0.25">
      <c r="A619">
        <v>618</v>
      </c>
      <c r="B619">
        <v>50</v>
      </c>
      <c r="C619" t="str" cm="1">
        <f t="array" ref="C619">_xlfn.IFS(
  AND(B619&gt;=18, B619&lt;=24), "18-24",
  AND(B619&gt;=25, B619&lt;=34), "25-34",
  AND(B619&gt;=35, B619&lt;=44), "35-44",
  AND(B619&gt;=45, B619&lt;=54), "45-54",
  B619&gt;=55, "55+"
)</f>
        <v>45-54</v>
      </c>
      <c r="D619" t="s">
        <v>19</v>
      </c>
      <c r="E619" t="s">
        <v>133</v>
      </c>
      <c r="F619" t="s">
        <v>69</v>
      </c>
      <c r="G619">
        <v>57</v>
      </c>
      <c r="H619" t="s">
        <v>112</v>
      </c>
      <c r="I619" t="s">
        <v>45</v>
      </c>
      <c r="J619" t="s">
        <v>33</v>
      </c>
      <c r="K619" t="s">
        <v>58</v>
      </c>
      <c r="L619">
        <v>2.6</v>
      </c>
      <c r="M619" t="s">
        <v>26</v>
      </c>
      <c r="N619" t="s">
        <v>59</v>
      </c>
      <c r="O619" t="s">
        <v>55</v>
      </c>
      <c r="P619" t="s">
        <v>26</v>
      </c>
      <c r="Q619" t="s">
        <v>26</v>
      </c>
      <c r="R619">
        <v>2</v>
      </c>
      <c r="S619" t="s">
        <v>34</v>
      </c>
      <c r="T619" t="str">
        <f t="shared" si="18"/>
        <v>Quarterly</v>
      </c>
      <c r="U619">
        <f>VLOOKUP(T619,[1]tablescore!$B$3:$C$8, 2,FALSE)</f>
        <v>4</v>
      </c>
      <c r="V619" t="str">
        <f t="shared" si="19"/>
        <v>Low Loyalty</v>
      </c>
      <c r="W619" t="s">
        <v>60</v>
      </c>
    </row>
    <row r="620" spans="1:23" x14ac:dyDescent="0.25">
      <c r="A620">
        <v>619</v>
      </c>
      <c r="B620">
        <v>61</v>
      </c>
      <c r="C620" t="str" cm="1">
        <f t="array" ref="C620">_xlfn.IFS(
  AND(B620&gt;=18, B620&lt;=24), "18-24",
  AND(B620&gt;=25, B620&lt;=34), "25-34",
  AND(B620&gt;=35, B620&lt;=44), "35-44",
  AND(B620&gt;=45, B620&lt;=54), "45-54",
  B620&gt;=55, "55+"
)</f>
        <v>55+</v>
      </c>
      <c r="D620" t="s">
        <v>19</v>
      </c>
      <c r="E620" t="s">
        <v>102</v>
      </c>
      <c r="F620" t="s">
        <v>65</v>
      </c>
      <c r="G620">
        <v>94</v>
      </c>
      <c r="H620" t="s">
        <v>116</v>
      </c>
      <c r="I620" t="s">
        <v>23</v>
      </c>
      <c r="J620" t="s">
        <v>109</v>
      </c>
      <c r="K620" t="s">
        <v>39</v>
      </c>
      <c r="L620">
        <v>4</v>
      </c>
      <c r="M620" t="s">
        <v>26</v>
      </c>
      <c r="N620" t="s">
        <v>27</v>
      </c>
      <c r="O620" t="s">
        <v>28</v>
      </c>
      <c r="P620" t="s">
        <v>26</v>
      </c>
      <c r="Q620" t="s">
        <v>26</v>
      </c>
      <c r="R620">
        <v>21</v>
      </c>
      <c r="S620" t="s">
        <v>59</v>
      </c>
      <c r="T620" t="str">
        <f t="shared" si="18"/>
        <v>2-week</v>
      </c>
      <c r="U620">
        <f>VLOOKUP(T620,[1]tablescore!$B$3:$C$8, 2,FALSE)</f>
        <v>26</v>
      </c>
      <c r="V620" t="str">
        <f t="shared" si="19"/>
        <v>Loyal</v>
      </c>
      <c r="W620" t="s">
        <v>77</v>
      </c>
    </row>
    <row r="621" spans="1:23" x14ac:dyDescent="0.25">
      <c r="A621">
        <v>620</v>
      </c>
      <c r="B621">
        <v>19</v>
      </c>
      <c r="C621" t="str" cm="1">
        <f t="array" ref="C621">_xlfn.IFS(
  AND(B621&gt;=18, B621&lt;=24), "18-24",
  AND(B621&gt;=25, B621&lt;=34), "25-34",
  AND(B621&gt;=35, B621&lt;=44), "35-44",
  AND(B621&gt;=45, B621&lt;=54), "45-54",
  B621&gt;=55, "55+"
)</f>
        <v>18-24</v>
      </c>
      <c r="D621" t="s">
        <v>19</v>
      </c>
      <c r="E621" t="s">
        <v>133</v>
      </c>
      <c r="F621" t="s">
        <v>69</v>
      </c>
      <c r="G621">
        <v>34</v>
      </c>
      <c r="H621" t="s">
        <v>143</v>
      </c>
      <c r="I621" t="s">
        <v>45</v>
      </c>
      <c r="J621" t="s">
        <v>63</v>
      </c>
      <c r="K621" t="s">
        <v>54</v>
      </c>
      <c r="L621">
        <v>4.5999999999999996</v>
      </c>
      <c r="M621" t="s">
        <v>26</v>
      </c>
      <c r="N621" t="s">
        <v>59</v>
      </c>
      <c r="O621" t="s">
        <v>76</v>
      </c>
      <c r="P621" t="s">
        <v>26</v>
      </c>
      <c r="Q621" t="s">
        <v>26</v>
      </c>
      <c r="R621">
        <v>1</v>
      </c>
      <c r="S621" t="s">
        <v>59</v>
      </c>
      <c r="T621" t="str">
        <f t="shared" si="18"/>
        <v>Quarterly</v>
      </c>
      <c r="U621">
        <f>VLOOKUP(T621,[1]tablescore!$B$3:$C$8, 2,FALSE)</f>
        <v>4</v>
      </c>
      <c r="V621" t="str">
        <f t="shared" si="19"/>
        <v>Low Loyalty</v>
      </c>
      <c r="W621" t="s">
        <v>97</v>
      </c>
    </row>
    <row r="622" spans="1:23" x14ac:dyDescent="0.25">
      <c r="A622">
        <v>621</v>
      </c>
      <c r="B622">
        <v>33</v>
      </c>
      <c r="C622" t="str" cm="1">
        <f t="array" ref="C622">_xlfn.IFS(
  AND(B622&gt;=18, B622&lt;=24), "18-24",
  AND(B622&gt;=25, B622&lt;=34), "25-34",
  AND(B622&gt;=35, B622&lt;=44), "35-44",
  AND(B622&gt;=45, B622&lt;=54), "45-54",
  B622&gt;=55, "55+"
)</f>
        <v>25-34</v>
      </c>
      <c r="D622" t="s">
        <v>19</v>
      </c>
      <c r="E622" t="s">
        <v>133</v>
      </c>
      <c r="F622" t="s">
        <v>69</v>
      </c>
      <c r="G622">
        <v>89</v>
      </c>
      <c r="H622" t="s">
        <v>44</v>
      </c>
      <c r="I622" t="s">
        <v>45</v>
      </c>
      <c r="J622" t="s">
        <v>94</v>
      </c>
      <c r="K622" t="s">
        <v>58</v>
      </c>
      <c r="L622">
        <v>3.7</v>
      </c>
      <c r="M622" t="s">
        <v>26</v>
      </c>
      <c r="N622" t="s">
        <v>46</v>
      </c>
      <c r="O622" t="s">
        <v>72</v>
      </c>
      <c r="P622" t="s">
        <v>26</v>
      </c>
      <c r="Q622" t="s">
        <v>26</v>
      </c>
      <c r="R622">
        <v>10</v>
      </c>
      <c r="S622" t="s">
        <v>29</v>
      </c>
      <c r="T622" t="str">
        <f t="shared" si="18"/>
        <v>Quarterly</v>
      </c>
      <c r="U622">
        <f>VLOOKUP(T622,[1]tablescore!$B$3:$C$8, 2,FALSE)</f>
        <v>4</v>
      </c>
      <c r="V622" t="str">
        <f t="shared" si="19"/>
        <v>Low Loyalty</v>
      </c>
      <c r="W622" t="s">
        <v>97</v>
      </c>
    </row>
    <row r="623" spans="1:23" x14ac:dyDescent="0.25">
      <c r="A623">
        <v>622</v>
      </c>
      <c r="B623">
        <v>51</v>
      </c>
      <c r="C623" t="str" cm="1">
        <f t="array" ref="C623">_xlfn.IFS(
  AND(B623&gt;=18, B623&lt;=24), "18-24",
  AND(B623&gt;=25, B623&lt;=34), "25-34",
  AND(B623&gt;=35, B623&lt;=44), "35-44",
  AND(B623&gt;=45, B623&lt;=54), "45-54",
  B623&gt;=55, "55+"
)</f>
        <v>45-54</v>
      </c>
      <c r="D623" t="s">
        <v>19</v>
      </c>
      <c r="E623" t="s">
        <v>89</v>
      </c>
      <c r="F623" t="s">
        <v>69</v>
      </c>
      <c r="G623">
        <v>27</v>
      </c>
      <c r="H623" t="s">
        <v>111</v>
      </c>
      <c r="I623" t="s">
        <v>38</v>
      </c>
      <c r="J623" t="s">
        <v>108</v>
      </c>
      <c r="K623" t="s">
        <v>58</v>
      </c>
      <c r="L623">
        <v>4.4000000000000004</v>
      </c>
      <c r="M623" t="s">
        <v>26</v>
      </c>
      <c r="N623" t="s">
        <v>59</v>
      </c>
      <c r="O623" t="s">
        <v>76</v>
      </c>
      <c r="P623" t="s">
        <v>26</v>
      </c>
      <c r="Q623" t="s">
        <v>26</v>
      </c>
      <c r="R623">
        <v>45</v>
      </c>
      <c r="S623" t="s">
        <v>27</v>
      </c>
      <c r="T623" t="str">
        <f t="shared" si="18"/>
        <v>Daily</v>
      </c>
      <c r="U623">
        <f>VLOOKUP(T623,[1]tablescore!$B$3:$C$8, 2,FALSE)</f>
        <v>30</v>
      </c>
      <c r="V623" t="str">
        <f t="shared" si="19"/>
        <v>Highly Loyal</v>
      </c>
      <c r="W623" t="s">
        <v>41</v>
      </c>
    </row>
    <row r="624" spans="1:23" x14ac:dyDescent="0.25">
      <c r="A624">
        <v>623</v>
      </c>
      <c r="B624">
        <v>69</v>
      </c>
      <c r="C624" t="str" cm="1">
        <f t="array" ref="C624">_xlfn.IFS(
  AND(B624&gt;=18, B624&lt;=24), "18-24",
  AND(B624&gt;=25, B624&lt;=34), "25-34",
  AND(B624&gt;=35, B624&lt;=44), "35-44",
  AND(B624&gt;=45, B624&lt;=54), "45-54",
  B624&gt;=55, "55+"
)</f>
        <v>55+</v>
      </c>
      <c r="D624" t="s">
        <v>19</v>
      </c>
      <c r="E624" t="s">
        <v>131</v>
      </c>
      <c r="F624" t="s">
        <v>21</v>
      </c>
      <c r="G624">
        <v>63</v>
      </c>
      <c r="H624" t="s">
        <v>142</v>
      </c>
      <c r="I624" t="s">
        <v>38</v>
      </c>
      <c r="J624" t="s">
        <v>100</v>
      </c>
      <c r="K624" t="s">
        <v>39</v>
      </c>
      <c r="L624">
        <v>4</v>
      </c>
      <c r="M624" t="s">
        <v>26</v>
      </c>
      <c r="N624" t="s">
        <v>27</v>
      </c>
      <c r="O624" t="s">
        <v>47</v>
      </c>
      <c r="P624" t="s">
        <v>26</v>
      </c>
      <c r="Q624" t="s">
        <v>26</v>
      </c>
      <c r="R624">
        <v>44</v>
      </c>
      <c r="S624" t="s">
        <v>34</v>
      </c>
      <c r="T624" t="str">
        <f t="shared" si="18"/>
        <v>2-week</v>
      </c>
      <c r="U624">
        <f>VLOOKUP(T624,[1]tablescore!$B$3:$C$8, 2,FALSE)</f>
        <v>26</v>
      </c>
      <c r="V624" t="str">
        <f t="shared" si="19"/>
        <v>Loyal</v>
      </c>
      <c r="W624" t="s">
        <v>30</v>
      </c>
    </row>
    <row r="625" spans="1:23" x14ac:dyDescent="0.25">
      <c r="A625">
        <v>624</v>
      </c>
      <c r="B625">
        <v>19</v>
      </c>
      <c r="C625" t="str" cm="1">
        <f t="array" ref="C625">_xlfn.IFS(
  AND(B625&gt;=18, B625&lt;=24), "18-24",
  AND(B625&gt;=25, B625&lt;=34), "25-34",
  AND(B625&gt;=35, B625&lt;=44), "35-44",
  AND(B625&gt;=45, B625&lt;=54), "45-54",
  B625&gt;=55, "55+"
)</f>
        <v>18-24</v>
      </c>
      <c r="D625" t="s">
        <v>19</v>
      </c>
      <c r="E625" t="s">
        <v>73</v>
      </c>
      <c r="F625" t="s">
        <v>43</v>
      </c>
      <c r="G625">
        <v>70</v>
      </c>
      <c r="H625" t="s">
        <v>107</v>
      </c>
      <c r="I625" t="s">
        <v>45</v>
      </c>
      <c r="J625" t="s">
        <v>53</v>
      </c>
      <c r="K625" t="s">
        <v>58</v>
      </c>
      <c r="L625">
        <v>4.7</v>
      </c>
      <c r="M625" t="s">
        <v>26</v>
      </c>
      <c r="N625" t="s">
        <v>34</v>
      </c>
      <c r="O625" t="s">
        <v>55</v>
      </c>
      <c r="P625" t="s">
        <v>26</v>
      </c>
      <c r="Q625" t="s">
        <v>26</v>
      </c>
      <c r="R625">
        <v>48</v>
      </c>
      <c r="S625" t="s">
        <v>46</v>
      </c>
      <c r="T625" t="str">
        <f t="shared" si="18"/>
        <v>2-week</v>
      </c>
      <c r="U625">
        <f>VLOOKUP(T625,[1]tablescore!$B$3:$C$8, 2,FALSE)</f>
        <v>26</v>
      </c>
      <c r="V625" t="str">
        <f t="shared" si="19"/>
        <v>Loyal</v>
      </c>
      <c r="W625" t="s">
        <v>77</v>
      </c>
    </row>
    <row r="626" spans="1:23" x14ac:dyDescent="0.25">
      <c r="A626">
        <v>625</v>
      </c>
      <c r="B626">
        <v>55</v>
      </c>
      <c r="C626" t="str" cm="1">
        <f t="array" ref="C626">_xlfn.IFS(
  AND(B626&gt;=18, B626&lt;=24), "18-24",
  AND(B626&gt;=25, B626&lt;=34), "25-34",
  AND(B626&gt;=35, B626&lt;=44), "35-44",
  AND(B626&gt;=45, B626&lt;=54), "45-54",
  B626&gt;=55, "55+"
)</f>
        <v>55+</v>
      </c>
      <c r="D626" t="s">
        <v>19</v>
      </c>
      <c r="E626" t="s">
        <v>95</v>
      </c>
      <c r="F626" t="s">
        <v>21</v>
      </c>
      <c r="G626">
        <v>87</v>
      </c>
      <c r="H626" t="s">
        <v>126</v>
      </c>
      <c r="I626" t="s">
        <v>92</v>
      </c>
      <c r="J626" t="s">
        <v>71</v>
      </c>
      <c r="K626" t="s">
        <v>58</v>
      </c>
      <c r="L626">
        <v>3.4</v>
      </c>
      <c r="M626" t="s">
        <v>26</v>
      </c>
      <c r="N626" t="s">
        <v>29</v>
      </c>
      <c r="O626" t="s">
        <v>28</v>
      </c>
      <c r="P626" t="s">
        <v>26</v>
      </c>
      <c r="Q626" t="s">
        <v>26</v>
      </c>
      <c r="R626">
        <v>21</v>
      </c>
      <c r="S626" t="s">
        <v>46</v>
      </c>
      <c r="T626" t="str">
        <f t="shared" si="18"/>
        <v>Annually</v>
      </c>
      <c r="U626">
        <f>VLOOKUP(T626,[1]tablescore!$B$3:$C$8, 2,FALSE)</f>
        <v>1</v>
      </c>
      <c r="V626" t="str">
        <f t="shared" si="19"/>
        <v>Low Loyalty</v>
      </c>
      <c r="W626" t="s">
        <v>50</v>
      </c>
    </row>
    <row r="627" spans="1:23" x14ac:dyDescent="0.25">
      <c r="A627">
        <v>626</v>
      </c>
      <c r="B627">
        <v>49</v>
      </c>
      <c r="C627" t="str" cm="1">
        <f t="array" ref="C627">_xlfn.IFS(
  AND(B627&gt;=18, B627&lt;=24), "18-24",
  AND(B627&gt;=25, B627&lt;=34), "25-34",
  AND(B627&gt;=35, B627&lt;=44), "35-44",
  AND(B627&gt;=45, B627&lt;=54), "45-54",
  B627&gt;=55, "55+"
)</f>
        <v>45-54</v>
      </c>
      <c r="D627" t="s">
        <v>19</v>
      </c>
      <c r="E627" t="s">
        <v>106</v>
      </c>
      <c r="F627" t="s">
        <v>69</v>
      </c>
      <c r="G627">
        <v>79</v>
      </c>
      <c r="H627" t="s">
        <v>80</v>
      </c>
      <c r="I627" t="s">
        <v>45</v>
      </c>
      <c r="J627" t="s">
        <v>108</v>
      </c>
      <c r="K627" t="s">
        <v>58</v>
      </c>
      <c r="L627">
        <v>4</v>
      </c>
      <c r="M627" t="s">
        <v>26</v>
      </c>
      <c r="N627" t="s">
        <v>29</v>
      </c>
      <c r="O627" t="s">
        <v>47</v>
      </c>
      <c r="P627" t="s">
        <v>26</v>
      </c>
      <c r="Q627" t="s">
        <v>26</v>
      </c>
      <c r="R627">
        <v>1</v>
      </c>
      <c r="S627" t="s">
        <v>29</v>
      </c>
      <c r="T627" t="str">
        <f t="shared" si="18"/>
        <v>Daily</v>
      </c>
      <c r="U627">
        <f>VLOOKUP(T627,[1]tablescore!$B$3:$C$8, 2,FALSE)</f>
        <v>30</v>
      </c>
      <c r="V627" t="str">
        <f t="shared" si="19"/>
        <v>Highly Loyal</v>
      </c>
      <c r="W627" t="s">
        <v>41</v>
      </c>
    </row>
    <row r="628" spans="1:23" x14ac:dyDescent="0.25">
      <c r="A628">
        <v>627</v>
      </c>
      <c r="B628">
        <v>31</v>
      </c>
      <c r="C628" t="str" cm="1">
        <f t="array" ref="C628">_xlfn.IFS(
  AND(B628&gt;=18, B628&lt;=24), "18-24",
  AND(B628&gt;=25, B628&lt;=34), "25-34",
  AND(B628&gt;=35, B628&lt;=44), "35-44",
  AND(B628&gt;=45, B628&lt;=54), "45-54",
  B628&gt;=55, "55+"
)</f>
        <v>25-34</v>
      </c>
      <c r="D628" t="s">
        <v>19</v>
      </c>
      <c r="E628" t="s">
        <v>89</v>
      </c>
      <c r="F628" t="s">
        <v>69</v>
      </c>
      <c r="G628">
        <v>79</v>
      </c>
      <c r="H628" t="s">
        <v>83</v>
      </c>
      <c r="I628" t="s">
        <v>45</v>
      </c>
      <c r="J628" t="s">
        <v>129</v>
      </c>
      <c r="K628" t="s">
        <v>39</v>
      </c>
      <c r="L628">
        <v>3.9</v>
      </c>
      <c r="M628" t="s">
        <v>26</v>
      </c>
      <c r="N628" t="s">
        <v>27</v>
      </c>
      <c r="O628" t="s">
        <v>55</v>
      </c>
      <c r="P628" t="s">
        <v>26</v>
      </c>
      <c r="Q628" t="s">
        <v>26</v>
      </c>
      <c r="R628">
        <v>10</v>
      </c>
      <c r="S628" t="s">
        <v>29</v>
      </c>
      <c r="T628" t="str">
        <f t="shared" si="18"/>
        <v>Annually</v>
      </c>
      <c r="U628">
        <f>VLOOKUP(T628,[1]tablescore!$B$3:$C$8, 2,FALSE)</f>
        <v>1</v>
      </c>
      <c r="V628" t="str">
        <f t="shared" si="19"/>
        <v>Low Loyalty</v>
      </c>
      <c r="W628" t="s">
        <v>50</v>
      </c>
    </row>
    <row r="629" spans="1:23" x14ac:dyDescent="0.25">
      <c r="A629">
        <v>628</v>
      </c>
      <c r="B629">
        <v>42</v>
      </c>
      <c r="C629" t="str" cm="1">
        <f t="array" ref="C629">_xlfn.IFS(
  AND(B629&gt;=18, B629&lt;=24), "18-24",
  AND(B629&gt;=25, B629&lt;=34), "25-34",
  AND(B629&gt;=35, B629&lt;=44), "35-44",
  AND(B629&gt;=45, B629&lt;=54), "45-54",
  B629&gt;=55, "55+"
)</f>
        <v>35-44</v>
      </c>
      <c r="D629" t="s">
        <v>19</v>
      </c>
      <c r="E629" t="s">
        <v>42</v>
      </c>
      <c r="F629" t="s">
        <v>43</v>
      </c>
      <c r="G629">
        <v>44</v>
      </c>
      <c r="H629" t="s">
        <v>48</v>
      </c>
      <c r="I629" t="s">
        <v>23</v>
      </c>
      <c r="J629" t="s">
        <v>94</v>
      </c>
      <c r="K629" t="s">
        <v>25</v>
      </c>
      <c r="L629">
        <v>4.0999999999999996</v>
      </c>
      <c r="M629" t="s">
        <v>26</v>
      </c>
      <c r="N629" t="s">
        <v>29</v>
      </c>
      <c r="O629" t="s">
        <v>28</v>
      </c>
      <c r="P629" t="s">
        <v>26</v>
      </c>
      <c r="Q629" t="s">
        <v>26</v>
      </c>
      <c r="R629">
        <v>24</v>
      </c>
      <c r="S629" t="s">
        <v>46</v>
      </c>
      <c r="T629" t="str">
        <f t="shared" si="18"/>
        <v>Month</v>
      </c>
      <c r="U629">
        <f>VLOOKUP(T629,[1]tablescore!$B$3:$C$8, 2,FALSE)</f>
        <v>12</v>
      </c>
      <c r="V629" t="str">
        <f t="shared" si="19"/>
        <v>Moderate</v>
      </c>
      <c r="W629" t="s">
        <v>88</v>
      </c>
    </row>
    <row r="630" spans="1:23" x14ac:dyDescent="0.25">
      <c r="A630">
        <v>629</v>
      </c>
      <c r="B630">
        <v>69</v>
      </c>
      <c r="C630" t="str" cm="1">
        <f t="array" ref="C630">_xlfn.IFS(
  AND(B630&gt;=18, B630&lt;=24), "18-24",
  AND(B630&gt;=25, B630&lt;=34), "25-34",
  AND(B630&gt;=35, B630&lt;=44), "35-44",
  AND(B630&gt;=45, B630&lt;=54), "45-54",
  B630&gt;=55, "55+"
)</f>
        <v>55+</v>
      </c>
      <c r="D630" t="s">
        <v>19</v>
      </c>
      <c r="E630" t="s">
        <v>31</v>
      </c>
      <c r="F630" t="s">
        <v>21</v>
      </c>
      <c r="G630">
        <v>85</v>
      </c>
      <c r="H630" t="s">
        <v>37</v>
      </c>
      <c r="I630" t="s">
        <v>45</v>
      </c>
      <c r="J630" t="s">
        <v>53</v>
      </c>
      <c r="K630" t="s">
        <v>58</v>
      </c>
      <c r="L630">
        <v>3.7</v>
      </c>
      <c r="M630" t="s">
        <v>26</v>
      </c>
      <c r="N630" t="s">
        <v>29</v>
      </c>
      <c r="O630" t="s">
        <v>72</v>
      </c>
      <c r="P630" t="s">
        <v>26</v>
      </c>
      <c r="Q630" t="s">
        <v>26</v>
      </c>
      <c r="R630">
        <v>29</v>
      </c>
      <c r="S630" t="s">
        <v>27</v>
      </c>
      <c r="T630" t="str">
        <f t="shared" si="18"/>
        <v>Month</v>
      </c>
      <c r="U630">
        <f>VLOOKUP(T630,[1]tablescore!$B$3:$C$8, 2,FALSE)</f>
        <v>12</v>
      </c>
      <c r="V630" t="str">
        <f t="shared" si="19"/>
        <v>Moderate</v>
      </c>
      <c r="W630" t="s">
        <v>88</v>
      </c>
    </row>
    <row r="631" spans="1:23" x14ac:dyDescent="0.25">
      <c r="A631">
        <v>630</v>
      </c>
      <c r="B631">
        <v>26</v>
      </c>
      <c r="C631" t="str" cm="1">
        <f t="array" ref="C631">_xlfn.IFS(
  AND(B631&gt;=18, B631&lt;=24), "18-24",
  AND(B631&gt;=25, B631&lt;=34), "25-34",
  AND(B631&gt;=35, B631&lt;=44), "35-44",
  AND(B631&gt;=45, B631&lt;=54), "45-54",
  B631&gt;=55, "55+"
)</f>
        <v>25-34</v>
      </c>
      <c r="D631" t="s">
        <v>19</v>
      </c>
      <c r="E631" t="s">
        <v>73</v>
      </c>
      <c r="F631" t="s">
        <v>43</v>
      </c>
      <c r="G631">
        <v>90</v>
      </c>
      <c r="H631" t="s">
        <v>145</v>
      </c>
      <c r="I631" t="s">
        <v>23</v>
      </c>
      <c r="J631" t="s">
        <v>118</v>
      </c>
      <c r="K631" t="s">
        <v>39</v>
      </c>
      <c r="L631">
        <v>4.7</v>
      </c>
      <c r="M631" t="s">
        <v>26</v>
      </c>
      <c r="N631" t="s">
        <v>34</v>
      </c>
      <c r="O631" t="s">
        <v>55</v>
      </c>
      <c r="P631" t="s">
        <v>26</v>
      </c>
      <c r="Q631" t="s">
        <v>26</v>
      </c>
      <c r="R631">
        <v>11</v>
      </c>
      <c r="S631" t="s">
        <v>59</v>
      </c>
      <c r="T631" t="str">
        <f t="shared" si="18"/>
        <v>Annually</v>
      </c>
      <c r="U631">
        <f>VLOOKUP(T631,[1]tablescore!$B$3:$C$8, 2,FALSE)</f>
        <v>1</v>
      </c>
      <c r="V631" t="str">
        <f t="shared" si="19"/>
        <v>Low Loyalty</v>
      </c>
      <c r="W631" t="s">
        <v>50</v>
      </c>
    </row>
    <row r="632" spans="1:23" x14ac:dyDescent="0.25">
      <c r="A632">
        <v>631</v>
      </c>
      <c r="B632">
        <v>41</v>
      </c>
      <c r="C632" t="str" cm="1">
        <f t="array" ref="C632">_xlfn.IFS(
  AND(B632&gt;=18, B632&lt;=24), "18-24",
  AND(B632&gt;=25, B632&lt;=34), "25-34",
  AND(B632&gt;=35, B632&lt;=44), "35-44",
  AND(B632&gt;=45, B632&lt;=54), "45-54",
  B632&gt;=55, "55+"
)</f>
        <v>35-44</v>
      </c>
      <c r="D632" t="s">
        <v>19</v>
      </c>
      <c r="E632" t="s">
        <v>106</v>
      </c>
      <c r="F632" t="s">
        <v>69</v>
      </c>
      <c r="G632">
        <v>94</v>
      </c>
      <c r="H632" t="s">
        <v>91</v>
      </c>
      <c r="I632" t="s">
        <v>38</v>
      </c>
      <c r="J632" t="s">
        <v>67</v>
      </c>
      <c r="K632" t="s">
        <v>58</v>
      </c>
      <c r="L632">
        <v>4.3</v>
      </c>
      <c r="M632" t="s">
        <v>26</v>
      </c>
      <c r="N632" t="s">
        <v>35</v>
      </c>
      <c r="O632" t="s">
        <v>72</v>
      </c>
      <c r="P632" t="s">
        <v>26</v>
      </c>
      <c r="Q632" t="s">
        <v>26</v>
      </c>
      <c r="R632">
        <v>33</v>
      </c>
      <c r="S632" t="s">
        <v>59</v>
      </c>
      <c r="T632" t="str">
        <f t="shared" si="18"/>
        <v>Annually</v>
      </c>
      <c r="U632">
        <f>VLOOKUP(T632,[1]tablescore!$B$3:$C$8, 2,FALSE)</f>
        <v>1</v>
      </c>
      <c r="V632" t="str">
        <f t="shared" si="19"/>
        <v>Low Loyalty</v>
      </c>
      <c r="W632" t="s">
        <v>50</v>
      </c>
    </row>
    <row r="633" spans="1:23" x14ac:dyDescent="0.25">
      <c r="A633">
        <v>632</v>
      </c>
      <c r="B633">
        <v>55</v>
      </c>
      <c r="C633" t="str" cm="1">
        <f t="array" ref="C633">_xlfn.IFS(
  AND(B633&gt;=18, B633&lt;=24), "18-24",
  AND(B633&gt;=25, B633&lt;=34), "25-34",
  AND(B633&gt;=35, B633&lt;=44), "35-44",
  AND(B633&gt;=45, B633&lt;=54), "45-54",
  B633&gt;=55, "55+"
)</f>
        <v>55+</v>
      </c>
      <c r="D633" t="s">
        <v>19</v>
      </c>
      <c r="E633" t="s">
        <v>132</v>
      </c>
      <c r="F633" t="s">
        <v>43</v>
      </c>
      <c r="G633">
        <v>68</v>
      </c>
      <c r="H633" t="s">
        <v>140</v>
      </c>
      <c r="I633" t="s">
        <v>38</v>
      </c>
      <c r="J633" t="s">
        <v>84</v>
      </c>
      <c r="K633" t="s">
        <v>54</v>
      </c>
      <c r="L633">
        <v>4.0999999999999996</v>
      </c>
      <c r="M633" t="s">
        <v>26</v>
      </c>
      <c r="N633" t="s">
        <v>29</v>
      </c>
      <c r="O633" t="s">
        <v>76</v>
      </c>
      <c r="P633" t="s">
        <v>26</v>
      </c>
      <c r="Q633" t="s">
        <v>26</v>
      </c>
      <c r="R633">
        <v>27</v>
      </c>
      <c r="S633" t="s">
        <v>35</v>
      </c>
      <c r="T633" t="str">
        <f t="shared" si="18"/>
        <v>2-week</v>
      </c>
      <c r="U633">
        <f>VLOOKUP(T633,[1]tablescore!$B$3:$C$8, 2,FALSE)</f>
        <v>26</v>
      </c>
      <c r="V633" t="str">
        <f t="shared" si="19"/>
        <v>Loyal</v>
      </c>
      <c r="W633" t="s">
        <v>30</v>
      </c>
    </row>
    <row r="634" spans="1:23" x14ac:dyDescent="0.25">
      <c r="A634">
        <v>633</v>
      </c>
      <c r="B634">
        <v>35</v>
      </c>
      <c r="C634" t="str" cm="1">
        <f t="array" ref="C634">_xlfn.IFS(
  AND(B634&gt;=18, B634&lt;=24), "18-24",
  AND(B634&gt;=25, B634&lt;=34), "25-34",
  AND(B634&gt;=35, B634&lt;=44), "35-44",
  AND(B634&gt;=45, B634&lt;=54), "45-54",
  B634&gt;=55, "55+"
)</f>
        <v>35-44</v>
      </c>
      <c r="D634" t="s">
        <v>19</v>
      </c>
      <c r="E634" t="s">
        <v>133</v>
      </c>
      <c r="F634" t="s">
        <v>69</v>
      </c>
      <c r="G634">
        <v>51</v>
      </c>
      <c r="H634" t="s">
        <v>52</v>
      </c>
      <c r="I634" t="s">
        <v>45</v>
      </c>
      <c r="J634" t="s">
        <v>108</v>
      </c>
      <c r="K634" t="s">
        <v>25</v>
      </c>
      <c r="L634">
        <v>3.9</v>
      </c>
      <c r="M634" t="s">
        <v>26</v>
      </c>
      <c r="N634" t="s">
        <v>29</v>
      </c>
      <c r="O634" t="s">
        <v>47</v>
      </c>
      <c r="P634" t="s">
        <v>26</v>
      </c>
      <c r="Q634" t="s">
        <v>26</v>
      </c>
      <c r="R634">
        <v>19</v>
      </c>
      <c r="S634" t="s">
        <v>29</v>
      </c>
      <c r="T634" t="str">
        <f t="shared" si="18"/>
        <v>2-week</v>
      </c>
      <c r="U634">
        <f>VLOOKUP(T634,[1]tablescore!$B$3:$C$8, 2,FALSE)</f>
        <v>26</v>
      </c>
      <c r="V634" t="str">
        <f t="shared" si="19"/>
        <v>Loyal</v>
      </c>
      <c r="W634" t="s">
        <v>30</v>
      </c>
    </row>
    <row r="635" spans="1:23" x14ac:dyDescent="0.25">
      <c r="A635">
        <v>634</v>
      </c>
      <c r="B635">
        <v>66</v>
      </c>
      <c r="C635" t="str" cm="1">
        <f t="array" ref="C635">_xlfn.IFS(
  AND(B635&gt;=18, B635&lt;=24), "18-24",
  AND(B635&gt;=25, B635&lt;=34), "25-34",
  AND(B635&gt;=35, B635&lt;=44), "35-44",
  AND(B635&gt;=45, B635&lt;=54), "45-54",
  B635&gt;=55, "55+"
)</f>
        <v>55+</v>
      </c>
      <c r="D635" t="s">
        <v>19</v>
      </c>
      <c r="E635" t="s">
        <v>42</v>
      </c>
      <c r="F635" t="s">
        <v>43</v>
      </c>
      <c r="G635">
        <v>33</v>
      </c>
      <c r="H635" t="s">
        <v>134</v>
      </c>
      <c r="I635" t="s">
        <v>45</v>
      </c>
      <c r="J635" t="s">
        <v>121</v>
      </c>
      <c r="K635" t="s">
        <v>39</v>
      </c>
      <c r="L635">
        <v>2.9</v>
      </c>
      <c r="M635" t="s">
        <v>26</v>
      </c>
      <c r="N635" t="s">
        <v>34</v>
      </c>
      <c r="O635" t="s">
        <v>28</v>
      </c>
      <c r="P635" t="s">
        <v>26</v>
      </c>
      <c r="Q635" t="s">
        <v>26</v>
      </c>
      <c r="R635">
        <v>50</v>
      </c>
      <c r="S635" t="s">
        <v>59</v>
      </c>
      <c r="T635" t="str">
        <f t="shared" si="18"/>
        <v>Quarterly</v>
      </c>
      <c r="U635">
        <f>VLOOKUP(T635,[1]tablescore!$B$3:$C$8, 2,FALSE)</f>
        <v>4</v>
      </c>
      <c r="V635" t="str">
        <f t="shared" si="19"/>
        <v>Low Loyalty</v>
      </c>
      <c r="W635" t="s">
        <v>60</v>
      </c>
    </row>
    <row r="636" spans="1:23" x14ac:dyDescent="0.25">
      <c r="A636">
        <v>635</v>
      </c>
      <c r="B636">
        <v>36</v>
      </c>
      <c r="C636" t="str" cm="1">
        <f t="array" ref="C636">_xlfn.IFS(
  AND(B636&gt;=18, B636&lt;=24), "18-24",
  AND(B636&gt;=25, B636&lt;=34), "25-34",
  AND(B636&gt;=35, B636&lt;=44), "35-44",
  AND(B636&gt;=45, B636&lt;=54), "45-54",
  B636&gt;=55, "55+"
)</f>
        <v>35-44</v>
      </c>
      <c r="D636" t="s">
        <v>19</v>
      </c>
      <c r="E636" t="s">
        <v>51</v>
      </c>
      <c r="F636" t="s">
        <v>43</v>
      </c>
      <c r="G636">
        <v>60</v>
      </c>
      <c r="H636" t="s">
        <v>124</v>
      </c>
      <c r="I636" t="s">
        <v>45</v>
      </c>
      <c r="J636" t="s">
        <v>86</v>
      </c>
      <c r="K636" t="s">
        <v>54</v>
      </c>
      <c r="L636">
        <v>3.9</v>
      </c>
      <c r="M636" t="s">
        <v>26</v>
      </c>
      <c r="N636" t="s">
        <v>34</v>
      </c>
      <c r="O636" t="s">
        <v>55</v>
      </c>
      <c r="P636" t="s">
        <v>26</v>
      </c>
      <c r="Q636" t="s">
        <v>26</v>
      </c>
      <c r="R636">
        <v>46</v>
      </c>
      <c r="S636" t="s">
        <v>46</v>
      </c>
      <c r="T636" t="str">
        <f t="shared" si="18"/>
        <v>Daily</v>
      </c>
      <c r="U636">
        <f>VLOOKUP(T636,[1]tablescore!$B$3:$C$8, 2,FALSE)</f>
        <v>30</v>
      </c>
      <c r="V636" t="str">
        <f t="shared" si="19"/>
        <v>Highly Loyal</v>
      </c>
      <c r="W636" t="s">
        <v>41</v>
      </c>
    </row>
    <row r="637" spans="1:23" x14ac:dyDescent="0.25">
      <c r="A637">
        <v>636</v>
      </c>
      <c r="B637">
        <v>27</v>
      </c>
      <c r="C637" t="str" cm="1">
        <f t="array" ref="C637">_xlfn.IFS(
  AND(B637&gt;=18, B637&lt;=24), "18-24",
  AND(B637&gt;=25, B637&lt;=34), "25-34",
  AND(B637&gt;=35, B637&lt;=44), "35-44",
  AND(B637&gt;=45, B637&lt;=54), "45-54",
  B637&gt;=55, "55+"
)</f>
        <v>25-34</v>
      </c>
      <c r="D637" t="s">
        <v>19</v>
      </c>
      <c r="E637" t="s">
        <v>104</v>
      </c>
      <c r="F637" t="s">
        <v>21</v>
      </c>
      <c r="G637">
        <v>59</v>
      </c>
      <c r="H637" t="s">
        <v>126</v>
      </c>
      <c r="I637" t="s">
        <v>45</v>
      </c>
      <c r="J637" t="s">
        <v>110</v>
      </c>
      <c r="K637" t="s">
        <v>58</v>
      </c>
      <c r="L637">
        <v>4.3</v>
      </c>
      <c r="M637" t="s">
        <v>26</v>
      </c>
      <c r="N637" t="s">
        <v>46</v>
      </c>
      <c r="O637" t="s">
        <v>72</v>
      </c>
      <c r="P637" t="s">
        <v>26</v>
      </c>
      <c r="Q637" t="s">
        <v>26</v>
      </c>
      <c r="R637">
        <v>28</v>
      </c>
      <c r="S637" t="s">
        <v>35</v>
      </c>
      <c r="T637" t="str">
        <f t="shared" si="18"/>
        <v>Quarterly</v>
      </c>
      <c r="U637">
        <f>VLOOKUP(T637,[1]tablescore!$B$3:$C$8, 2,FALSE)</f>
        <v>4</v>
      </c>
      <c r="V637" t="str">
        <f t="shared" si="19"/>
        <v>Low Loyalty</v>
      </c>
      <c r="W637" t="s">
        <v>60</v>
      </c>
    </row>
    <row r="638" spans="1:23" x14ac:dyDescent="0.25">
      <c r="A638">
        <v>637</v>
      </c>
      <c r="B638">
        <v>41</v>
      </c>
      <c r="C638" t="str" cm="1">
        <f t="array" ref="C638">_xlfn.IFS(
  AND(B638&gt;=18, B638&lt;=24), "18-24",
  AND(B638&gt;=25, B638&lt;=34), "25-34",
  AND(B638&gt;=35, B638&lt;=44), "35-44",
  AND(B638&gt;=45, B638&lt;=54), "45-54",
  B638&gt;=55, "55+"
)</f>
        <v>35-44</v>
      </c>
      <c r="D638" t="s">
        <v>19</v>
      </c>
      <c r="E638" t="s">
        <v>68</v>
      </c>
      <c r="F638" t="s">
        <v>69</v>
      </c>
      <c r="G638">
        <v>30</v>
      </c>
      <c r="H638" t="s">
        <v>148</v>
      </c>
      <c r="I638" t="s">
        <v>45</v>
      </c>
      <c r="J638" t="s">
        <v>129</v>
      </c>
      <c r="K638" t="s">
        <v>54</v>
      </c>
      <c r="L638">
        <v>2.8</v>
      </c>
      <c r="M638" t="s">
        <v>26</v>
      </c>
      <c r="N638" t="s">
        <v>35</v>
      </c>
      <c r="O638" t="s">
        <v>76</v>
      </c>
      <c r="P638" t="s">
        <v>26</v>
      </c>
      <c r="Q638" t="s">
        <v>26</v>
      </c>
      <c r="R638">
        <v>14</v>
      </c>
      <c r="S638" t="s">
        <v>34</v>
      </c>
      <c r="T638" t="str">
        <f t="shared" si="18"/>
        <v>Quarterly</v>
      </c>
      <c r="U638">
        <f>VLOOKUP(T638,[1]tablescore!$B$3:$C$8, 2,FALSE)</f>
        <v>4</v>
      </c>
      <c r="V638" t="str">
        <f t="shared" si="19"/>
        <v>Low Loyalty</v>
      </c>
      <c r="W638" t="s">
        <v>97</v>
      </c>
    </row>
    <row r="639" spans="1:23" x14ac:dyDescent="0.25">
      <c r="A639">
        <v>638</v>
      </c>
      <c r="B639">
        <v>21</v>
      </c>
      <c r="C639" t="str" cm="1">
        <f t="array" ref="C639">_xlfn.IFS(
  AND(B639&gt;=18, B639&lt;=24), "18-24",
  AND(B639&gt;=25, B639&lt;=34), "25-34",
  AND(B639&gt;=35, B639&lt;=44), "35-44",
  AND(B639&gt;=45, B639&lt;=54), "45-54",
  B639&gt;=55, "55+"
)</f>
        <v>18-24</v>
      </c>
      <c r="D639" t="s">
        <v>19</v>
      </c>
      <c r="E639" t="s">
        <v>31</v>
      </c>
      <c r="F639" t="s">
        <v>21</v>
      </c>
      <c r="G639">
        <v>20</v>
      </c>
      <c r="H639" t="s">
        <v>122</v>
      </c>
      <c r="I639" t="s">
        <v>45</v>
      </c>
      <c r="J639" t="s">
        <v>109</v>
      </c>
      <c r="K639" t="s">
        <v>25</v>
      </c>
      <c r="L639">
        <v>3.4</v>
      </c>
      <c r="M639" t="s">
        <v>26</v>
      </c>
      <c r="N639" t="s">
        <v>35</v>
      </c>
      <c r="O639" t="s">
        <v>72</v>
      </c>
      <c r="P639" t="s">
        <v>26</v>
      </c>
      <c r="Q639" t="s">
        <v>26</v>
      </c>
      <c r="R639">
        <v>46</v>
      </c>
      <c r="S639" t="s">
        <v>35</v>
      </c>
      <c r="T639" t="str">
        <f t="shared" si="18"/>
        <v>2-week</v>
      </c>
      <c r="U639">
        <f>VLOOKUP(T639,[1]tablescore!$B$3:$C$8, 2,FALSE)</f>
        <v>26</v>
      </c>
      <c r="V639" t="str">
        <f t="shared" si="19"/>
        <v>Loyal</v>
      </c>
      <c r="W639" t="s">
        <v>30</v>
      </c>
    </row>
    <row r="640" spans="1:23" x14ac:dyDescent="0.25">
      <c r="A640">
        <v>639</v>
      </c>
      <c r="B640">
        <v>53</v>
      </c>
      <c r="C640" t="str" cm="1">
        <f t="array" ref="C640">_xlfn.IFS(
  AND(B640&gt;=18, B640&lt;=24), "18-24",
  AND(B640&gt;=25, B640&lt;=34), "25-34",
  AND(B640&gt;=35, B640&lt;=44), "35-44",
  AND(B640&gt;=45, B640&lt;=54), "45-54",
  B640&gt;=55, "55+"
)</f>
        <v>45-54</v>
      </c>
      <c r="D640" t="s">
        <v>19</v>
      </c>
      <c r="E640" t="s">
        <v>42</v>
      </c>
      <c r="F640" t="s">
        <v>43</v>
      </c>
      <c r="G640">
        <v>20</v>
      </c>
      <c r="H640" t="s">
        <v>135</v>
      </c>
      <c r="I640" t="s">
        <v>38</v>
      </c>
      <c r="J640" t="s">
        <v>138</v>
      </c>
      <c r="K640" t="s">
        <v>54</v>
      </c>
      <c r="L640">
        <v>2.7</v>
      </c>
      <c r="M640" t="s">
        <v>26</v>
      </c>
      <c r="N640" t="s">
        <v>29</v>
      </c>
      <c r="O640" t="s">
        <v>28</v>
      </c>
      <c r="P640" t="s">
        <v>26</v>
      </c>
      <c r="Q640" t="s">
        <v>26</v>
      </c>
      <c r="R640">
        <v>41</v>
      </c>
      <c r="S640" t="s">
        <v>46</v>
      </c>
      <c r="T640" t="str">
        <f t="shared" si="18"/>
        <v>Month</v>
      </c>
      <c r="U640">
        <f>VLOOKUP(T640,[1]tablescore!$B$3:$C$8, 2,FALSE)</f>
        <v>12</v>
      </c>
      <c r="V640" t="str">
        <f t="shared" si="19"/>
        <v>Moderate</v>
      </c>
      <c r="W640" t="s">
        <v>88</v>
      </c>
    </row>
    <row r="641" spans="1:23" x14ac:dyDescent="0.25">
      <c r="A641">
        <v>640</v>
      </c>
      <c r="B641">
        <v>54</v>
      </c>
      <c r="C641" t="str" cm="1">
        <f t="array" ref="C641">_xlfn.IFS(
  AND(B641&gt;=18, B641&lt;=24), "18-24",
  AND(B641&gt;=25, B641&lt;=34), "25-34",
  AND(B641&gt;=35, B641&lt;=44), "35-44",
  AND(B641&gt;=45, B641&lt;=54), "45-54",
  B641&gt;=55, "55+"
)</f>
        <v>45-54</v>
      </c>
      <c r="D641" t="s">
        <v>19</v>
      </c>
      <c r="E641" t="s">
        <v>82</v>
      </c>
      <c r="F641" t="s">
        <v>21</v>
      </c>
      <c r="G641">
        <v>24</v>
      </c>
      <c r="H641" t="s">
        <v>91</v>
      </c>
      <c r="I641" t="s">
        <v>23</v>
      </c>
      <c r="J641" t="s">
        <v>79</v>
      </c>
      <c r="K641" t="s">
        <v>39</v>
      </c>
      <c r="L641">
        <v>4</v>
      </c>
      <c r="M641" t="s">
        <v>26</v>
      </c>
      <c r="N641" t="s">
        <v>27</v>
      </c>
      <c r="O641" t="s">
        <v>72</v>
      </c>
      <c r="P641" t="s">
        <v>26</v>
      </c>
      <c r="Q641" t="s">
        <v>26</v>
      </c>
      <c r="R641">
        <v>50</v>
      </c>
      <c r="S641" t="s">
        <v>27</v>
      </c>
      <c r="T641" t="str">
        <f t="shared" si="18"/>
        <v>Annually</v>
      </c>
      <c r="U641">
        <f>VLOOKUP(T641,[1]tablescore!$B$3:$C$8, 2,FALSE)</f>
        <v>1</v>
      </c>
      <c r="V641" t="str">
        <f t="shared" si="19"/>
        <v>Low Loyalty</v>
      </c>
      <c r="W641" t="s">
        <v>50</v>
      </c>
    </row>
    <row r="642" spans="1:23" x14ac:dyDescent="0.25">
      <c r="A642">
        <v>641</v>
      </c>
      <c r="B642">
        <v>53</v>
      </c>
      <c r="C642" t="str" cm="1">
        <f t="array" ref="C642">_xlfn.IFS(
  AND(B642&gt;=18, B642&lt;=24), "18-24",
  AND(B642&gt;=25, B642&lt;=34), "25-34",
  AND(B642&gt;=35, B642&lt;=44), "35-44",
  AND(B642&gt;=45, B642&lt;=54), "45-54",
  B642&gt;=55, "55+"
)</f>
        <v>45-54</v>
      </c>
      <c r="D642" t="s">
        <v>19</v>
      </c>
      <c r="E642" t="s">
        <v>87</v>
      </c>
      <c r="F642" t="s">
        <v>21</v>
      </c>
      <c r="G642">
        <v>88</v>
      </c>
      <c r="H642" t="s">
        <v>134</v>
      </c>
      <c r="I642" t="s">
        <v>45</v>
      </c>
      <c r="J642" t="s">
        <v>24</v>
      </c>
      <c r="K642" t="s">
        <v>54</v>
      </c>
      <c r="L642">
        <v>4.4000000000000004</v>
      </c>
      <c r="M642" t="s">
        <v>26</v>
      </c>
      <c r="N642" t="s">
        <v>59</v>
      </c>
      <c r="O642" t="s">
        <v>76</v>
      </c>
      <c r="P642" t="s">
        <v>26</v>
      </c>
      <c r="Q642" t="s">
        <v>26</v>
      </c>
      <c r="R642">
        <v>28</v>
      </c>
      <c r="S642" t="s">
        <v>59</v>
      </c>
      <c r="T642" t="str">
        <f t="shared" si="18"/>
        <v>2-week</v>
      </c>
      <c r="U642">
        <f>VLOOKUP(T642,[1]tablescore!$B$3:$C$8, 2,FALSE)</f>
        <v>26</v>
      </c>
      <c r="V642" t="str">
        <f t="shared" si="19"/>
        <v>Loyal</v>
      </c>
      <c r="W642" t="s">
        <v>30</v>
      </c>
    </row>
    <row r="643" spans="1:23" x14ac:dyDescent="0.25">
      <c r="A643">
        <v>642</v>
      </c>
      <c r="B643">
        <v>47</v>
      </c>
      <c r="C643" t="str" cm="1">
        <f t="array" ref="C643">_xlfn.IFS(
  AND(B643&gt;=18, B643&lt;=24), "18-24",
  AND(B643&gt;=25, B643&lt;=34), "25-34",
  AND(B643&gt;=35, B643&lt;=44), "35-44",
  AND(B643&gt;=45, B643&lt;=54), "45-54",
  B643&gt;=55, "55+"
)</f>
        <v>45-54</v>
      </c>
      <c r="D643" t="s">
        <v>19</v>
      </c>
      <c r="E643" t="s">
        <v>20</v>
      </c>
      <c r="F643" t="s">
        <v>21</v>
      </c>
      <c r="G643">
        <v>78</v>
      </c>
      <c r="H643" t="s">
        <v>120</v>
      </c>
      <c r="I643" t="s">
        <v>45</v>
      </c>
      <c r="J643" t="s">
        <v>108</v>
      </c>
      <c r="K643" t="s">
        <v>25</v>
      </c>
      <c r="L643">
        <v>3.9</v>
      </c>
      <c r="M643" t="s">
        <v>26</v>
      </c>
      <c r="N643" t="s">
        <v>29</v>
      </c>
      <c r="O643" t="s">
        <v>72</v>
      </c>
      <c r="P643" t="s">
        <v>26</v>
      </c>
      <c r="Q643" t="s">
        <v>26</v>
      </c>
      <c r="R643">
        <v>23</v>
      </c>
      <c r="S643" t="s">
        <v>27</v>
      </c>
      <c r="T643" t="str">
        <f t="shared" ref="T643:T706" si="20">IF(TRIM(W643)="Every 3 months","Quarterly",IF(TRIM(W643)="Fortnightly","2-week",IF(TRIM(W643)="Bi-Weekly","2-week",IF(TRIM(W643)="Weekly","Daily",IF(TRIM(W643)="Monthly","Month",TRIM(W643))))))</f>
        <v>Quarterly</v>
      </c>
      <c r="U643">
        <f>VLOOKUP(T643,[1]tablescore!$B$3:$C$8, 2,FALSE)</f>
        <v>4</v>
      </c>
      <c r="V643" t="str">
        <f t="shared" ref="V643:V706" si="21">_xlfn.IFS(U643&gt;=30, "Highly Loyal", U643&gt;=26, "Loyal", U643&gt;=12, "Moderate", U643&lt;5, "Low Loyalty")</f>
        <v>Low Loyalty</v>
      </c>
      <c r="W643" t="s">
        <v>97</v>
      </c>
    </row>
    <row r="644" spans="1:23" x14ac:dyDescent="0.25">
      <c r="A644">
        <v>643</v>
      </c>
      <c r="B644">
        <v>64</v>
      </c>
      <c r="C644" t="str" cm="1">
        <f t="array" ref="C644">_xlfn.IFS(
  AND(B644&gt;=18, B644&lt;=24), "18-24",
  AND(B644&gt;=25, B644&lt;=34), "25-34",
  AND(B644&gt;=35, B644&lt;=44), "35-44",
  AND(B644&gt;=45, B644&lt;=54), "45-54",
  B644&gt;=55, "55+"
)</f>
        <v>55+</v>
      </c>
      <c r="D644" t="s">
        <v>19</v>
      </c>
      <c r="E644" t="s">
        <v>87</v>
      </c>
      <c r="F644" t="s">
        <v>21</v>
      </c>
      <c r="G644">
        <v>25</v>
      </c>
      <c r="H644" t="s">
        <v>74</v>
      </c>
      <c r="I644" t="s">
        <v>23</v>
      </c>
      <c r="J644" t="s">
        <v>108</v>
      </c>
      <c r="K644" t="s">
        <v>39</v>
      </c>
      <c r="L644">
        <v>2.8</v>
      </c>
      <c r="M644" t="s">
        <v>26</v>
      </c>
      <c r="N644" t="s">
        <v>27</v>
      </c>
      <c r="O644" t="s">
        <v>72</v>
      </c>
      <c r="P644" t="s">
        <v>26</v>
      </c>
      <c r="Q644" t="s">
        <v>26</v>
      </c>
      <c r="R644">
        <v>14</v>
      </c>
      <c r="S644" t="s">
        <v>59</v>
      </c>
      <c r="T644" t="str">
        <f t="shared" si="20"/>
        <v>2-week</v>
      </c>
      <c r="U644">
        <f>VLOOKUP(T644,[1]tablescore!$B$3:$C$8, 2,FALSE)</f>
        <v>26</v>
      </c>
      <c r="V644" t="str">
        <f t="shared" si="21"/>
        <v>Loyal</v>
      </c>
      <c r="W644" t="s">
        <v>77</v>
      </c>
    </row>
    <row r="645" spans="1:23" x14ac:dyDescent="0.25">
      <c r="A645">
        <v>644</v>
      </c>
      <c r="B645">
        <v>18</v>
      </c>
      <c r="C645" t="str" cm="1">
        <f t="array" ref="C645">_xlfn.IFS(
  AND(B645&gt;=18, B645&lt;=24), "18-24",
  AND(B645&gt;=25, B645&lt;=34), "25-34",
  AND(B645&gt;=35, B645&lt;=44), "35-44",
  AND(B645&gt;=45, B645&lt;=54), "45-54",
  B645&gt;=55, "55+"
)</f>
        <v>18-24</v>
      </c>
      <c r="D645" t="s">
        <v>19</v>
      </c>
      <c r="E645" t="s">
        <v>31</v>
      </c>
      <c r="F645" t="s">
        <v>21</v>
      </c>
      <c r="G645">
        <v>57</v>
      </c>
      <c r="H645" t="s">
        <v>48</v>
      </c>
      <c r="I645" t="s">
        <v>92</v>
      </c>
      <c r="J645" t="s">
        <v>96</v>
      </c>
      <c r="K645" t="s">
        <v>25</v>
      </c>
      <c r="L645">
        <v>3.2</v>
      </c>
      <c r="M645" t="s">
        <v>26</v>
      </c>
      <c r="N645" t="s">
        <v>29</v>
      </c>
      <c r="O645" t="s">
        <v>47</v>
      </c>
      <c r="P645" t="s">
        <v>26</v>
      </c>
      <c r="Q645" t="s">
        <v>26</v>
      </c>
      <c r="R645">
        <v>10</v>
      </c>
      <c r="S645" t="s">
        <v>34</v>
      </c>
      <c r="T645" t="str">
        <f t="shared" si="20"/>
        <v>Quarterly</v>
      </c>
      <c r="U645">
        <f>VLOOKUP(T645,[1]tablescore!$B$3:$C$8, 2,FALSE)</f>
        <v>4</v>
      </c>
      <c r="V645" t="str">
        <f t="shared" si="21"/>
        <v>Low Loyalty</v>
      </c>
      <c r="W645" t="s">
        <v>97</v>
      </c>
    </row>
    <row r="646" spans="1:23" x14ac:dyDescent="0.25">
      <c r="A646">
        <v>645</v>
      </c>
      <c r="B646">
        <v>68</v>
      </c>
      <c r="C646" t="str" cm="1">
        <f t="array" ref="C646">_xlfn.IFS(
  AND(B646&gt;=18, B646&lt;=24), "18-24",
  AND(B646&gt;=25, B646&lt;=34), "25-34",
  AND(B646&gt;=35, B646&lt;=44), "35-44",
  AND(B646&gt;=45, B646&lt;=54), "45-54",
  B646&gt;=55, "55+"
)</f>
        <v>55+</v>
      </c>
      <c r="D646" t="s">
        <v>19</v>
      </c>
      <c r="E646" t="s">
        <v>133</v>
      </c>
      <c r="F646" t="s">
        <v>69</v>
      </c>
      <c r="G646">
        <v>93</v>
      </c>
      <c r="H646" t="s">
        <v>62</v>
      </c>
      <c r="I646" t="s">
        <v>38</v>
      </c>
      <c r="J646" t="s">
        <v>138</v>
      </c>
      <c r="K646" t="s">
        <v>54</v>
      </c>
      <c r="L646">
        <v>4.3</v>
      </c>
      <c r="M646" t="s">
        <v>26</v>
      </c>
      <c r="N646" t="s">
        <v>29</v>
      </c>
      <c r="O646" t="s">
        <v>47</v>
      </c>
      <c r="P646" t="s">
        <v>26</v>
      </c>
      <c r="Q646" t="s">
        <v>26</v>
      </c>
      <c r="R646">
        <v>37</v>
      </c>
      <c r="S646" t="s">
        <v>35</v>
      </c>
      <c r="T646" t="str">
        <f t="shared" si="20"/>
        <v>Daily</v>
      </c>
      <c r="U646">
        <f>VLOOKUP(T646,[1]tablescore!$B$3:$C$8, 2,FALSE)</f>
        <v>30</v>
      </c>
      <c r="V646" t="str">
        <f t="shared" si="21"/>
        <v>Highly Loyal</v>
      </c>
      <c r="W646" t="s">
        <v>41</v>
      </c>
    </row>
    <row r="647" spans="1:23" x14ac:dyDescent="0.25">
      <c r="A647">
        <v>646</v>
      </c>
      <c r="B647">
        <v>62</v>
      </c>
      <c r="C647" t="str" cm="1">
        <f t="array" ref="C647">_xlfn.IFS(
  AND(B647&gt;=18, B647&lt;=24), "18-24",
  AND(B647&gt;=25, B647&lt;=34), "25-34",
  AND(B647&gt;=35, B647&lt;=44), "35-44",
  AND(B647&gt;=45, B647&lt;=54), "45-54",
  B647&gt;=55, "55+"
)</f>
        <v>55+</v>
      </c>
      <c r="D647" t="s">
        <v>19</v>
      </c>
      <c r="E647" t="s">
        <v>104</v>
      </c>
      <c r="F647" t="s">
        <v>21</v>
      </c>
      <c r="G647">
        <v>42</v>
      </c>
      <c r="H647" t="s">
        <v>101</v>
      </c>
      <c r="I647" t="s">
        <v>38</v>
      </c>
      <c r="J647" t="s">
        <v>75</v>
      </c>
      <c r="K647" t="s">
        <v>54</v>
      </c>
      <c r="L647">
        <v>4.2</v>
      </c>
      <c r="M647" t="s">
        <v>26</v>
      </c>
      <c r="N647" t="s">
        <v>27</v>
      </c>
      <c r="O647" t="s">
        <v>28</v>
      </c>
      <c r="P647" t="s">
        <v>26</v>
      </c>
      <c r="Q647" t="s">
        <v>26</v>
      </c>
      <c r="R647">
        <v>15</v>
      </c>
      <c r="S647" t="s">
        <v>29</v>
      </c>
      <c r="T647" t="str">
        <f t="shared" si="20"/>
        <v>2-week</v>
      </c>
      <c r="U647">
        <f>VLOOKUP(T647,[1]tablescore!$B$3:$C$8, 2,FALSE)</f>
        <v>26</v>
      </c>
      <c r="V647" t="str">
        <f t="shared" si="21"/>
        <v>Loyal</v>
      </c>
      <c r="W647" t="s">
        <v>77</v>
      </c>
    </row>
    <row r="648" spans="1:23" x14ac:dyDescent="0.25">
      <c r="A648">
        <v>647</v>
      </c>
      <c r="B648">
        <v>51</v>
      </c>
      <c r="C648" t="str" cm="1">
        <f t="array" ref="C648">_xlfn.IFS(
  AND(B648&gt;=18, B648&lt;=24), "18-24",
  AND(B648&gt;=25, B648&lt;=34), "25-34",
  AND(B648&gt;=35, B648&lt;=44), "35-44",
  AND(B648&gt;=45, B648&lt;=54), "45-54",
  B648&gt;=55, "55+"
)</f>
        <v>45-54</v>
      </c>
      <c r="D648" t="s">
        <v>19</v>
      </c>
      <c r="E648" t="s">
        <v>132</v>
      </c>
      <c r="F648" t="s">
        <v>43</v>
      </c>
      <c r="G648">
        <v>54</v>
      </c>
      <c r="H648" t="s">
        <v>116</v>
      </c>
      <c r="I648" t="s">
        <v>92</v>
      </c>
      <c r="J648" t="s">
        <v>71</v>
      </c>
      <c r="K648" t="s">
        <v>39</v>
      </c>
      <c r="L648">
        <v>4.9000000000000004</v>
      </c>
      <c r="M648" t="s">
        <v>26</v>
      </c>
      <c r="N648" t="s">
        <v>59</v>
      </c>
      <c r="O648" t="s">
        <v>55</v>
      </c>
      <c r="P648" t="s">
        <v>26</v>
      </c>
      <c r="Q648" t="s">
        <v>26</v>
      </c>
      <c r="R648">
        <v>19</v>
      </c>
      <c r="S648" t="s">
        <v>29</v>
      </c>
      <c r="T648" t="str">
        <f t="shared" si="20"/>
        <v>2-week</v>
      </c>
      <c r="U648">
        <f>VLOOKUP(T648,[1]tablescore!$B$3:$C$8, 2,FALSE)</f>
        <v>26</v>
      </c>
      <c r="V648" t="str">
        <f t="shared" si="21"/>
        <v>Loyal</v>
      </c>
      <c r="W648" t="s">
        <v>77</v>
      </c>
    </row>
    <row r="649" spans="1:23" x14ac:dyDescent="0.25">
      <c r="A649">
        <v>648</v>
      </c>
      <c r="B649">
        <v>54</v>
      </c>
      <c r="C649" t="str" cm="1">
        <f t="array" ref="C649">_xlfn.IFS(
  AND(B649&gt;=18, B649&lt;=24), "18-24",
  AND(B649&gt;=25, B649&lt;=34), "25-34",
  AND(B649&gt;=35, B649&lt;=44), "35-44",
  AND(B649&gt;=45, B649&lt;=54), "45-54",
  B649&gt;=55, "55+"
)</f>
        <v>45-54</v>
      </c>
      <c r="D649" t="s">
        <v>19</v>
      </c>
      <c r="E649" t="s">
        <v>20</v>
      </c>
      <c r="F649" t="s">
        <v>21</v>
      </c>
      <c r="G649">
        <v>70</v>
      </c>
      <c r="H649" t="s">
        <v>91</v>
      </c>
      <c r="I649" t="s">
        <v>92</v>
      </c>
      <c r="J649" t="s">
        <v>63</v>
      </c>
      <c r="K649" t="s">
        <v>54</v>
      </c>
      <c r="L649">
        <v>3.7</v>
      </c>
      <c r="M649" t="s">
        <v>26</v>
      </c>
      <c r="N649" t="s">
        <v>34</v>
      </c>
      <c r="O649" t="s">
        <v>28</v>
      </c>
      <c r="P649" t="s">
        <v>26</v>
      </c>
      <c r="Q649" t="s">
        <v>26</v>
      </c>
      <c r="R649">
        <v>23</v>
      </c>
      <c r="S649" t="s">
        <v>27</v>
      </c>
      <c r="T649" t="str">
        <f t="shared" si="20"/>
        <v>2-week</v>
      </c>
      <c r="U649">
        <f>VLOOKUP(T649,[1]tablescore!$B$3:$C$8, 2,FALSE)</f>
        <v>26</v>
      </c>
      <c r="V649" t="str">
        <f t="shared" si="21"/>
        <v>Loyal</v>
      </c>
      <c r="W649" t="s">
        <v>30</v>
      </c>
    </row>
    <row r="650" spans="1:23" x14ac:dyDescent="0.25">
      <c r="A650">
        <v>649</v>
      </c>
      <c r="B650">
        <v>22</v>
      </c>
      <c r="C650" t="str" cm="1">
        <f t="array" ref="C650">_xlfn.IFS(
  AND(B650&gt;=18, B650&lt;=24), "18-24",
  AND(B650&gt;=25, B650&lt;=34), "25-34",
  AND(B650&gt;=35, B650&lt;=44), "35-44",
  AND(B650&gt;=45, B650&lt;=54), "45-54",
  B650&gt;=55, "55+"
)</f>
        <v>18-24</v>
      </c>
      <c r="D650" t="s">
        <v>19</v>
      </c>
      <c r="E650" t="s">
        <v>104</v>
      </c>
      <c r="F650" t="s">
        <v>21</v>
      </c>
      <c r="G650">
        <v>31</v>
      </c>
      <c r="H650" t="s">
        <v>151</v>
      </c>
      <c r="I650" t="s">
        <v>45</v>
      </c>
      <c r="J650" t="s">
        <v>110</v>
      </c>
      <c r="K650" t="s">
        <v>25</v>
      </c>
      <c r="L650">
        <v>4.0999999999999996</v>
      </c>
      <c r="M650" t="s">
        <v>26</v>
      </c>
      <c r="N650" t="s">
        <v>34</v>
      </c>
      <c r="O650" t="s">
        <v>76</v>
      </c>
      <c r="P650" t="s">
        <v>26</v>
      </c>
      <c r="Q650" t="s">
        <v>26</v>
      </c>
      <c r="R650">
        <v>35</v>
      </c>
      <c r="S650" t="s">
        <v>27</v>
      </c>
      <c r="T650" t="str">
        <f t="shared" si="20"/>
        <v>Daily</v>
      </c>
      <c r="U650">
        <f>VLOOKUP(T650,[1]tablescore!$B$3:$C$8, 2,FALSE)</f>
        <v>30</v>
      </c>
      <c r="V650" t="str">
        <f t="shared" si="21"/>
        <v>Highly Loyal</v>
      </c>
      <c r="W650" t="s">
        <v>41</v>
      </c>
    </row>
    <row r="651" spans="1:23" x14ac:dyDescent="0.25">
      <c r="A651">
        <v>650</v>
      </c>
      <c r="B651">
        <v>53</v>
      </c>
      <c r="C651" t="str" cm="1">
        <f t="array" ref="C651">_xlfn.IFS(
  AND(B651&gt;=18, B651&lt;=24), "18-24",
  AND(B651&gt;=25, B651&lt;=34), "25-34",
  AND(B651&gt;=35, B651&lt;=44), "35-44",
  AND(B651&gt;=45, B651&lt;=54), "45-54",
  B651&gt;=55, "55+"
)</f>
        <v>45-54</v>
      </c>
      <c r="D651" t="s">
        <v>19</v>
      </c>
      <c r="E651" t="s">
        <v>95</v>
      </c>
      <c r="F651" t="s">
        <v>21</v>
      </c>
      <c r="G651">
        <v>93</v>
      </c>
      <c r="H651" t="s">
        <v>80</v>
      </c>
      <c r="I651" t="s">
        <v>23</v>
      </c>
      <c r="J651" t="s">
        <v>121</v>
      </c>
      <c r="K651" t="s">
        <v>39</v>
      </c>
      <c r="L651">
        <v>4.2</v>
      </c>
      <c r="M651" t="s">
        <v>26</v>
      </c>
      <c r="N651" t="s">
        <v>27</v>
      </c>
      <c r="O651" t="s">
        <v>76</v>
      </c>
      <c r="P651" t="s">
        <v>26</v>
      </c>
      <c r="Q651" t="s">
        <v>26</v>
      </c>
      <c r="R651">
        <v>33</v>
      </c>
      <c r="S651" t="s">
        <v>46</v>
      </c>
      <c r="T651" t="str">
        <f t="shared" si="20"/>
        <v>Quarterly</v>
      </c>
      <c r="U651">
        <f>VLOOKUP(T651,[1]tablescore!$B$3:$C$8, 2,FALSE)</f>
        <v>4</v>
      </c>
      <c r="V651" t="str">
        <f t="shared" si="21"/>
        <v>Low Loyalty</v>
      </c>
      <c r="W651" t="s">
        <v>97</v>
      </c>
    </row>
    <row r="652" spans="1:23" x14ac:dyDescent="0.25">
      <c r="A652">
        <v>651</v>
      </c>
      <c r="B652">
        <v>34</v>
      </c>
      <c r="C652" t="str" cm="1">
        <f t="array" ref="C652">_xlfn.IFS(
  AND(B652&gt;=18, B652&lt;=24), "18-24",
  AND(B652&gt;=25, B652&lt;=34), "25-34",
  AND(B652&gt;=35, B652&lt;=44), "35-44",
  AND(B652&gt;=45, B652&lt;=54), "45-54",
  B652&gt;=55, "55+"
)</f>
        <v>25-34</v>
      </c>
      <c r="D652" t="s">
        <v>19</v>
      </c>
      <c r="E652" t="s">
        <v>127</v>
      </c>
      <c r="F652" t="s">
        <v>69</v>
      </c>
      <c r="G652">
        <v>40</v>
      </c>
      <c r="H652" t="s">
        <v>103</v>
      </c>
      <c r="I652" t="s">
        <v>45</v>
      </c>
      <c r="J652" t="s">
        <v>147</v>
      </c>
      <c r="K652" t="s">
        <v>39</v>
      </c>
      <c r="L652">
        <v>3.9</v>
      </c>
      <c r="M652" t="s">
        <v>26</v>
      </c>
      <c r="N652" t="s">
        <v>29</v>
      </c>
      <c r="O652" t="s">
        <v>47</v>
      </c>
      <c r="P652" t="s">
        <v>26</v>
      </c>
      <c r="Q652" t="s">
        <v>26</v>
      </c>
      <c r="R652">
        <v>12</v>
      </c>
      <c r="S652" t="s">
        <v>34</v>
      </c>
      <c r="T652" t="str">
        <f t="shared" si="20"/>
        <v>Annually</v>
      </c>
      <c r="U652">
        <f>VLOOKUP(T652,[1]tablescore!$B$3:$C$8, 2,FALSE)</f>
        <v>1</v>
      </c>
      <c r="V652" t="str">
        <f t="shared" si="21"/>
        <v>Low Loyalty</v>
      </c>
      <c r="W652" t="s">
        <v>50</v>
      </c>
    </row>
    <row r="653" spans="1:23" x14ac:dyDescent="0.25">
      <c r="A653">
        <v>652</v>
      </c>
      <c r="B653">
        <v>32</v>
      </c>
      <c r="C653" t="str" cm="1">
        <f t="array" ref="C653">_xlfn.IFS(
  AND(B653&gt;=18, B653&lt;=24), "18-24",
  AND(B653&gt;=25, B653&lt;=34), "25-34",
  AND(B653&gt;=35, B653&lt;=44), "35-44",
  AND(B653&gt;=45, B653&lt;=54), "45-54",
  B653&gt;=55, "55+"
)</f>
        <v>25-34</v>
      </c>
      <c r="D653" t="s">
        <v>19</v>
      </c>
      <c r="E653" t="s">
        <v>125</v>
      </c>
      <c r="F653" t="s">
        <v>69</v>
      </c>
      <c r="G653">
        <v>32</v>
      </c>
      <c r="H653" t="s">
        <v>74</v>
      </c>
      <c r="I653" t="s">
        <v>23</v>
      </c>
      <c r="J653" t="s">
        <v>139</v>
      </c>
      <c r="K653" t="s">
        <v>54</v>
      </c>
      <c r="L653">
        <v>2.9</v>
      </c>
      <c r="M653" t="s">
        <v>26</v>
      </c>
      <c r="N653" t="s">
        <v>46</v>
      </c>
      <c r="O653" t="s">
        <v>47</v>
      </c>
      <c r="P653" t="s">
        <v>26</v>
      </c>
      <c r="Q653" t="s">
        <v>26</v>
      </c>
      <c r="R653">
        <v>41</v>
      </c>
      <c r="S653" t="s">
        <v>29</v>
      </c>
      <c r="T653" t="str">
        <f t="shared" si="20"/>
        <v>2-week</v>
      </c>
      <c r="U653">
        <f>VLOOKUP(T653,[1]tablescore!$B$3:$C$8, 2,FALSE)</f>
        <v>26</v>
      </c>
      <c r="V653" t="str">
        <f t="shared" si="21"/>
        <v>Loyal</v>
      </c>
      <c r="W653" t="s">
        <v>30</v>
      </c>
    </row>
    <row r="654" spans="1:23" x14ac:dyDescent="0.25">
      <c r="A654">
        <v>653</v>
      </c>
      <c r="B654">
        <v>64</v>
      </c>
      <c r="C654" t="str" cm="1">
        <f t="array" ref="C654">_xlfn.IFS(
  AND(B654&gt;=18, B654&lt;=24), "18-24",
  AND(B654&gt;=25, B654&lt;=34), "25-34",
  AND(B654&gt;=35, B654&lt;=44), "35-44",
  AND(B654&gt;=45, B654&lt;=54), "45-54",
  B654&gt;=55, "55+"
)</f>
        <v>55+</v>
      </c>
      <c r="D654" t="s">
        <v>19</v>
      </c>
      <c r="E654" t="s">
        <v>89</v>
      </c>
      <c r="F654" t="s">
        <v>69</v>
      </c>
      <c r="G654">
        <v>27</v>
      </c>
      <c r="H654" t="s">
        <v>134</v>
      </c>
      <c r="I654" t="s">
        <v>45</v>
      </c>
      <c r="J654" t="s">
        <v>118</v>
      </c>
      <c r="K654" t="s">
        <v>25</v>
      </c>
      <c r="L654">
        <v>3.1</v>
      </c>
      <c r="M654" t="s">
        <v>26</v>
      </c>
      <c r="N654" t="s">
        <v>46</v>
      </c>
      <c r="O654" t="s">
        <v>40</v>
      </c>
      <c r="P654" t="s">
        <v>26</v>
      </c>
      <c r="Q654" t="s">
        <v>26</v>
      </c>
      <c r="R654">
        <v>27</v>
      </c>
      <c r="S654" t="s">
        <v>29</v>
      </c>
      <c r="T654" t="str">
        <f t="shared" si="20"/>
        <v>Daily</v>
      </c>
      <c r="U654">
        <f>VLOOKUP(T654,[1]tablescore!$B$3:$C$8, 2,FALSE)</f>
        <v>30</v>
      </c>
      <c r="V654" t="str">
        <f t="shared" si="21"/>
        <v>Highly Loyal</v>
      </c>
      <c r="W654" t="s">
        <v>41</v>
      </c>
    </row>
    <row r="655" spans="1:23" x14ac:dyDescent="0.25">
      <c r="A655">
        <v>654</v>
      </c>
      <c r="B655">
        <v>20</v>
      </c>
      <c r="C655" t="str" cm="1">
        <f t="array" ref="C655">_xlfn.IFS(
  AND(B655&gt;=18, B655&lt;=24), "18-24",
  AND(B655&gt;=25, B655&lt;=34), "25-34",
  AND(B655&gt;=35, B655&lt;=44), "35-44",
  AND(B655&gt;=45, B655&lt;=54), "45-54",
  B655&gt;=55, "55+"
)</f>
        <v>18-24</v>
      </c>
      <c r="D655" t="s">
        <v>19</v>
      </c>
      <c r="E655" t="s">
        <v>119</v>
      </c>
      <c r="F655" t="s">
        <v>69</v>
      </c>
      <c r="G655">
        <v>68</v>
      </c>
      <c r="H655" t="s">
        <v>114</v>
      </c>
      <c r="I655" t="s">
        <v>45</v>
      </c>
      <c r="J655" t="s">
        <v>79</v>
      </c>
      <c r="K655" t="s">
        <v>25</v>
      </c>
      <c r="L655">
        <v>3.6</v>
      </c>
      <c r="M655" t="s">
        <v>26</v>
      </c>
      <c r="N655" t="s">
        <v>27</v>
      </c>
      <c r="O655" t="s">
        <v>72</v>
      </c>
      <c r="P655" t="s">
        <v>26</v>
      </c>
      <c r="Q655" t="s">
        <v>26</v>
      </c>
      <c r="R655">
        <v>45</v>
      </c>
      <c r="S655" t="s">
        <v>35</v>
      </c>
      <c r="T655" t="str">
        <f t="shared" si="20"/>
        <v>2-week</v>
      </c>
      <c r="U655">
        <f>VLOOKUP(T655,[1]tablescore!$B$3:$C$8, 2,FALSE)</f>
        <v>26</v>
      </c>
      <c r="V655" t="str">
        <f t="shared" si="21"/>
        <v>Loyal</v>
      </c>
      <c r="W655" t="s">
        <v>30</v>
      </c>
    </row>
    <row r="656" spans="1:23" x14ac:dyDescent="0.25">
      <c r="A656">
        <v>655</v>
      </c>
      <c r="B656">
        <v>24</v>
      </c>
      <c r="C656" t="str" cm="1">
        <f t="array" ref="C656">_xlfn.IFS(
  AND(B656&gt;=18, B656&lt;=24), "18-24",
  AND(B656&gt;=25, B656&lt;=34), "25-34",
  AND(B656&gt;=35, B656&lt;=44), "35-44",
  AND(B656&gt;=45, B656&lt;=54), "45-54",
  B656&gt;=55, "55+"
)</f>
        <v>18-24</v>
      </c>
      <c r="D656" t="s">
        <v>19</v>
      </c>
      <c r="E656" t="s">
        <v>68</v>
      </c>
      <c r="F656" t="s">
        <v>69</v>
      </c>
      <c r="G656">
        <v>59</v>
      </c>
      <c r="H656" t="s">
        <v>99</v>
      </c>
      <c r="I656" t="s">
        <v>23</v>
      </c>
      <c r="J656" t="s">
        <v>24</v>
      </c>
      <c r="K656" t="s">
        <v>54</v>
      </c>
      <c r="L656">
        <v>4.4000000000000004</v>
      </c>
      <c r="M656" t="s">
        <v>26</v>
      </c>
      <c r="N656" t="s">
        <v>34</v>
      </c>
      <c r="O656" t="s">
        <v>72</v>
      </c>
      <c r="P656" t="s">
        <v>26</v>
      </c>
      <c r="Q656" t="s">
        <v>26</v>
      </c>
      <c r="R656">
        <v>23</v>
      </c>
      <c r="S656" t="s">
        <v>29</v>
      </c>
      <c r="T656" t="str">
        <f t="shared" si="20"/>
        <v>Annually</v>
      </c>
      <c r="U656">
        <f>VLOOKUP(T656,[1]tablescore!$B$3:$C$8, 2,FALSE)</f>
        <v>1</v>
      </c>
      <c r="V656" t="str">
        <f t="shared" si="21"/>
        <v>Low Loyalty</v>
      </c>
      <c r="W656" t="s">
        <v>50</v>
      </c>
    </row>
    <row r="657" spans="1:23" x14ac:dyDescent="0.25">
      <c r="A657">
        <v>656</v>
      </c>
      <c r="B657">
        <v>20</v>
      </c>
      <c r="C657" t="str" cm="1">
        <f t="array" ref="C657">_xlfn.IFS(
  AND(B657&gt;=18, B657&lt;=24), "18-24",
  AND(B657&gt;=25, B657&lt;=34), "25-34",
  AND(B657&gt;=35, B657&lt;=44), "35-44",
  AND(B657&gt;=45, B657&lt;=54), "45-54",
  B657&gt;=55, "55+"
)</f>
        <v>18-24</v>
      </c>
      <c r="D657" t="s">
        <v>19</v>
      </c>
      <c r="E657" t="s">
        <v>68</v>
      </c>
      <c r="F657" t="s">
        <v>69</v>
      </c>
      <c r="G657">
        <v>36</v>
      </c>
      <c r="H657" t="s">
        <v>91</v>
      </c>
      <c r="I657" t="s">
        <v>38</v>
      </c>
      <c r="J657" t="s">
        <v>75</v>
      </c>
      <c r="K657" t="s">
        <v>58</v>
      </c>
      <c r="L657">
        <v>3.1</v>
      </c>
      <c r="M657" t="s">
        <v>26</v>
      </c>
      <c r="N657" t="s">
        <v>59</v>
      </c>
      <c r="O657" t="s">
        <v>40</v>
      </c>
      <c r="P657" t="s">
        <v>26</v>
      </c>
      <c r="Q657" t="s">
        <v>26</v>
      </c>
      <c r="R657">
        <v>19</v>
      </c>
      <c r="S657" t="s">
        <v>29</v>
      </c>
      <c r="T657" t="str">
        <f t="shared" si="20"/>
        <v>Month</v>
      </c>
      <c r="U657">
        <f>VLOOKUP(T657,[1]tablescore!$B$3:$C$8, 2,FALSE)</f>
        <v>12</v>
      </c>
      <c r="V657" t="str">
        <f t="shared" si="21"/>
        <v>Moderate</v>
      </c>
      <c r="W657" t="s">
        <v>88</v>
      </c>
    </row>
    <row r="658" spans="1:23" x14ac:dyDescent="0.25">
      <c r="A658">
        <v>657</v>
      </c>
      <c r="B658">
        <v>42</v>
      </c>
      <c r="C658" t="str" cm="1">
        <f t="array" ref="C658">_xlfn.IFS(
  AND(B658&gt;=18, B658&lt;=24), "18-24",
  AND(B658&gt;=25, B658&lt;=34), "25-34",
  AND(B658&gt;=35, B658&lt;=44), "35-44",
  AND(B658&gt;=45, B658&lt;=54), "45-54",
  B658&gt;=55, "55+"
)</f>
        <v>35-44</v>
      </c>
      <c r="D658" t="s">
        <v>19</v>
      </c>
      <c r="E658" t="s">
        <v>36</v>
      </c>
      <c r="F658" t="s">
        <v>21</v>
      </c>
      <c r="G658">
        <v>23</v>
      </c>
      <c r="H658" t="s">
        <v>141</v>
      </c>
      <c r="I658" t="s">
        <v>45</v>
      </c>
      <c r="J658" t="s">
        <v>118</v>
      </c>
      <c r="K658" t="s">
        <v>54</v>
      </c>
      <c r="L658">
        <v>3.9</v>
      </c>
      <c r="M658" t="s">
        <v>26</v>
      </c>
      <c r="N658" t="s">
        <v>59</v>
      </c>
      <c r="O658" t="s">
        <v>55</v>
      </c>
      <c r="P658" t="s">
        <v>26</v>
      </c>
      <c r="Q658" t="s">
        <v>26</v>
      </c>
      <c r="R658">
        <v>6</v>
      </c>
      <c r="S658" t="s">
        <v>46</v>
      </c>
      <c r="T658" t="str">
        <f t="shared" si="20"/>
        <v>Quarterly</v>
      </c>
      <c r="U658">
        <f>VLOOKUP(T658,[1]tablescore!$B$3:$C$8, 2,FALSE)</f>
        <v>4</v>
      </c>
      <c r="V658" t="str">
        <f t="shared" si="21"/>
        <v>Low Loyalty</v>
      </c>
      <c r="W658" t="s">
        <v>60</v>
      </c>
    </row>
    <row r="659" spans="1:23" x14ac:dyDescent="0.25">
      <c r="A659">
        <v>658</v>
      </c>
      <c r="B659">
        <v>48</v>
      </c>
      <c r="C659" t="str" cm="1">
        <f t="array" ref="C659">_xlfn.IFS(
  AND(B659&gt;=18, B659&lt;=24), "18-24",
  AND(B659&gt;=25, B659&lt;=34), "25-34",
  AND(B659&gt;=35, B659&lt;=44), "35-44",
  AND(B659&gt;=45, B659&lt;=54), "45-54",
  B659&gt;=55, "55+"
)</f>
        <v>45-54</v>
      </c>
      <c r="D659" t="s">
        <v>19</v>
      </c>
      <c r="E659" t="s">
        <v>102</v>
      </c>
      <c r="F659" t="s">
        <v>65</v>
      </c>
      <c r="G659">
        <v>80</v>
      </c>
      <c r="H659" t="s">
        <v>117</v>
      </c>
      <c r="I659" t="s">
        <v>45</v>
      </c>
      <c r="J659" t="s">
        <v>53</v>
      </c>
      <c r="K659" t="s">
        <v>25</v>
      </c>
      <c r="L659">
        <v>4.3</v>
      </c>
      <c r="M659" t="s">
        <v>26</v>
      </c>
      <c r="N659" t="s">
        <v>46</v>
      </c>
      <c r="O659" t="s">
        <v>40</v>
      </c>
      <c r="P659" t="s">
        <v>26</v>
      </c>
      <c r="Q659" t="s">
        <v>26</v>
      </c>
      <c r="R659">
        <v>6</v>
      </c>
      <c r="S659" t="s">
        <v>46</v>
      </c>
      <c r="T659" t="str">
        <f t="shared" si="20"/>
        <v>Quarterly</v>
      </c>
      <c r="U659">
        <f>VLOOKUP(T659,[1]tablescore!$B$3:$C$8, 2,FALSE)</f>
        <v>4</v>
      </c>
      <c r="V659" t="str">
        <f t="shared" si="21"/>
        <v>Low Loyalty</v>
      </c>
      <c r="W659" t="s">
        <v>60</v>
      </c>
    </row>
    <row r="660" spans="1:23" x14ac:dyDescent="0.25">
      <c r="A660">
        <v>659</v>
      </c>
      <c r="B660">
        <v>62</v>
      </c>
      <c r="C660" t="str" cm="1">
        <f t="array" ref="C660">_xlfn.IFS(
  AND(B660&gt;=18, B660&lt;=24), "18-24",
  AND(B660&gt;=25, B660&lt;=34), "25-34",
  AND(B660&gt;=35, B660&lt;=44), "35-44",
  AND(B660&gt;=45, B660&lt;=54), "45-54",
  B660&gt;=55, "55+"
)</f>
        <v>55+</v>
      </c>
      <c r="D660" t="s">
        <v>19</v>
      </c>
      <c r="E660" t="s">
        <v>133</v>
      </c>
      <c r="F660" t="s">
        <v>69</v>
      </c>
      <c r="G660">
        <v>37</v>
      </c>
      <c r="H660" t="s">
        <v>62</v>
      </c>
      <c r="I660" t="s">
        <v>38</v>
      </c>
      <c r="J660" t="s">
        <v>53</v>
      </c>
      <c r="K660" t="s">
        <v>58</v>
      </c>
      <c r="L660">
        <v>4.9000000000000004</v>
      </c>
      <c r="M660" t="s">
        <v>26</v>
      </c>
      <c r="N660" t="s">
        <v>59</v>
      </c>
      <c r="O660" t="s">
        <v>76</v>
      </c>
      <c r="P660" t="s">
        <v>26</v>
      </c>
      <c r="Q660" t="s">
        <v>26</v>
      </c>
      <c r="R660">
        <v>20</v>
      </c>
      <c r="S660" t="s">
        <v>29</v>
      </c>
      <c r="T660" t="str">
        <f t="shared" si="20"/>
        <v>Daily</v>
      </c>
      <c r="U660">
        <f>VLOOKUP(T660,[1]tablescore!$B$3:$C$8, 2,FALSE)</f>
        <v>30</v>
      </c>
      <c r="V660" t="str">
        <f t="shared" si="21"/>
        <v>Highly Loyal</v>
      </c>
      <c r="W660" t="s">
        <v>41</v>
      </c>
    </row>
    <row r="661" spans="1:23" x14ac:dyDescent="0.25">
      <c r="A661">
        <v>660</v>
      </c>
      <c r="B661">
        <v>62</v>
      </c>
      <c r="C661" t="str" cm="1">
        <f t="array" ref="C661">_xlfn.IFS(
  AND(B661&gt;=18, B661&lt;=24), "18-24",
  AND(B661&gt;=25, B661&lt;=34), "25-34",
  AND(B661&gt;=35, B661&lt;=44), "35-44",
  AND(B661&gt;=45, B661&lt;=54), "45-54",
  B661&gt;=55, "55+"
)</f>
        <v>55+</v>
      </c>
      <c r="D661" t="s">
        <v>19</v>
      </c>
      <c r="E661" t="s">
        <v>61</v>
      </c>
      <c r="F661" t="s">
        <v>21</v>
      </c>
      <c r="G661">
        <v>52</v>
      </c>
      <c r="H661" t="s">
        <v>128</v>
      </c>
      <c r="I661" t="s">
        <v>38</v>
      </c>
      <c r="J661" t="s">
        <v>81</v>
      </c>
      <c r="K661" t="s">
        <v>39</v>
      </c>
      <c r="L661">
        <v>3.6</v>
      </c>
      <c r="M661" t="s">
        <v>26</v>
      </c>
      <c r="N661" t="s">
        <v>59</v>
      </c>
      <c r="O661" t="s">
        <v>72</v>
      </c>
      <c r="P661" t="s">
        <v>26</v>
      </c>
      <c r="Q661" t="s">
        <v>26</v>
      </c>
      <c r="R661">
        <v>8</v>
      </c>
      <c r="S661" t="s">
        <v>35</v>
      </c>
      <c r="T661" t="str">
        <f t="shared" si="20"/>
        <v>Daily</v>
      </c>
      <c r="U661">
        <f>VLOOKUP(T661,[1]tablescore!$B$3:$C$8, 2,FALSE)</f>
        <v>30</v>
      </c>
      <c r="V661" t="str">
        <f t="shared" si="21"/>
        <v>Highly Loyal</v>
      </c>
      <c r="W661" t="s">
        <v>41</v>
      </c>
    </row>
    <row r="662" spans="1:23" x14ac:dyDescent="0.25">
      <c r="A662">
        <v>661</v>
      </c>
      <c r="B662">
        <v>50</v>
      </c>
      <c r="C662" t="str" cm="1">
        <f t="array" ref="C662">_xlfn.IFS(
  AND(B662&gt;=18, B662&lt;=24), "18-24",
  AND(B662&gt;=25, B662&lt;=34), "25-34",
  AND(B662&gt;=35, B662&lt;=44), "35-44",
  AND(B662&gt;=45, B662&lt;=54), "45-54",
  B662&gt;=55, "55+"
)</f>
        <v>45-54</v>
      </c>
      <c r="D662" t="s">
        <v>19</v>
      </c>
      <c r="E662" t="s">
        <v>64</v>
      </c>
      <c r="F662" t="s">
        <v>65</v>
      </c>
      <c r="G662">
        <v>79</v>
      </c>
      <c r="H662" t="s">
        <v>57</v>
      </c>
      <c r="I662" t="s">
        <v>45</v>
      </c>
      <c r="J662" t="s">
        <v>79</v>
      </c>
      <c r="K662" t="s">
        <v>58</v>
      </c>
      <c r="L662">
        <v>5</v>
      </c>
      <c r="M662" t="s">
        <v>26</v>
      </c>
      <c r="N662" t="s">
        <v>59</v>
      </c>
      <c r="O662" t="s">
        <v>72</v>
      </c>
      <c r="P662" t="s">
        <v>26</v>
      </c>
      <c r="Q662" t="s">
        <v>26</v>
      </c>
      <c r="R662">
        <v>39</v>
      </c>
      <c r="S662" t="s">
        <v>27</v>
      </c>
      <c r="T662" t="str">
        <f t="shared" si="20"/>
        <v>Quarterly</v>
      </c>
      <c r="U662">
        <f>VLOOKUP(T662,[1]tablescore!$B$3:$C$8, 2,FALSE)</f>
        <v>4</v>
      </c>
      <c r="V662" t="str">
        <f t="shared" si="21"/>
        <v>Low Loyalty</v>
      </c>
      <c r="W662" t="s">
        <v>60</v>
      </c>
    </row>
    <row r="663" spans="1:23" x14ac:dyDescent="0.25">
      <c r="A663">
        <v>662</v>
      </c>
      <c r="B663">
        <v>57</v>
      </c>
      <c r="C663" t="str" cm="1">
        <f t="array" ref="C663">_xlfn.IFS(
  AND(B663&gt;=18, B663&lt;=24), "18-24",
  AND(B663&gt;=25, B663&lt;=34), "25-34",
  AND(B663&gt;=35, B663&lt;=44), "35-44",
  AND(B663&gt;=45, B663&lt;=54), "45-54",
  B663&gt;=55, "55+"
)</f>
        <v>55+</v>
      </c>
      <c r="D663" t="s">
        <v>19</v>
      </c>
      <c r="E663" t="s">
        <v>56</v>
      </c>
      <c r="F663" t="s">
        <v>21</v>
      </c>
      <c r="G663">
        <v>68</v>
      </c>
      <c r="H663" t="s">
        <v>150</v>
      </c>
      <c r="I663" t="s">
        <v>92</v>
      </c>
      <c r="J663" t="s">
        <v>96</v>
      </c>
      <c r="K663" t="s">
        <v>58</v>
      </c>
      <c r="L663">
        <v>4.0999999999999996</v>
      </c>
      <c r="M663" t="s">
        <v>26</v>
      </c>
      <c r="N663" t="s">
        <v>35</v>
      </c>
      <c r="O663" t="s">
        <v>76</v>
      </c>
      <c r="P663" t="s">
        <v>26</v>
      </c>
      <c r="Q663" t="s">
        <v>26</v>
      </c>
      <c r="R663">
        <v>39</v>
      </c>
      <c r="S663" t="s">
        <v>27</v>
      </c>
      <c r="T663" t="str">
        <f t="shared" si="20"/>
        <v>Quarterly</v>
      </c>
      <c r="U663">
        <f>VLOOKUP(T663,[1]tablescore!$B$3:$C$8, 2,FALSE)</f>
        <v>4</v>
      </c>
      <c r="V663" t="str">
        <f t="shared" si="21"/>
        <v>Low Loyalty</v>
      </c>
      <c r="W663" t="s">
        <v>60</v>
      </c>
    </row>
    <row r="664" spans="1:23" x14ac:dyDescent="0.25">
      <c r="A664">
        <v>663</v>
      </c>
      <c r="B664">
        <v>24</v>
      </c>
      <c r="C664" t="str" cm="1">
        <f t="array" ref="C664">_xlfn.IFS(
  AND(B664&gt;=18, B664&lt;=24), "18-24",
  AND(B664&gt;=25, B664&lt;=34), "25-34",
  AND(B664&gt;=35, B664&lt;=44), "35-44",
  AND(B664&gt;=45, B664&lt;=54), "45-54",
  B664&gt;=55, "55+"
)</f>
        <v>18-24</v>
      </c>
      <c r="D664" t="s">
        <v>19</v>
      </c>
      <c r="E664" t="s">
        <v>127</v>
      </c>
      <c r="F664" t="s">
        <v>69</v>
      </c>
      <c r="G664">
        <v>98</v>
      </c>
      <c r="H664" t="s">
        <v>115</v>
      </c>
      <c r="I664" t="s">
        <v>23</v>
      </c>
      <c r="J664" t="s">
        <v>147</v>
      </c>
      <c r="K664" t="s">
        <v>58</v>
      </c>
      <c r="L664">
        <v>2.8</v>
      </c>
      <c r="M664" t="s">
        <v>26</v>
      </c>
      <c r="N664" t="s">
        <v>59</v>
      </c>
      <c r="O664" t="s">
        <v>28</v>
      </c>
      <c r="P664" t="s">
        <v>26</v>
      </c>
      <c r="Q664" t="s">
        <v>26</v>
      </c>
      <c r="R664">
        <v>39</v>
      </c>
      <c r="S664" t="s">
        <v>29</v>
      </c>
      <c r="T664" t="str">
        <f t="shared" si="20"/>
        <v>2-week</v>
      </c>
      <c r="U664">
        <f>VLOOKUP(T664,[1]tablescore!$B$3:$C$8, 2,FALSE)</f>
        <v>26</v>
      </c>
      <c r="V664" t="str">
        <f t="shared" si="21"/>
        <v>Loyal</v>
      </c>
      <c r="W664" t="s">
        <v>77</v>
      </c>
    </row>
    <row r="665" spans="1:23" x14ac:dyDescent="0.25">
      <c r="A665">
        <v>664</v>
      </c>
      <c r="B665">
        <v>59</v>
      </c>
      <c r="C665" t="str" cm="1">
        <f t="array" ref="C665">_xlfn.IFS(
  AND(B665&gt;=18, B665&lt;=24), "18-24",
  AND(B665&gt;=25, B665&lt;=34), "25-34",
  AND(B665&gt;=35, B665&lt;=44), "35-44",
  AND(B665&gt;=45, B665&lt;=54), "45-54",
  B665&gt;=55, "55+"
)</f>
        <v>55+</v>
      </c>
      <c r="D665" t="s">
        <v>19</v>
      </c>
      <c r="E665" t="s">
        <v>82</v>
      </c>
      <c r="F665" t="s">
        <v>21</v>
      </c>
      <c r="G665">
        <v>83</v>
      </c>
      <c r="H665" t="s">
        <v>120</v>
      </c>
      <c r="I665" t="s">
        <v>45</v>
      </c>
      <c r="J665" t="s">
        <v>63</v>
      </c>
      <c r="K665" t="s">
        <v>58</v>
      </c>
      <c r="L665">
        <v>4.7</v>
      </c>
      <c r="M665" t="s">
        <v>26</v>
      </c>
      <c r="N665" t="s">
        <v>35</v>
      </c>
      <c r="O665" t="s">
        <v>28</v>
      </c>
      <c r="P665" t="s">
        <v>26</v>
      </c>
      <c r="Q665" t="s">
        <v>26</v>
      </c>
      <c r="R665">
        <v>23</v>
      </c>
      <c r="S665" t="s">
        <v>27</v>
      </c>
      <c r="T665" t="str">
        <f t="shared" si="20"/>
        <v>Month</v>
      </c>
      <c r="U665">
        <f>VLOOKUP(T665,[1]tablescore!$B$3:$C$8, 2,FALSE)</f>
        <v>12</v>
      </c>
      <c r="V665" t="str">
        <f t="shared" si="21"/>
        <v>Moderate</v>
      </c>
      <c r="W665" t="s">
        <v>88</v>
      </c>
    </row>
    <row r="666" spans="1:23" x14ac:dyDescent="0.25">
      <c r="A666">
        <v>665</v>
      </c>
      <c r="B666">
        <v>63</v>
      </c>
      <c r="C666" t="str" cm="1">
        <f t="array" ref="C666">_xlfn.IFS(
  AND(B666&gt;=18, B666&lt;=24), "18-24",
  AND(B666&gt;=25, B666&lt;=34), "25-34",
  AND(B666&gt;=35, B666&lt;=44), "35-44",
  AND(B666&gt;=45, B666&lt;=54), "45-54",
  B666&gt;=55, "55+"
)</f>
        <v>55+</v>
      </c>
      <c r="D666" t="s">
        <v>19</v>
      </c>
      <c r="E666" t="s">
        <v>95</v>
      </c>
      <c r="F666" t="s">
        <v>21</v>
      </c>
      <c r="G666">
        <v>83</v>
      </c>
      <c r="H666" t="s">
        <v>112</v>
      </c>
      <c r="I666" t="s">
        <v>45</v>
      </c>
      <c r="J666" t="s">
        <v>129</v>
      </c>
      <c r="K666" t="s">
        <v>25</v>
      </c>
      <c r="L666">
        <v>4.4000000000000004</v>
      </c>
      <c r="M666" t="s">
        <v>26</v>
      </c>
      <c r="N666" t="s">
        <v>35</v>
      </c>
      <c r="O666" t="s">
        <v>28</v>
      </c>
      <c r="P666" t="s">
        <v>26</v>
      </c>
      <c r="Q666" t="s">
        <v>26</v>
      </c>
      <c r="R666">
        <v>41</v>
      </c>
      <c r="S666" t="s">
        <v>46</v>
      </c>
      <c r="T666" t="str">
        <f t="shared" si="20"/>
        <v>2-week</v>
      </c>
      <c r="U666">
        <f>VLOOKUP(T666,[1]tablescore!$B$3:$C$8, 2,FALSE)</f>
        <v>26</v>
      </c>
      <c r="V666" t="str">
        <f t="shared" si="21"/>
        <v>Loyal</v>
      </c>
      <c r="W666" t="s">
        <v>77</v>
      </c>
    </row>
    <row r="667" spans="1:23" x14ac:dyDescent="0.25">
      <c r="A667">
        <v>666</v>
      </c>
      <c r="B667">
        <v>41</v>
      </c>
      <c r="C667" t="str" cm="1">
        <f t="array" ref="C667">_xlfn.IFS(
  AND(B667&gt;=18, B667&lt;=24), "18-24",
  AND(B667&gt;=25, B667&lt;=34), "25-34",
  AND(B667&gt;=35, B667&lt;=44), "35-44",
  AND(B667&gt;=45, B667&lt;=54), "45-54",
  B667&gt;=55, "55+"
)</f>
        <v>35-44</v>
      </c>
      <c r="D667" t="s">
        <v>19</v>
      </c>
      <c r="E667" t="s">
        <v>95</v>
      </c>
      <c r="F667" t="s">
        <v>21</v>
      </c>
      <c r="G667">
        <v>55</v>
      </c>
      <c r="H667" t="s">
        <v>123</v>
      </c>
      <c r="I667" t="s">
        <v>45</v>
      </c>
      <c r="J667" t="s">
        <v>100</v>
      </c>
      <c r="K667" t="s">
        <v>39</v>
      </c>
      <c r="L667">
        <v>4.9000000000000004</v>
      </c>
      <c r="M667" t="s">
        <v>26</v>
      </c>
      <c r="N667" t="s">
        <v>35</v>
      </c>
      <c r="O667" t="s">
        <v>72</v>
      </c>
      <c r="P667" t="s">
        <v>26</v>
      </c>
      <c r="Q667" t="s">
        <v>26</v>
      </c>
      <c r="R667">
        <v>50</v>
      </c>
      <c r="S667" t="s">
        <v>27</v>
      </c>
      <c r="T667" t="str">
        <f t="shared" si="20"/>
        <v>Annually</v>
      </c>
      <c r="U667">
        <f>VLOOKUP(T667,[1]tablescore!$B$3:$C$8, 2,FALSE)</f>
        <v>1</v>
      </c>
      <c r="V667" t="str">
        <f t="shared" si="21"/>
        <v>Low Loyalty</v>
      </c>
      <c r="W667" t="s">
        <v>50</v>
      </c>
    </row>
    <row r="668" spans="1:23" x14ac:dyDescent="0.25">
      <c r="A668">
        <v>667</v>
      </c>
      <c r="B668">
        <v>35</v>
      </c>
      <c r="C668" t="str" cm="1">
        <f t="array" ref="C668">_xlfn.IFS(
  AND(B668&gt;=18, B668&lt;=24), "18-24",
  AND(B668&gt;=25, B668&lt;=34), "25-34",
  AND(B668&gt;=35, B668&lt;=44), "35-44",
  AND(B668&gt;=45, B668&lt;=54), "45-54",
  B668&gt;=55, "55+"
)</f>
        <v>35-44</v>
      </c>
      <c r="D668" t="s">
        <v>19</v>
      </c>
      <c r="E668" t="s">
        <v>104</v>
      </c>
      <c r="F668" t="s">
        <v>21</v>
      </c>
      <c r="G668">
        <v>26</v>
      </c>
      <c r="H668" t="s">
        <v>112</v>
      </c>
      <c r="I668" t="s">
        <v>23</v>
      </c>
      <c r="J668" t="s">
        <v>49</v>
      </c>
      <c r="K668" t="s">
        <v>25</v>
      </c>
      <c r="L668">
        <v>3.1</v>
      </c>
      <c r="M668" t="s">
        <v>26</v>
      </c>
      <c r="N668" t="s">
        <v>35</v>
      </c>
      <c r="O668" t="s">
        <v>40</v>
      </c>
      <c r="P668" t="s">
        <v>26</v>
      </c>
      <c r="Q668" t="s">
        <v>26</v>
      </c>
      <c r="R668">
        <v>30</v>
      </c>
      <c r="S668" t="s">
        <v>59</v>
      </c>
      <c r="T668" t="str">
        <f t="shared" si="20"/>
        <v>Quarterly</v>
      </c>
      <c r="U668">
        <f>VLOOKUP(T668,[1]tablescore!$B$3:$C$8, 2,FALSE)</f>
        <v>4</v>
      </c>
      <c r="V668" t="str">
        <f t="shared" si="21"/>
        <v>Low Loyalty</v>
      </c>
      <c r="W668" t="s">
        <v>60</v>
      </c>
    </row>
    <row r="669" spans="1:23" x14ac:dyDescent="0.25">
      <c r="A669">
        <v>668</v>
      </c>
      <c r="B669">
        <v>34</v>
      </c>
      <c r="C669" t="str" cm="1">
        <f t="array" ref="C669">_xlfn.IFS(
  AND(B669&gt;=18, B669&lt;=24), "18-24",
  AND(B669&gt;=25, B669&lt;=34), "25-34",
  AND(B669&gt;=35, B669&lt;=44), "35-44",
  AND(B669&gt;=45, B669&lt;=54), "45-54",
  B669&gt;=55, "55+"
)</f>
        <v>25-34</v>
      </c>
      <c r="D669" t="s">
        <v>19</v>
      </c>
      <c r="E669" t="s">
        <v>89</v>
      </c>
      <c r="F669" t="s">
        <v>69</v>
      </c>
      <c r="G669">
        <v>76</v>
      </c>
      <c r="H669" t="s">
        <v>117</v>
      </c>
      <c r="I669" t="s">
        <v>38</v>
      </c>
      <c r="J669" t="s">
        <v>138</v>
      </c>
      <c r="K669" t="s">
        <v>25</v>
      </c>
      <c r="L669">
        <v>2.6</v>
      </c>
      <c r="M669" t="s">
        <v>26</v>
      </c>
      <c r="N669" t="s">
        <v>59</v>
      </c>
      <c r="O669" t="s">
        <v>55</v>
      </c>
      <c r="P669" t="s">
        <v>26</v>
      </c>
      <c r="Q669" t="s">
        <v>26</v>
      </c>
      <c r="R669">
        <v>32</v>
      </c>
      <c r="S669" t="s">
        <v>34</v>
      </c>
      <c r="T669" t="str">
        <f t="shared" si="20"/>
        <v>Quarterly</v>
      </c>
      <c r="U669">
        <f>VLOOKUP(T669,[1]tablescore!$B$3:$C$8, 2,FALSE)</f>
        <v>4</v>
      </c>
      <c r="V669" t="str">
        <f t="shared" si="21"/>
        <v>Low Loyalty</v>
      </c>
      <c r="W669" t="s">
        <v>60</v>
      </c>
    </row>
    <row r="670" spans="1:23" x14ac:dyDescent="0.25">
      <c r="A670">
        <v>669</v>
      </c>
      <c r="B670">
        <v>49</v>
      </c>
      <c r="C670" t="str" cm="1">
        <f t="array" ref="C670">_xlfn.IFS(
  AND(B670&gt;=18, B670&lt;=24), "18-24",
  AND(B670&gt;=25, B670&lt;=34), "25-34",
  AND(B670&gt;=35, B670&lt;=44), "35-44",
  AND(B670&gt;=45, B670&lt;=54), "45-54",
  B670&gt;=55, "55+"
)</f>
        <v>45-54</v>
      </c>
      <c r="D670" t="s">
        <v>19</v>
      </c>
      <c r="E670" t="s">
        <v>113</v>
      </c>
      <c r="F670" t="s">
        <v>21</v>
      </c>
      <c r="G670">
        <v>85</v>
      </c>
      <c r="H670" t="s">
        <v>78</v>
      </c>
      <c r="I670" t="s">
        <v>38</v>
      </c>
      <c r="J670" t="s">
        <v>49</v>
      </c>
      <c r="K670" t="s">
        <v>58</v>
      </c>
      <c r="L670">
        <v>2.9</v>
      </c>
      <c r="M670" t="s">
        <v>26</v>
      </c>
      <c r="N670" t="s">
        <v>27</v>
      </c>
      <c r="O670" t="s">
        <v>28</v>
      </c>
      <c r="P670" t="s">
        <v>26</v>
      </c>
      <c r="Q670" t="s">
        <v>26</v>
      </c>
      <c r="R670">
        <v>35</v>
      </c>
      <c r="S670" t="s">
        <v>34</v>
      </c>
      <c r="T670" t="str">
        <f t="shared" si="20"/>
        <v>Month</v>
      </c>
      <c r="U670">
        <f>VLOOKUP(T670,[1]tablescore!$B$3:$C$8, 2,FALSE)</f>
        <v>12</v>
      </c>
      <c r="V670" t="str">
        <f t="shared" si="21"/>
        <v>Moderate</v>
      </c>
      <c r="W670" t="s">
        <v>88</v>
      </c>
    </row>
    <row r="671" spans="1:23" x14ac:dyDescent="0.25">
      <c r="A671">
        <v>670</v>
      </c>
      <c r="B671">
        <v>43</v>
      </c>
      <c r="C671" t="str" cm="1">
        <f t="array" ref="C671">_xlfn.IFS(
  AND(B671&gt;=18, B671&lt;=24), "18-24",
  AND(B671&gt;=25, B671&lt;=34), "25-34",
  AND(B671&gt;=35, B671&lt;=44), "35-44",
  AND(B671&gt;=45, B671&lt;=54), "45-54",
  B671&gt;=55, "55+"
)</f>
        <v>35-44</v>
      </c>
      <c r="D671" t="s">
        <v>19</v>
      </c>
      <c r="E671" t="s">
        <v>102</v>
      </c>
      <c r="F671" t="s">
        <v>65</v>
      </c>
      <c r="G671">
        <v>89</v>
      </c>
      <c r="H671" t="s">
        <v>115</v>
      </c>
      <c r="I671" t="s">
        <v>45</v>
      </c>
      <c r="J671" t="s">
        <v>24</v>
      </c>
      <c r="K671" t="s">
        <v>39</v>
      </c>
      <c r="L671">
        <v>3.3</v>
      </c>
      <c r="M671" t="s">
        <v>26</v>
      </c>
      <c r="N671" t="s">
        <v>46</v>
      </c>
      <c r="O671" t="s">
        <v>40</v>
      </c>
      <c r="P671" t="s">
        <v>26</v>
      </c>
      <c r="Q671" t="s">
        <v>26</v>
      </c>
      <c r="R671">
        <v>45</v>
      </c>
      <c r="S671" t="s">
        <v>29</v>
      </c>
      <c r="T671" t="str">
        <f t="shared" si="20"/>
        <v>2-week</v>
      </c>
      <c r="U671">
        <f>VLOOKUP(T671,[1]tablescore!$B$3:$C$8, 2,FALSE)</f>
        <v>26</v>
      </c>
      <c r="V671" t="str">
        <f t="shared" si="21"/>
        <v>Loyal</v>
      </c>
      <c r="W671" t="s">
        <v>77</v>
      </c>
    </row>
    <row r="672" spans="1:23" x14ac:dyDescent="0.25">
      <c r="A672">
        <v>671</v>
      </c>
      <c r="B672">
        <v>63</v>
      </c>
      <c r="C672" t="str" cm="1">
        <f t="array" ref="C672">_xlfn.IFS(
  AND(B672&gt;=18, B672&lt;=24), "18-24",
  AND(B672&gt;=25, B672&lt;=34), "25-34",
  AND(B672&gt;=35, B672&lt;=44), "35-44",
  AND(B672&gt;=45, B672&lt;=54), "45-54",
  B672&gt;=55, "55+"
)</f>
        <v>55+</v>
      </c>
      <c r="D672" t="s">
        <v>19</v>
      </c>
      <c r="E672" t="s">
        <v>31</v>
      </c>
      <c r="F672" t="s">
        <v>21</v>
      </c>
      <c r="G672">
        <v>41</v>
      </c>
      <c r="H672" t="s">
        <v>62</v>
      </c>
      <c r="I672" t="s">
        <v>92</v>
      </c>
      <c r="J672" t="s">
        <v>75</v>
      </c>
      <c r="K672" t="s">
        <v>39</v>
      </c>
      <c r="L672">
        <v>4.8</v>
      </c>
      <c r="M672" t="s">
        <v>26</v>
      </c>
      <c r="N672" t="s">
        <v>27</v>
      </c>
      <c r="O672" t="s">
        <v>47</v>
      </c>
      <c r="P672" t="s">
        <v>26</v>
      </c>
      <c r="Q672" t="s">
        <v>26</v>
      </c>
      <c r="R672">
        <v>37</v>
      </c>
      <c r="S672" t="s">
        <v>35</v>
      </c>
      <c r="T672" t="str">
        <f t="shared" si="20"/>
        <v>2-week</v>
      </c>
      <c r="U672">
        <f>VLOOKUP(T672,[1]tablescore!$B$3:$C$8, 2,FALSE)</f>
        <v>26</v>
      </c>
      <c r="V672" t="str">
        <f t="shared" si="21"/>
        <v>Loyal</v>
      </c>
      <c r="W672" t="s">
        <v>77</v>
      </c>
    </row>
    <row r="673" spans="1:23" x14ac:dyDescent="0.25">
      <c r="A673">
        <v>672</v>
      </c>
      <c r="B673">
        <v>38</v>
      </c>
      <c r="C673" t="str" cm="1">
        <f t="array" ref="C673">_xlfn.IFS(
  AND(B673&gt;=18, B673&lt;=24), "18-24",
  AND(B673&gt;=25, B673&lt;=34), "25-34",
  AND(B673&gt;=35, B673&lt;=44), "35-44",
  AND(B673&gt;=45, B673&lt;=54), "45-54",
  B673&gt;=55, "55+"
)</f>
        <v>35-44</v>
      </c>
      <c r="D673" t="s">
        <v>19</v>
      </c>
      <c r="E673" t="s">
        <v>102</v>
      </c>
      <c r="F673" t="s">
        <v>65</v>
      </c>
      <c r="G673">
        <v>30</v>
      </c>
      <c r="H673" t="s">
        <v>150</v>
      </c>
      <c r="I673" t="s">
        <v>23</v>
      </c>
      <c r="J673" t="s">
        <v>94</v>
      </c>
      <c r="K673" t="s">
        <v>25</v>
      </c>
      <c r="L673">
        <v>4.7</v>
      </c>
      <c r="M673" t="s">
        <v>26</v>
      </c>
      <c r="N673" t="s">
        <v>46</v>
      </c>
      <c r="O673" t="s">
        <v>28</v>
      </c>
      <c r="P673" t="s">
        <v>26</v>
      </c>
      <c r="Q673" t="s">
        <v>26</v>
      </c>
      <c r="R673">
        <v>45</v>
      </c>
      <c r="S673" t="s">
        <v>35</v>
      </c>
      <c r="T673" t="str">
        <f t="shared" si="20"/>
        <v>Daily</v>
      </c>
      <c r="U673">
        <f>VLOOKUP(T673,[1]tablescore!$B$3:$C$8, 2,FALSE)</f>
        <v>30</v>
      </c>
      <c r="V673" t="str">
        <f t="shared" si="21"/>
        <v>Highly Loyal</v>
      </c>
      <c r="W673" t="s">
        <v>41</v>
      </c>
    </row>
    <row r="674" spans="1:23" x14ac:dyDescent="0.25">
      <c r="A674">
        <v>673</v>
      </c>
      <c r="B674">
        <v>59</v>
      </c>
      <c r="C674" t="str" cm="1">
        <f t="array" ref="C674">_xlfn.IFS(
  AND(B674&gt;=18, B674&lt;=24), "18-24",
  AND(B674&gt;=25, B674&lt;=34), "25-34",
  AND(B674&gt;=35, B674&lt;=44), "35-44",
  AND(B674&gt;=45, B674&lt;=54), "45-54",
  B674&gt;=55, "55+"
)</f>
        <v>55+</v>
      </c>
      <c r="D674" t="s">
        <v>19</v>
      </c>
      <c r="E674" t="s">
        <v>131</v>
      </c>
      <c r="F674" t="s">
        <v>21</v>
      </c>
      <c r="G674">
        <v>53</v>
      </c>
      <c r="H674" t="s">
        <v>140</v>
      </c>
      <c r="I674" t="s">
        <v>45</v>
      </c>
      <c r="J674" t="s">
        <v>100</v>
      </c>
      <c r="K674" t="s">
        <v>25</v>
      </c>
      <c r="L674">
        <v>3.3</v>
      </c>
      <c r="M674" t="s">
        <v>26</v>
      </c>
      <c r="N674" t="s">
        <v>35</v>
      </c>
      <c r="O674" t="s">
        <v>72</v>
      </c>
      <c r="P674" t="s">
        <v>26</v>
      </c>
      <c r="Q674" t="s">
        <v>26</v>
      </c>
      <c r="R674">
        <v>29</v>
      </c>
      <c r="S674" t="s">
        <v>35</v>
      </c>
      <c r="T674" t="str">
        <f t="shared" si="20"/>
        <v>Quarterly</v>
      </c>
      <c r="U674">
        <f>VLOOKUP(T674,[1]tablescore!$B$3:$C$8, 2,FALSE)</f>
        <v>4</v>
      </c>
      <c r="V674" t="str">
        <f t="shared" si="21"/>
        <v>Low Loyalty</v>
      </c>
      <c r="W674" t="s">
        <v>60</v>
      </c>
    </row>
    <row r="675" spans="1:23" x14ac:dyDescent="0.25">
      <c r="A675">
        <v>674</v>
      </c>
      <c r="B675">
        <v>35</v>
      </c>
      <c r="C675" t="str" cm="1">
        <f t="array" ref="C675">_xlfn.IFS(
  AND(B675&gt;=18, B675&lt;=24), "18-24",
  AND(B675&gt;=25, B675&lt;=34), "25-34",
  AND(B675&gt;=35, B675&lt;=44), "35-44",
  AND(B675&gt;=45, B675&lt;=54), "45-54",
  B675&gt;=55, "55+"
)</f>
        <v>35-44</v>
      </c>
      <c r="D675" t="s">
        <v>19</v>
      </c>
      <c r="E675" t="s">
        <v>56</v>
      </c>
      <c r="F675" t="s">
        <v>21</v>
      </c>
      <c r="G675">
        <v>66</v>
      </c>
      <c r="H675" t="s">
        <v>101</v>
      </c>
      <c r="I675" t="s">
        <v>45</v>
      </c>
      <c r="J675" t="s">
        <v>129</v>
      </c>
      <c r="K675" t="s">
        <v>39</v>
      </c>
      <c r="L675">
        <v>4.2</v>
      </c>
      <c r="M675" t="s">
        <v>26</v>
      </c>
      <c r="N675" t="s">
        <v>35</v>
      </c>
      <c r="O675" t="s">
        <v>40</v>
      </c>
      <c r="P675" t="s">
        <v>26</v>
      </c>
      <c r="Q675" t="s">
        <v>26</v>
      </c>
      <c r="R675">
        <v>27</v>
      </c>
      <c r="S675" t="s">
        <v>29</v>
      </c>
      <c r="T675" t="str">
        <f t="shared" si="20"/>
        <v>2-week</v>
      </c>
      <c r="U675">
        <f>VLOOKUP(T675,[1]tablescore!$B$3:$C$8, 2,FALSE)</f>
        <v>26</v>
      </c>
      <c r="V675" t="str">
        <f t="shared" si="21"/>
        <v>Loyal</v>
      </c>
      <c r="W675" t="s">
        <v>77</v>
      </c>
    </row>
    <row r="676" spans="1:23" x14ac:dyDescent="0.25">
      <c r="A676">
        <v>675</v>
      </c>
      <c r="B676">
        <v>48</v>
      </c>
      <c r="C676" t="str" cm="1">
        <f t="array" ref="C676">_xlfn.IFS(
  AND(B676&gt;=18, B676&lt;=24), "18-24",
  AND(B676&gt;=25, B676&lt;=34), "25-34",
  AND(B676&gt;=35, B676&lt;=44), "35-44",
  AND(B676&gt;=45, B676&lt;=54), "45-54",
  B676&gt;=55, "55+"
)</f>
        <v>45-54</v>
      </c>
      <c r="D676" t="s">
        <v>19</v>
      </c>
      <c r="E676" t="s">
        <v>106</v>
      </c>
      <c r="F676" t="s">
        <v>69</v>
      </c>
      <c r="G676">
        <v>33</v>
      </c>
      <c r="H676" t="s">
        <v>140</v>
      </c>
      <c r="I676" t="s">
        <v>92</v>
      </c>
      <c r="J676" t="s">
        <v>118</v>
      </c>
      <c r="K676" t="s">
        <v>25</v>
      </c>
      <c r="L676">
        <v>4.7</v>
      </c>
      <c r="M676" t="s">
        <v>26</v>
      </c>
      <c r="N676" t="s">
        <v>29</v>
      </c>
      <c r="O676" t="s">
        <v>76</v>
      </c>
      <c r="P676" t="s">
        <v>26</v>
      </c>
      <c r="Q676" t="s">
        <v>26</v>
      </c>
      <c r="R676">
        <v>36</v>
      </c>
      <c r="S676" t="s">
        <v>34</v>
      </c>
      <c r="T676" t="str">
        <f t="shared" si="20"/>
        <v>Annually</v>
      </c>
      <c r="U676">
        <f>VLOOKUP(T676,[1]tablescore!$B$3:$C$8, 2,FALSE)</f>
        <v>1</v>
      </c>
      <c r="V676" t="str">
        <f t="shared" si="21"/>
        <v>Low Loyalty</v>
      </c>
      <c r="W676" t="s">
        <v>50</v>
      </c>
    </row>
    <row r="677" spans="1:23" x14ac:dyDescent="0.25">
      <c r="A677">
        <v>676</v>
      </c>
      <c r="B677">
        <v>64</v>
      </c>
      <c r="C677" t="str" cm="1">
        <f t="array" ref="C677">_xlfn.IFS(
  AND(B677&gt;=18, B677&lt;=24), "18-24",
  AND(B677&gt;=25, B677&lt;=34), "25-34",
  AND(B677&gt;=35, B677&lt;=44), "35-44",
  AND(B677&gt;=45, B677&lt;=54), "45-54",
  B677&gt;=55, "55+"
)</f>
        <v>55+</v>
      </c>
      <c r="D677" t="s">
        <v>19</v>
      </c>
      <c r="E677" t="s">
        <v>89</v>
      </c>
      <c r="F677" t="s">
        <v>69</v>
      </c>
      <c r="G677">
        <v>86</v>
      </c>
      <c r="H677" t="s">
        <v>74</v>
      </c>
      <c r="I677" t="s">
        <v>45</v>
      </c>
      <c r="J677" t="s">
        <v>139</v>
      </c>
      <c r="K677" t="s">
        <v>39</v>
      </c>
      <c r="L677">
        <v>2.6</v>
      </c>
      <c r="M677" t="s">
        <v>26</v>
      </c>
      <c r="N677" t="s">
        <v>27</v>
      </c>
      <c r="O677" t="s">
        <v>72</v>
      </c>
      <c r="P677" t="s">
        <v>26</v>
      </c>
      <c r="Q677" t="s">
        <v>26</v>
      </c>
      <c r="R677">
        <v>9</v>
      </c>
      <c r="S677" t="s">
        <v>35</v>
      </c>
      <c r="T677" t="str">
        <f t="shared" si="20"/>
        <v>Annually</v>
      </c>
      <c r="U677">
        <f>VLOOKUP(T677,[1]tablescore!$B$3:$C$8, 2,FALSE)</f>
        <v>1</v>
      </c>
      <c r="V677" t="str">
        <f t="shared" si="21"/>
        <v>Low Loyalty</v>
      </c>
      <c r="W677" t="s">
        <v>50</v>
      </c>
    </row>
    <row r="678" spans="1:23" x14ac:dyDescent="0.25">
      <c r="A678">
        <v>677</v>
      </c>
      <c r="B678">
        <v>28</v>
      </c>
      <c r="C678" t="str" cm="1">
        <f t="array" ref="C678">_xlfn.IFS(
  AND(B678&gt;=18, B678&lt;=24), "18-24",
  AND(B678&gt;=25, B678&lt;=34), "25-34",
  AND(B678&gt;=35, B678&lt;=44), "35-44",
  AND(B678&gt;=45, B678&lt;=54), "45-54",
  B678&gt;=55, "55+"
)</f>
        <v>25-34</v>
      </c>
      <c r="D678" t="s">
        <v>19</v>
      </c>
      <c r="E678" t="s">
        <v>95</v>
      </c>
      <c r="F678" t="s">
        <v>21</v>
      </c>
      <c r="G678">
        <v>60</v>
      </c>
      <c r="H678" t="s">
        <v>146</v>
      </c>
      <c r="I678" t="s">
        <v>45</v>
      </c>
      <c r="J678" t="s">
        <v>100</v>
      </c>
      <c r="K678" t="s">
        <v>25</v>
      </c>
      <c r="L678">
        <v>2.9</v>
      </c>
      <c r="M678" t="s">
        <v>26</v>
      </c>
      <c r="N678" t="s">
        <v>59</v>
      </c>
      <c r="O678" t="s">
        <v>72</v>
      </c>
      <c r="P678" t="s">
        <v>26</v>
      </c>
      <c r="Q678" t="s">
        <v>26</v>
      </c>
      <c r="R678">
        <v>38</v>
      </c>
      <c r="S678" t="s">
        <v>29</v>
      </c>
      <c r="T678" t="str">
        <f t="shared" si="20"/>
        <v>2-week</v>
      </c>
      <c r="U678">
        <f>VLOOKUP(T678,[1]tablescore!$B$3:$C$8, 2,FALSE)</f>
        <v>26</v>
      </c>
      <c r="V678" t="str">
        <f t="shared" si="21"/>
        <v>Loyal</v>
      </c>
      <c r="W678" t="s">
        <v>77</v>
      </c>
    </row>
    <row r="679" spans="1:23" x14ac:dyDescent="0.25">
      <c r="A679">
        <v>678</v>
      </c>
      <c r="B679">
        <v>60</v>
      </c>
      <c r="C679" t="str" cm="1">
        <f t="array" ref="C679">_xlfn.IFS(
  AND(B679&gt;=18, B679&lt;=24), "18-24",
  AND(B679&gt;=25, B679&lt;=34), "25-34",
  AND(B679&gt;=35, B679&lt;=44), "35-44",
  AND(B679&gt;=45, B679&lt;=54), "45-54",
  B679&gt;=55, "55+"
)</f>
        <v>55+</v>
      </c>
      <c r="D679" t="s">
        <v>19</v>
      </c>
      <c r="E679" t="s">
        <v>131</v>
      </c>
      <c r="F679" t="s">
        <v>21</v>
      </c>
      <c r="G679">
        <v>62</v>
      </c>
      <c r="H679" t="s">
        <v>140</v>
      </c>
      <c r="I679" t="s">
        <v>38</v>
      </c>
      <c r="J679" t="s">
        <v>49</v>
      </c>
      <c r="K679" t="s">
        <v>54</v>
      </c>
      <c r="L679">
        <v>2.7</v>
      </c>
      <c r="M679" t="s">
        <v>26</v>
      </c>
      <c r="N679" t="s">
        <v>46</v>
      </c>
      <c r="O679" t="s">
        <v>28</v>
      </c>
      <c r="P679" t="s">
        <v>26</v>
      </c>
      <c r="Q679" t="s">
        <v>26</v>
      </c>
      <c r="R679">
        <v>41</v>
      </c>
      <c r="S679" t="s">
        <v>46</v>
      </c>
      <c r="T679" t="str">
        <f t="shared" si="20"/>
        <v>Annually</v>
      </c>
      <c r="U679">
        <f>VLOOKUP(T679,[1]tablescore!$B$3:$C$8, 2,FALSE)</f>
        <v>1</v>
      </c>
      <c r="V679" t="str">
        <f t="shared" si="21"/>
        <v>Low Loyalty</v>
      </c>
      <c r="W679" t="s">
        <v>50</v>
      </c>
    </row>
    <row r="680" spans="1:23" x14ac:dyDescent="0.25">
      <c r="A680">
        <v>679</v>
      </c>
      <c r="B680">
        <v>27</v>
      </c>
      <c r="C680" t="str" cm="1">
        <f t="array" ref="C680">_xlfn.IFS(
  AND(B680&gt;=18, B680&lt;=24), "18-24",
  AND(B680&gt;=25, B680&lt;=34), "25-34",
  AND(B680&gt;=35, B680&lt;=44), "35-44",
  AND(B680&gt;=45, B680&lt;=54), "45-54",
  B680&gt;=55, "55+"
)</f>
        <v>25-34</v>
      </c>
      <c r="D680" t="s">
        <v>19</v>
      </c>
      <c r="E680" t="s">
        <v>20</v>
      </c>
      <c r="F680" t="s">
        <v>21</v>
      </c>
      <c r="G680">
        <v>74</v>
      </c>
      <c r="H680" t="s">
        <v>32</v>
      </c>
      <c r="I680" t="s">
        <v>45</v>
      </c>
      <c r="J680" t="s">
        <v>86</v>
      </c>
      <c r="K680" t="s">
        <v>58</v>
      </c>
      <c r="L680">
        <v>3.3</v>
      </c>
      <c r="M680" t="s">
        <v>26</v>
      </c>
      <c r="N680" t="s">
        <v>27</v>
      </c>
      <c r="O680" t="s">
        <v>76</v>
      </c>
      <c r="P680" t="s">
        <v>26</v>
      </c>
      <c r="Q680" t="s">
        <v>26</v>
      </c>
      <c r="R680">
        <v>25</v>
      </c>
      <c r="S680" t="s">
        <v>59</v>
      </c>
      <c r="T680" t="str">
        <f t="shared" si="20"/>
        <v>Quarterly</v>
      </c>
      <c r="U680">
        <f>VLOOKUP(T680,[1]tablescore!$B$3:$C$8, 2,FALSE)</f>
        <v>4</v>
      </c>
      <c r="V680" t="str">
        <f t="shared" si="21"/>
        <v>Low Loyalty</v>
      </c>
      <c r="W680" t="s">
        <v>97</v>
      </c>
    </row>
    <row r="681" spans="1:23" x14ac:dyDescent="0.25">
      <c r="A681">
        <v>680</v>
      </c>
      <c r="B681">
        <v>56</v>
      </c>
      <c r="C681" t="str" cm="1">
        <f t="array" ref="C681">_xlfn.IFS(
  AND(B681&gt;=18, B681&lt;=24), "18-24",
  AND(B681&gt;=25, B681&lt;=34), "25-34",
  AND(B681&gt;=35, B681&lt;=44), "35-44",
  AND(B681&gt;=45, B681&lt;=54), "45-54",
  B681&gt;=55, "55+"
)</f>
        <v>55+</v>
      </c>
      <c r="D681" t="s">
        <v>19</v>
      </c>
      <c r="E681" t="s">
        <v>42</v>
      </c>
      <c r="F681" t="s">
        <v>43</v>
      </c>
      <c r="G681">
        <v>95</v>
      </c>
      <c r="H681" t="s">
        <v>151</v>
      </c>
      <c r="I681" t="s">
        <v>45</v>
      </c>
      <c r="J681" t="s">
        <v>49</v>
      </c>
      <c r="K681" t="s">
        <v>58</v>
      </c>
      <c r="L681">
        <v>3.4</v>
      </c>
      <c r="M681" t="s">
        <v>26</v>
      </c>
      <c r="N681" t="s">
        <v>46</v>
      </c>
      <c r="O681" t="s">
        <v>28</v>
      </c>
      <c r="P681" t="s">
        <v>26</v>
      </c>
      <c r="Q681" t="s">
        <v>26</v>
      </c>
      <c r="R681">
        <v>37</v>
      </c>
      <c r="S681" t="s">
        <v>29</v>
      </c>
      <c r="T681" t="str">
        <f t="shared" si="20"/>
        <v>2-week</v>
      </c>
      <c r="U681">
        <f>VLOOKUP(T681,[1]tablescore!$B$3:$C$8, 2,FALSE)</f>
        <v>26</v>
      </c>
      <c r="V681" t="str">
        <f t="shared" si="21"/>
        <v>Loyal</v>
      </c>
      <c r="W681" t="s">
        <v>30</v>
      </c>
    </row>
    <row r="682" spans="1:23" x14ac:dyDescent="0.25">
      <c r="A682">
        <v>681</v>
      </c>
      <c r="B682">
        <v>58</v>
      </c>
      <c r="C682" t="str" cm="1">
        <f t="array" ref="C682">_xlfn.IFS(
  AND(B682&gt;=18, B682&lt;=24), "18-24",
  AND(B682&gt;=25, B682&lt;=34), "25-34",
  AND(B682&gt;=35, B682&lt;=44), "35-44",
  AND(B682&gt;=45, B682&lt;=54), "45-54",
  B682&gt;=55, "55+"
)</f>
        <v>55+</v>
      </c>
      <c r="D682" t="s">
        <v>19</v>
      </c>
      <c r="E682" t="s">
        <v>51</v>
      </c>
      <c r="F682" t="s">
        <v>43</v>
      </c>
      <c r="G682">
        <v>25</v>
      </c>
      <c r="H682" t="s">
        <v>122</v>
      </c>
      <c r="I682" t="s">
        <v>45</v>
      </c>
      <c r="J682" t="s">
        <v>147</v>
      </c>
      <c r="K682" t="s">
        <v>39</v>
      </c>
      <c r="L682">
        <v>4.2</v>
      </c>
      <c r="M682" t="s">
        <v>26</v>
      </c>
      <c r="N682" t="s">
        <v>29</v>
      </c>
      <c r="O682" t="s">
        <v>28</v>
      </c>
      <c r="P682" t="s">
        <v>26</v>
      </c>
      <c r="Q682" t="s">
        <v>26</v>
      </c>
      <c r="R682">
        <v>3</v>
      </c>
      <c r="S682" t="s">
        <v>46</v>
      </c>
      <c r="T682" t="str">
        <f t="shared" si="20"/>
        <v>Annually</v>
      </c>
      <c r="U682">
        <f>VLOOKUP(T682,[1]tablescore!$B$3:$C$8, 2,FALSE)</f>
        <v>1</v>
      </c>
      <c r="V682" t="str">
        <f t="shared" si="21"/>
        <v>Low Loyalty</v>
      </c>
      <c r="W682" t="s">
        <v>50</v>
      </c>
    </row>
    <row r="683" spans="1:23" x14ac:dyDescent="0.25">
      <c r="A683">
        <v>682</v>
      </c>
      <c r="B683">
        <v>30</v>
      </c>
      <c r="C683" t="str" cm="1">
        <f t="array" ref="C683">_xlfn.IFS(
  AND(B683&gt;=18, B683&lt;=24), "18-24",
  AND(B683&gt;=25, B683&lt;=34), "25-34",
  AND(B683&gt;=35, B683&lt;=44), "35-44",
  AND(B683&gt;=45, B683&lt;=54), "45-54",
  B683&gt;=55, "55+"
)</f>
        <v>25-34</v>
      </c>
      <c r="D683" t="s">
        <v>19</v>
      </c>
      <c r="E683" t="s">
        <v>56</v>
      </c>
      <c r="F683" t="s">
        <v>21</v>
      </c>
      <c r="G683">
        <v>59</v>
      </c>
      <c r="H683" t="s">
        <v>62</v>
      </c>
      <c r="I683" t="s">
        <v>92</v>
      </c>
      <c r="J683" t="s">
        <v>75</v>
      </c>
      <c r="K683" t="s">
        <v>25</v>
      </c>
      <c r="L683">
        <v>3.8</v>
      </c>
      <c r="M683" t="s">
        <v>26</v>
      </c>
      <c r="N683" t="s">
        <v>46</v>
      </c>
      <c r="O683" t="s">
        <v>72</v>
      </c>
      <c r="P683" t="s">
        <v>26</v>
      </c>
      <c r="Q683" t="s">
        <v>26</v>
      </c>
      <c r="R683">
        <v>24</v>
      </c>
      <c r="S683" t="s">
        <v>27</v>
      </c>
      <c r="T683" t="str">
        <f t="shared" si="20"/>
        <v>Quarterly</v>
      </c>
      <c r="U683">
        <f>VLOOKUP(T683,[1]tablescore!$B$3:$C$8, 2,FALSE)</f>
        <v>4</v>
      </c>
      <c r="V683" t="str">
        <f t="shared" si="21"/>
        <v>Low Loyalty</v>
      </c>
      <c r="W683" t="s">
        <v>97</v>
      </c>
    </row>
    <row r="684" spans="1:23" x14ac:dyDescent="0.25">
      <c r="A684">
        <v>683</v>
      </c>
      <c r="B684">
        <v>23</v>
      </c>
      <c r="C684" t="str" cm="1">
        <f t="array" ref="C684">_xlfn.IFS(
  AND(B684&gt;=18, B684&lt;=24), "18-24",
  AND(B684&gt;=25, B684&lt;=34), "25-34",
  AND(B684&gt;=35, B684&lt;=44), "35-44",
  AND(B684&gt;=45, B684&lt;=54), "45-54",
  B684&gt;=55, "55+"
)</f>
        <v>18-24</v>
      </c>
      <c r="D684" t="s">
        <v>19</v>
      </c>
      <c r="E684" t="s">
        <v>102</v>
      </c>
      <c r="F684" t="s">
        <v>65</v>
      </c>
      <c r="G684">
        <v>29</v>
      </c>
      <c r="H684" t="s">
        <v>70</v>
      </c>
      <c r="I684" t="s">
        <v>45</v>
      </c>
      <c r="J684" t="s">
        <v>110</v>
      </c>
      <c r="K684" t="s">
        <v>54</v>
      </c>
      <c r="L684">
        <v>4</v>
      </c>
      <c r="M684" t="s">
        <v>26</v>
      </c>
      <c r="N684" t="s">
        <v>59</v>
      </c>
      <c r="O684" t="s">
        <v>55</v>
      </c>
      <c r="P684" t="s">
        <v>26</v>
      </c>
      <c r="Q684" t="s">
        <v>26</v>
      </c>
      <c r="R684">
        <v>49</v>
      </c>
      <c r="S684" t="s">
        <v>27</v>
      </c>
      <c r="T684" t="str">
        <f t="shared" si="20"/>
        <v>2-week</v>
      </c>
      <c r="U684">
        <f>VLOOKUP(T684,[1]tablescore!$B$3:$C$8, 2,FALSE)</f>
        <v>26</v>
      </c>
      <c r="V684" t="str">
        <f t="shared" si="21"/>
        <v>Loyal</v>
      </c>
      <c r="W684" t="s">
        <v>77</v>
      </c>
    </row>
    <row r="685" spans="1:23" x14ac:dyDescent="0.25">
      <c r="A685">
        <v>684</v>
      </c>
      <c r="B685">
        <v>33</v>
      </c>
      <c r="C685" t="str" cm="1">
        <f t="array" ref="C685">_xlfn.IFS(
  AND(B685&gt;=18, B685&lt;=24), "18-24",
  AND(B685&gt;=25, B685&lt;=34), "25-34",
  AND(B685&gt;=35, B685&lt;=44), "35-44",
  AND(B685&gt;=45, B685&lt;=54), "45-54",
  B685&gt;=55, "55+"
)</f>
        <v>25-34</v>
      </c>
      <c r="D685" t="s">
        <v>19</v>
      </c>
      <c r="E685" t="s">
        <v>42</v>
      </c>
      <c r="F685" t="s">
        <v>43</v>
      </c>
      <c r="G685">
        <v>36</v>
      </c>
      <c r="H685" t="s">
        <v>151</v>
      </c>
      <c r="I685" t="s">
        <v>38</v>
      </c>
      <c r="J685" t="s">
        <v>84</v>
      </c>
      <c r="K685" t="s">
        <v>25</v>
      </c>
      <c r="L685">
        <v>2.7</v>
      </c>
      <c r="M685" t="s">
        <v>26</v>
      </c>
      <c r="N685" t="s">
        <v>29</v>
      </c>
      <c r="O685" t="s">
        <v>40</v>
      </c>
      <c r="P685" t="s">
        <v>26</v>
      </c>
      <c r="Q685" t="s">
        <v>26</v>
      </c>
      <c r="R685">
        <v>3</v>
      </c>
      <c r="S685" t="s">
        <v>34</v>
      </c>
      <c r="T685" t="str">
        <f t="shared" si="20"/>
        <v>Month</v>
      </c>
      <c r="U685">
        <f>VLOOKUP(T685,[1]tablescore!$B$3:$C$8, 2,FALSE)</f>
        <v>12</v>
      </c>
      <c r="V685" t="str">
        <f t="shared" si="21"/>
        <v>Moderate</v>
      </c>
      <c r="W685" t="s">
        <v>88</v>
      </c>
    </row>
    <row r="686" spans="1:23" x14ac:dyDescent="0.25">
      <c r="A686">
        <v>685</v>
      </c>
      <c r="B686">
        <v>63</v>
      </c>
      <c r="C686" t="str" cm="1">
        <f t="array" ref="C686">_xlfn.IFS(
  AND(B686&gt;=18, B686&lt;=24), "18-24",
  AND(B686&gt;=25, B686&lt;=34), "25-34",
  AND(B686&gt;=35, B686&lt;=44), "35-44",
  AND(B686&gt;=45, B686&lt;=54), "45-54",
  B686&gt;=55, "55+"
)</f>
        <v>55+</v>
      </c>
      <c r="D686" t="s">
        <v>19</v>
      </c>
      <c r="E686" t="s">
        <v>125</v>
      </c>
      <c r="F686" t="s">
        <v>69</v>
      </c>
      <c r="G686">
        <v>82</v>
      </c>
      <c r="H686" t="s">
        <v>90</v>
      </c>
      <c r="I686" t="s">
        <v>45</v>
      </c>
      <c r="J686" t="s">
        <v>139</v>
      </c>
      <c r="K686" t="s">
        <v>54</v>
      </c>
      <c r="L686">
        <v>4.7</v>
      </c>
      <c r="M686" t="s">
        <v>26</v>
      </c>
      <c r="N686" t="s">
        <v>34</v>
      </c>
      <c r="O686" t="s">
        <v>28</v>
      </c>
      <c r="P686" t="s">
        <v>26</v>
      </c>
      <c r="Q686" t="s">
        <v>26</v>
      </c>
      <c r="R686">
        <v>42</v>
      </c>
      <c r="S686" t="s">
        <v>59</v>
      </c>
      <c r="T686" t="str">
        <f t="shared" si="20"/>
        <v>Month</v>
      </c>
      <c r="U686">
        <f>VLOOKUP(T686,[1]tablescore!$B$3:$C$8, 2,FALSE)</f>
        <v>12</v>
      </c>
      <c r="V686" t="str">
        <f t="shared" si="21"/>
        <v>Moderate</v>
      </c>
      <c r="W686" t="s">
        <v>88</v>
      </c>
    </row>
    <row r="687" spans="1:23" x14ac:dyDescent="0.25">
      <c r="A687">
        <v>686</v>
      </c>
      <c r="B687">
        <v>70</v>
      </c>
      <c r="C687" t="str" cm="1">
        <f t="array" ref="C687">_xlfn.IFS(
  AND(B687&gt;=18, B687&lt;=24), "18-24",
  AND(B687&gt;=25, B687&lt;=34), "25-34",
  AND(B687&gt;=35, B687&lt;=44), "35-44",
  AND(B687&gt;=45, B687&lt;=54), "45-54",
  B687&gt;=55, "55+"
)</f>
        <v>55+</v>
      </c>
      <c r="D687" t="s">
        <v>19</v>
      </c>
      <c r="E687" t="s">
        <v>20</v>
      </c>
      <c r="F687" t="s">
        <v>21</v>
      </c>
      <c r="G687">
        <v>71</v>
      </c>
      <c r="H687" t="s">
        <v>37</v>
      </c>
      <c r="I687" t="s">
        <v>92</v>
      </c>
      <c r="J687" t="s">
        <v>147</v>
      </c>
      <c r="K687" t="s">
        <v>25</v>
      </c>
      <c r="L687">
        <v>3.5</v>
      </c>
      <c r="M687" t="s">
        <v>26</v>
      </c>
      <c r="N687" t="s">
        <v>27</v>
      </c>
      <c r="O687" t="s">
        <v>55</v>
      </c>
      <c r="P687" t="s">
        <v>26</v>
      </c>
      <c r="Q687" t="s">
        <v>26</v>
      </c>
      <c r="R687">
        <v>32</v>
      </c>
      <c r="S687" t="s">
        <v>35</v>
      </c>
      <c r="T687" t="str">
        <f t="shared" si="20"/>
        <v>2-week</v>
      </c>
      <c r="U687">
        <f>VLOOKUP(T687,[1]tablescore!$B$3:$C$8, 2,FALSE)</f>
        <v>26</v>
      </c>
      <c r="V687" t="str">
        <f t="shared" si="21"/>
        <v>Loyal</v>
      </c>
      <c r="W687" t="s">
        <v>30</v>
      </c>
    </row>
    <row r="688" spans="1:23" x14ac:dyDescent="0.25">
      <c r="A688">
        <v>687</v>
      </c>
      <c r="B688">
        <v>70</v>
      </c>
      <c r="C688" t="str" cm="1">
        <f t="array" ref="C688">_xlfn.IFS(
  AND(B688&gt;=18, B688&lt;=24), "18-24",
  AND(B688&gt;=25, B688&lt;=34), "25-34",
  AND(B688&gt;=35, B688&lt;=44), "35-44",
  AND(B688&gt;=45, B688&lt;=54), "45-54",
  B688&gt;=55, "55+"
)</f>
        <v>55+</v>
      </c>
      <c r="D688" t="s">
        <v>19</v>
      </c>
      <c r="E688" t="s">
        <v>31</v>
      </c>
      <c r="F688" t="s">
        <v>21</v>
      </c>
      <c r="G688">
        <v>35</v>
      </c>
      <c r="H688" t="s">
        <v>116</v>
      </c>
      <c r="I688" t="s">
        <v>23</v>
      </c>
      <c r="J688" t="s">
        <v>118</v>
      </c>
      <c r="K688" t="s">
        <v>58</v>
      </c>
      <c r="L688">
        <v>3</v>
      </c>
      <c r="M688" t="s">
        <v>26</v>
      </c>
      <c r="N688" t="s">
        <v>46</v>
      </c>
      <c r="O688" t="s">
        <v>72</v>
      </c>
      <c r="P688" t="s">
        <v>26</v>
      </c>
      <c r="Q688" t="s">
        <v>26</v>
      </c>
      <c r="R688">
        <v>33</v>
      </c>
      <c r="S688" t="s">
        <v>29</v>
      </c>
      <c r="T688" t="str">
        <f t="shared" si="20"/>
        <v>2-week</v>
      </c>
      <c r="U688">
        <f>VLOOKUP(T688,[1]tablescore!$B$3:$C$8, 2,FALSE)</f>
        <v>26</v>
      </c>
      <c r="V688" t="str">
        <f t="shared" si="21"/>
        <v>Loyal</v>
      </c>
      <c r="W688" t="s">
        <v>30</v>
      </c>
    </row>
    <row r="689" spans="1:23" x14ac:dyDescent="0.25">
      <c r="A689">
        <v>688</v>
      </c>
      <c r="B689">
        <v>19</v>
      </c>
      <c r="C689" t="str" cm="1">
        <f t="array" ref="C689">_xlfn.IFS(
  AND(B689&gt;=18, B689&lt;=24), "18-24",
  AND(B689&gt;=25, B689&lt;=34), "25-34",
  AND(B689&gt;=35, B689&lt;=44), "35-44",
  AND(B689&gt;=45, B689&lt;=54), "45-54",
  B689&gt;=55, "55+"
)</f>
        <v>18-24</v>
      </c>
      <c r="D689" t="s">
        <v>19</v>
      </c>
      <c r="E689" t="s">
        <v>127</v>
      </c>
      <c r="F689" t="s">
        <v>69</v>
      </c>
      <c r="G689">
        <v>38</v>
      </c>
      <c r="H689" t="s">
        <v>66</v>
      </c>
      <c r="I689" t="s">
        <v>92</v>
      </c>
      <c r="J689" t="s">
        <v>49</v>
      </c>
      <c r="K689" t="s">
        <v>25</v>
      </c>
      <c r="L689">
        <v>3.3</v>
      </c>
      <c r="M689" t="s">
        <v>26</v>
      </c>
      <c r="N689" t="s">
        <v>35</v>
      </c>
      <c r="O689" t="s">
        <v>40</v>
      </c>
      <c r="P689" t="s">
        <v>26</v>
      </c>
      <c r="Q689" t="s">
        <v>26</v>
      </c>
      <c r="R689">
        <v>46</v>
      </c>
      <c r="S689" t="s">
        <v>34</v>
      </c>
      <c r="T689" t="str">
        <f t="shared" si="20"/>
        <v>Quarterly</v>
      </c>
      <c r="U689">
        <f>VLOOKUP(T689,[1]tablescore!$B$3:$C$8, 2,FALSE)</f>
        <v>4</v>
      </c>
      <c r="V689" t="str">
        <f t="shared" si="21"/>
        <v>Low Loyalty</v>
      </c>
      <c r="W689" t="s">
        <v>60</v>
      </c>
    </row>
    <row r="690" spans="1:23" x14ac:dyDescent="0.25">
      <c r="A690">
        <v>689</v>
      </c>
      <c r="B690">
        <v>25</v>
      </c>
      <c r="C690" t="str" cm="1">
        <f t="array" ref="C690">_xlfn.IFS(
  AND(B690&gt;=18, B690&lt;=24), "18-24",
  AND(B690&gt;=25, B690&lt;=34), "25-34",
  AND(B690&gt;=35, B690&lt;=44), "35-44",
  AND(B690&gt;=45, B690&lt;=54), "45-54",
  B690&gt;=55, "55+"
)</f>
        <v>25-34</v>
      </c>
      <c r="D690" t="s">
        <v>19</v>
      </c>
      <c r="E690" t="s">
        <v>119</v>
      </c>
      <c r="F690" t="s">
        <v>69</v>
      </c>
      <c r="G690">
        <v>59</v>
      </c>
      <c r="H690" t="s">
        <v>151</v>
      </c>
      <c r="I690" t="s">
        <v>38</v>
      </c>
      <c r="J690" t="s">
        <v>100</v>
      </c>
      <c r="K690" t="s">
        <v>54</v>
      </c>
      <c r="L690">
        <v>4.7</v>
      </c>
      <c r="M690" t="s">
        <v>26</v>
      </c>
      <c r="N690" t="s">
        <v>35</v>
      </c>
      <c r="O690" t="s">
        <v>76</v>
      </c>
      <c r="P690" t="s">
        <v>26</v>
      </c>
      <c r="Q690" t="s">
        <v>26</v>
      </c>
      <c r="R690">
        <v>44</v>
      </c>
      <c r="S690" t="s">
        <v>29</v>
      </c>
      <c r="T690" t="str">
        <f t="shared" si="20"/>
        <v>Month</v>
      </c>
      <c r="U690">
        <f>VLOOKUP(T690,[1]tablescore!$B$3:$C$8, 2,FALSE)</f>
        <v>12</v>
      </c>
      <c r="V690" t="str">
        <f t="shared" si="21"/>
        <v>Moderate</v>
      </c>
      <c r="W690" t="s">
        <v>88</v>
      </c>
    </row>
    <row r="691" spans="1:23" x14ac:dyDescent="0.25">
      <c r="A691">
        <v>690</v>
      </c>
      <c r="B691">
        <v>19</v>
      </c>
      <c r="C691" t="str" cm="1">
        <f t="array" ref="C691">_xlfn.IFS(
  AND(B691&gt;=18, B691&lt;=24), "18-24",
  AND(B691&gt;=25, B691&lt;=34), "25-34",
  AND(B691&gt;=35, B691&lt;=44), "35-44",
  AND(B691&gt;=45, B691&lt;=54), "45-54",
  B691&gt;=55, "55+"
)</f>
        <v>18-24</v>
      </c>
      <c r="D691" t="s">
        <v>19</v>
      </c>
      <c r="E691" t="s">
        <v>104</v>
      </c>
      <c r="F691" t="s">
        <v>21</v>
      </c>
      <c r="G691">
        <v>91</v>
      </c>
      <c r="H691" t="s">
        <v>141</v>
      </c>
      <c r="I691" t="s">
        <v>45</v>
      </c>
      <c r="J691" t="s">
        <v>121</v>
      </c>
      <c r="K691" t="s">
        <v>54</v>
      </c>
      <c r="L691">
        <v>4.7</v>
      </c>
      <c r="M691" t="s">
        <v>26</v>
      </c>
      <c r="N691" t="s">
        <v>35</v>
      </c>
      <c r="O691" t="s">
        <v>28</v>
      </c>
      <c r="P691" t="s">
        <v>26</v>
      </c>
      <c r="Q691" t="s">
        <v>26</v>
      </c>
      <c r="R691">
        <v>35</v>
      </c>
      <c r="S691" t="s">
        <v>27</v>
      </c>
      <c r="T691" t="str">
        <f t="shared" si="20"/>
        <v>Quarterly</v>
      </c>
      <c r="U691">
        <f>VLOOKUP(T691,[1]tablescore!$B$3:$C$8, 2,FALSE)</f>
        <v>4</v>
      </c>
      <c r="V691" t="str">
        <f t="shared" si="21"/>
        <v>Low Loyalty</v>
      </c>
      <c r="W691" t="s">
        <v>97</v>
      </c>
    </row>
    <row r="692" spans="1:23" x14ac:dyDescent="0.25">
      <c r="A692">
        <v>691</v>
      </c>
      <c r="B692">
        <v>25</v>
      </c>
      <c r="C692" t="str" cm="1">
        <f t="array" ref="C692">_xlfn.IFS(
  AND(B692&gt;=18, B692&lt;=24), "18-24",
  AND(B692&gt;=25, B692&lt;=34), "25-34",
  AND(B692&gt;=35, B692&lt;=44), "35-44",
  AND(B692&gt;=45, B692&lt;=54), "45-54",
  B692&gt;=55, "55+"
)</f>
        <v>25-34</v>
      </c>
      <c r="D692" t="s">
        <v>19</v>
      </c>
      <c r="E692" t="s">
        <v>61</v>
      </c>
      <c r="F692" t="s">
        <v>21</v>
      </c>
      <c r="G692">
        <v>68</v>
      </c>
      <c r="H692" t="s">
        <v>120</v>
      </c>
      <c r="I692" t="s">
        <v>92</v>
      </c>
      <c r="J692" t="s">
        <v>108</v>
      </c>
      <c r="K692" t="s">
        <v>39</v>
      </c>
      <c r="L692">
        <v>4.8</v>
      </c>
      <c r="M692" t="s">
        <v>26</v>
      </c>
      <c r="N692" t="s">
        <v>34</v>
      </c>
      <c r="O692" t="s">
        <v>55</v>
      </c>
      <c r="P692" t="s">
        <v>26</v>
      </c>
      <c r="Q692" t="s">
        <v>26</v>
      </c>
      <c r="R692">
        <v>45</v>
      </c>
      <c r="S692" t="s">
        <v>34</v>
      </c>
      <c r="T692" t="str">
        <f t="shared" si="20"/>
        <v>Daily</v>
      </c>
      <c r="U692">
        <f>VLOOKUP(T692,[1]tablescore!$B$3:$C$8, 2,FALSE)</f>
        <v>30</v>
      </c>
      <c r="V692" t="str">
        <f t="shared" si="21"/>
        <v>Highly Loyal</v>
      </c>
      <c r="W692" t="s">
        <v>41</v>
      </c>
    </row>
    <row r="693" spans="1:23" x14ac:dyDescent="0.25">
      <c r="A693">
        <v>692</v>
      </c>
      <c r="B693">
        <v>60</v>
      </c>
      <c r="C693" t="str" cm="1">
        <f t="array" ref="C693">_xlfn.IFS(
  AND(B693&gt;=18, B693&lt;=24), "18-24",
  AND(B693&gt;=25, B693&lt;=34), "25-34",
  AND(B693&gt;=35, B693&lt;=44), "35-44",
  AND(B693&gt;=45, B693&lt;=54), "45-54",
  B693&gt;=55, "55+"
)</f>
        <v>55+</v>
      </c>
      <c r="D693" t="s">
        <v>19</v>
      </c>
      <c r="E693" t="s">
        <v>133</v>
      </c>
      <c r="F693" t="s">
        <v>69</v>
      </c>
      <c r="G693">
        <v>21</v>
      </c>
      <c r="H693" t="s">
        <v>37</v>
      </c>
      <c r="I693" t="s">
        <v>23</v>
      </c>
      <c r="J693" t="s">
        <v>67</v>
      </c>
      <c r="K693" t="s">
        <v>54</v>
      </c>
      <c r="L693">
        <v>2.9</v>
      </c>
      <c r="M693" t="s">
        <v>26</v>
      </c>
      <c r="N693" t="s">
        <v>27</v>
      </c>
      <c r="O693" t="s">
        <v>55</v>
      </c>
      <c r="P693" t="s">
        <v>26</v>
      </c>
      <c r="Q693" t="s">
        <v>26</v>
      </c>
      <c r="R693">
        <v>37</v>
      </c>
      <c r="S693" t="s">
        <v>46</v>
      </c>
      <c r="T693" t="str">
        <f t="shared" si="20"/>
        <v>2-week</v>
      </c>
      <c r="U693">
        <f>VLOOKUP(T693,[1]tablescore!$B$3:$C$8, 2,FALSE)</f>
        <v>26</v>
      </c>
      <c r="V693" t="str">
        <f t="shared" si="21"/>
        <v>Loyal</v>
      </c>
      <c r="W693" t="s">
        <v>77</v>
      </c>
    </row>
    <row r="694" spans="1:23" x14ac:dyDescent="0.25">
      <c r="A694">
        <v>693</v>
      </c>
      <c r="B694">
        <v>35</v>
      </c>
      <c r="C694" t="str" cm="1">
        <f t="array" ref="C694">_xlfn.IFS(
  AND(B694&gt;=18, B694&lt;=24), "18-24",
  AND(B694&gt;=25, B694&lt;=34), "25-34",
  AND(B694&gt;=35, B694&lt;=44), "35-44",
  AND(B694&gt;=45, B694&lt;=54), "45-54",
  B694&gt;=55, "55+"
)</f>
        <v>35-44</v>
      </c>
      <c r="D694" t="s">
        <v>19</v>
      </c>
      <c r="E694" t="s">
        <v>89</v>
      </c>
      <c r="F694" t="s">
        <v>69</v>
      </c>
      <c r="G694">
        <v>95</v>
      </c>
      <c r="H694" t="s">
        <v>114</v>
      </c>
      <c r="I694" t="s">
        <v>45</v>
      </c>
      <c r="J694" t="s">
        <v>109</v>
      </c>
      <c r="K694" t="s">
        <v>39</v>
      </c>
      <c r="L694">
        <v>4</v>
      </c>
      <c r="M694" t="s">
        <v>26</v>
      </c>
      <c r="N694" t="s">
        <v>29</v>
      </c>
      <c r="O694" t="s">
        <v>72</v>
      </c>
      <c r="P694" t="s">
        <v>26</v>
      </c>
      <c r="Q694" t="s">
        <v>26</v>
      </c>
      <c r="R694">
        <v>40</v>
      </c>
      <c r="S694" t="s">
        <v>59</v>
      </c>
      <c r="T694" t="str">
        <f t="shared" si="20"/>
        <v>Quarterly</v>
      </c>
      <c r="U694">
        <f>VLOOKUP(T694,[1]tablescore!$B$3:$C$8, 2,FALSE)</f>
        <v>4</v>
      </c>
      <c r="V694" t="str">
        <f t="shared" si="21"/>
        <v>Low Loyalty</v>
      </c>
      <c r="W694" t="s">
        <v>97</v>
      </c>
    </row>
    <row r="695" spans="1:23" x14ac:dyDescent="0.25">
      <c r="A695">
        <v>694</v>
      </c>
      <c r="B695">
        <v>46</v>
      </c>
      <c r="C695" t="str" cm="1">
        <f t="array" ref="C695">_xlfn.IFS(
  AND(B695&gt;=18, B695&lt;=24), "18-24",
  AND(B695&gt;=25, B695&lt;=34), "25-34",
  AND(B695&gt;=35, B695&lt;=44), "35-44",
  AND(B695&gt;=45, B695&lt;=54), "45-54",
  B695&gt;=55, "55+"
)</f>
        <v>45-54</v>
      </c>
      <c r="D695" t="s">
        <v>19</v>
      </c>
      <c r="E695" t="s">
        <v>61</v>
      </c>
      <c r="F695" t="s">
        <v>21</v>
      </c>
      <c r="G695">
        <v>52</v>
      </c>
      <c r="H695" t="s">
        <v>145</v>
      </c>
      <c r="I695" t="s">
        <v>23</v>
      </c>
      <c r="J695" t="s">
        <v>49</v>
      </c>
      <c r="K695" t="s">
        <v>39</v>
      </c>
      <c r="L695">
        <v>3.1</v>
      </c>
      <c r="M695" t="s">
        <v>26</v>
      </c>
      <c r="N695" t="s">
        <v>27</v>
      </c>
      <c r="O695" t="s">
        <v>40</v>
      </c>
      <c r="P695" t="s">
        <v>26</v>
      </c>
      <c r="Q695" t="s">
        <v>26</v>
      </c>
      <c r="R695">
        <v>30</v>
      </c>
      <c r="S695" t="s">
        <v>35</v>
      </c>
      <c r="T695" t="str">
        <f t="shared" si="20"/>
        <v>Quarterly</v>
      </c>
      <c r="U695">
        <f>VLOOKUP(T695,[1]tablescore!$B$3:$C$8, 2,FALSE)</f>
        <v>4</v>
      </c>
      <c r="V695" t="str">
        <f t="shared" si="21"/>
        <v>Low Loyalty</v>
      </c>
      <c r="W695" t="s">
        <v>97</v>
      </c>
    </row>
    <row r="696" spans="1:23" x14ac:dyDescent="0.25">
      <c r="A696">
        <v>695</v>
      </c>
      <c r="B696">
        <v>41</v>
      </c>
      <c r="C696" t="str" cm="1">
        <f t="array" ref="C696">_xlfn.IFS(
  AND(B696&gt;=18, B696&lt;=24), "18-24",
  AND(B696&gt;=25, B696&lt;=34), "25-34",
  AND(B696&gt;=35, B696&lt;=44), "35-44",
  AND(B696&gt;=45, B696&lt;=54), "45-54",
  B696&gt;=55, "55+"
)</f>
        <v>35-44</v>
      </c>
      <c r="D696" t="s">
        <v>19</v>
      </c>
      <c r="E696" t="s">
        <v>82</v>
      </c>
      <c r="F696" t="s">
        <v>21</v>
      </c>
      <c r="G696">
        <v>21</v>
      </c>
      <c r="H696" t="s">
        <v>22</v>
      </c>
      <c r="I696" t="s">
        <v>38</v>
      </c>
      <c r="J696" t="s">
        <v>63</v>
      </c>
      <c r="K696" t="s">
        <v>58</v>
      </c>
      <c r="L696">
        <v>3.5</v>
      </c>
      <c r="M696" t="s">
        <v>26</v>
      </c>
      <c r="N696" t="s">
        <v>29</v>
      </c>
      <c r="O696" t="s">
        <v>72</v>
      </c>
      <c r="P696" t="s">
        <v>26</v>
      </c>
      <c r="Q696" t="s">
        <v>26</v>
      </c>
      <c r="R696">
        <v>38</v>
      </c>
      <c r="S696" t="s">
        <v>29</v>
      </c>
      <c r="T696" t="str">
        <f t="shared" si="20"/>
        <v>Quarterly</v>
      </c>
      <c r="U696">
        <f>VLOOKUP(T696,[1]tablescore!$B$3:$C$8, 2,FALSE)</f>
        <v>4</v>
      </c>
      <c r="V696" t="str">
        <f t="shared" si="21"/>
        <v>Low Loyalty</v>
      </c>
      <c r="W696" t="s">
        <v>97</v>
      </c>
    </row>
    <row r="697" spans="1:23" x14ac:dyDescent="0.25">
      <c r="A697">
        <v>696</v>
      </c>
      <c r="B697">
        <v>30</v>
      </c>
      <c r="C697" t="str" cm="1">
        <f t="array" ref="C697">_xlfn.IFS(
  AND(B697&gt;=18, B697&lt;=24), "18-24",
  AND(B697&gt;=25, B697&lt;=34), "25-34",
  AND(B697&gt;=35, B697&lt;=44), "35-44",
  AND(B697&gt;=45, B697&lt;=54), "45-54",
  B697&gt;=55, "55+"
)</f>
        <v>25-34</v>
      </c>
      <c r="D697" t="s">
        <v>19</v>
      </c>
      <c r="E697" t="s">
        <v>61</v>
      </c>
      <c r="F697" t="s">
        <v>21</v>
      </c>
      <c r="G697">
        <v>67</v>
      </c>
      <c r="H697" t="s">
        <v>107</v>
      </c>
      <c r="I697" t="s">
        <v>92</v>
      </c>
      <c r="J697" t="s">
        <v>100</v>
      </c>
      <c r="K697" t="s">
        <v>54</v>
      </c>
      <c r="L697">
        <v>3.7</v>
      </c>
      <c r="M697" t="s">
        <v>26</v>
      </c>
      <c r="N697" t="s">
        <v>34</v>
      </c>
      <c r="O697" t="s">
        <v>47</v>
      </c>
      <c r="P697" t="s">
        <v>26</v>
      </c>
      <c r="Q697" t="s">
        <v>26</v>
      </c>
      <c r="R697">
        <v>15</v>
      </c>
      <c r="S697" t="s">
        <v>59</v>
      </c>
      <c r="T697" t="str">
        <f t="shared" si="20"/>
        <v>Quarterly</v>
      </c>
      <c r="U697">
        <f>VLOOKUP(T697,[1]tablescore!$B$3:$C$8, 2,FALSE)</f>
        <v>4</v>
      </c>
      <c r="V697" t="str">
        <f t="shared" si="21"/>
        <v>Low Loyalty</v>
      </c>
      <c r="W697" t="s">
        <v>97</v>
      </c>
    </row>
    <row r="698" spans="1:23" x14ac:dyDescent="0.25">
      <c r="A698">
        <v>697</v>
      </c>
      <c r="B698">
        <v>44</v>
      </c>
      <c r="C698" t="str" cm="1">
        <f t="array" ref="C698">_xlfn.IFS(
  AND(B698&gt;=18, B698&lt;=24), "18-24",
  AND(B698&gt;=25, B698&lt;=34), "25-34",
  AND(B698&gt;=35, B698&lt;=44), "35-44",
  AND(B698&gt;=45, B698&lt;=54), "45-54",
  B698&gt;=55, "55+"
)</f>
        <v>35-44</v>
      </c>
      <c r="D698" t="s">
        <v>19</v>
      </c>
      <c r="E698" t="s">
        <v>136</v>
      </c>
      <c r="F698" t="s">
        <v>69</v>
      </c>
      <c r="G698">
        <v>42</v>
      </c>
      <c r="H698" t="s">
        <v>149</v>
      </c>
      <c r="I698" t="s">
        <v>23</v>
      </c>
      <c r="J698" t="s">
        <v>96</v>
      </c>
      <c r="K698" t="s">
        <v>58</v>
      </c>
      <c r="L698">
        <v>2.8</v>
      </c>
      <c r="M698" t="s">
        <v>26</v>
      </c>
      <c r="N698" t="s">
        <v>34</v>
      </c>
      <c r="O698" t="s">
        <v>55</v>
      </c>
      <c r="P698" t="s">
        <v>26</v>
      </c>
      <c r="Q698" t="s">
        <v>26</v>
      </c>
      <c r="R698">
        <v>49</v>
      </c>
      <c r="S698" t="s">
        <v>35</v>
      </c>
      <c r="T698" t="str">
        <f t="shared" si="20"/>
        <v>Month</v>
      </c>
      <c r="U698">
        <f>VLOOKUP(T698,[1]tablescore!$B$3:$C$8, 2,FALSE)</f>
        <v>12</v>
      </c>
      <c r="V698" t="str">
        <f t="shared" si="21"/>
        <v>Moderate</v>
      </c>
      <c r="W698" t="s">
        <v>88</v>
      </c>
    </row>
    <row r="699" spans="1:23" x14ac:dyDescent="0.25">
      <c r="A699">
        <v>698</v>
      </c>
      <c r="B699">
        <v>61</v>
      </c>
      <c r="C699" t="str" cm="1">
        <f t="array" ref="C699">_xlfn.IFS(
  AND(B699&gt;=18, B699&lt;=24), "18-24",
  AND(B699&gt;=25, B699&lt;=34), "25-34",
  AND(B699&gt;=35, B699&lt;=44), "35-44",
  AND(B699&gt;=45, B699&lt;=54), "45-54",
  B699&gt;=55, "55+"
)</f>
        <v>55+</v>
      </c>
      <c r="D699" t="s">
        <v>19</v>
      </c>
      <c r="E699" t="s">
        <v>119</v>
      </c>
      <c r="F699" t="s">
        <v>69</v>
      </c>
      <c r="G699">
        <v>63</v>
      </c>
      <c r="H699" t="s">
        <v>114</v>
      </c>
      <c r="I699" t="s">
        <v>92</v>
      </c>
      <c r="J699" t="s">
        <v>110</v>
      </c>
      <c r="K699" t="s">
        <v>54</v>
      </c>
      <c r="L699">
        <v>4.5999999999999996</v>
      </c>
      <c r="M699" t="s">
        <v>26</v>
      </c>
      <c r="N699" t="s">
        <v>34</v>
      </c>
      <c r="O699" t="s">
        <v>40</v>
      </c>
      <c r="P699" t="s">
        <v>26</v>
      </c>
      <c r="Q699" t="s">
        <v>26</v>
      </c>
      <c r="R699">
        <v>40</v>
      </c>
      <c r="S699" t="s">
        <v>59</v>
      </c>
      <c r="T699" t="str">
        <f t="shared" si="20"/>
        <v>Quarterly</v>
      </c>
      <c r="U699">
        <f>VLOOKUP(T699,[1]tablescore!$B$3:$C$8, 2,FALSE)</f>
        <v>4</v>
      </c>
      <c r="V699" t="str">
        <f t="shared" si="21"/>
        <v>Low Loyalty</v>
      </c>
      <c r="W699" t="s">
        <v>60</v>
      </c>
    </row>
    <row r="700" spans="1:23" x14ac:dyDescent="0.25">
      <c r="A700">
        <v>699</v>
      </c>
      <c r="B700">
        <v>55</v>
      </c>
      <c r="C700" t="str" cm="1">
        <f t="array" ref="C700">_xlfn.IFS(
  AND(B700&gt;=18, B700&lt;=24), "18-24",
  AND(B700&gt;=25, B700&lt;=34), "25-34",
  AND(B700&gt;=35, B700&lt;=44), "35-44",
  AND(B700&gt;=45, B700&lt;=54), "45-54",
  B700&gt;=55, "55+"
)</f>
        <v>55+</v>
      </c>
      <c r="D700" t="s">
        <v>19</v>
      </c>
      <c r="E700" t="s">
        <v>132</v>
      </c>
      <c r="F700" t="s">
        <v>43</v>
      </c>
      <c r="G700">
        <v>41</v>
      </c>
      <c r="H700" t="s">
        <v>150</v>
      </c>
      <c r="I700" t="s">
        <v>45</v>
      </c>
      <c r="J700" t="s">
        <v>139</v>
      </c>
      <c r="K700" t="s">
        <v>25</v>
      </c>
      <c r="L700">
        <v>3.8</v>
      </c>
      <c r="M700" t="s">
        <v>26</v>
      </c>
      <c r="N700" t="s">
        <v>46</v>
      </c>
      <c r="O700" t="s">
        <v>55</v>
      </c>
      <c r="P700" t="s">
        <v>26</v>
      </c>
      <c r="Q700" t="s">
        <v>26</v>
      </c>
      <c r="R700">
        <v>40</v>
      </c>
      <c r="S700" t="s">
        <v>59</v>
      </c>
      <c r="T700" t="str">
        <f t="shared" si="20"/>
        <v>Daily</v>
      </c>
      <c r="U700">
        <f>VLOOKUP(T700,[1]tablescore!$B$3:$C$8, 2,FALSE)</f>
        <v>30</v>
      </c>
      <c r="V700" t="str">
        <f t="shared" si="21"/>
        <v>Highly Loyal</v>
      </c>
      <c r="W700" t="s">
        <v>41</v>
      </c>
    </row>
    <row r="701" spans="1:23" x14ac:dyDescent="0.25">
      <c r="A701">
        <v>700</v>
      </c>
      <c r="B701">
        <v>50</v>
      </c>
      <c r="C701" t="str" cm="1">
        <f t="array" ref="C701">_xlfn.IFS(
  AND(B701&gt;=18, B701&lt;=24), "18-24",
  AND(B701&gt;=25, B701&lt;=34), "25-34",
  AND(B701&gt;=35, B701&lt;=44), "35-44",
  AND(B701&gt;=45, B701&lt;=54), "45-54",
  B701&gt;=55, "55+"
)</f>
        <v>45-54</v>
      </c>
      <c r="D701" t="s">
        <v>19</v>
      </c>
      <c r="E701" t="s">
        <v>68</v>
      </c>
      <c r="F701" t="s">
        <v>69</v>
      </c>
      <c r="G701">
        <v>46</v>
      </c>
      <c r="H701" t="s">
        <v>146</v>
      </c>
      <c r="I701" t="s">
        <v>45</v>
      </c>
      <c r="J701" t="s">
        <v>63</v>
      </c>
      <c r="K701" t="s">
        <v>58</v>
      </c>
      <c r="L701">
        <v>2.6</v>
      </c>
      <c r="M701" t="s">
        <v>26</v>
      </c>
      <c r="N701" t="s">
        <v>34</v>
      </c>
      <c r="O701" t="s">
        <v>72</v>
      </c>
      <c r="P701" t="s">
        <v>26</v>
      </c>
      <c r="Q701" t="s">
        <v>26</v>
      </c>
      <c r="R701">
        <v>5</v>
      </c>
      <c r="S701" t="s">
        <v>46</v>
      </c>
      <c r="T701" t="str">
        <f t="shared" si="20"/>
        <v>Daily</v>
      </c>
      <c r="U701">
        <f>VLOOKUP(T701,[1]tablescore!$B$3:$C$8, 2,FALSE)</f>
        <v>30</v>
      </c>
      <c r="V701" t="str">
        <f t="shared" si="21"/>
        <v>Highly Loyal</v>
      </c>
      <c r="W701" t="s">
        <v>41</v>
      </c>
    </row>
    <row r="702" spans="1:23" x14ac:dyDescent="0.25">
      <c r="A702">
        <v>701</v>
      </c>
      <c r="B702">
        <v>57</v>
      </c>
      <c r="C702" t="str" cm="1">
        <f t="array" ref="C702">_xlfn.IFS(
  AND(B702&gt;=18, B702&lt;=24), "18-24",
  AND(B702&gt;=25, B702&lt;=34), "25-34",
  AND(B702&gt;=35, B702&lt;=44), "35-44",
  AND(B702&gt;=45, B702&lt;=54), "45-54",
  B702&gt;=55, "55+"
)</f>
        <v>55+</v>
      </c>
      <c r="D702" t="s">
        <v>19</v>
      </c>
      <c r="E702" t="s">
        <v>95</v>
      </c>
      <c r="F702" t="s">
        <v>21</v>
      </c>
      <c r="G702">
        <v>79</v>
      </c>
      <c r="H702" t="s">
        <v>148</v>
      </c>
      <c r="I702" t="s">
        <v>23</v>
      </c>
      <c r="J702" t="s">
        <v>79</v>
      </c>
      <c r="K702" t="s">
        <v>25</v>
      </c>
      <c r="L702">
        <v>4.0999999999999996</v>
      </c>
      <c r="M702" t="s">
        <v>26</v>
      </c>
      <c r="N702" t="s">
        <v>29</v>
      </c>
      <c r="O702" t="s">
        <v>55</v>
      </c>
      <c r="P702" t="s">
        <v>26</v>
      </c>
      <c r="Q702" t="s">
        <v>26</v>
      </c>
      <c r="R702">
        <v>5</v>
      </c>
      <c r="S702" t="s">
        <v>46</v>
      </c>
      <c r="T702" t="str">
        <f t="shared" si="20"/>
        <v>Month</v>
      </c>
      <c r="U702">
        <f>VLOOKUP(T702,[1]tablescore!$B$3:$C$8, 2,FALSE)</f>
        <v>12</v>
      </c>
      <c r="V702" t="str">
        <f t="shared" si="21"/>
        <v>Moderate</v>
      </c>
      <c r="W702" t="s">
        <v>88</v>
      </c>
    </row>
    <row r="703" spans="1:23" x14ac:dyDescent="0.25">
      <c r="A703">
        <v>702</v>
      </c>
      <c r="B703">
        <v>51</v>
      </c>
      <c r="C703" t="str" cm="1">
        <f t="array" ref="C703">_xlfn.IFS(
  AND(B703&gt;=18, B703&lt;=24), "18-24",
  AND(B703&gt;=25, B703&lt;=34), "25-34",
  AND(B703&gt;=35, B703&lt;=44), "35-44",
  AND(B703&gt;=45, B703&lt;=54), "45-54",
  B703&gt;=55, "55+"
)</f>
        <v>45-54</v>
      </c>
      <c r="D703" t="s">
        <v>19</v>
      </c>
      <c r="E703" t="s">
        <v>132</v>
      </c>
      <c r="F703" t="s">
        <v>43</v>
      </c>
      <c r="G703">
        <v>90</v>
      </c>
      <c r="H703" t="s">
        <v>144</v>
      </c>
      <c r="I703" t="s">
        <v>23</v>
      </c>
      <c r="J703" t="s">
        <v>108</v>
      </c>
      <c r="K703" t="s">
        <v>58</v>
      </c>
      <c r="L703">
        <v>3.3</v>
      </c>
      <c r="M703" t="s">
        <v>26</v>
      </c>
      <c r="N703" t="s">
        <v>35</v>
      </c>
      <c r="O703" t="s">
        <v>47</v>
      </c>
      <c r="P703" t="s">
        <v>26</v>
      </c>
      <c r="Q703" t="s">
        <v>26</v>
      </c>
      <c r="R703">
        <v>5</v>
      </c>
      <c r="S703" t="s">
        <v>59</v>
      </c>
      <c r="T703" t="str">
        <f t="shared" si="20"/>
        <v>Quarterly</v>
      </c>
      <c r="U703">
        <f>VLOOKUP(T703,[1]tablescore!$B$3:$C$8, 2,FALSE)</f>
        <v>4</v>
      </c>
      <c r="V703" t="str">
        <f t="shared" si="21"/>
        <v>Low Loyalty</v>
      </c>
      <c r="W703" t="s">
        <v>97</v>
      </c>
    </row>
    <row r="704" spans="1:23" x14ac:dyDescent="0.25">
      <c r="A704">
        <v>703</v>
      </c>
      <c r="B704">
        <v>18</v>
      </c>
      <c r="C704" t="str" cm="1">
        <f t="array" ref="C704">_xlfn.IFS(
  AND(B704&gt;=18, B704&lt;=24), "18-24",
  AND(B704&gt;=25, B704&lt;=34), "25-34",
  AND(B704&gt;=35, B704&lt;=44), "35-44",
  AND(B704&gt;=45, B704&lt;=54), "45-54",
  B704&gt;=55, "55+"
)</f>
        <v>18-24</v>
      </c>
      <c r="D704" t="s">
        <v>19</v>
      </c>
      <c r="E704" t="s">
        <v>56</v>
      </c>
      <c r="F704" t="s">
        <v>21</v>
      </c>
      <c r="G704">
        <v>71</v>
      </c>
      <c r="H704" t="s">
        <v>57</v>
      </c>
      <c r="I704" t="s">
        <v>45</v>
      </c>
      <c r="J704" t="s">
        <v>53</v>
      </c>
      <c r="K704" t="s">
        <v>25</v>
      </c>
      <c r="L704">
        <v>3.4</v>
      </c>
      <c r="M704" t="s">
        <v>26</v>
      </c>
      <c r="N704" t="s">
        <v>34</v>
      </c>
      <c r="O704" t="s">
        <v>76</v>
      </c>
      <c r="P704" t="s">
        <v>26</v>
      </c>
      <c r="Q704" t="s">
        <v>26</v>
      </c>
      <c r="R704">
        <v>1</v>
      </c>
      <c r="S704" t="s">
        <v>35</v>
      </c>
      <c r="T704" t="str">
        <f t="shared" si="20"/>
        <v>Daily</v>
      </c>
      <c r="U704">
        <f>VLOOKUP(T704,[1]tablescore!$B$3:$C$8, 2,FALSE)</f>
        <v>30</v>
      </c>
      <c r="V704" t="str">
        <f t="shared" si="21"/>
        <v>Highly Loyal</v>
      </c>
      <c r="W704" t="s">
        <v>41</v>
      </c>
    </row>
    <row r="705" spans="1:23" x14ac:dyDescent="0.25">
      <c r="A705">
        <v>704</v>
      </c>
      <c r="B705">
        <v>63</v>
      </c>
      <c r="C705" t="str" cm="1">
        <f t="array" ref="C705">_xlfn.IFS(
  AND(B705&gt;=18, B705&lt;=24), "18-24",
  AND(B705&gt;=25, B705&lt;=34), "25-34",
  AND(B705&gt;=35, B705&lt;=44), "35-44",
  AND(B705&gt;=45, B705&lt;=54), "45-54",
  B705&gt;=55, "55+"
)</f>
        <v>55+</v>
      </c>
      <c r="D705" t="s">
        <v>19</v>
      </c>
      <c r="E705" t="s">
        <v>82</v>
      </c>
      <c r="F705" t="s">
        <v>21</v>
      </c>
      <c r="G705">
        <v>87</v>
      </c>
      <c r="H705" t="s">
        <v>146</v>
      </c>
      <c r="I705" t="s">
        <v>23</v>
      </c>
      <c r="J705" t="s">
        <v>71</v>
      </c>
      <c r="K705" t="s">
        <v>54</v>
      </c>
      <c r="L705">
        <v>3</v>
      </c>
      <c r="M705" t="s">
        <v>26</v>
      </c>
      <c r="N705" t="s">
        <v>59</v>
      </c>
      <c r="O705" t="s">
        <v>55</v>
      </c>
      <c r="P705" t="s">
        <v>26</v>
      </c>
      <c r="Q705" t="s">
        <v>26</v>
      </c>
      <c r="R705">
        <v>21</v>
      </c>
      <c r="S705" t="s">
        <v>29</v>
      </c>
      <c r="T705" t="str">
        <f t="shared" si="20"/>
        <v>Daily</v>
      </c>
      <c r="U705">
        <f>VLOOKUP(T705,[1]tablescore!$B$3:$C$8, 2,FALSE)</f>
        <v>30</v>
      </c>
      <c r="V705" t="str">
        <f t="shared" si="21"/>
        <v>Highly Loyal</v>
      </c>
      <c r="W705" t="s">
        <v>41</v>
      </c>
    </row>
    <row r="706" spans="1:23" x14ac:dyDescent="0.25">
      <c r="A706">
        <v>705</v>
      </c>
      <c r="B706">
        <v>34</v>
      </c>
      <c r="C706" t="str" cm="1">
        <f t="array" ref="C706">_xlfn.IFS(
  AND(B706&gt;=18, B706&lt;=24), "18-24",
  AND(B706&gt;=25, B706&lt;=34), "25-34",
  AND(B706&gt;=35, B706&lt;=44), "35-44",
  AND(B706&gt;=45, B706&lt;=54), "45-54",
  B706&gt;=55, "55+"
)</f>
        <v>25-34</v>
      </c>
      <c r="D706" t="s">
        <v>19</v>
      </c>
      <c r="E706" t="s">
        <v>104</v>
      </c>
      <c r="F706" t="s">
        <v>21</v>
      </c>
      <c r="G706">
        <v>66</v>
      </c>
      <c r="H706" t="s">
        <v>144</v>
      </c>
      <c r="I706" t="s">
        <v>38</v>
      </c>
      <c r="J706" t="s">
        <v>94</v>
      </c>
      <c r="K706" t="s">
        <v>39</v>
      </c>
      <c r="L706">
        <v>3.2</v>
      </c>
      <c r="M706" t="s">
        <v>26</v>
      </c>
      <c r="N706" t="s">
        <v>29</v>
      </c>
      <c r="O706" t="s">
        <v>28</v>
      </c>
      <c r="P706" t="s">
        <v>26</v>
      </c>
      <c r="Q706" t="s">
        <v>26</v>
      </c>
      <c r="R706">
        <v>18</v>
      </c>
      <c r="S706" t="s">
        <v>46</v>
      </c>
      <c r="T706" t="str">
        <f t="shared" si="20"/>
        <v>Annually</v>
      </c>
      <c r="U706">
        <f>VLOOKUP(T706,[1]tablescore!$B$3:$C$8, 2,FALSE)</f>
        <v>1</v>
      </c>
      <c r="V706" t="str">
        <f t="shared" si="21"/>
        <v>Low Loyalty</v>
      </c>
      <c r="W706" t="s">
        <v>50</v>
      </c>
    </row>
    <row r="707" spans="1:23" x14ac:dyDescent="0.25">
      <c r="A707">
        <v>706</v>
      </c>
      <c r="B707">
        <v>25</v>
      </c>
      <c r="C707" t="str" cm="1">
        <f t="array" ref="C707">_xlfn.IFS(
  AND(B707&gt;=18, B707&lt;=24), "18-24",
  AND(B707&gt;=25, B707&lt;=34), "25-34",
  AND(B707&gt;=35, B707&lt;=44), "35-44",
  AND(B707&gt;=45, B707&lt;=54), "45-54",
  B707&gt;=55, "55+"
)</f>
        <v>25-34</v>
      </c>
      <c r="D707" t="s">
        <v>19</v>
      </c>
      <c r="E707" t="s">
        <v>95</v>
      </c>
      <c r="F707" t="s">
        <v>21</v>
      </c>
      <c r="G707">
        <v>90</v>
      </c>
      <c r="H707" t="s">
        <v>74</v>
      </c>
      <c r="I707" t="s">
        <v>92</v>
      </c>
      <c r="J707" t="s">
        <v>129</v>
      </c>
      <c r="K707" t="s">
        <v>54</v>
      </c>
      <c r="L707">
        <v>4.5</v>
      </c>
      <c r="M707" t="s">
        <v>26</v>
      </c>
      <c r="N707" t="s">
        <v>46</v>
      </c>
      <c r="O707" t="s">
        <v>40</v>
      </c>
      <c r="P707" t="s">
        <v>26</v>
      </c>
      <c r="Q707" t="s">
        <v>26</v>
      </c>
      <c r="R707">
        <v>49</v>
      </c>
      <c r="S707" t="s">
        <v>35</v>
      </c>
      <c r="T707" t="str">
        <f t="shared" ref="T707:T770" si="22">IF(TRIM(W707)="Every 3 months","Quarterly",IF(TRIM(W707)="Fortnightly","2-week",IF(TRIM(W707)="Bi-Weekly","2-week",IF(TRIM(W707)="Weekly","Daily",IF(TRIM(W707)="Monthly","Month",TRIM(W707))))))</f>
        <v>Quarterly</v>
      </c>
      <c r="U707">
        <f>VLOOKUP(T707,[1]tablescore!$B$3:$C$8, 2,FALSE)</f>
        <v>4</v>
      </c>
      <c r="V707" t="str">
        <f t="shared" ref="V707:V770" si="23">_xlfn.IFS(U707&gt;=30, "Highly Loyal", U707&gt;=26, "Loyal", U707&gt;=12, "Moderate", U707&lt;5, "Low Loyalty")</f>
        <v>Low Loyalty</v>
      </c>
      <c r="W707" t="s">
        <v>60</v>
      </c>
    </row>
    <row r="708" spans="1:23" x14ac:dyDescent="0.25">
      <c r="A708">
        <v>707</v>
      </c>
      <c r="B708">
        <v>46</v>
      </c>
      <c r="C708" t="str" cm="1">
        <f t="array" ref="C708">_xlfn.IFS(
  AND(B708&gt;=18, B708&lt;=24), "18-24",
  AND(B708&gt;=25, B708&lt;=34), "25-34",
  AND(B708&gt;=35, B708&lt;=44), "35-44",
  AND(B708&gt;=45, B708&lt;=54), "45-54",
  B708&gt;=55, "55+"
)</f>
        <v>45-54</v>
      </c>
      <c r="D708" t="s">
        <v>19</v>
      </c>
      <c r="E708" t="s">
        <v>36</v>
      </c>
      <c r="F708" t="s">
        <v>21</v>
      </c>
      <c r="G708">
        <v>47</v>
      </c>
      <c r="H708" t="s">
        <v>150</v>
      </c>
      <c r="I708" t="s">
        <v>23</v>
      </c>
      <c r="J708" t="s">
        <v>49</v>
      </c>
      <c r="K708" t="s">
        <v>54</v>
      </c>
      <c r="L708">
        <v>4.8</v>
      </c>
      <c r="M708" t="s">
        <v>26</v>
      </c>
      <c r="N708" t="s">
        <v>29</v>
      </c>
      <c r="O708" t="s">
        <v>28</v>
      </c>
      <c r="P708" t="s">
        <v>26</v>
      </c>
      <c r="Q708" t="s">
        <v>26</v>
      </c>
      <c r="R708">
        <v>27</v>
      </c>
      <c r="S708" t="s">
        <v>59</v>
      </c>
      <c r="T708" t="str">
        <f t="shared" si="22"/>
        <v>Daily</v>
      </c>
      <c r="U708">
        <f>VLOOKUP(T708,[1]tablescore!$B$3:$C$8, 2,FALSE)</f>
        <v>30</v>
      </c>
      <c r="V708" t="str">
        <f t="shared" si="23"/>
        <v>Highly Loyal</v>
      </c>
      <c r="W708" t="s">
        <v>41</v>
      </c>
    </row>
    <row r="709" spans="1:23" x14ac:dyDescent="0.25">
      <c r="A709">
        <v>708</v>
      </c>
      <c r="B709">
        <v>59</v>
      </c>
      <c r="C709" t="str" cm="1">
        <f t="array" ref="C709">_xlfn.IFS(
  AND(B709&gt;=18, B709&lt;=24), "18-24",
  AND(B709&gt;=25, B709&lt;=34), "25-34",
  AND(B709&gt;=35, B709&lt;=44), "35-44",
  AND(B709&gt;=45, B709&lt;=54), "45-54",
  B709&gt;=55, "55+"
)</f>
        <v>55+</v>
      </c>
      <c r="D709" t="s">
        <v>19</v>
      </c>
      <c r="E709" t="s">
        <v>56</v>
      </c>
      <c r="F709" t="s">
        <v>21</v>
      </c>
      <c r="G709">
        <v>38</v>
      </c>
      <c r="H709" t="s">
        <v>62</v>
      </c>
      <c r="I709" t="s">
        <v>23</v>
      </c>
      <c r="J709" t="s">
        <v>75</v>
      </c>
      <c r="K709" t="s">
        <v>39</v>
      </c>
      <c r="L709">
        <v>3.7</v>
      </c>
      <c r="M709" t="s">
        <v>26</v>
      </c>
      <c r="N709" t="s">
        <v>59</v>
      </c>
      <c r="O709" t="s">
        <v>47</v>
      </c>
      <c r="P709" t="s">
        <v>26</v>
      </c>
      <c r="Q709" t="s">
        <v>26</v>
      </c>
      <c r="R709">
        <v>21</v>
      </c>
      <c r="S709" t="s">
        <v>29</v>
      </c>
      <c r="T709" t="str">
        <f t="shared" si="22"/>
        <v>Annually</v>
      </c>
      <c r="U709">
        <f>VLOOKUP(T709,[1]tablescore!$B$3:$C$8, 2,FALSE)</f>
        <v>1</v>
      </c>
      <c r="V709" t="str">
        <f t="shared" si="23"/>
        <v>Low Loyalty</v>
      </c>
      <c r="W709" t="s">
        <v>50</v>
      </c>
    </row>
    <row r="710" spans="1:23" x14ac:dyDescent="0.25">
      <c r="A710">
        <v>709</v>
      </c>
      <c r="B710">
        <v>37</v>
      </c>
      <c r="C710" t="str" cm="1">
        <f t="array" ref="C710">_xlfn.IFS(
  AND(B710&gt;=18, B710&lt;=24), "18-24",
  AND(B710&gt;=25, B710&lt;=34), "25-34",
  AND(B710&gt;=35, B710&lt;=44), "35-44",
  AND(B710&gt;=45, B710&lt;=54), "45-54",
  B710&gt;=55, "55+"
)</f>
        <v>35-44</v>
      </c>
      <c r="D710" t="s">
        <v>19</v>
      </c>
      <c r="E710" t="s">
        <v>133</v>
      </c>
      <c r="F710" t="s">
        <v>69</v>
      </c>
      <c r="G710">
        <v>50</v>
      </c>
      <c r="H710" t="s">
        <v>22</v>
      </c>
      <c r="I710" t="s">
        <v>23</v>
      </c>
      <c r="J710" t="s">
        <v>118</v>
      </c>
      <c r="K710" t="s">
        <v>54</v>
      </c>
      <c r="L710">
        <v>3.4</v>
      </c>
      <c r="M710" t="s">
        <v>26</v>
      </c>
      <c r="N710" t="s">
        <v>35</v>
      </c>
      <c r="O710" t="s">
        <v>76</v>
      </c>
      <c r="P710" t="s">
        <v>26</v>
      </c>
      <c r="Q710" t="s">
        <v>26</v>
      </c>
      <c r="R710">
        <v>19</v>
      </c>
      <c r="S710" t="s">
        <v>35</v>
      </c>
      <c r="T710" t="str">
        <f t="shared" si="22"/>
        <v>2-week</v>
      </c>
      <c r="U710">
        <f>VLOOKUP(T710,[1]tablescore!$B$3:$C$8, 2,FALSE)</f>
        <v>26</v>
      </c>
      <c r="V710" t="str">
        <f t="shared" si="23"/>
        <v>Loyal</v>
      </c>
      <c r="W710" t="s">
        <v>30</v>
      </c>
    </row>
    <row r="711" spans="1:23" x14ac:dyDescent="0.25">
      <c r="A711">
        <v>710</v>
      </c>
      <c r="B711">
        <v>49</v>
      </c>
      <c r="C711" t="str" cm="1">
        <f t="array" ref="C711">_xlfn.IFS(
  AND(B711&gt;=18, B711&lt;=24), "18-24",
  AND(B711&gt;=25, B711&lt;=34), "25-34",
  AND(B711&gt;=35, B711&lt;=44), "35-44",
  AND(B711&gt;=45, B711&lt;=54), "45-54",
  B711&gt;=55, "55+"
)</f>
        <v>45-54</v>
      </c>
      <c r="D711" t="s">
        <v>19</v>
      </c>
      <c r="E711" t="s">
        <v>102</v>
      </c>
      <c r="F711" t="s">
        <v>65</v>
      </c>
      <c r="G711">
        <v>79</v>
      </c>
      <c r="H711" t="s">
        <v>37</v>
      </c>
      <c r="I711" t="s">
        <v>23</v>
      </c>
      <c r="J711" t="s">
        <v>63</v>
      </c>
      <c r="K711" t="s">
        <v>54</v>
      </c>
      <c r="L711">
        <v>4.5999999999999996</v>
      </c>
      <c r="M711" t="s">
        <v>26</v>
      </c>
      <c r="N711" t="s">
        <v>59</v>
      </c>
      <c r="O711" t="s">
        <v>55</v>
      </c>
      <c r="P711" t="s">
        <v>26</v>
      </c>
      <c r="Q711" t="s">
        <v>26</v>
      </c>
      <c r="R711">
        <v>23</v>
      </c>
      <c r="S711" t="s">
        <v>59</v>
      </c>
      <c r="T711" t="str">
        <f t="shared" si="22"/>
        <v>Month</v>
      </c>
      <c r="U711">
        <f>VLOOKUP(T711,[1]tablescore!$B$3:$C$8, 2,FALSE)</f>
        <v>12</v>
      </c>
      <c r="V711" t="str">
        <f t="shared" si="23"/>
        <v>Moderate</v>
      </c>
      <c r="W711" t="s">
        <v>88</v>
      </c>
    </row>
    <row r="712" spans="1:23" x14ac:dyDescent="0.25">
      <c r="A712">
        <v>711</v>
      </c>
      <c r="B712">
        <v>22</v>
      </c>
      <c r="C712" t="str" cm="1">
        <f t="array" ref="C712">_xlfn.IFS(
  AND(B712&gt;=18, B712&lt;=24), "18-24",
  AND(B712&gt;=25, B712&lt;=34), "25-34",
  AND(B712&gt;=35, B712&lt;=44), "35-44",
  AND(B712&gt;=45, B712&lt;=54), "45-54",
  B712&gt;=55, "55+"
)</f>
        <v>18-24</v>
      </c>
      <c r="D712" t="s">
        <v>19</v>
      </c>
      <c r="E712" t="s">
        <v>119</v>
      </c>
      <c r="F712" t="s">
        <v>69</v>
      </c>
      <c r="G712">
        <v>91</v>
      </c>
      <c r="H712" t="s">
        <v>128</v>
      </c>
      <c r="I712" t="s">
        <v>23</v>
      </c>
      <c r="J712" t="s">
        <v>49</v>
      </c>
      <c r="K712" t="s">
        <v>39</v>
      </c>
      <c r="L712">
        <v>4.0999999999999996</v>
      </c>
      <c r="M712" t="s">
        <v>26</v>
      </c>
      <c r="N712" t="s">
        <v>34</v>
      </c>
      <c r="O712" t="s">
        <v>55</v>
      </c>
      <c r="P712" t="s">
        <v>26</v>
      </c>
      <c r="Q712" t="s">
        <v>26</v>
      </c>
      <c r="R712">
        <v>26</v>
      </c>
      <c r="S712" t="s">
        <v>46</v>
      </c>
      <c r="T712" t="str">
        <f t="shared" si="22"/>
        <v>2-week</v>
      </c>
      <c r="U712">
        <f>VLOOKUP(T712,[1]tablescore!$B$3:$C$8, 2,FALSE)</f>
        <v>26</v>
      </c>
      <c r="V712" t="str">
        <f t="shared" si="23"/>
        <v>Loyal</v>
      </c>
      <c r="W712" t="s">
        <v>30</v>
      </c>
    </row>
    <row r="713" spans="1:23" x14ac:dyDescent="0.25">
      <c r="A713">
        <v>712</v>
      </c>
      <c r="B713">
        <v>64</v>
      </c>
      <c r="C713" t="str" cm="1">
        <f t="array" ref="C713">_xlfn.IFS(
  AND(B713&gt;=18, B713&lt;=24), "18-24",
  AND(B713&gt;=25, B713&lt;=34), "25-34",
  AND(B713&gt;=35, B713&lt;=44), "35-44",
  AND(B713&gt;=45, B713&lt;=54), "45-54",
  B713&gt;=55, "55+"
)</f>
        <v>55+</v>
      </c>
      <c r="D713" t="s">
        <v>19</v>
      </c>
      <c r="E713" t="s">
        <v>132</v>
      </c>
      <c r="F713" t="s">
        <v>43</v>
      </c>
      <c r="G713">
        <v>60</v>
      </c>
      <c r="H713" t="s">
        <v>83</v>
      </c>
      <c r="I713" t="s">
        <v>45</v>
      </c>
      <c r="J713" t="s">
        <v>33</v>
      </c>
      <c r="K713" t="s">
        <v>39</v>
      </c>
      <c r="L713">
        <v>3.5</v>
      </c>
      <c r="M713" t="s">
        <v>26</v>
      </c>
      <c r="N713" t="s">
        <v>46</v>
      </c>
      <c r="O713" t="s">
        <v>72</v>
      </c>
      <c r="P713" t="s">
        <v>26</v>
      </c>
      <c r="Q713" t="s">
        <v>26</v>
      </c>
      <c r="R713">
        <v>13</v>
      </c>
      <c r="S713" t="s">
        <v>34</v>
      </c>
      <c r="T713" t="str">
        <f t="shared" si="22"/>
        <v>2-week</v>
      </c>
      <c r="U713">
        <f>VLOOKUP(T713,[1]tablescore!$B$3:$C$8, 2,FALSE)</f>
        <v>26</v>
      </c>
      <c r="V713" t="str">
        <f t="shared" si="23"/>
        <v>Loyal</v>
      </c>
      <c r="W713" t="s">
        <v>77</v>
      </c>
    </row>
    <row r="714" spans="1:23" x14ac:dyDescent="0.25">
      <c r="A714">
        <v>713</v>
      </c>
      <c r="B714">
        <v>42</v>
      </c>
      <c r="C714" t="str" cm="1">
        <f t="array" ref="C714">_xlfn.IFS(
  AND(B714&gt;=18, B714&lt;=24), "18-24",
  AND(B714&gt;=25, B714&lt;=34), "25-34",
  AND(B714&gt;=35, B714&lt;=44), "35-44",
  AND(B714&gt;=45, B714&lt;=54), "45-54",
  B714&gt;=55, "55+"
)</f>
        <v>35-44</v>
      </c>
      <c r="D714" t="s">
        <v>19</v>
      </c>
      <c r="E714" t="s">
        <v>20</v>
      </c>
      <c r="F714" t="s">
        <v>21</v>
      </c>
      <c r="G714">
        <v>81</v>
      </c>
      <c r="H714" t="s">
        <v>83</v>
      </c>
      <c r="I714" t="s">
        <v>92</v>
      </c>
      <c r="J714" t="s">
        <v>94</v>
      </c>
      <c r="K714" t="s">
        <v>54</v>
      </c>
      <c r="L714">
        <v>3.8</v>
      </c>
      <c r="M714" t="s">
        <v>26</v>
      </c>
      <c r="N714" t="s">
        <v>27</v>
      </c>
      <c r="O714" t="s">
        <v>47</v>
      </c>
      <c r="P714" t="s">
        <v>26</v>
      </c>
      <c r="Q714" t="s">
        <v>26</v>
      </c>
      <c r="R714">
        <v>36</v>
      </c>
      <c r="S714" t="s">
        <v>34</v>
      </c>
      <c r="T714" t="str">
        <f t="shared" si="22"/>
        <v>Quarterly</v>
      </c>
      <c r="U714">
        <f>VLOOKUP(T714,[1]tablescore!$B$3:$C$8, 2,FALSE)</f>
        <v>4</v>
      </c>
      <c r="V714" t="str">
        <f t="shared" si="23"/>
        <v>Low Loyalty</v>
      </c>
      <c r="W714" t="s">
        <v>60</v>
      </c>
    </row>
    <row r="715" spans="1:23" x14ac:dyDescent="0.25">
      <c r="A715">
        <v>714</v>
      </c>
      <c r="B715">
        <v>37</v>
      </c>
      <c r="C715" t="str" cm="1">
        <f t="array" ref="C715">_xlfn.IFS(
  AND(B715&gt;=18, B715&lt;=24), "18-24",
  AND(B715&gt;=25, B715&lt;=34), "25-34",
  AND(B715&gt;=35, B715&lt;=44), "35-44",
  AND(B715&gt;=45, B715&lt;=54), "45-54",
  B715&gt;=55, "55+"
)</f>
        <v>35-44</v>
      </c>
      <c r="D715" t="s">
        <v>19</v>
      </c>
      <c r="E715" t="s">
        <v>104</v>
      </c>
      <c r="F715" t="s">
        <v>21</v>
      </c>
      <c r="G715">
        <v>90</v>
      </c>
      <c r="H715" t="s">
        <v>48</v>
      </c>
      <c r="I715" t="s">
        <v>45</v>
      </c>
      <c r="J715" t="s">
        <v>93</v>
      </c>
      <c r="K715" t="s">
        <v>54</v>
      </c>
      <c r="L715">
        <v>2.6</v>
      </c>
      <c r="M715" t="s">
        <v>26</v>
      </c>
      <c r="N715" t="s">
        <v>34</v>
      </c>
      <c r="O715" t="s">
        <v>28</v>
      </c>
      <c r="P715" t="s">
        <v>26</v>
      </c>
      <c r="Q715" t="s">
        <v>26</v>
      </c>
      <c r="R715">
        <v>39</v>
      </c>
      <c r="S715" t="s">
        <v>34</v>
      </c>
      <c r="T715" t="str">
        <f t="shared" si="22"/>
        <v>2-week</v>
      </c>
      <c r="U715">
        <f>VLOOKUP(T715,[1]tablescore!$B$3:$C$8, 2,FALSE)</f>
        <v>26</v>
      </c>
      <c r="V715" t="str">
        <f t="shared" si="23"/>
        <v>Loyal</v>
      </c>
      <c r="W715" t="s">
        <v>77</v>
      </c>
    </row>
    <row r="716" spans="1:23" x14ac:dyDescent="0.25">
      <c r="A716">
        <v>715</v>
      </c>
      <c r="B716">
        <v>26</v>
      </c>
      <c r="C716" t="str" cm="1">
        <f t="array" ref="C716">_xlfn.IFS(
  AND(B716&gt;=18, B716&lt;=24), "18-24",
  AND(B716&gt;=25, B716&lt;=34), "25-34",
  AND(B716&gt;=35, B716&lt;=44), "35-44",
  AND(B716&gt;=45, B716&lt;=54), "45-54",
  B716&gt;=55, "55+"
)</f>
        <v>25-34</v>
      </c>
      <c r="D716" t="s">
        <v>19</v>
      </c>
      <c r="E716" t="s">
        <v>102</v>
      </c>
      <c r="F716" t="s">
        <v>65</v>
      </c>
      <c r="G716">
        <v>70</v>
      </c>
      <c r="H716" t="s">
        <v>130</v>
      </c>
      <c r="I716" t="s">
        <v>45</v>
      </c>
      <c r="J716" t="s">
        <v>147</v>
      </c>
      <c r="K716" t="s">
        <v>58</v>
      </c>
      <c r="L716">
        <v>4.4000000000000004</v>
      </c>
      <c r="M716" t="s">
        <v>26</v>
      </c>
      <c r="N716" t="s">
        <v>29</v>
      </c>
      <c r="O716" t="s">
        <v>76</v>
      </c>
      <c r="P716" t="s">
        <v>26</v>
      </c>
      <c r="Q716" t="s">
        <v>26</v>
      </c>
      <c r="R716">
        <v>40</v>
      </c>
      <c r="S716" t="s">
        <v>59</v>
      </c>
      <c r="T716" t="str">
        <f t="shared" si="22"/>
        <v>2-week</v>
      </c>
      <c r="U716">
        <f>VLOOKUP(T716,[1]tablescore!$B$3:$C$8, 2,FALSE)</f>
        <v>26</v>
      </c>
      <c r="V716" t="str">
        <f t="shared" si="23"/>
        <v>Loyal</v>
      </c>
      <c r="W716" t="s">
        <v>30</v>
      </c>
    </row>
    <row r="717" spans="1:23" x14ac:dyDescent="0.25">
      <c r="A717">
        <v>716</v>
      </c>
      <c r="B717">
        <v>33</v>
      </c>
      <c r="C717" t="str" cm="1">
        <f t="array" ref="C717">_xlfn.IFS(
  AND(B717&gt;=18, B717&lt;=24), "18-24",
  AND(B717&gt;=25, B717&lt;=34), "25-34",
  AND(B717&gt;=35, B717&lt;=44), "35-44",
  AND(B717&gt;=45, B717&lt;=54), "45-54",
  B717&gt;=55, "55+"
)</f>
        <v>25-34</v>
      </c>
      <c r="D717" t="s">
        <v>19</v>
      </c>
      <c r="E717" t="s">
        <v>36</v>
      </c>
      <c r="F717" t="s">
        <v>21</v>
      </c>
      <c r="G717">
        <v>63</v>
      </c>
      <c r="H717" t="s">
        <v>80</v>
      </c>
      <c r="I717" t="s">
        <v>23</v>
      </c>
      <c r="J717" t="s">
        <v>96</v>
      </c>
      <c r="K717" t="s">
        <v>39</v>
      </c>
      <c r="L717">
        <v>2.6</v>
      </c>
      <c r="M717" t="s">
        <v>26</v>
      </c>
      <c r="N717" t="s">
        <v>29</v>
      </c>
      <c r="O717" t="s">
        <v>28</v>
      </c>
      <c r="P717" t="s">
        <v>26</v>
      </c>
      <c r="Q717" t="s">
        <v>26</v>
      </c>
      <c r="R717">
        <v>37</v>
      </c>
      <c r="S717" t="s">
        <v>59</v>
      </c>
      <c r="T717" t="str">
        <f t="shared" si="22"/>
        <v>Quarterly</v>
      </c>
      <c r="U717">
        <f>VLOOKUP(T717,[1]tablescore!$B$3:$C$8, 2,FALSE)</f>
        <v>4</v>
      </c>
      <c r="V717" t="str">
        <f t="shared" si="23"/>
        <v>Low Loyalty</v>
      </c>
      <c r="W717" t="s">
        <v>60</v>
      </c>
    </row>
    <row r="718" spans="1:23" x14ac:dyDescent="0.25">
      <c r="A718">
        <v>717</v>
      </c>
      <c r="B718">
        <v>30</v>
      </c>
      <c r="C718" t="str" cm="1">
        <f t="array" ref="C718">_xlfn.IFS(
  AND(B718&gt;=18, B718&lt;=24), "18-24",
  AND(B718&gt;=25, B718&lt;=34), "25-34",
  AND(B718&gt;=35, B718&lt;=44), "35-44",
  AND(B718&gt;=45, B718&lt;=54), "45-54",
  B718&gt;=55, "55+"
)</f>
        <v>25-34</v>
      </c>
      <c r="D718" t="s">
        <v>19</v>
      </c>
      <c r="E718" t="s">
        <v>106</v>
      </c>
      <c r="F718" t="s">
        <v>69</v>
      </c>
      <c r="G718">
        <v>29</v>
      </c>
      <c r="H718" t="s">
        <v>70</v>
      </c>
      <c r="I718" t="s">
        <v>45</v>
      </c>
      <c r="J718" t="s">
        <v>79</v>
      </c>
      <c r="K718" t="s">
        <v>39</v>
      </c>
      <c r="L718">
        <v>3.6</v>
      </c>
      <c r="M718" t="s">
        <v>26</v>
      </c>
      <c r="N718" t="s">
        <v>46</v>
      </c>
      <c r="O718" t="s">
        <v>28</v>
      </c>
      <c r="P718" t="s">
        <v>26</v>
      </c>
      <c r="Q718" t="s">
        <v>26</v>
      </c>
      <c r="R718">
        <v>9</v>
      </c>
      <c r="S718" t="s">
        <v>29</v>
      </c>
      <c r="T718" t="str">
        <f t="shared" si="22"/>
        <v>2-week</v>
      </c>
      <c r="U718">
        <f>VLOOKUP(T718,[1]tablescore!$B$3:$C$8, 2,FALSE)</f>
        <v>26</v>
      </c>
      <c r="V718" t="str">
        <f t="shared" si="23"/>
        <v>Loyal</v>
      </c>
      <c r="W718" t="s">
        <v>77</v>
      </c>
    </row>
    <row r="719" spans="1:23" x14ac:dyDescent="0.25">
      <c r="A719">
        <v>718</v>
      </c>
      <c r="B719">
        <v>21</v>
      </c>
      <c r="C719" t="str" cm="1">
        <f t="array" ref="C719">_xlfn.IFS(
  AND(B719&gt;=18, B719&lt;=24), "18-24",
  AND(B719&gt;=25, B719&lt;=34), "25-34",
  AND(B719&gt;=35, B719&lt;=44), "35-44",
  AND(B719&gt;=45, B719&lt;=54), "45-54",
  B719&gt;=55, "55+"
)</f>
        <v>18-24</v>
      </c>
      <c r="D719" t="s">
        <v>19</v>
      </c>
      <c r="E719" t="s">
        <v>131</v>
      </c>
      <c r="F719" t="s">
        <v>21</v>
      </c>
      <c r="G719">
        <v>90</v>
      </c>
      <c r="H719" t="s">
        <v>120</v>
      </c>
      <c r="I719" t="s">
        <v>23</v>
      </c>
      <c r="J719" t="s">
        <v>96</v>
      </c>
      <c r="K719" t="s">
        <v>39</v>
      </c>
      <c r="L719">
        <v>4.2</v>
      </c>
      <c r="M719" t="s">
        <v>26</v>
      </c>
      <c r="N719" t="s">
        <v>59</v>
      </c>
      <c r="O719" t="s">
        <v>28</v>
      </c>
      <c r="P719" t="s">
        <v>26</v>
      </c>
      <c r="Q719" t="s">
        <v>26</v>
      </c>
      <c r="R719">
        <v>7</v>
      </c>
      <c r="S719" t="s">
        <v>29</v>
      </c>
      <c r="T719" t="str">
        <f t="shared" si="22"/>
        <v>Quarterly</v>
      </c>
      <c r="U719">
        <f>VLOOKUP(T719,[1]tablescore!$B$3:$C$8, 2,FALSE)</f>
        <v>4</v>
      </c>
      <c r="V719" t="str">
        <f t="shared" si="23"/>
        <v>Low Loyalty</v>
      </c>
      <c r="W719" t="s">
        <v>97</v>
      </c>
    </row>
    <row r="720" spans="1:23" x14ac:dyDescent="0.25">
      <c r="A720">
        <v>719</v>
      </c>
      <c r="B720">
        <v>22</v>
      </c>
      <c r="C720" t="str" cm="1">
        <f t="array" ref="C720">_xlfn.IFS(
  AND(B720&gt;=18, B720&lt;=24), "18-24",
  AND(B720&gt;=25, B720&lt;=34), "25-34",
  AND(B720&gt;=35, B720&lt;=44), "35-44",
  AND(B720&gt;=45, B720&lt;=54), "45-54",
  B720&gt;=55, "55+"
)</f>
        <v>18-24</v>
      </c>
      <c r="D720" t="s">
        <v>19</v>
      </c>
      <c r="E720" t="s">
        <v>56</v>
      </c>
      <c r="F720" t="s">
        <v>21</v>
      </c>
      <c r="G720">
        <v>22</v>
      </c>
      <c r="H720" t="s">
        <v>103</v>
      </c>
      <c r="I720" t="s">
        <v>45</v>
      </c>
      <c r="J720" t="s">
        <v>100</v>
      </c>
      <c r="K720" t="s">
        <v>54</v>
      </c>
      <c r="L720">
        <v>4.5999999999999996</v>
      </c>
      <c r="M720" t="s">
        <v>26</v>
      </c>
      <c r="N720" t="s">
        <v>34</v>
      </c>
      <c r="O720" t="s">
        <v>55</v>
      </c>
      <c r="P720" t="s">
        <v>26</v>
      </c>
      <c r="Q720" t="s">
        <v>26</v>
      </c>
      <c r="R720">
        <v>25</v>
      </c>
      <c r="S720" t="s">
        <v>34</v>
      </c>
      <c r="T720" t="str">
        <f t="shared" si="22"/>
        <v>Annually</v>
      </c>
      <c r="U720">
        <f>VLOOKUP(T720,[1]tablescore!$B$3:$C$8, 2,FALSE)</f>
        <v>1</v>
      </c>
      <c r="V720" t="str">
        <f t="shared" si="23"/>
        <v>Low Loyalty</v>
      </c>
      <c r="W720" t="s">
        <v>50</v>
      </c>
    </row>
    <row r="721" spans="1:23" x14ac:dyDescent="0.25">
      <c r="A721">
        <v>720</v>
      </c>
      <c r="B721">
        <v>63</v>
      </c>
      <c r="C721" t="str" cm="1">
        <f t="array" ref="C721">_xlfn.IFS(
  AND(B721&gt;=18, B721&lt;=24), "18-24",
  AND(B721&gt;=25, B721&lt;=34), "25-34",
  AND(B721&gt;=35, B721&lt;=44), "35-44",
  AND(B721&gt;=45, B721&lt;=54), "45-54",
  B721&gt;=55, "55+"
)</f>
        <v>55+</v>
      </c>
      <c r="D721" t="s">
        <v>19</v>
      </c>
      <c r="E721" t="s">
        <v>61</v>
      </c>
      <c r="F721" t="s">
        <v>21</v>
      </c>
      <c r="G721">
        <v>22</v>
      </c>
      <c r="H721" t="s">
        <v>91</v>
      </c>
      <c r="I721" t="s">
        <v>23</v>
      </c>
      <c r="J721" t="s">
        <v>49</v>
      </c>
      <c r="K721" t="s">
        <v>54</v>
      </c>
      <c r="L721">
        <v>3.3</v>
      </c>
      <c r="M721" t="s">
        <v>26</v>
      </c>
      <c r="N721" t="s">
        <v>29</v>
      </c>
      <c r="O721" t="s">
        <v>47</v>
      </c>
      <c r="P721" t="s">
        <v>26</v>
      </c>
      <c r="Q721" t="s">
        <v>26</v>
      </c>
      <c r="R721">
        <v>42</v>
      </c>
      <c r="S721" t="s">
        <v>29</v>
      </c>
      <c r="T721" t="str">
        <f t="shared" si="22"/>
        <v>2-week</v>
      </c>
      <c r="U721">
        <f>VLOOKUP(T721,[1]tablescore!$B$3:$C$8, 2,FALSE)</f>
        <v>26</v>
      </c>
      <c r="V721" t="str">
        <f t="shared" si="23"/>
        <v>Loyal</v>
      </c>
      <c r="W721" t="s">
        <v>77</v>
      </c>
    </row>
    <row r="722" spans="1:23" x14ac:dyDescent="0.25">
      <c r="A722">
        <v>721</v>
      </c>
      <c r="B722">
        <v>33</v>
      </c>
      <c r="C722" t="str" cm="1">
        <f t="array" ref="C722">_xlfn.IFS(
  AND(B722&gt;=18, B722&lt;=24), "18-24",
  AND(B722&gt;=25, B722&lt;=34), "25-34",
  AND(B722&gt;=35, B722&lt;=44), "35-44",
  AND(B722&gt;=45, B722&lt;=54), "45-54",
  B722&gt;=55, "55+"
)</f>
        <v>25-34</v>
      </c>
      <c r="D722" t="s">
        <v>19</v>
      </c>
      <c r="E722" t="s">
        <v>106</v>
      </c>
      <c r="F722" t="s">
        <v>69</v>
      </c>
      <c r="G722">
        <v>62</v>
      </c>
      <c r="H722" t="s">
        <v>123</v>
      </c>
      <c r="I722" t="s">
        <v>23</v>
      </c>
      <c r="J722" t="s">
        <v>121</v>
      </c>
      <c r="K722" t="s">
        <v>58</v>
      </c>
      <c r="L722">
        <v>3.4</v>
      </c>
      <c r="M722" t="s">
        <v>26</v>
      </c>
      <c r="N722" t="s">
        <v>34</v>
      </c>
      <c r="O722" t="s">
        <v>40</v>
      </c>
      <c r="P722" t="s">
        <v>26</v>
      </c>
      <c r="Q722" t="s">
        <v>26</v>
      </c>
      <c r="R722">
        <v>19</v>
      </c>
      <c r="S722" t="s">
        <v>59</v>
      </c>
      <c r="T722" t="str">
        <f t="shared" si="22"/>
        <v>Daily</v>
      </c>
      <c r="U722">
        <f>VLOOKUP(T722,[1]tablescore!$B$3:$C$8, 2,FALSE)</f>
        <v>30</v>
      </c>
      <c r="V722" t="str">
        <f t="shared" si="23"/>
        <v>Highly Loyal</v>
      </c>
      <c r="W722" t="s">
        <v>41</v>
      </c>
    </row>
    <row r="723" spans="1:23" x14ac:dyDescent="0.25">
      <c r="A723">
        <v>722</v>
      </c>
      <c r="B723">
        <v>43</v>
      </c>
      <c r="C723" t="str" cm="1">
        <f t="array" ref="C723">_xlfn.IFS(
  AND(B723&gt;=18, B723&lt;=24), "18-24",
  AND(B723&gt;=25, B723&lt;=34), "25-34",
  AND(B723&gt;=35, B723&lt;=44), "35-44",
  AND(B723&gt;=45, B723&lt;=54), "45-54",
  B723&gt;=55, "55+"
)</f>
        <v>35-44</v>
      </c>
      <c r="D723" t="s">
        <v>19</v>
      </c>
      <c r="E723" t="s">
        <v>20</v>
      </c>
      <c r="F723" t="s">
        <v>21</v>
      </c>
      <c r="G723">
        <v>57</v>
      </c>
      <c r="H723" t="s">
        <v>99</v>
      </c>
      <c r="I723" t="s">
        <v>23</v>
      </c>
      <c r="J723" t="s">
        <v>67</v>
      </c>
      <c r="K723" t="s">
        <v>54</v>
      </c>
      <c r="L723">
        <v>4.4000000000000004</v>
      </c>
      <c r="M723" t="s">
        <v>26</v>
      </c>
      <c r="N723" t="s">
        <v>59</v>
      </c>
      <c r="O723" t="s">
        <v>47</v>
      </c>
      <c r="P723" t="s">
        <v>26</v>
      </c>
      <c r="Q723" t="s">
        <v>26</v>
      </c>
      <c r="R723">
        <v>41</v>
      </c>
      <c r="S723" t="s">
        <v>59</v>
      </c>
      <c r="T723" t="str">
        <f t="shared" si="22"/>
        <v>Quarterly</v>
      </c>
      <c r="U723">
        <f>VLOOKUP(T723,[1]tablescore!$B$3:$C$8, 2,FALSE)</f>
        <v>4</v>
      </c>
      <c r="V723" t="str">
        <f t="shared" si="23"/>
        <v>Low Loyalty</v>
      </c>
      <c r="W723" t="s">
        <v>97</v>
      </c>
    </row>
    <row r="724" spans="1:23" x14ac:dyDescent="0.25">
      <c r="A724">
        <v>723</v>
      </c>
      <c r="B724">
        <v>27</v>
      </c>
      <c r="C724" t="str" cm="1">
        <f t="array" ref="C724">_xlfn.IFS(
  AND(B724&gt;=18, B724&lt;=24), "18-24",
  AND(B724&gt;=25, B724&lt;=34), "25-34",
  AND(B724&gt;=35, B724&lt;=44), "35-44",
  AND(B724&gt;=45, B724&lt;=54), "45-54",
  B724&gt;=55, "55+"
)</f>
        <v>25-34</v>
      </c>
      <c r="D724" t="s">
        <v>19</v>
      </c>
      <c r="E724" t="s">
        <v>31</v>
      </c>
      <c r="F724" t="s">
        <v>21</v>
      </c>
      <c r="G724">
        <v>32</v>
      </c>
      <c r="H724" t="s">
        <v>52</v>
      </c>
      <c r="I724" t="s">
        <v>38</v>
      </c>
      <c r="J724" t="s">
        <v>138</v>
      </c>
      <c r="K724" t="s">
        <v>54</v>
      </c>
      <c r="L724">
        <v>4.3</v>
      </c>
      <c r="M724" t="s">
        <v>26</v>
      </c>
      <c r="N724" t="s">
        <v>46</v>
      </c>
      <c r="O724" t="s">
        <v>76</v>
      </c>
      <c r="P724" t="s">
        <v>26</v>
      </c>
      <c r="Q724" t="s">
        <v>26</v>
      </c>
      <c r="R724">
        <v>50</v>
      </c>
      <c r="S724" t="s">
        <v>35</v>
      </c>
      <c r="T724" t="str">
        <f t="shared" si="22"/>
        <v>2-week</v>
      </c>
      <c r="U724">
        <f>VLOOKUP(T724,[1]tablescore!$B$3:$C$8, 2,FALSE)</f>
        <v>26</v>
      </c>
      <c r="V724" t="str">
        <f t="shared" si="23"/>
        <v>Loyal</v>
      </c>
      <c r="W724" t="s">
        <v>77</v>
      </c>
    </row>
    <row r="725" spans="1:23" x14ac:dyDescent="0.25">
      <c r="A725">
        <v>724</v>
      </c>
      <c r="B725">
        <v>35</v>
      </c>
      <c r="C725" t="str" cm="1">
        <f t="array" ref="C725">_xlfn.IFS(
  AND(B725&gt;=18, B725&lt;=24), "18-24",
  AND(B725&gt;=25, B725&lt;=34), "25-34",
  AND(B725&gt;=35, B725&lt;=44), "35-44",
  AND(B725&gt;=45, B725&lt;=54), "45-54",
  B725&gt;=55, "55+"
)</f>
        <v>35-44</v>
      </c>
      <c r="D725" t="s">
        <v>19</v>
      </c>
      <c r="E725" t="s">
        <v>106</v>
      </c>
      <c r="F725" t="s">
        <v>69</v>
      </c>
      <c r="G725">
        <v>53</v>
      </c>
      <c r="H725" t="s">
        <v>70</v>
      </c>
      <c r="I725" t="s">
        <v>23</v>
      </c>
      <c r="J725" t="s">
        <v>109</v>
      </c>
      <c r="K725" t="s">
        <v>58</v>
      </c>
      <c r="L725">
        <v>3.5</v>
      </c>
      <c r="M725" t="s">
        <v>26</v>
      </c>
      <c r="N725" t="s">
        <v>35</v>
      </c>
      <c r="O725" t="s">
        <v>28</v>
      </c>
      <c r="P725" t="s">
        <v>26</v>
      </c>
      <c r="Q725" t="s">
        <v>26</v>
      </c>
      <c r="R725">
        <v>43</v>
      </c>
      <c r="S725" t="s">
        <v>46</v>
      </c>
      <c r="T725" t="str">
        <f t="shared" si="22"/>
        <v>Month</v>
      </c>
      <c r="U725">
        <f>VLOOKUP(T725,[1]tablescore!$B$3:$C$8, 2,FALSE)</f>
        <v>12</v>
      </c>
      <c r="V725" t="str">
        <f t="shared" si="23"/>
        <v>Moderate</v>
      </c>
      <c r="W725" t="s">
        <v>88</v>
      </c>
    </row>
    <row r="726" spans="1:23" x14ac:dyDescent="0.25">
      <c r="A726">
        <v>725</v>
      </c>
      <c r="B726">
        <v>37</v>
      </c>
      <c r="C726" t="str" cm="1">
        <f t="array" ref="C726">_xlfn.IFS(
  AND(B726&gt;=18, B726&lt;=24), "18-24",
  AND(B726&gt;=25, B726&lt;=34), "25-34",
  AND(B726&gt;=35, B726&lt;=44), "35-44",
  AND(B726&gt;=45, B726&lt;=54), "45-54",
  B726&gt;=55, "55+"
)</f>
        <v>35-44</v>
      </c>
      <c r="D726" t="s">
        <v>19</v>
      </c>
      <c r="E726" t="s">
        <v>113</v>
      </c>
      <c r="F726" t="s">
        <v>21</v>
      </c>
      <c r="G726">
        <v>79</v>
      </c>
      <c r="H726" t="s">
        <v>83</v>
      </c>
      <c r="I726" t="s">
        <v>92</v>
      </c>
      <c r="J726" t="s">
        <v>96</v>
      </c>
      <c r="K726" t="s">
        <v>58</v>
      </c>
      <c r="L726">
        <v>4.7</v>
      </c>
      <c r="M726" t="s">
        <v>26</v>
      </c>
      <c r="N726" t="s">
        <v>35</v>
      </c>
      <c r="O726" t="s">
        <v>76</v>
      </c>
      <c r="P726" t="s">
        <v>26</v>
      </c>
      <c r="Q726" t="s">
        <v>26</v>
      </c>
      <c r="R726">
        <v>36</v>
      </c>
      <c r="S726" t="s">
        <v>29</v>
      </c>
      <c r="T726" t="str">
        <f t="shared" si="22"/>
        <v>Quarterly</v>
      </c>
      <c r="U726">
        <f>VLOOKUP(T726,[1]tablescore!$B$3:$C$8, 2,FALSE)</f>
        <v>4</v>
      </c>
      <c r="V726" t="str">
        <f t="shared" si="23"/>
        <v>Low Loyalty</v>
      </c>
      <c r="W726" t="s">
        <v>97</v>
      </c>
    </row>
    <row r="727" spans="1:23" x14ac:dyDescent="0.25">
      <c r="A727">
        <v>726</v>
      </c>
      <c r="B727">
        <v>61</v>
      </c>
      <c r="C727" t="str" cm="1">
        <f t="array" ref="C727">_xlfn.IFS(
  AND(B727&gt;=18, B727&lt;=24), "18-24",
  AND(B727&gt;=25, B727&lt;=34), "25-34",
  AND(B727&gt;=35, B727&lt;=44), "35-44",
  AND(B727&gt;=45, B727&lt;=54), "45-54",
  B727&gt;=55, "55+"
)</f>
        <v>55+</v>
      </c>
      <c r="D727" t="s">
        <v>19</v>
      </c>
      <c r="E727" t="s">
        <v>125</v>
      </c>
      <c r="F727" t="s">
        <v>69</v>
      </c>
      <c r="G727">
        <v>61</v>
      </c>
      <c r="H727" t="s">
        <v>105</v>
      </c>
      <c r="I727" t="s">
        <v>23</v>
      </c>
      <c r="J727" t="s">
        <v>67</v>
      </c>
      <c r="K727" t="s">
        <v>25</v>
      </c>
      <c r="L727">
        <v>3.1</v>
      </c>
      <c r="M727" t="s">
        <v>26</v>
      </c>
      <c r="N727" t="s">
        <v>35</v>
      </c>
      <c r="O727" t="s">
        <v>55</v>
      </c>
      <c r="P727" t="s">
        <v>26</v>
      </c>
      <c r="Q727" t="s">
        <v>26</v>
      </c>
      <c r="R727">
        <v>33</v>
      </c>
      <c r="S727" t="s">
        <v>59</v>
      </c>
      <c r="T727" t="str">
        <f t="shared" si="22"/>
        <v>2-week</v>
      </c>
      <c r="U727">
        <f>VLOOKUP(T727,[1]tablescore!$B$3:$C$8, 2,FALSE)</f>
        <v>26</v>
      </c>
      <c r="V727" t="str">
        <f t="shared" si="23"/>
        <v>Loyal</v>
      </c>
      <c r="W727" t="s">
        <v>30</v>
      </c>
    </row>
    <row r="728" spans="1:23" x14ac:dyDescent="0.25">
      <c r="A728">
        <v>727</v>
      </c>
      <c r="B728">
        <v>32</v>
      </c>
      <c r="C728" t="str" cm="1">
        <f t="array" ref="C728">_xlfn.IFS(
  AND(B728&gt;=18, B728&lt;=24), "18-24",
  AND(B728&gt;=25, B728&lt;=34), "25-34",
  AND(B728&gt;=35, B728&lt;=44), "35-44",
  AND(B728&gt;=45, B728&lt;=54), "45-54",
  B728&gt;=55, "55+"
)</f>
        <v>25-34</v>
      </c>
      <c r="D728" t="s">
        <v>19</v>
      </c>
      <c r="E728" t="s">
        <v>61</v>
      </c>
      <c r="F728" t="s">
        <v>21</v>
      </c>
      <c r="G728">
        <v>78</v>
      </c>
      <c r="H728" t="s">
        <v>114</v>
      </c>
      <c r="I728" t="s">
        <v>23</v>
      </c>
      <c r="J728" t="s">
        <v>139</v>
      </c>
      <c r="K728" t="s">
        <v>54</v>
      </c>
      <c r="L728">
        <v>3.6</v>
      </c>
      <c r="M728" t="s">
        <v>26</v>
      </c>
      <c r="N728" t="s">
        <v>46</v>
      </c>
      <c r="O728" t="s">
        <v>47</v>
      </c>
      <c r="P728" t="s">
        <v>26</v>
      </c>
      <c r="Q728" t="s">
        <v>26</v>
      </c>
      <c r="R728">
        <v>20</v>
      </c>
      <c r="S728" t="s">
        <v>34</v>
      </c>
      <c r="T728" t="str">
        <f t="shared" si="22"/>
        <v>Quarterly</v>
      </c>
      <c r="U728">
        <f>VLOOKUP(T728,[1]tablescore!$B$3:$C$8, 2,FALSE)</f>
        <v>4</v>
      </c>
      <c r="V728" t="str">
        <f t="shared" si="23"/>
        <v>Low Loyalty</v>
      </c>
      <c r="W728" t="s">
        <v>97</v>
      </c>
    </row>
    <row r="729" spans="1:23" x14ac:dyDescent="0.25">
      <c r="A729">
        <v>728</v>
      </c>
      <c r="B729">
        <v>62</v>
      </c>
      <c r="C729" t="str" cm="1">
        <f t="array" ref="C729">_xlfn.IFS(
  AND(B729&gt;=18, B729&lt;=24), "18-24",
  AND(B729&gt;=25, B729&lt;=34), "25-34",
  AND(B729&gt;=35, B729&lt;=44), "35-44",
  AND(B729&gt;=45, B729&lt;=54), "45-54",
  B729&gt;=55, "55+"
)</f>
        <v>55+</v>
      </c>
      <c r="D729" t="s">
        <v>19</v>
      </c>
      <c r="E729" t="s">
        <v>31</v>
      </c>
      <c r="F729" t="s">
        <v>21</v>
      </c>
      <c r="G729">
        <v>97</v>
      </c>
      <c r="H729" t="s">
        <v>74</v>
      </c>
      <c r="I729" t="s">
        <v>38</v>
      </c>
      <c r="J729" t="s">
        <v>24</v>
      </c>
      <c r="K729" t="s">
        <v>25</v>
      </c>
      <c r="L729">
        <v>4.8</v>
      </c>
      <c r="M729" t="s">
        <v>26</v>
      </c>
      <c r="N729" t="s">
        <v>27</v>
      </c>
      <c r="O729" t="s">
        <v>47</v>
      </c>
      <c r="P729" t="s">
        <v>26</v>
      </c>
      <c r="Q729" t="s">
        <v>26</v>
      </c>
      <c r="R729">
        <v>37</v>
      </c>
      <c r="S729" t="s">
        <v>29</v>
      </c>
      <c r="T729" t="str">
        <f t="shared" si="22"/>
        <v>Quarterly</v>
      </c>
      <c r="U729">
        <f>VLOOKUP(T729,[1]tablescore!$B$3:$C$8, 2,FALSE)</f>
        <v>4</v>
      </c>
      <c r="V729" t="str">
        <f t="shared" si="23"/>
        <v>Low Loyalty</v>
      </c>
      <c r="W729" t="s">
        <v>97</v>
      </c>
    </row>
    <row r="730" spans="1:23" x14ac:dyDescent="0.25">
      <c r="A730">
        <v>729</v>
      </c>
      <c r="B730">
        <v>29</v>
      </c>
      <c r="C730" t="str" cm="1">
        <f t="array" ref="C730">_xlfn.IFS(
  AND(B730&gt;=18, B730&lt;=24), "18-24",
  AND(B730&gt;=25, B730&lt;=34), "25-34",
  AND(B730&gt;=35, B730&lt;=44), "35-44",
  AND(B730&gt;=45, B730&lt;=54), "45-54",
  B730&gt;=55, "55+"
)</f>
        <v>25-34</v>
      </c>
      <c r="D730" t="s">
        <v>19</v>
      </c>
      <c r="E730" t="s">
        <v>36</v>
      </c>
      <c r="F730" t="s">
        <v>21</v>
      </c>
      <c r="G730">
        <v>78</v>
      </c>
      <c r="H730" t="s">
        <v>143</v>
      </c>
      <c r="I730" t="s">
        <v>45</v>
      </c>
      <c r="J730" t="s">
        <v>71</v>
      </c>
      <c r="K730" t="s">
        <v>25</v>
      </c>
      <c r="L730">
        <v>3.7</v>
      </c>
      <c r="M730" t="s">
        <v>26</v>
      </c>
      <c r="N730" t="s">
        <v>59</v>
      </c>
      <c r="O730" t="s">
        <v>47</v>
      </c>
      <c r="P730" t="s">
        <v>26</v>
      </c>
      <c r="Q730" t="s">
        <v>26</v>
      </c>
      <c r="R730">
        <v>12</v>
      </c>
      <c r="S730" t="s">
        <v>46</v>
      </c>
      <c r="T730" t="str">
        <f t="shared" si="22"/>
        <v>Quarterly</v>
      </c>
      <c r="U730">
        <f>VLOOKUP(T730,[1]tablescore!$B$3:$C$8, 2,FALSE)</f>
        <v>4</v>
      </c>
      <c r="V730" t="str">
        <f t="shared" si="23"/>
        <v>Low Loyalty</v>
      </c>
      <c r="W730" t="s">
        <v>97</v>
      </c>
    </row>
    <row r="731" spans="1:23" x14ac:dyDescent="0.25">
      <c r="A731">
        <v>730</v>
      </c>
      <c r="B731">
        <v>41</v>
      </c>
      <c r="C731" t="str" cm="1">
        <f t="array" ref="C731">_xlfn.IFS(
  AND(B731&gt;=18, B731&lt;=24), "18-24",
  AND(B731&gt;=25, B731&lt;=34), "25-34",
  AND(B731&gt;=35, B731&lt;=44), "35-44",
  AND(B731&gt;=45, B731&lt;=54), "45-54",
  B731&gt;=55, "55+"
)</f>
        <v>35-44</v>
      </c>
      <c r="D731" t="s">
        <v>19</v>
      </c>
      <c r="E731" t="s">
        <v>89</v>
      </c>
      <c r="F731" t="s">
        <v>69</v>
      </c>
      <c r="G731">
        <v>56</v>
      </c>
      <c r="H731" t="s">
        <v>134</v>
      </c>
      <c r="I731" t="s">
        <v>23</v>
      </c>
      <c r="J731" t="s">
        <v>118</v>
      </c>
      <c r="K731" t="s">
        <v>54</v>
      </c>
      <c r="L731">
        <v>3.2</v>
      </c>
      <c r="M731" t="s">
        <v>26</v>
      </c>
      <c r="N731" t="s">
        <v>29</v>
      </c>
      <c r="O731" t="s">
        <v>28</v>
      </c>
      <c r="P731" t="s">
        <v>26</v>
      </c>
      <c r="Q731" t="s">
        <v>26</v>
      </c>
      <c r="R731">
        <v>46</v>
      </c>
      <c r="S731" t="s">
        <v>46</v>
      </c>
      <c r="T731" t="str">
        <f t="shared" si="22"/>
        <v>Quarterly</v>
      </c>
      <c r="U731">
        <f>VLOOKUP(T731,[1]tablescore!$B$3:$C$8, 2,FALSE)</f>
        <v>4</v>
      </c>
      <c r="V731" t="str">
        <f t="shared" si="23"/>
        <v>Low Loyalty</v>
      </c>
      <c r="W731" t="s">
        <v>97</v>
      </c>
    </row>
    <row r="732" spans="1:23" x14ac:dyDescent="0.25">
      <c r="A732">
        <v>731</v>
      </c>
      <c r="B732">
        <v>48</v>
      </c>
      <c r="C732" t="str" cm="1">
        <f t="array" ref="C732">_xlfn.IFS(
  AND(B732&gt;=18, B732&lt;=24), "18-24",
  AND(B732&gt;=25, B732&lt;=34), "25-34",
  AND(B732&gt;=35, B732&lt;=44), "35-44",
  AND(B732&gt;=45, B732&lt;=54), "45-54",
  B732&gt;=55, "55+"
)</f>
        <v>45-54</v>
      </c>
      <c r="D732" t="s">
        <v>19</v>
      </c>
      <c r="E732" t="s">
        <v>132</v>
      </c>
      <c r="F732" t="s">
        <v>43</v>
      </c>
      <c r="G732">
        <v>25</v>
      </c>
      <c r="H732" t="s">
        <v>37</v>
      </c>
      <c r="I732" t="s">
        <v>45</v>
      </c>
      <c r="J732" t="s">
        <v>129</v>
      </c>
      <c r="K732" t="s">
        <v>54</v>
      </c>
      <c r="L732">
        <v>3.9</v>
      </c>
      <c r="M732" t="s">
        <v>26</v>
      </c>
      <c r="N732" t="s">
        <v>29</v>
      </c>
      <c r="O732" t="s">
        <v>55</v>
      </c>
      <c r="P732" t="s">
        <v>26</v>
      </c>
      <c r="Q732" t="s">
        <v>26</v>
      </c>
      <c r="R732">
        <v>28</v>
      </c>
      <c r="S732" t="s">
        <v>29</v>
      </c>
      <c r="T732" t="str">
        <f t="shared" si="22"/>
        <v>2-week</v>
      </c>
      <c r="U732">
        <f>VLOOKUP(T732,[1]tablescore!$B$3:$C$8, 2,FALSE)</f>
        <v>26</v>
      </c>
      <c r="V732" t="str">
        <f t="shared" si="23"/>
        <v>Loyal</v>
      </c>
      <c r="W732" t="s">
        <v>30</v>
      </c>
    </row>
    <row r="733" spans="1:23" x14ac:dyDescent="0.25">
      <c r="A733">
        <v>732</v>
      </c>
      <c r="B733">
        <v>43</v>
      </c>
      <c r="C733" t="str" cm="1">
        <f t="array" ref="C733">_xlfn.IFS(
  AND(B733&gt;=18, B733&lt;=24), "18-24",
  AND(B733&gt;=25, B733&lt;=34), "25-34",
  AND(B733&gt;=35, B733&lt;=44), "35-44",
  AND(B733&gt;=45, B733&lt;=54), "45-54",
  B733&gt;=55, "55+"
)</f>
        <v>35-44</v>
      </c>
      <c r="D733" t="s">
        <v>19</v>
      </c>
      <c r="E733" t="s">
        <v>64</v>
      </c>
      <c r="F733" t="s">
        <v>65</v>
      </c>
      <c r="G733">
        <v>28</v>
      </c>
      <c r="H733" t="s">
        <v>74</v>
      </c>
      <c r="I733" t="s">
        <v>45</v>
      </c>
      <c r="J733" t="s">
        <v>108</v>
      </c>
      <c r="K733" t="s">
        <v>39</v>
      </c>
      <c r="L733">
        <v>3.5</v>
      </c>
      <c r="M733" t="s">
        <v>26</v>
      </c>
      <c r="N733" t="s">
        <v>27</v>
      </c>
      <c r="O733" t="s">
        <v>40</v>
      </c>
      <c r="P733" t="s">
        <v>26</v>
      </c>
      <c r="Q733" t="s">
        <v>26</v>
      </c>
      <c r="R733">
        <v>30</v>
      </c>
      <c r="S733" t="s">
        <v>46</v>
      </c>
      <c r="T733" t="str">
        <f t="shared" si="22"/>
        <v>2-week</v>
      </c>
      <c r="U733">
        <f>VLOOKUP(T733,[1]tablescore!$B$3:$C$8, 2,FALSE)</f>
        <v>26</v>
      </c>
      <c r="V733" t="str">
        <f t="shared" si="23"/>
        <v>Loyal</v>
      </c>
      <c r="W733" t="s">
        <v>30</v>
      </c>
    </row>
    <row r="734" spans="1:23" x14ac:dyDescent="0.25">
      <c r="A734">
        <v>733</v>
      </c>
      <c r="B734">
        <v>34</v>
      </c>
      <c r="C734" t="str" cm="1">
        <f t="array" ref="C734">_xlfn.IFS(
  AND(B734&gt;=18, B734&lt;=24), "18-24",
  AND(B734&gt;=25, B734&lt;=34), "25-34",
  AND(B734&gt;=35, B734&lt;=44), "35-44",
  AND(B734&gt;=45, B734&lt;=54), "45-54",
  B734&gt;=55, "55+"
)</f>
        <v>25-34</v>
      </c>
      <c r="D734" t="s">
        <v>19</v>
      </c>
      <c r="E734" t="s">
        <v>56</v>
      </c>
      <c r="F734" t="s">
        <v>21</v>
      </c>
      <c r="G734">
        <v>57</v>
      </c>
      <c r="H734" t="s">
        <v>83</v>
      </c>
      <c r="I734" t="s">
        <v>23</v>
      </c>
      <c r="J734" t="s">
        <v>138</v>
      </c>
      <c r="K734" t="s">
        <v>39</v>
      </c>
      <c r="L734">
        <v>2.8</v>
      </c>
      <c r="M734" t="s">
        <v>26</v>
      </c>
      <c r="N734" t="s">
        <v>35</v>
      </c>
      <c r="O734" t="s">
        <v>28</v>
      </c>
      <c r="P734" t="s">
        <v>26</v>
      </c>
      <c r="Q734" t="s">
        <v>26</v>
      </c>
      <c r="R734">
        <v>28</v>
      </c>
      <c r="S734" t="s">
        <v>35</v>
      </c>
      <c r="T734" t="str">
        <f t="shared" si="22"/>
        <v>2-week</v>
      </c>
      <c r="U734">
        <f>VLOOKUP(T734,[1]tablescore!$B$3:$C$8, 2,FALSE)</f>
        <v>26</v>
      </c>
      <c r="V734" t="str">
        <f t="shared" si="23"/>
        <v>Loyal</v>
      </c>
      <c r="W734" t="s">
        <v>77</v>
      </c>
    </row>
    <row r="735" spans="1:23" x14ac:dyDescent="0.25">
      <c r="A735">
        <v>734</v>
      </c>
      <c r="B735">
        <v>45</v>
      </c>
      <c r="C735" t="str" cm="1">
        <f t="array" ref="C735">_xlfn.IFS(
  AND(B735&gt;=18, B735&lt;=24), "18-24",
  AND(B735&gt;=25, B735&lt;=34), "25-34",
  AND(B735&gt;=35, B735&lt;=44), "35-44",
  AND(B735&gt;=45, B735&lt;=54), "45-54",
  B735&gt;=55, "55+"
)</f>
        <v>45-54</v>
      </c>
      <c r="D735" t="s">
        <v>19</v>
      </c>
      <c r="E735" t="s">
        <v>82</v>
      </c>
      <c r="F735" t="s">
        <v>21</v>
      </c>
      <c r="G735">
        <v>36</v>
      </c>
      <c r="H735" t="s">
        <v>44</v>
      </c>
      <c r="I735" t="s">
        <v>23</v>
      </c>
      <c r="J735" t="s">
        <v>109</v>
      </c>
      <c r="K735" t="s">
        <v>58</v>
      </c>
      <c r="L735">
        <v>2.7</v>
      </c>
      <c r="M735" t="s">
        <v>26</v>
      </c>
      <c r="N735" t="s">
        <v>35</v>
      </c>
      <c r="O735" t="s">
        <v>72</v>
      </c>
      <c r="P735" t="s">
        <v>26</v>
      </c>
      <c r="Q735" t="s">
        <v>26</v>
      </c>
      <c r="R735">
        <v>20</v>
      </c>
      <c r="S735" t="s">
        <v>59</v>
      </c>
      <c r="T735" t="str">
        <f t="shared" si="22"/>
        <v>2-week</v>
      </c>
      <c r="U735">
        <f>VLOOKUP(T735,[1]tablescore!$B$3:$C$8, 2,FALSE)</f>
        <v>26</v>
      </c>
      <c r="V735" t="str">
        <f t="shared" si="23"/>
        <v>Loyal</v>
      </c>
      <c r="W735" t="s">
        <v>77</v>
      </c>
    </row>
    <row r="736" spans="1:23" x14ac:dyDescent="0.25">
      <c r="A736">
        <v>735</v>
      </c>
      <c r="B736">
        <v>65</v>
      </c>
      <c r="C736" t="str" cm="1">
        <f t="array" ref="C736">_xlfn.IFS(
  AND(B736&gt;=18, B736&lt;=24), "18-24",
  AND(B736&gt;=25, B736&lt;=34), "25-34",
  AND(B736&gt;=35, B736&lt;=44), "35-44",
  AND(B736&gt;=45, B736&lt;=54), "45-54",
  B736&gt;=55, "55+"
)</f>
        <v>55+</v>
      </c>
      <c r="D736" t="s">
        <v>19</v>
      </c>
      <c r="E736" t="s">
        <v>56</v>
      </c>
      <c r="F736" t="s">
        <v>21</v>
      </c>
      <c r="G736">
        <v>69</v>
      </c>
      <c r="H736" t="s">
        <v>137</v>
      </c>
      <c r="I736" t="s">
        <v>38</v>
      </c>
      <c r="J736" t="s">
        <v>84</v>
      </c>
      <c r="K736" t="s">
        <v>25</v>
      </c>
      <c r="L736">
        <v>3.1</v>
      </c>
      <c r="M736" t="s">
        <v>26</v>
      </c>
      <c r="N736" t="s">
        <v>29</v>
      </c>
      <c r="O736" t="s">
        <v>28</v>
      </c>
      <c r="P736" t="s">
        <v>26</v>
      </c>
      <c r="Q736" t="s">
        <v>26</v>
      </c>
      <c r="R736">
        <v>39</v>
      </c>
      <c r="S736" t="s">
        <v>34</v>
      </c>
      <c r="T736" t="str">
        <f t="shared" si="22"/>
        <v>Quarterly</v>
      </c>
      <c r="U736">
        <f>VLOOKUP(T736,[1]tablescore!$B$3:$C$8, 2,FALSE)</f>
        <v>4</v>
      </c>
      <c r="V736" t="str">
        <f t="shared" si="23"/>
        <v>Low Loyalty</v>
      </c>
      <c r="W736" t="s">
        <v>97</v>
      </c>
    </row>
    <row r="737" spans="1:23" x14ac:dyDescent="0.25">
      <c r="A737">
        <v>736</v>
      </c>
      <c r="B737">
        <v>61</v>
      </c>
      <c r="C737" t="str" cm="1">
        <f t="array" ref="C737">_xlfn.IFS(
  AND(B737&gt;=18, B737&lt;=24), "18-24",
  AND(B737&gt;=25, B737&lt;=34), "25-34",
  AND(B737&gt;=35, B737&lt;=44), "35-44",
  AND(B737&gt;=45, B737&lt;=54), "45-54",
  B737&gt;=55, "55+"
)</f>
        <v>55+</v>
      </c>
      <c r="D737" t="s">
        <v>19</v>
      </c>
      <c r="E737" t="s">
        <v>89</v>
      </c>
      <c r="F737" t="s">
        <v>69</v>
      </c>
      <c r="G737">
        <v>48</v>
      </c>
      <c r="H737" t="s">
        <v>57</v>
      </c>
      <c r="I737" t="s">
        <v>45</v>
      </c>
      <c r="J737" t="s">
        <v>121</v>
      </c>
      <c r="K737" t="s">
        <v>58</v>
      </c>
      <c r="L737">
        <v>3.6</v>
      </c>
      <c r="M737" t="s">
        <v>26</v>
      </c>
      <c r="N737" t="s">
        <v>29</v>
      </c>
      <c r="O737" t="s">
        <v>72</v>
      </c>
      <c r="P737" t="s">
        <v>26</v>
      </c>
      <c r="Q737" t="s">
        <v>26</v>
      </c>
      <c r="R737">
        <v>48</v>
      </c>
      <c r="S737" t="s">
        <v>35</v>
      </c>
      <c r="T737" t="str">
        <f t="shared" si="22"/>
        <v>2-week</v>
      </c>
      <c r="U737">
        <f>VLOOKUP(T737,[1]tablescore!$B$3:$C$8, 2,FALSE)</f>
        <v>26</v>
      </c>
      <c r="V737" t="str">
        <f t="shared" si="23"/>
        <v>Loyal</v>
      </c>
      <c r="W737" t="s">
        <v>77</v>
      </c>
    </row>
    <row r="738" spans="1:23" x14ac:dyDescent="0.25">
      <c r="A738">
        <v>737</v>
      </c>
      <c r="B738">
        <v>18</v>
      </c>
      <c r="C738" t="str" cm="1">
        <f t="array" ref="C738">_xlfn.IFS(
  AND(B738&gt;=18, B738&lt;=24), "18-24",
  AND(B738&gt;=25, B738&lt;=34), "25-34",
  AND(B738&gt;=35, B738&lt;=44), "35-44",
  AND(B738&gt;=45, B738&lt;=54), "45-54",
  B738&gt;=55, "55+"
)</f>
        <v>18-24</v>
      </c>
      <c r="D738" t="s">
        <v>19</v>
      </c>
      <c r="E738" t="s">
        <v>82</v>
      </c>
      <c r="F738" t="s">
        <v>21</v>
      </c>
      <c r="G738">
        <v>58</v>
      </c>
      <c r="H738" t="s">
        <v>112</v>
      </c>
      <c r="I738" t="s">
        <v>23</v>
      </c>
      <c r="J738" t="s">
        <v>33</v>
      </c>
      <c r="K738" t="s">
        <v>39</v>
      </c>
      <c r="L738">
        <v>2.9</v>
      </c>
      <c r="M738" t="s">
        <v>26</v>
      </c>
      <c r="N738" t="s">
        <v>59</v>
      </c>
      <c r="O738" t="s">
        <v>72</v>
      </c>
      <c r="P738" t="s">
        <v>26</v>
      </c>
      <c r="Q738" t="s">
        <v>26</v>
      </c>
      <c r="R738">
        <v>32</v>
      </c>
      <c r="S738" t="s">
        <v>27</v>
      </c>
      <c r="T738" t="str">
        <f t="shared" si="22"/>
        <v>Quarterly</v>
      </c>
      <c r="U738">
        <f>VLOOKUP(T738,[1]tablescore!$B$3:$C$8, 2,FALSE)</f>
        <v>4</v>
      </c>
      <c r="V738" t="str">
        <f t="shared" si="23"/>
        <v>Low Loyalty</v>
      </c>
      <c r="W738" t="s">
        <v>97</v>
      </c>
    </row>
    <row r="739" spans="1:23" x14ac:dyDescent="0.25">
      <c r="A739">
        <v>738</v>
      </c>
      <c r="B739">
        <v>47</v>
      </c>
      <c r="C739" t="str" cm="1">
        <f t="array" ref="C739">_xlfn.IFS(
  AND(B739&gt;=18, B739&lt;=24), "18-24",
  AND(B739&gt;=25, B739&lt;=34), "25-34",
  AND(B739&gt;=35, B739&lt;=44), "35-44",
  AND(B739&gt;=45, B739&lt;=54), "45-54",
  B739&gt;=55, "55+"
)</f>
        <v>45-54</v>
      </c>
      <c r="D739" t="s">
        <v>19</v>
      </c>
      <c r="E739" t="s">
        <v>89</v>
      </c>
      <c r="F739" t="s">
        <v>69</v>
      </c>
      <c r="G739">
        <v>24</v>
      </c>
      <c r="H739" t="s">
        <v>143</v>
      </c>
      <c r="I739" t="s">
        <v>45</v>
      </c>
      <c r="J739" t="s">
        <v>86</v>
      </c>
      <c r="K739" t="s">
        <v>39</v>
      </c>
      <c r="L739">
        <v>3.6</v>
      </c>
      <c r="M739" t="s">
        <v>26</v>
      </c>
      <c r="N739" t="s">
        <v>46</v>
      </c>
      <c r="O739" t="s">
        <v>76</v>
      </c>
      <c r="P739" t="s">
        <v>26</v>
      </c>
      <c r="Q739" t="s">
        <v>26</v>
      </c>
      <c r="R739">
        <v>28</v>
      </c>
      <c r="S739" t="s">
        <v>46</v>
      </c>
      <c r="T739" t="str">
        <f t="shared" si="22"/>
        <v>Annually</v>
      </c>
      <c r="U739">
        <f>VLOOKUP(T739,[1]tablescore!$B$3:$C$8, 2,FALSE)</f>
        <v>1</v>
      </c>
      <c r="V739" t="str">
        <f t="shared" si="23"/>
        <v>Low Loyalty</v>
      </c>
      <c r="W739" t="s">
        <v>50</v>
      </c>
    </row>
    <row r="740" spans="1:23" x14ac:dyDescent="0.25">
      <c r="A740">
        <v>739</v>
      </c>
      <c r="B740">
        <v>56</v>
      </c>
      <c r="C740" t="str" cm="1">
        <f t="array" ref="C740">_xlfn.IFS(
  AND(B740&gt;=18, B740&lt;=24), "18-24",
  AND(B740&gt;=25, B740&lt;=34), "25-34",
  AND(B740&gt;=35, B740&lt;=44), "35-44",
  AND(B740&gt;=45, B740&lt;=54), "45-54",
  B740&gt;=55, "55+"
)</f>
        <v>55+</v>
      </c>
      <c r="D740" t="s">
        <v>19</v>
      </c>
      <c r="E740" t="s">
        <v>89</v>
      </c>
      <c r="F740" t="s">
        <v>69</v>
      </c>
      <c r="G740">
        <v>31</v>
      </c>
      <c r="H740" t="s">
        <v>134</v>
      </c>
      <c r="I740" t="s">
        <v>23</v>
      </c>
      <c r="J740" t="s">
        <v>121</v>
      </c>
      <c r="K740" t="s">
        <v>25</v>
      </c>
      <c r="L740">
        <v>3.5</v>
      </c>
      <c r="M740" t="s">
        <v>26</v>
      </c>
      <c r="N740" t="s">
        <v>27</v>
      </c>
      <c r="O740" t="s">
        <v>72</v>
      </c>
      <c r="P740" t="s">
        <v>26</v>
      </c>
      <c r="Q740" t="s">
        <v>26</v>
      </c>
      <c r="R740">
        <v>27</v>
      </c>
      <c r="S740" t="s">
        <v>29</v>
      </c>
      <c r="T740" t="str">
        <f t="shared" si="22"/>
        <v>Quarterly</v>
      </c>
      <c r="U740">
        <f>VLOOKUP(T740,[1]tablescore!$B$3:$C$8, 2,FALSE)</f>
        <v>4</v>
      </c>
      <c r="V740" t="str">
        <f t="shared" si="23"/>
        <v>Low Loyalty</v>
      </c>
      <c r="W740" t="s">
        <v>60</v>
      </c>
    </row>
    <row r="741" spans="1:23" x14ac:dyDescent="0.25">
      <c r="A741">
        <v>740</v>
      </c>
      <c r="B741">
        <v>64</v>
      </c>
      <c r="C741" t="str" cm="1">
        <f t="array" ref="C741">_xlfn.IFS(
  AND(B741&gt;=18, B741&lt;=24), "18-24",
  AND(B741&gt;=25, B741&lt;=34), "25-34",
  AND(B741&gt;=35, B741&lt;=44), "35-44",
  AND(B741&gt;=45, B741&lt;=54), "45-54",
  B741&gt;=55, "55+"
)</f>
        <v>55+</v>
      </c>
      <c r="D741" t="s">
        <v>19</v>
      </c>
      <c r="E741" t="s">
        <v>61</v>
      </c>
      <c r="F741" t="s">
        <v>21</v>
      </c>
      <c r="G741">
        <v>29</v>
      </c>
      <c r="H741" t="s">
        <v>134</v>
      </c>
      <c r="I741" t="s">
        <v>38</v>
      </c>
      <c r="J741" t="s">
        <v>75</v>
      </c>
      <c r="K741" t="s">
        <v>54</v>
      </c>
      <c r="L741">
        <v>3.5</v>
      </c>
      <c r="M741" t="s">
        <v>26</v>
      </c>
      <c r="N741" t="s">
        <v>35</v>
      </c>
      <c r="O741" t="s">
        <v>40</v>
      </c>
      <c r="P741" t="s">
        <v>26</v>
      </c>
      <c r="Q741" t="s">
        <v>26</v>
      </c>
      <c r="R741">
        <v>26</v>
      </c>
      <c r="S741" t="s">
        <v>29</v>
      </c>
      <c r="T741" t="str">
        <f t="shared" si="22"/>
        <v>2-week</v>
      </c>
      <c r="U741">
        <f>VLOOKUP(T741,[1]tablescore!$B$3:$C$8, 2,FALSE)</f>
        <v>26</v>
      </c>
      <c r="V741" t="str">
        <f t="shared" si="23"/>
        <v>Loyal</v>
      </c>
      <c r="W741" t="s">
        <v>77</v>
      </c>
    </row>
    <row r="742" spans="1:23" x14ac:dyDescent="0.25">
      <c r="A742">
        <v>741</v>
      </c>
      <c r="B742">
        <v>26</v>
      </c>
      <c r="C742" t="str" cm="1">
        <f t="array" ref="C742">_xlfn.IFS(
  AND(B742&gt;=18, B742&lt;=24), "18-24",
  AND(B742&gt;=25, B742&lt;=34), "25-34",
  AND(B742&gt;=35, B742&lt;=44), "35-44",
  AND(B742&gt;=45, B742&lt;=54), "45-54",
  B742&gt;=55, "55+"
)</f>
        <v>25-34</v>
      </c>
      <c r="D742" t="s">
        <v>19</v>
      </c>
      <c r="E742" t="s">
        <v>36</v>
      </c>
      <c r="F742" t="s">
        <v>21</v>
      </c>
      <c r="G742">
        <v>69</v>
      </c>
      <c r="H742" t="s">
        <v>130</v>
      </c>
      <c r="I742" t="s">
        <v>45</v>
      </c>
      <c r="J742" t="s">
        <v>121</v>
      </c>
      <c r="K742" t="s">
        <v>54</v>
      </c>
      <c r="L742">
        <v>2.8</v>
      </c>
      <c r="M742" t="s">
        <v>26</v>
      </c>
      <c r="N742" t="s">
        <v>34</v>
      </c>
      <c r="O742" t="s">
        <v>47</v>
      </c>
      <c r="P742" t="s">
        <v>26</v>
      </c>
      <c r="Q742" t="s">
        <v>26</v>
      </c>
      <c r="R742">
        <v>22</v>
      </c>
      <c r="S742" t="s">
        <v>27</v>
      </c>
      <c r="T742" t="str">
        <f t="shared" si="22"/>
        <v>2-week</v>
      </c>
      <c r="U742">
        <f>VLOOKUP(T742,[1]tablescore!$B$3:$C$8, 2,FALSE)</f>
        <v>26</v>
      </c>
      <c r="V742" t="str">
        <f t="shared" si="23"/>
        <v>Loyal</v>
      </c>
      <c r="W742" t="s">
        <v>30</v>
      </c>
    </row>
    <row r="743" spans="1:23" x14ac:dyDescent="0.25">
      <c r="A743">
        <v>742</v>
      </c>
      <c r="B743">
        <v>22</v>
      </c>
      <c r="C743" t="str" cm="1">
        <f t="array" ref="C743">_xlfn.IFS(
  AND(B743&gt;=18, B743&lt;=24), "18-24",
  AND(B743&gt;=25, B743&lt;=34), "25-34",
  AND(B743&gt;=35, B743&lt;=44), "35-44",
  AND(B743&gt;=45, B743&lt;=54), "45-54",
  B743&gt;=55, "55+"
)</f>
        <v>18-24</v>
      </c>
      <c r="D743" t="s">
        <v>19</v>
      </c>
      <c r="E743" t="s">
        <v>113</v>
      </c>
      <c r="F743" t="s">
        <v>21</v>
      </c>
      <c r="G743">
        <v>79</v>
      </c>
      <c r="H743" t="s">
        <v>66</v>
      </c>
      <c r="I743" t="s">
        <v>92</v>
      </c>
      <c r="J743" t="s">
        <v>139</v>
      </c>
      <c r="K743" t="s">
        <v>54</v>
      </c>
      <c r="L743">
        <v>4.7</v>
      </c>
      <c r="M743" t="s">
        <v>26</v>
      </c>
      <c r="N743" t="s">
        <v>59</v>
      </c>
      <c r="O743" t="s">
        <v>40</v>
      </c>
      <c r="P743" t="s">
        <v>26</v>
      </c>
      <c r="Q743" t="s">
        <v>26</v>
      </c>
      <c r="R743">
        <v>23</v>
      </c>
      <c r="S743" t="s">
        <v>34</v>
      </c>
      <c r="T743" t="str">
        <f t="shared" si="22"/>
        <v>Quarterly</v>
      </c>
      <c r="U743">
        <f>VLOOKUP(T743,[1]tablescore!$B$3:$C$8, 2,FALSE)</f>
        <v>4</v>
      </c>
      <c r="V743" t="str">
        <f t="shared" si="23"/>
        <v>Low Loyalty</v>
      </c>
      <c r="W743" t="s">
        <v>97</v>
      </c>
    </row>
    <row r="744" spans="1:23" x14ac:dyDescent="0.25">
      <c r="A744">
        <v>743</v>
      </c>
      <c r="B744">
        <v>64</v>
      </c>
      <c r="C744" t="str" cm="1">
        <f t="array" ref="C744">_xlfn.IFS(
  AND(B744&gt;=18, B744&lt;=24), "18-24",
  AND(B744&gt;=25, B744&lt;=34), "25-34",
  AND(B744&gt;=35, B744&lt;=44), "35-44",
  AND(B744&gt;=45, B744&lt;=54), "45-54",
  B744&gt;=55, "55+"
)</f>
        <v>55+</v>
      </c>
      <c r="D744" t="s">
        <v>19</v>
      </c>
      <c r="E744" t="s">
        <v>95</v>
      </c>
      <c r="F744" t="s">
        <v>21</v>
      </c>
      <c r="G744">
        <v>39</v>
      </c>
      <c r="H744" t="s">
        <v>107</v>
      </c>
      <c r="I744" t="s">
        <v>45</v>
      </c>
      <c r="J744" t="s">
        <v>63</v>
      </c>
      <c r="K744" t="s">
        <v>54</v>
      </c>
      <c r="L744">
        <v>3.1</v>
      </c>
      <c r="M744" t="s">
        <v>26</v>
      </c>
      <c r="N744" t="s">
        <v>59</v>
      </c>
      <c r="O744" t="s">
        <v>28</v>
      </c>
      <c r="P744" t="s">
        <v>26</v>
      </c>
      <c r="Q744" t="s">
        <v>26</v>
      </c>
      <c r="R744">
        <v>21</v>
      </c>
      <c r="S744" t="s">
        <v>59</v>
      </c>
      <c r="T744" t="str">
        <f t="shared" si="22"/>
        <v>Quarterly</v>
      </c>
      <c r="U744">
        <f>VLOOKUP(T744,[1]tablescore!$B$3:$C$8, 2,FALSE)</f>
        <v>4</v>
      </c>
      <c r="V744" t="str">
        <f t="shared" si="23"/>
        <v>Low Loyalty</v>
      </c>
      <c r="W744" t="s">
        <v>60</v>
      </c>
    </row>
    <row r="745" spans="1:23" x14ac:dyDescent="0.25">
      <c r="A745">
        <v>744</v>
      </c>
      <c r="B745">
        <v>21</v>
      </c>
      <c r="C745" t="str" cm="1">
        <f t="array" ref="C745">_xlfn.IFS(
  AND(B745&gt;=18, B745&lt;=24), "18-24",
  AND(B745&gt;=25, B745&lt;=34), "25-34",
  AND(B745&gt;=35, B745&lt;=44), "35-44",
  AND(B745&gt;=45, B745&lt;=54), "45-54",
  B745&gt;=55, "55+"
)</f>
        <v>18-24</v>
      </c>
      <c r="D745" t="s">
        <v>19</v>
      </c>
      <c r="E745" t="s">
        <v>89</v>
      </c>
      <c r="F745" t="s">
        <v>69</v>
      </c>
      <c r="G745">
        <v>84</v>
      </c>
      <c r="H745" t="s">
        <v>98</v>
      </c>
      <c r="I745" t="s">
        <v>23</v>
      </c>
      <c r="J745" t="s">
        <v>24</v>
      </c>
      <c r="K745" t="s">
        <v>58</v>
      </c>
      <c r="L745">
        <v>4.9000000000000004</v>
      </c>
      <c r="M745" t="s">
        <v>26</v>
      </c>
      <c r="N745" t="s">
        <v>46</v>
      </c>
      <c r="O745" t="s">
        <v>40</v>
      </c>
      <c r="P745" t="s">
        <v>26</v>
      </c>
      <c r="Q745" t="s">
        <v>26</v>
      </c>
      <c r="R745">
        <v>36</v>
      </c>
      <c r="S745" t="s">
        <v>35</v>
      </c>
      <c r="T745" t="str">
        <f t="shared" si="22"/>
        <v>Daily</v>
      </c>
      <c r="U745">
        <f>VLOOKUP(T745,[1]tablescore!$B$3:$C$8, 2,FALSE)</f>
        <v>30</v>
      </c>
      <c r="V745" t="str">
        <f t="shared" si="23"/>
        <v>Highly Loyal</v>
      </c>
      <c r="W745" t="s">
        <v>41</v>
      </c>
    </row>
    <row r="746" spans="1:23" x14ac:dyDescent="0.25">
      <c r="A746">
        <v>745</v>
      </c>
      <c r="B746">
        <v>67</v>
      </c>
      <c r="C746" t="str" cm="1">
        <f t="array" ref="C746">_xlfn.IFS(
  AND(B746&gt;=18, B746&lt;=24), "18-24",
  AND(B746&gt;=25, B746&lt;=34), "25-34",
  AND(B746&gt;=35, B746&lt;=44), "35-44",
  AND(B746&gt;=45, B746&lt;=54), "45-54",
  B746&gt;=55, "55+"
)</f>
        <v>55+</v>
      </c>
      <c r="D746" t="s">
        <v>19</v>
      </c>
      <c r="E746" t="s">
        <v>132</v>
      </c>
      <c r="F746" t="s">
        <v>43</v>
      </c>
      <c r="G746">
        <v>66</v>
      </c>
      <c r="H746" t="s">
        <v>115</v>
      </c>
      <c r="I746" t="s">
        <v>38</v>
      </c>
      <c r="J746" t="s">
        <v>63</v>
      </c>
      <c r="K746" t="s">
        <v>39</v>
      </c>
      <c r="L746">
        <v>4.0999999999999996</v>
      </c>
      <c r="M746" t="s">
        <v>26</v>
      </c>
      <c r="N746" t="s">
        <v>59</v>
      </c>
      <c r="O746" t="s">
        <v>47</v>
      </c>
      <c r="P746" t="s">
        <v>26</v>
      </c>
      <c r="Q746" t="s">
        <v>26</v>
      </c>
      <c r="R746">
        <v>42</v>
      </c>
      <c r="S746" t="s">
        <v>59</v>
      </c>
      <c r="T746" t="str">
        <f t="shared" si="22"/>
        <v>2-week</v>
      </c>
      <c r="U746">
        <f>VLOOKUP(T746,[1]tablescore!$B$3:$C$8, 2,FALSE)</f>
        <v>26</v>
      </c>
      <c r="V746" t="str">
        <f t="shared" si="23"/>
        <v>Loyal</v>
      </c>
      <c r="W746" t="s">
        <v>77</v>
      </c>
    </row>
    <row r="747" spans="1:23" x14ac:dyDescent="0.25">
      <c r="A747">
        <v>746</v>
      </c>
      <c r="B747">
        <v>46</v>
      </c>
      <c r="C747" t="str" cm="1">
        <f t="array" ref="C747">_xlfn.IFS(
  AND(B747&gt;=18, B747&lt;=24), "18-24",
  AND(B747&gt;=25, B747&lt;=34), "25-34",
  AND(B747&gt;=35, B747&lt;=44), "35-44",
  AND(B747&gt;=45, B747&lt;=54), "45-54",
  B747&gt;=55, "55+"
)</f>
        <v>45-54</v>
      </c>
      <c r="D747" t="s">
        <v>19</v>
      </c>
      <c r="E747" t="s">
        <v>113</v>
      </c>
      <c r="F747" t="s">
        <v>21</v>
      </c>
      <c r="G747">
        <v>92</v>
      </c>
      <c r="H747" t="s">
        <v>151</v>
      </c>
      <c r="I747" t="s">
        <v>23</v>
      </c>
      <c r="J747" t="s">
        <v>121</v>
      </c>
      <c r="K747" t="s">
        <v>58</v>
      </c>
      <c r="L747">
        <v>4.7</v>
      </c>
      <c r="M747" t="s">
        <v>26</v>
      </c>
      <c r="N747" t="s">
        <v>27</v>
      </c>
      <c r="O747" t="s">
        <v>55</v>
      </c>
      <c r="P747" t="s">
        <v>26</v>
      </c>
      <c r="Q747" t="s">
        <v>26</v>
      </c>
      <c r="R747">
        <v>4</v>
      </c>
      <c r="S747" t="s">
        <v>29</v>
      </c>
      <c r="T747" t="str">
        <f t="shared" si="22"/>
        <v>Month</v>
      </c>
      <c r="U747">
        <f>VLOOKUP(T747,[1]tablescore!$B$3:$C$8, 2,FALSE)</f>
        <v>12</v>
      </c>
      <c r="V747" t="str">
        <f t="shared" si="23"/>
        <v>Moderate</v>
      </c>
      <c r="W747" t="s">
        <v>88</v>
      </c>
    </row>
    <row r="748" spans="1:23" x14ac:dyDescent="0.25">
      <c r="A748">
        <v>747</v>
      </c>
      <c r="B748">
        <v>40</v>
      </c>
      <c r="C748" t="str" cm="1">
        <f t="array" ref="C748">_xlfn.IFS(
  AND(B748&gt;=18, B748&lt;=24), "18-24",
  AND(B748&gt;=25, B748&lt;=34), "25-34",
  AND(B748&gt;=35, B748&lt;=44), "35-44",
  AND(B748&gt;=45, B748&lt;=54), "45-54",
  B748&gt;=55, "55+"
)</f>
        <v>35-44</v>
      </c>
      <c r="D748" t="s">
        <v>19</v>
      </c>
      <c r="E748" t="s">
        <v>42</v>
      </c>
      <c r="F748" t="s">
        <v>43</v>
      </c>
      <c r="G748">
        <v>45</v>
      </c>
      <c r="H748" t="s">
        <v>151</v>
      </c>
      <c r="I748" t="s">
        <v>45</v>
      </c>
      <c r="J748" t="s">
        <v>108</v>
      </c>
      <c r="K748" t="s">
        <v>25</v>
      </c>
      <c r="L748">
        <v>2.5</v>
      </c>
      <c r="M748" t="s">
        <v>26</v>
      </c>
      <c r="N748" t="s">
        <v>59</v>
      </c>
      <c r="O748" t="s">
        <v>40</v>
      </c>
      <c r="P748" t="s">
        <v>26</v>
      </c>
      <c r="Q748" t="s">
        <v>26</v>
      </c>
      <c r="R748">
        <v>47</v>
      </c>
      <c r="S748" t="s">
        <v>27</v>
      </c>
      <c r="T748" t="str">
        <f t="shared" si="22"/>
        <v>Annually</v>
      </c>
      <c r="U748">
        <f>VLOOKUP(T748,[1]tablescore!$B$3:$C$8, 2,FALSE)</f>
        <v>1</v>
      </c>
      <c r="V748" t="str">
        <f t="shared" si="23"/>
        <v>Low Loyalty</v>
      </c>
      <c r="W748" t="s">
        <v>50</v>
      </c>
    </row>
    <row r="749" spans="1:23" x14ac:dyDescent="0.25">
      <c r="A749">
        <v>748</v>
      </c>
      <c r="B749">
        <v>51</v>
      </c>
      <c r="C749" t="str" cm="1">
        <f t="array" ref="C749">_xlfn.IFS(
  AND(B749&gt;=18, B749&lt;=24), "18-24",
  AND(B749&gt;=25, B749&lt;=34), "25-34",
  AND(B749&gt;=35, B749&lt;=44), "35-44",
  AND(B749&gt;=45, B749&lt;=54), "45-54",
  B749&gt;=55, "55+"
)</f>
        <v>45-54</v>
      </c>
      <c r="D749" t="s">
        <v>19</v>
      </c>
      <c r="E749" t="s">
        <v>61</v>
      </c>
      <c r="F749" t="s">
        <v>21</v>
      </c>
      <c r="G749">
        <v>74</v>
      </c>
      <c r="H749" t="s">
        <v>101</v>
      </c>
      <c r="I749" t="s">
        <v>23</v>
      </c>
      <c r="J749" t="s">
        <v>81</v>
      </c>
      <c r="K749" t="s">
        <v>39</v>
      </c>
      <c r="L749">
        <v>4.4000000000000004</v>
      </c>
      <c r="M749" t="s">
        <v>26</v>
      </c>
      <c r="N749" t="s">
        <v>29</v>
      </c>
      <c r="O749" t="s">
        <v>47</v>
      </c>
      <c r="P749" t="s">
        <v>26</v>
      </c>
      <c r="Q749" t="s">
        <v>26</v>
      </c>
      <c r="R749">
        <v>13</v>
      </c>
      <c r="S749" t="s">
        <v>34</v>
      </c>
      <c r="T749" t="str">
        <f t="shared" si="22"/>
        <v>Daily</v>
      </c>
      <c r="U749">
        <f>VLOOKUP(T749,[1]tablescore!$B$3:$C$8, 2,FALSE)</f>
        <v>30</v>
      </c>
      <c r="V749" t="str">
        <f t="shared" si="23"/>
        <v>Highly Loyal</v>
      </c>
      <c r="W749" t="s">
        <v>41</v>
      </c>
    </row>
    <row r="750" spans="1:23" x14ac:dyDescent="0.25">
      <c r="A750">
        <v>749</v>
      </c>
      <c r="B750">
        <v>35</v>
      </c>
      <c r="C750" t="str" cm="1">
        <f t="array" ref="C750">_xlfn.IFS(
  AND(B750&gt;=18, B750&lt;=24), "18-24",
  AND(B750&gt;=25, B750&lt;=34), "25-34",
  AND(B750&gt;=35, B750&lt;=44), "35-44",
  AND(B750&gt;=45, B750&lt;=54), "45-54",
  B750&gt;=55, "55+"
)</f>
        <v>35-44</v>
      </c>
      <c r="D750" t="s">
        <v>19</v>
      </c>
      <c r="E750" t="s">
        <v>125</v>
      </c>
      <c r="F750" t="s">
        <v>69</v>
      </c>
      <c r="G750">
        <v>39</v>
      </c>
      <c r="H750" t="s">
        <v>130</v>
      </c>
      <c r="I750" t="s">
        <v>23</v>
      </c>
      <c r="J750" t="s">
        <v>110</v>
      </c>
      <c r="K750" t="s">
        <v>58</v>
      </c>
      <c r="L750">
        <v>3.9</v>
      </c>
      <c r="M750" t="s">
        <v>26</v>
      </c>
      <c r="N750" t="s">
        <v>34</v>
      </c>
      <c r="O750" t="s">
        <v>40</v>
      </c>
      <c r="P750" t="s">
        <v>26</v>
      </c>
      <c r="Q750" t="s">
        <v>26</v>
      </c>
      <c r="R750">
        <v>8</v>
      </c>
      <c r="S750" t="s">
        <v>34</v>
      </c>
      <c r="T750" t="str">
        <f t="shared" si="22"/>
        <v>Quarterly</v>
      </c>
      <c r="U750">
        <f>VLOOKUP(T750,[1]tablescore!$B$3:$C$8, 2,FALSE)</f>
        <v>4</v>
      </c>
      <c r="V750" t="str">
        <f t="shared" si="23"/>
        <v>Low Loyalty</v>
      </c>
      <c r="W750" t="s">
        <v>60</v>
      </c>
    </row>
    <row r="751" spans="1:23" x14ac:dyDescent="0.25">
      <c r="A751">
        <v>750</v>
      </c>
      <c r="B751">
        <v>56</v>
      </c>
      <c r="C751" t="str" cm="1">
        <f t="array" ref="C751">_xlfn.IFS(
  AND(B751&gt;=18, B751&lt;=24), "18-24",
  AND(B751&gt;=25, B751&lt;=34), "25-34",
  AND(B751&gt;=35, B751&lt;=44), "35-44",
  AND(B751&gt;=45, B751&lt;=54), "45-54",
  B751&gt;=55, "55+"
)</f>
        <v>55+</v>
      </c>
      <c r="D751" t="s">
        <v>19</v>
      </c>
      <c r="E751" t="s">
        <v>119</v>
      </c>
      <c r="F751" t="s">
        <v>69</v>
      </c>
      <c r="G751">
        <v>71</v>
      </c>
      <c r="H751" t="s">
        <v>101</v>
      </c>
      <c r="I751" t="s">
        <v>45</v>
      </c>
      <c r="J751" t="s">
        <v>79</v>
      </c>
      <c r="K751" t="s">
        <v>25</v>
      </c>
      <c r="L751">
        <v>3.7</v>
      </c>
      <c r="M751" t="s">
        <v>26</v>
      </c>
      <c r="N751" t="s">
        <v>34</v>
      </c>
      <c r="O751" t="s">
        <v>55</v>
      </c>
      <c r="P751" t="s">
        <v>26</v>
      </c>
      <c r="Q751" t="s">
        <v>26</v>
      </c>
      <c r="R751">
        <v>11</v>
      </c>
      <c r="S751" t="s">
        <v>59</v>
      </c>
      <c r="T751" t="str">
        <f t="shared" si="22"/>
        <v>Quarterly</v>
      </c>
      <c r="U751">
        <f>VLOOKUP(T751,[1]tablescore!$B$3:$C$8, 2,FALSE)</f>
        <v>4</v>
      </c>
      <c r="V751" t="str">
        <f t="shared" si="23"/>
        <v>Low Loyalty</v>
      </c>
      <c r="W751" t="s">
        <v>60</v>
      </c>
    </row>
    <row r="752" spans="1:23" x14ac:dyDescent="0.25">
      <c r="A752">
        <v>751</v>
      </c>
      <c r="B752">
        <v>25</v>
      </c>
      <c r="C752" t="str" cm="1">
        <f t="array" ref="C752">_xlfn.IFS(
  AND(B752&gt;=18, B752&lt;=24), "18-24",
  AND(B752&gt;=25, B752&lt;=34), "25-34",
  AND(B752&gt;=35, B752&lt;=44), "35-44",
  AND(B752&gt;=45, B752&lt;=54), "45-54",
  B752&gt;=55, "55+"
)</f>
        <v>25-34</v>
      </c>
      <c r="D752" t="s">
        <v>19</v>
      </c>
      <c r="E752" t="s">
        <v>113</v>
      </c>
      <c r="F752" t="s">
        <v>21</v>
      </c>
      <c r="G752">
        <v>95</v>
      </c>
      <c r="H752" t="s">
        <v>135</v>
      </c>
      <c r="I752" t="s">
        <v>23</v>
      </c>
      <c r="J752" t="s">
        <v>84</v>
      </c>
      <c r="K752" t="s">
        <v>58</v>
      </c>
      <c r="L752">
        <v>3.4</v>
      </c>
      <c r="M752" t="s">
        <v>26</v>
      </c>
      <c r="N752" t="s">
        <v>34</v>
      </c>
      <c r="O752" t="s">
        <v>40</v>
      </c>
      <c r="P752" t="s">
        <v>26</v>
      </c>
      <c r="Q752" t="s">
        <v>26</v>
      </c>
      <c r="R752">
        <v>5</v>
      </c>
      <c r="S752" t="s">
        <v>29</v>
      </c>
      <c r="T752" t="str">
        <f t="shared" si="22"/>
        <v>Annually</v>
      </c>
      <c r="U752">
        <f>VLOOKUP(T752,[1]tablescore!$B$3:$C$8, 2,FALSE)</f>
        <v>1</v>
      </c>
      <c r="V752" t="str">
        <f t="shared" si="23"/>
        <v>Low Loyalty</v>
      </c>
      <c r="W752" t="s">
        <v>50</v>
      </c>
    </row>
    <row r="753" spans="1:23" x14ac:dyDescent="0.25">
      <c r="A753">
        <v>752</v>
      </c>
      <c r="B753">
        <v>65</v>
      </c>
      <c r="C753" t="str" cm="1">
        <f t="array" ref="C753">_xlfn.IFS(
  AND(B753&gt;=18, B753&lt;=24), "18-24",
  AND(B753&gt;=25, B753&lt;=34), "25-34",
  AND(B753&gt;=35, B753&lt;=44), "35-44",
  AND(B753&gt;=45, B753&lt;=54), "45-54",
  B753&gt;=55, "55+"
)</f>
        <v>55+</v>
      </c>
      <c r="D753" t="s">
        <v>19</v>
      </c>
      <c r="E753" t="s">
        <v>127</v>
      </c>
      <c r="F753" t="s">
        <v>69</v>
      </c>
      <c r="G753">
        <v>72</v>
      </c>
      <c r="H753" t="s">
        <v>124</v>
      </c>
      <c r="I753" t="s">
        <v>23</v>
      </c>
      <c r="J753" t="s">
        <v>129</v>
      </c>
      <c r="K753" t="s">
        <v>58</v>
      </c>
      <c r="L753">
        <v>4.8</v>
      </c>
      <c r="M753" t="s">
        <v>26</v>
      </c>
      <c r="N753" t="s">
        <v>27</v>
      </c>
      <c r="O753" t="s">
        <v>40</v>
      </c>
      <c r="P753" t="s">
        <v>26</v>
      </c>
      <c r="Q753" t="s">
        <v>26</v>
      </c>
      <c r="R753">
        <v>1</v>
      </c>
      <c r="S753" t="s">
        <v>27</v>
      </c>
      <c r="T753" t="str">
        <f t="shared" si="22"/>
        <v>Month</v>
      </c>
      <c r="U753">
        <f>VLOOKUP(T753,[1]tablescore!$B$3:$C$8, 2,FALSE)</f>
        <v>12</v>
      </c>
      <c r="V753" t="str">
        <f t="shared" si="23"/>
        <v>Moderate</v>
      </c>
      <c r="W753" t="s">
        <v>88</v>
      </c>
    </row>
    <row r="754" spans="1:23" x14ac:dyDescent="0.25">
      <c r="A754">
        <v>753</v>
      </c>
      <c r="B754">
        <v>39</v>
      </c>
      <c r="C754" t="str" cm="1">
        <f t="array" ref="C754">_xlfn.IFS(
  AND(B754&gt;=18, B754&lt;=24), "18-24",
  AND(B754&gt;=25, B754&lt;=34), "25-34",
  AND(B754&gt;=35, B754&lt;=44), "35-44",
  AND(B754&gt;=45, B754&lt;=54), "45-54",
  B754&gt;=55, "55+"
)</f>
        <v>35-44</v>
      </c>
      <c r="D754" t="s">
        <v>19</v>
      </c>
      <c r="E754" t="s">
        <v>119</v>
      </c>
      <c r="F754" t="s">
        <v>69</v>
      </c>
      <c r="G754">
        <v>85</v>
      </c>
      <c r="H754" t="s">
        <v>124</v>
      </c>
      <c r="I754" t="s">
        <v>23</v>
      </c>
      <c r="J754" t="s">
        <v>139</v>
      </c>
      <c r="K754" t="s">
        <v>58</v>
      </c>
      <c r="L754">
        <v>4.2</v>
      </c>
      <c r="M754" t="s">
        <v>26</v>
      </c>
      <c r="N754" t="s">
        <v>35</v>
      </c>
      <c r="O754" t="s">
        <v>72</v>
      </c>
      <c r="P754" t="s">
        <v>26</v>
      </c>
      <c r="Q754" t="s">
        <v>26</v>
      </c>
      <c r="R754">
        <v>17</v>
      </c>
      <c r="S754" t="s">
        <v>46</v>
      </c>
      <c r="T754" t="str">
        <f t="shared" si="22"/>
        <v>Quarterly</v>
      </c>
      <c r="U754">
        <f>VLOOKUP(T754,[1]tablescore!$B$3:$C$8, 2,FALSE)</f>
        <v>4</v>
      </c>
      <c r="V754" t="str">
        <f t="shared" si="23"/>
        <v>Low Loyalty</v>
      </c>
      <c r="W754" t="s">
        <v>97</v>
      </c>
    </row>
    <row r="755" spans="1:23" x14ac:dyDescent="0.25">
      <c r="A755">
        <v>754</v>
      </c>
      <c r="B755">
        <v>47</v>
      </c>
      <c r="C755" t="str" cm="1">
        <f t="array" ref="C755">_xlfn.IFS(
  AND(B755&gt;=18, B755&lt;=24), "18-24",
  AND(B755&gt;=25, B755&lt;=34), "25-34",
  AND(B755&gt;=35, B755&lt;=44), "35-44",
  AND(B755&gt;=45, B755&lt;=54), "45-54",
  B755&gt;=55, "55+"
)</f>
        <v>45-54</v>
      </c>
      <c r="D755" t="s">
        <v>19</v>
      </c>
      <c r="E755" t="s">
        <v>132</v>
      </c>
      <c r="F755" t="s">
        <v>43</v>
      </c>
      <c r="G755">
        <v>54</v>
      </c>
      <c r="H755" t="s">
        <v>37</v>
      </c>
      <c r="I755" t="s">
        <v>45</v>
      </c>
      <c r="J755" t="s">
        <v>86</v>
      </c>
      <c r="K755" t="s">
        <v>58</v>
      </c>
      <c r="L755">
        <v>3.4</v>
      </c>
      <c r="M755" t="s">
        <v>26</v>
      </c>
      <c r="N755" t="s">
        <v>27</v>
      </c>
      <c r="O755" t="s">
        <v>76</v>
      </c>
      <c r="P755" t="s">
        <v>26</v>
      </c>
      <c r="Q755" t="s">
        <v>26</v>
      </c>
      <c r="R755">
        <v>27</v>
      </c>
      <c r="S755" t="s">
        <v>29</v>
      </c>
      <c r="T755" t="str">
        <f t="shared" si="22"/>
        <v>Quarterly</v>
      </c>
      <c r="U755">
        <f>VLOOKUP(T755,[1]tablescore!$B$3:$C$8, 2,FALSE)</f>
        <v>4</v>
      </c>
      <c r="V755" t="str">
        <f t="shared" si="23"/>
        <v>Low Loyalty</v>
      </c>
      <c r="W755" t="s">
        <v>60</v>
      </c>
    </row>
    <row r="756" spans="1:23" x14ac:dyDescent="0.25">
      <c r="A756">
        <v>755</v>
      </c>
      <c r="B756">
        <v>36</v>
      </c>
      <c r="C756" t="str" cm="1">
        <f t="array" ref="C756">_xlfn.IFS(
  AND(B756&gt;=18, B756&lt;=24), "18-24",
  AND(B756&gt;=25, B756&lt;=34), "25-34",
  AND(B756&gt;=35, B756&lt;=44), "35-44",
  AND(B756&gt;=45, B756&lt;=54), "45-54",
  B756&gt;=55, "55+"
)</f>
        <v>35-44</v>
      </c>
      <c r="D756" t="s">
        <v>19</v>
      </c>
      <c r="E756" t="s">
        <v>127</v>
      </c>
      <c r="F756" t="s">
        <v>69</v>
      </c>
      <c r="G756">
        <v>41</v>
      </c>
      <c r="H756" t="s">
        <v>98</v>
      </c>
      <c r="I756" t="s">
        <v>23</v>
      </c>
      <c r="J756" t="s">
        <v>71</v>
      </c>
      <c r="K756" t="s">
        <v>39</v>
      </c>
      <c r="L756">
        <v>2.9</v>
      </c>
      <c r="M756" t="s">
        <v>26</v>
      </c>
      <c r="N756" t="s">
        <v>35</v>
      </c>
      <c r="O756" t="s">
        <v>76</v>
      </c>
      <c r="P756" t="s">
        <v>26</v>
      </c>
      <c r="Q756" t="s">
        <v>26</v>
      </c>
      <c r="R756">
        <v>3</v>
      </c>
      <c r="S756" t="s">
        <v>59</v>
      </c>
      <c r="T756" t="str">
        <f t="shared" si="22"/>
        <v>Quarterly</v>
      </c>
      <c r="U756">
        <f>VLOOKUP(T756,[1]tablescore!$B$3:$C$8, 2,FALSE)</f>
        <v>4</v>
      </c>
      <c r="V756" t="str">
        <f t="shared" si="23"/>
        <v>Low Loyalty</v>
      </c>
      <c r="W756" t="s">
        <v>60</v>
      </c>
    </row>
    <row r="757" spans="1:23" x14ac:dyDescent="0.25">
      <c r="A757">
        <v>756</v>
      </c>
      <c r="B757">
        <v>66</v>
      </c>
      <c r="C757" t="str" cm="1">
        <f t="array" ref="C757">_xlfn.IFS(
  AND(B757&gt;=18, B757&lt;=24), "18-24",
  AND(B757&gt;=25, B757&lt;=34), "25-34",
  AND(B757&gt;=35, B757&lt;=44), "35-44",
  AND(B757&gt;=45, B757&lt;=54), "45-54",
  B757&gt;=55, "55+"
)</f>
        <v>55+</v>
      </c>
      <c r="D757" t="s">
        <v>19</v>
      </c>
      <c r="E757" t="s">
        <v>64</v>
      </c>
      <c r="F757" t="s">
        <v>65</v>
      </c>
      <c r="G757">
        <v>24</v>
      </c>
      <c r="H757" t="s">
        <v>103</v>
      </c>
      <c r="I757" t="s">
        <v>45</v>
      </c>
      <c r="J757" t="s">
        <v>84</v>
      </c>
      <c r="K757" t="s">
        <v>39</v>
      </c>
      <c r="L757">
        <v>3.3</v>
      </c>
      <c r="M757" t="s">
        <v>26</v>
      </c>
      <c r="N757" t="s">
        <v>29</v>
      </c>
      <c r="O757" t="s">
        <v>40</v>
      </c>
      <c r="P757" t="s">
        <v>26</v>
      </c>
      <c r="Q757" t="s">
        <v>26</v>
      </c>
      <c r="R757">
        <v>22</v>
      </c>
      <c r="S757" t="s">
        <v>46</v>
      </c>
      <c r="T757" t="str">
        <f t="shared" si="22"/>
        <v>Daily</v>
      </c>
      <c r="U757">
        <f>VLOOKUP(T757,[1]tablescore!$B$3:$C$8, 2,FALSE)</f>
        <v>30</v>
      </c>
      <c r="V757" t="str">
        <f t="shared" si="23"/>
        <v>Highly Loyal</v>
      </c>
      <c r="W757" t="s">
        <v>41</v>
      </c>
    </row>
    <row r="758" spans="1:23" x14ac:dyDescent="0.25">
      <c r="A758">
        <v>757</v>
      </c>
      <c r="B758">
        <v>62</v>
      </c>
      <c r="C758" t="str" cm="1">
        <f t="array" ref="C758">_xlfn.IFS(
  AND(B758&gt;=18, B758&lt;=24), "18-24",
  AND(B758&gt;=25, B758&lt;=34), "25-34",
  AND(B758&gt;=35, B758&lt;=44), "35-44",
  AND(B758&gt;=45, B758&lt;=54), "45-54",
  B758&gt;=55, "55+"
)</f>
        <v>55+</v>
      </c>
      <c r="D758" t="s">
        <v>19</v>
      </c>
      <c r="E758" t="s">
        <v>136</v>
      </c>
      <c r="F758" t="s">
        <v>69</v>
      </c>
      <c r="G758">
        <v>99</v>
      </c>
      <c r="H758" t="s">
        <v>57</v>
      </c>
      <c r="I758" t="s">
        <v>38</v>
      </c>
      <c r="J758" t="s">
        <v>121</v>
      </c>
      <c r="K758" t="s">
        <v>54</v>
      </c>
      <c r="L758">
        <v>4.8</v>
      </c>
      <c r="M758" t="s">
        <v>26</v>
      </c>
      <c r="N758" t="s">
        <v>35</v>
      </c>
      <c r="O758" t="s">
        <v>55</v>
      </c>
      <c r="P758" t="s">
        <v>26</v>
      </c>
      <c r="Q758" t="s">
        <v>26</v>
      </c>
      <c r="R758">
        <v>24</v>
      </c>
      <c r="S758" t="s">
        <v>35</v>
      </c>
      <c r="T758" t="str">
        <f t="shared" si="22"/>
        <v>2-week</v>
      </c>
      <c r="U758">
        <f>VLOOKUP(T758,[1]tablescore!$B$3:$C$8, 2,FALSE)</f>
        <v>26</v>
      </c>
      <c r="V758" t="str">
        <f t="shared" si="23"/>
        <v>Loyal</v>
      </c>
      <c r="W758" t="s">
        <v>30</v>
      </c>
    </row>
    <row r="759" spans="1:23" x14ac:dyDescent="0.25">
      <c r="A759">
        <v>758</v>
      </c>
      <c r="B759">
        <v>41</v>
      </c>
      <c r="C759" t="str" cm="1">
        <f t="array" ref="C759">_xlfn.IFS(
  AND(B759&gt;=18, B759&lt;=24), "18-24",
  AND(B759&gt;=25, B759&lt;=34), "25-34",
  AND(B759&gt;=35, B759&lt;=44), "35-44",
  AND(B759&gt;=45, B759&lt;=54), "45-54",
  B759&gt;=55, "55+"
)</f>
        <v>35-44</v>
      </c>
      <c r="D759" t="s">
        <v>19</v>
      </c>
      <c r="E759" t="s">
        <v>104</v>
      </c>
      <c r="F759" t="s">
        <v>21</v>
      </c>
      <c r="G759">
        <v>32</v>
      </c>
      <c r="H759" t="s">
        <v>134</v>
      </c>
      <c r="I759" t="s">
        <v>45</v>
      </c>
      <c r="J759" t="s">
        <v>108</v>
      </c>
      <c r="K759" t="s">
        <v>58</v>
      </c>
      <c r="L759">
        <v>3.8</v>
      </c>
      <c r="M759" t="s">
        <v>26</v>
      </c>
      <c r="N759" t="s">
        <v>59</v>
      </c>
      <c r="O759" t="s">
        <v>76</v>
      </c>
      <c r="P759" t="s">
        <v>26</v>
      </c>
      <c r="Q759" t="s">
        <v>26</v>
      </c>
      <c r="R759">
        <v>18</v>
      </c>
      <c r="S759" t="s">
        <v>59</v>
      </c>
      <c r="T759" t="str">
        <f t="shared" si="22"/>
        <v>Quarterly</v>
      </c>
      <c r="U759">
        <f>VLOOKUP(T759,[1]tablescore!$B$3:$C$8, 2,FALSE)</f>
        <v>4</v>
      </c>
      <c r="V759" t="str">
        <f t="shared" si="23"/>
        <v>Low Loyalty</v>
      </c>
      <c r="W759" t="s">
        <v>60</v>
      </c>
    </row>
    <row r="760" spans="1:23" x14ac:dyDescent="0.25">
      <c r="A760">
        <v>759</v>
      </c>
      <c r="B760">
        <v>66</v>
      </c>
      <c r="C760" t="str" cm="1">
        <f t="array" ref="C760">_xlfn.IFS(
  AND(B760&gt;=18, B760&lt;=24), "18-24",
  AND(B760&gt;=25, B760&lt;=34), "25-34",
  AND(B760&gt;=35, B760&lt;=44), "35-44",
  AND(B760&gt;=45, B760&lt;=54), "45-54",
  B760&gt;=55, "55+"
)</f>
        <v>55+</v>
      </c>
      <c r="D760" t="s">
        <v>19</v>
      </c>
      <c r="E760" t="s">
        <v>73</v>
      </c>
      <c r="F760" t="s">
        <v>43</v>
      </c>
      <c r="G760">
        <v>71</v>
      </c>
      <c r="H760" t="s">
        <v>37</v>
      </c>
      <c r="I760" t="s">
        <v>23</v>
      </c>
      <c r="J760" t="s">
        <v>100</v>
      </c>
      <c r="K760" t="s">
        <v>54</v>
      </c>
      <c r="L760">
        <v>4.5999999999999996</v>
      </c>
      <c r="M760" t="s">
        <v>26</v>
      </c>
      <c r="N760" t="s">
        <v>34</v>
      </c>
      <c r="O760" t="s">
        <v>72</v>
      </c>
      <c r="P760" t="s">
        <v>26</v>
      </c>
      <c r="Q760" t="s">
        <v>26</v>
      </c>
      <c r="R760">
        <v>39</v>
      </c>
      <c r="S760" t="s">
        <v>34</v>
      </c>
      <c r="T760" t="str">
        <f t="shared" si="22"/>
        <v>Quarterly</v>
      </c>
      <c r="U760">
        <f>VLOOKUP(T760,[1]tablescore!$B$3:$C$8, 2,FALSE)</f>
        <v>4</v>
      </c>
      <c r="V760" t="str">
        <f t="shared" si="23"/>
        <v>Low Loyalty</v>
      </c>
      <c r="W760" t="s">
        <v>97</v>
      </c>
    </row>
    <row r="761" spans="1:23" x14ac:dyDescent="0.25">
      <c r="A761">
        <v>760</v>
      </c>
      <c r="B761">
        <v>51</v>
      </c>
      <c r="C761" t="str" cm="1">
        <f t="array" ref="C761">_xlfn.IFS(
  AND(B761&gt;=18, B761&lt;=24), "18-24",
  AND(B761&gt;=25, B761&lt;=34), "25-34",
  AND(B761&gt;=35, B761&lt;=44), "35-44",
  AND(B761&gt;=45, B761&lt;=54), "45-54",
  B761&gt;=55, "55+"
)</f>
        <v>45-54</v>
      </c>
      <c r="D761" t="s">
        <v>19</v>
      </c>
      <c r="E761" t="s">
        <v>82</v>
      </c>
      <c r="F761" t="s">
        <v>21</v>
      </c>
      <c r="G761">
        <v>49</v>
      </c>
      <c r="H761" t="s">
        <v>44</v>
      </c>
      <c r="I761" t="s">
        <v>92</v>
      </c>
      <c r="J761" t="s">
        <v>96</v>
      </c>
      <c r="K761" t="s">
        <v>25</v>
      </c>
      <c r="L761">
        <v>2.6</v>
      </c>
      <c r="M761" t="s">
        <v>26</v>
      </c>
      <c r="N761" t="s">
        <v>34</v>
      </c>
      <c r="O761" t="s">
        <v>47</v>
      </c>
      <c r="P761" t="s">
        <v>26</v>
      </c>
      <c r="Q761" t="s">
        <v>26</v>
      </c>
      <c r="R761">
        <v>25</v>
      </c>
      <c r="S761" t="s">
        <v>27</v>
      </c>
      <c r="T761" t="str">
        <f t="shared" si="22"/>
        <v>2-week</v>
      </c>
      <c r="U761">
        <f>VLOOKUP(T761,[1]tablescore!$B$3:$C$8, 2,FALSE)</f>
        <v>26</v>
      </c>
      <c r="V761" t="str">
        <f t="shared" si="23"/>
        <v>Loyal</v>
      </c>
      <c r="W761" t="s">
        <v>30</v>
      </c>
    </row>
    <row r="762" spans="1:23" x14ac:dyDescent="0.25">
      <c r="A762">
        <v>761</v>
      </c>
      <c r="B762">
        <v>33</v>
      </c>
      <c r="C762" t="str" cm="1">
        <f t="array" ref="C762">_xlfn.IFS(
  AND(B762&gt;=18, B762&lt;=24), "18-24",
  AND(B762&gt;=25, B762&lt;=34), "25-34",
  AND(B762&gt;=35, B762&lt;=44), "35-44",
  AND(B762&gt;=45, B762&lt;=54), "45-54",
  B762&gt;=55, "55+"
)</f>
        <v>25-34</v>
      </c>
      <c r="D762" t="s">
        <v>19</v>
      </c>
      <c r="E762" t="s">
        <v>127</v>
      </c>
      <c r="F762" t="s">
        <v>69</v>
      </c>
      <c r="G762">
        <v>50</v>
      </c>
      <c r="H762" t="s">
        <v>134</v>
      </c>
      <c r="I762" t="s">
        <v>92</v>
      </c>
      <c r="J762" t="s">
        <v>84</v>
      </c>
      <c r="K762" t="s">
        <v>58</v>
      </c>
      <c r="L762">
        <v>3.4</v>
      </c>
      <c r="M762" t="s">
        <v>26</v>
      </c>
      <c r="N762" t="s">
        <v>27</v>
      </c>
      <c r="O762" t="s">
        <v>40</v>
      </c>
      <c r="P762" t="s">
        <v>26</v>
      </c>
      <c r="Q762" t="s">
        <v>26</v>
      </c>
      <c r="R762">
        <v>6</v>
      </c>
      <c r="S762" t="s">
        <v>35</v>
      </c>
      <c r="T762" t="str">
        <f t="shared" si="22"/>
        <v>Annually</v>
      </c>
      <c r="U762">
        <f>VLOOKUP(T762,[1]tablescore!$B$3:$C$8, 2,FALSE)</f>
        <v>1</v>
      </c>
      <c r="V762" t="str">
        <f t="shared" si="23"/>
        <v>Low Loyalty</v>
      </c>
      <c r="W762" t="s">
        <v>50</v>
      </c>
    </row>
    <row r="763" spans="1:23" x14ac:dyDescent="0.25">
      <c r="A763">
        <v>762</v>
      </c>
      <c r="B763">
        <v>57</v>
      </c>
      <c r="C763" t="str" cm="1">
        <f t="array" ref="C763">_xlfn.IFS(
  AND(B763&gt;=18, B763&lt;=24), "18-24",
  AND(B763&gt;=25, B763&lt;=34), "25-34",
  AND(B763&gt;=35, B763&lt;=44), "35-44",
  AND(B763&gt;=45, B763&lt;=54), "45-54",
  B763&gt;=55, "55+"
)</f>
        <v>55+</v>
      </c>
      <c r="D763" t="s">
        <v>19</v>
      </c>
      <c r="E763" t="s">
        <v>106</v>
      </c>
      <c r="F763" t="s">
        <v>69</v>
      </c>
      <c r="G763">
        <v>91</v>
      </c>
      <c r="H763" t="s">
        <v>107</v>
      </c>
      <c r="I763" t="s">
        <v>23</v>
      </c>
      <c r="J763" t="s">
        <v>139</v>
      </c>
      <c r="K763" t="s">
        <v>58</v>
      </c>
      <c r="L763">
        <v>4.2</v>
      </c>
      <c r="M763" t="s">
        <v>26</v>
      </c>
      <c r="N763" t="s">
        <v>27</v>
      </c>
      <c r="O763" t="s">
        <v>28</v>
      </c>
      <c r="P763" t="s">
        <v>26</v>
      </c>
      <c r="Q763" t="s">
        <v>26</v>
      </c>
      <c r="R763">
        <v>26</v>
      </c>
      <c r="S763" t="s">
        <v>34</v>
      </c>
      <c r="T763" t="str">
        <f t="shared" si="22"/>
        <v>Daily</v>
      </c>
      <c r="U763">
        <f>VLOOKUP(T763,[1]tablescore!$B$3:$C$8, 2,FALSE)</f>
        <v>30</v>
      </c>
      <c r="V763" t="str">
        <f t="shared" si="23"/>
        <v>Highly Loyal</v>
      </c>
      <c r="W763" t="s">
        <v>41</v>
      </c>
    </row>
    <row r="764" spans="1:23" x14ac:dyDescent="0.25">
      <c r="A764">
        <v>763</v>
      </c>
      <c r="B764">
        <v>45</v>
      </c>
      <c r="C764" t="str" cm="1">
        <f t="array" ref="C764">_xlfn.IFS(
  AND(B764&gt;=18, B764&lt;=24), "18-24",
  AND(B764&gt;=25, B764&lt;=34), "25-34",
  AND(B764&gt;=35, B764&lt;=44), "35-44",
  AND(B764&gt;=45, B764&lt;=54), "45-54",
  B764&gt;=55, "55+"
)</f>
        <v>45-54</v>
      </c>
      <c r="D764" t="s">
        <v>19</v>
      </c>
      <c r="E764" t="s">
        <v>136</v>
      </c>
      <c r="F764" t="s">
        <v>69</v>
      </c>
      <c r="G764">
        <v>46</v>
      </c>
      <c r="H764" t="s">
        <v>123</v>
      </c>
      <c r="I764" t="s">
        <v>45</v>
      </c>
      <c r="J764" t="s">
        <v>71</v>
      </c>
      <c r="K764" t="s">
        <v>58</v>
      </c>
      <c r="L764">
        <v>3.9</v>
      </c>
      <c r="M764" t="s">
        <v>26</v>
      </c>
      <c r="N764" t="s">
        <v>27</v>
      </c>
      <c r="O764" t="s">
        <v>55</v>
      </c>
      <c r="P764" t="s">
        <v>26</v>
      </c>
      <c r="Q764" t="s">
        <v>26</v>
      </c>
      <c r="R764">
        <v>43</v>
      </c>
      <c r="S764" t="s">
        <v>59</v>
      </c>
      <c r="T764" t="str">
        <f t="shared" si="22"/>
        <v>2-week</v>
      </c>
      <c r="U764">
        <f>VLOOKUP(T764,[1]tablescore!$B$3:$C$8, 2,FALSE)</f>
        <v>26</v>
      </c>
      <c r="V764" t="str">
        <f t="shared" si="23"/>
        <v>Loyal</v>
      </c>
      <c r="W764" t="s">
        <v>30</v>
      </c>
    </row>
    <row r="765" spans="1:23" x14ac:dyDescent="0.25">
      <c r="A765">
        <v>764</v>
      </c>
      <c r="B765">
        <v>61</v>
      </c>
      <c r="C765" t="str" cm="1">
        <f t="array" ref="C765">_xlfn.IFS(
  AND(B765&gt;=18, B765&lt;=24), "18-24",
  AND(B765&gt;=25, B765&lt;=34), "25-34",
  AND(B765&gt;=35, B765&lt;=44), "35-44",
  AND(B765&gt;=45, B765&lt;=54), "45-54",
  B765&gt;=55, "55+"
)</f>
        <v>55+</v>
      </c>
      <c r="D765" t="s">
        <v>19</v>
      </c>
      <c r="E765" t="s">
        <v>31</v>
      </c>
      <c r="F765" t="s">
        <v>21</v>
      </c>
      <c r="G765">
        <v>50</v>
      </c>
      <c r="H765" t="s">
        <v>98</v>
      </c>
      <c r="I765" t="s">
        <v>45</v>
      </c>
      <c r="J765" t="s">
        <v>110</v>
      </c>
      <c r="K765" t="s">
        <v>39</v>
      </c>
      <c r="L765">
        <v>2.9</v>
      </c>
      <c r="M765" t="s">
        <v>26</v>
      </c>
      <c r="N765" t="s">
        <v>59</v>
      </c>
      <c r="O765" t="s">
        <v>72</v>
      </c>
      <c r="P765" t="s">
        <v>26</v>
      </c>
      <c r="Q765" t="s">
        <v>26</v>
      </c>
      <c r="R765">
        <v>6</v>
      </c>
      <c r="S765" t="s">
        <v>27</v>
      </c>
      <c r="T765" t="str">
        <f t="shared" si="22"/>
        <v>Month</v>
      </c>
      <c r="U765">
        <f>VLOOKUP(T765,[1]tablescore!$B$3:$C$8, 2,FALSE)</f>
        <v>12</v>
      </c>
      <c r="V765" t="str">
        <f t="shared" si="23"/>
        <v>Moderate</v>
      </c>
      <c r="W765" t="s">
        <v>88</v>
      </c>
    </row>
    <row r="766" spans="1:23" x14ac:dyDescent="0.25">
      <c r="A766">
        <v>765</v>
      </c>
      <c r="B766">
        <v>55</v>
      </c>
      <c r="C766" t="str" cm="1">
        <f t="array" ref="C766">_xlfn.IFS(
  AND(B766&gt;=18, B766&lt;=24), "18-24",
  AND(B766&gt;=25, B766&lt;=34), "25-34",
  AND(B766&gt;=35, B766&lt;=44), "35-44",
  AND(B766&gt;=45, B766&lt;=54), "45-54",
  B766&gt;=55, "55+"
)</f>
        <v>55+</v>
      </c>
      <c r="D766" t="s">
        <v>19</v>
      </c>
      <c r="E766" t="s">
        <v>87</v>
      </c>
      <c r="F766" t="s">
        <v>21</v>
      </c>
      <c r="G766">
        <v>39</v>
      </c>
      <c r="H766" t="s">
        <v>128</v>
      </c>
      <c r="I766" t="s">
        <v>92</v>
      </c>
      <c r="J766" t="s">
        <v>67</v>
      </c>
      <c r="K766" t="s">
        <v>58</v>
      </c>
      <c r="L766">
        <v>4.2</v>
      </c>
      <c r="M766" t="s">
        <v>26</v>
      </c>
      <c r="N766" t="s">
        <v>34</v>
      </c>
      <c r="O766" t="s">
        <v>40</v>
      </c>
      <c r="P766" t="s">
        <v>26</v>
      </c>
      <c r="Q766" t="s">
        <v>26</v>
      </c>
      <c r="R766">
        <v>6</v>
      </c>
      <c r="S766" t="s">
        <v>59</v>
      </c>
      <c r="T766" t="str">
        <f t="shared" si="22"/>
        <v>Quarterly</v>
      </c>
      <c r="U766">
        <f>VLOOKUP(T766,[1]tablescore!$B$3:$C$8, 2,FALSE)</f>
        <v>4</v>
      </c>
      <c r="V766" t="str">
        <f t="shared" si="23"/>
        <v>Low Loyalty</v>
      </c>
      <c r="W766" t="s">
        <v>60</v>
      </c>
    </row>
    <row r="767" spans="1:23" x14ac:dyDescent="0.25">
      <c r="A767">
        <v>766</v>
      </c>
      <c r="B767">
        <v>54</v>
      </c>
      <c r="C767" t="str" cm="1">
        <f t="array" ref="C767">_xlfn.IFS(
  AND(B767&gt;=18, B767&lt;=24), "18-24",
  AND(B767&gt;=25, B767&lt;=34), "25-34",
  AND(B767&gt;=35, B767&lt;=44), "35-44",
  AND(B767&gt;=45, B767&lt;=54), "45-54",
  B767&gt;=55, "55+"
)</f>
        <v>45-54</v>
      </c>
      <c r="D767" t="s">
        <v>19</v>
      </c>
      <c r="E767" t="s">
        <v>51</v>
      </c>
      <c r="F767" t="s">
        <v>43</v>
      </c>
      <c r="G767">
        <v>99</v>
      </c>
      <c r="H767" t="s">
        <v>120</v>
      </c>
      <c r="I767" t="s">
        <v>45</v>
      </c>
      <c r="J767" t="s">
        <v>71</v>
      </c>
      <c r="K767" t="s">
        <v>54</v>
      </c>
      <c r="L767">
        <v>3</v>
      </c>
      <c r="M767" t="s">
        <v>26</v>
      </c>
      <c r="N767" t="s">
        <v>34</v>
      </c>
      <c r="O767" t="s">
        <v>76</v>
      </c>
      <c r="P767" t="s">
        <v>26</v>
      </c>
      <c r="Q767" t="s">
        <v>26</v>
      </c>
      <c r="R767">
        <v>13</v>
      </c>
      <c r="S767" t="s">
        <v>35</v>
      </c>
      <c r="T767" t="str">
        <f t="shared" si="22"/>
        <v>Quarterly</v>
      </c>
      <c r="U767">
        <f>VLOOKUP(T767,[1]tablescore!$B$3:$C$8, 2,FALSE)</f>
        <v>4</v>
      </c>
      <c r="V767" t="str">
        <f t="shared" si="23"/>
        <v>Low Loyalty</v>
      </c>
      <c r="W767" t="s">
        <v>60</v>
      </c>
    </row>
    <row r="768" spans="1:23" x14ac:dyDescent="0.25">
      <c r="A768">
        <v>767</v>
      </c>
      <c r="B768">
        <v>57</v>
      </c>
      <c r="C768" t="str" cm="1">
        <f t="array" ref="C768">_xlfn.IFS(
  AND(B768&gt;=18, B768&lt;=24), "18-24",
  AND(B768&gt;=25, B768&lt;=34), "25-34",
  AND(B768&gt;=35, B768&lt;=44), "35-44",
  AND(B768&gt;=45, B768&lt;=54), "45-54",
  B768&gt;=55, "55+"
)</f>
        <v>55+</v>
      </c>
      <c r="D768" t="s">
        <v>19</v>
      </c>
      <c r="E768" t="s">
        <v>127</v>
      </c>
      <c r="F768" t="s">
        <v>69</v>
      </c>
      <c r="G768">
        <v>48</v>
      </c>
      <c r="H768" t="s">
        <v>107</v>
      </c>
      <c r="I768" t="s">
        <v>45</v>
      </c>
      <c r="J768" t="s">
        <v>109</v>
      </c>
      <c r="K768" t="s">
        <v>25</v>
      </c>
      <c r="L768">
        <v>3.6</v>
      </c>
      <c r="M768" t="s">
        <v>26</v>
      </c>
      <c r="N768" t="s">
        <v>46</v>
      </c>
      <c r="O768" t="s">
        <v>47</v>
      </c>
      <c r="P768" t="s">
        <v>26</v>
      </c>
      <c r="Q768" t="s">
        <v>26</v>
      </c>
      <c r="R768">
        <v>13</v>
      </c>
      <c r="S768" t="s">
        <v>46</v>
      </c>
      <c r="T768" t="str">
        <f t="shared" si="22"/>
        <v>Month</v>
      </c>
      <c r="U768">
        <f>VLOOKUP(T768,[1]tablescore!$B$3:$C$8, 2,FALSE)</f>
        <v>12</v>
      </c>
      <c r="V768" t="str">
        <f t="shared" si="23"/>
        <v>Moderate</v>
      </c>
      <c r="W768" t="s">
        <v>88</v>
      </c>
    </row>
    <row r="769" spans="1:23" x14ac:dyDescent="0.25">
      <c r="A769">
        <v>768</v>
      </c>
      <c r="B769">
        <v>27</v>
      </c>
      <c r="C769" t="str" cm="1">
        <f t="array" ref="C769">_xlfn.IFS(
  AND(B769&gt;=18, B769&lt;=24), "18-24",
  AND(B769&gt;=25, B769&lt;=34), "25-34",
  AND(B769&gt;=35, B769&lt;=44), "35-44",
  AND(B769&gt;=45, B769&lt;=54), "45-54",
  B769&gt;=55, "55+"
)</f>
        <v>25-34</v>
      </c>
      <c r="D769" t="s">
        <v>19</v>
      </c>
      <c r="E769" t="s">
        <v>64</v>
      </c>
      <c r="F769" t="s">
        <v>65</v>
      </c>
      <c r="G769">
        <v>77</v>
      </c>
      <c r="H769" t="s">
        <v>141</v>
      </c>
      <c r="I769" t="s">
        <v>45</v>
      </c>
      <c r="J769" t="s">
        <v>110</v>
      </c>
      <c r="K769" t="s">
        <v>58</v>
      </c>
      <c r="L769">
        <v>2.5</v>
      </c>
      <c r="M769" t="s">
        <v>26</v>
      </c>
      <c r="N769" t="s">
        <v>35</v>
      </c>
      <c r="O769" t="s">
        <v>47</v>
      </c>
      <c r="P769" t="s">
        <v>26</v>
      </c>
      <c r="Q769" t="s">
        <v>26</v>
      </c>
      <c r="R769">
        <v>11</v>
      </c>
      <c r="S769" t="s">
        <v>35</v>
      </c>
      <c r="T769" t="str">
        <f t="shared" si="22"/>
        <v>Annually</v>
      </c>
      <c r="U769">
        <f>VLOOKUP(T769,[1]tablescore!$B$3:$C$8, 2,FALSE)</f>
        <v>1</v>
      </c>
      <c r="V769" t="str">
        <f t="shared" si="23"/>
        <v>Low Loyalty</v>
      </c>
      <c r="W769" t="s">
        <v>50</v>
      </c>
    </row>
    <row r="770" spans="1:23" x14ac:dyDescent="0.25">
      <c r="A770">
        <v>769</v>
      </c>
      <c r="B770">
        <v>64</v>
      </c>
      <c r="C770" t="str" cm="1">
        <f t="array" ref="C770">_xlfn.IFS(
  AND(B770&gt;=18, B770&lt;=24), "18-24",
  AND(B770&gt;=25, B770&lt;=34), "25-34",
  AND(B770&gt;=35, B770&lt;=44), "35-44",
  AND(B770&gt;=45, B770&lt;=54), "45-54",
  B770&gt;=55, "55+"
)</f>
        <v>55+</v>
      </c>
      <c r="D770" t="s">
        <v>19</v>
      </c>
      <c r="E770" t="s">
        <v>133</v>
      </c>
      <c r="F770" t="s">
        <v>69</v>
      </c>
      <c r="G770">
        <v>95</v>
      </c>
      <c r="H770" t="s">
        <v>115</v>
      </c>
      <c r="I770" t="s">
        <v>92</v>
      </c>
      <c r="J770" t="s">
        <v>108</v>
      </c>
      <c r="K770" t="s">
        <v>39</v>
      </c>
      <c r="L770">
        <v>2.6</v>
      </c>
      <c r="M770" t="s">
        <v>26</v>
      </c>
      <c r="N770" t="s">
        <v>46</v>
      </c>
      <c r="O770" t="s">
        <v>28</v>
      </c>
      <c r="P770" t="s">
        <v>26</v>
      </c>
      <c r="Q770" t="s">
        <v>26</v>
      </c>
      <c r="R770">
        <v>45</v>
      </c>
      <c r="S770" t="s">
        <v>29</v>
      </c>
      <c r="T770" t="str">
        <f t="shared" si="22"/>
        <v>Daily</v>
      </c>
      <c r="U770">
        <f>VLOOKUP(T770,[1]tablescore!$B$3:$C$8, 2,FALSE)</f>
        <v>30</v>
      </c>
      <c r="V770" t="str">
        <f t="shared" si="23"/>
        <v>Highly Loyal</v>
      </c>
      <c r="W770" t="s">
        <v>41</v>
      </c>
    </row>
    <row r="771" spans="1:23" x14ac:dyDescent="0.25">
      <c r="A771">
        <v>770</v>
      </c>
      <c r="B771">
        <v>52</v>
      </c>
      <c r="C771" t="str" cm="1">
        <f t="array" ref="C771">_xlfn.IFS(
  AND(B771&gt;=18, B771&lt;=24), "18-24",
  AND(B771&gt;=25, B771&lt;=34), "25-34",
  AND(B771&gt;=35, B771&lt;=44), "35-44",
  AND(B771&gt;=45, B771&lt;=54), "45-54",
  B771&gt;=55, "55+"
)</f>
        <v>45-54</v>
      </c>
      <c r="D771" t="s">
        <v>19</v>
      </c>
      <c r="E771" t="s">
        <v>131</v>
      </c>
      <c r="F771" t="s">
        <v>21</v>
      </c>
      <c r="G771">
        <v>100</v>
      </c>
      <c r="H771" t="s">
        <v>80</v>
      </c>
      <c r="I771" t="s">
        <v>45</v>
      </c>
      <c r="J771" t="s">
        <v>67</v>
      </c>
      <c r="K771" t="s">
        <v>39</v>
      </c>
      <c r="L771">
        <v>4.3</v>
      </c>
      <c r="M771" t="s">
        <v>26</v>
      </c>
      <c r="N771" t="s">
        <v>27</v>
      </c>
      <c r="O771" t="s">
        <v>76</v>
      </c>
      <c r="P771" t="s">
        <v>26</v>
      </c>
      <c r="Q771" t="s">
        <v>26</v>
      </c>
      <c r="R771">
        <v>8</v>
      </c>
      <c r="S771" t="s">
        <v>46</v>
      </c>
      <c r="T771" t="str">
        <f t="shared" ref="T771:T834" si="24">IF(TRIM(W771)="Every 3 months","Quarterly",IF(TRIM(W771)="Fortnightly","2-week",IF(TRIM(W771)="Bi-Weekly","2-week",IF(TRIM(W771)="Weekly","Daily",IF(TRIM(W771)="Monthly","Month",TRIM(W771))))))</f>
        <v>Month</v>
      </c>
      <c r="U771">
        <f>VLOOKUP(T771,[1]tablescore!$B$3:$C$8, 2,FALSE)</f>
        <v>12</v>
      </c>
      <c r="V771" t="str">
        <f t="shared" ref="V771:V834" si="25">_xlfn.IFS(U771&gt;=30, "Highly Loyal", U771&gt;=26, "Loyal", U771&gt;=12, "Moderate", U771&lt;5, "Low Loyalty")</f>
        <v>Moderate</v>
      </c>
      <c r="W771" t="s">
        <v>88</v>
      </c>
    </row>
    <row r="772" spans="1:23" x14ac:dyDescent="0.25">
      <c r="A772">
        <v>771</v>
      </c>
      <c r="B772">
        <v>19</v>
      </c>
      <c r="C772" t="str" cm="1">
        <f t="array" ref="C772">_xlfn.IFS(
  AND(B772&gt;=18, B772&lt;=24), "18-24",
  AND(B772&gt;=25, B772&lt;=34), "25-34",
  AND(B772&gt;=35, B772&lt;=44), "35-44",
  AND(B772&gt;=45, B772&lt;=54), "45-54",
  B772&gt;=55, "55+"
)</f>
        <v>18-24</v>
      </c>
      <c r="D772" t="s">
        <v>19</v>
      </c>
      <c r="E772" t="s">
        <v>51</v>
      </c>
      <c r="F772" t="s">
        <v>43</v>
      </c>
      <c r="G772">
        <v>54</v>
      </c>
      <c r="H772" t="s">
        <v>145</v>
      </c>
      <c r="I772" t="s">
        <v>45</v>
      </c>
      <c r="J772" t="s">
        <v>24</v>
      </c>
      <c r="K772" t="s">
        <v>39</v>
      </c>
      <c r="L772">
        <v>3.3</v>
      </c>
      <c r="M772" t="s">
        <v>26</v>
      </c>
      <c r="N772" t="s">
        <v>29</v>
      </c>
      <c r="O772" t="s">
        <v>28</v>
      </c>
      <c r="P772" t="s">
        <v>26</v>
      </c>
      <c r="Q772" t="s">
        <v>26</v>
      </c>
      <c r="R772">
        <v>8</v>
      </c>
      <c r="S772" t="s">
        <v>27</v>
      </c>
      <c r="T772" t="str">
        <f t="shared" si="24"/>
        <v>Annually</v>
      </c>
      <c r="U772">
        <f>VLOOKUP(T772,[1]tablescore!$B$3:$C$8, 2,FALSE)</f>
        <v>1</v>
      </c>
      <c r="V772" t="str">
        <f t="shared" si="25"/>
        <v>Low Loyalty</v>
      </c>
      <c r="W772" t="s">
        <v>50</v>
      </c>
    </row>
    <row r="773" spans="1:23" x14ac:dyDescent="0.25">
      <c r="A773">
        <v>772</v>
      </c>
      <c r="B773">
        <v>22</v>
      </c>
      <c r="C773" t="str" cm="1">
        <f t="array" ref="C773">_xlfn.IFS(
  AND(B773&gt;=18, B773&lt;=24), "18-24",
  AND(B773&gt;=25, B773&lt;=34), "25-34",
  AND(B773&gt;=35, B773&lt;=44), "35-44",
  AND(B773&gt;=45, B773&lt;=54), "45-54",
  B773&gt;=55, "55+"
)</f>
        <v>18-24</v>
      </c>
      <c r="D773" t="s">
        <v>19</v>
      </c>
      <c r="E773" t="s">
        <v>31</v>
      </c>
      <c r="F773" t="s">
        <v>21</v>
      </c>
      <c r="G773">
        <v>68</v>
      </c>
      <c r="H773" t="s">
        <v>78</v>
      </c>
      <c r="I773" t="s">
        <v>23</v>
      </c>
      <c r="J773" t="s">
        <v>109</v>
      </c>
      <c r="K773" t="s">
        <v>58</v>
      </c>
      <c r="L773">
        <v>2.6</v>
      </c>
      <c r="M773" t="s">
        <v>26</v>
      </c>
      <c r="N773" t="s">
        <v>27</v>
      </c>
      <c r="O773" t="s">
        <v>47</v>
      </c>
      <c r="P773" t="s">
        <v>26</v>
      </c>
      <c r="Q773" t="s">
        <v>26</v>
      </c>
      <c r="R773">
        <v>34</v>
      </c>
      <c r="S773" t="s">
        <v>34</v>
      </c>
      <c r="T773" t="str">
        <f t="shared" si="24"/>
        <v>2-week</v>
      </c>
      <c r="U773">
        <f>VLOOKUP(T773,[1]tablescore!$B$3:$C$8, 2,FALSE)</f>
        <v>26</v>
      </c>
      <c r="V773" t="str">
        <f t="shared" si="25"/>
        <v>Loyal</v>
      </c>
      <c r="W773" t="s">
        <v>30</v>
      </c>
    </row>
    <row r="774" spans="1:23" x14ac:dyDescent="0.25">
      <c r="A774">
        <v>773</v>
      </c>
      <c r="B774">
        <v>18</v>
      </c>
      <c r="C774" t="str" cm="1">
        <f t="array" ref="C774">_xlfn.IFS(
  AND(B774&gt;=18, B774&lt;=24), "18-24",
  AND(B774&gt;=25, B774&lt;=34), "25-34",
  AND(B774&gt;=35, B774&lt;=44), "35-44",
  AND(B774&gt;=45, B774&lt;=54), "45-54",
  B774&gt;=55, "55+"
)</f>
        <v>18-24</v>
      </c>
      <c r="D774" t="s">
        <v>19</v>
      </c>
      <c r="E774" t="s">
        <v>36</v>
      </c>
      <c r="F774" t="s">
        <v>21</v>
      </c>
      <c r="G774">
        <v>22</v>
      </c>
      <c r="H774" t="s">
        <v>115</v>
      </c>
      <c r="I774" t="s">
        <v>23</v>
      </c>
      <c r="J774" t="s">
        <v>86</v>
      </c>
      <c r="K774" t="s">
        <v>58</v>
      </c>
      <c r="L774">
        <v>3.6</v>
      </c>
      <c r="M774" t="s">
        <v>26</v>
      </c>
      <c r="N774" t="s">
        <v>35</v>
      </c>
      <c r="O774" t="s">
        <v>40</v>
      </c>
      <c r="P774" t="s">
        <v>26</v>
      </c>
      <c r="Q774" t="s">
        <v>26</v>
      </c>
      <c r="R774">
        <v>40</v>
      </c>
      <c r="S774" t="s">
        <v>59</v>
      </c>
      <c r="T774" t="str">
        <f t="shared" si="24"/>
        <v>2-week</v>
      </c>
      <c r="U774">
        <f>VLOOKUP(T774,[1]tablescore!$B$3:$C$8, 2,FALSE)</f>
        <v>26</v>
      </c>
      <c r="V774" t="str">
        <f t="shared" si="25"/>
        <v>Loyal</v>
      </c>
      <c r="W774" t="s">
        <v>77</v>
      </c>
    </row>
    <row r="775" spans="1:23" x14ac:dyDescent="0.25">
      <c r="A775">
        <v>774</v>
      </c>
      <c r="B775">
        <v>29</v>
      </c>
      <c r="C775" t="str" cm="1">
        <f t="array" ref="C775">_xlfn.IFS(
  AND(B775&gt;=18, B775&lt;=24), "18-24",
  AND(B775&gt;=25, B775&lt;=34), "25-34",
  AND(B775&gt;=35, B775&lt;=44), "35-44",
  AND(B775&gt;=45, B775&lt;=54), "45-54",
  B775&gt;=55, "55+"
)</f>
        <v>25-34</v>
      </c>
      <c r="D775" t="s">
        <v>19</v>
      </c>
      <c r="E775" t="s">
        <v>125</v>
      </c>
      <c r="F775" t="s">
        <v>69</v>
      </c>
      <c r="G775">
        <v>84</v>
      </c>
      <c r="H775" t="s">
        <v>99</v>
      </c>
      <c r="I775" t="s">
        <v>23</v>
      </c>
      <c r="J775" t="s">
        <v>129</v>
      </c>
      <c r="K775" t="s">
        <v>25</v>
      </c>
      <c r="L775">
        <v>2.6</v>
      </c>
      <c r="M775" t="s">
        <v>26</v>
      </c>
      <c r="N775" t="s">
        <v>29</v>
      </c>
      <c r="O775" t="s">
        <v>28</v>
      </c>
      <c r="P775" t="s">
        <v>26</v>
      </c>
      <c r="Q775" t="s">
        <v>26</v>
      </c>
      <c r="R775">
        <v>14</v>
      </c>
      <c r="S775" t="s">
        <v>59</v>
      </c>
      <c r="T775" t="str">
        <f t="shared" si="24"/>
        <v>2-week</v>
      </c>
      <c r="U775">
        <f>VLOOKUP(T775,[1]tablescore!$B$3:$C$8, 2,FALSE)</f>
        <v>26</v>
      </c>
      <c r="V775" t="str">
        <f t="shared" si="25"/>
        <v>Loyal</v>
      </c>
      <c r="W775" t="s">
        <v>77</v>
      </c>
    </row>
    <row r="776" spans="1:23" x14ac:dyDescent="0.25">
      <c r="A776">
        <v>775</v>
      </c>
      <c r="B776">
        <v>42</v>
      </c>
      <c r="C776" t="str" cm="1">
        <f t="array" ref="C776">_xlfn.IFS(
  AND(B776&gt;=18, B776&lt;=24), "18-24",
  AND(B776&gt;=25, B776&lt;=34), "25-34",
  AND(B776&gt;=35, B776&lt;=44), "35-44",
  AND(B776&gt;=45, B776&lt;=54), "45-54",
  B776&gt;=55, "55+"
)</f>
        <v>35-44</v>
      </c>
      <c r="D776" t="s">
        <v>19</v>
      </c>
      <c r="E776" t="s">
        <v>125</v>
      </c>
      <c r="F776" t="s">
        <v>69</v>
      </c>
      <c r="G776">
        <v>46</v>
      </c>
      <c r="H776" t="s">
        <v>107</v>
      </c>
      <c r="I776" t="s">
        <v>45</v>
      </c>
      <c r="J776" t="s">
        <v>139</v>
      </c>
      <c r="K776" t="s">
        <v>54</v>
      </c>
      <c r="L776">
        <v>3.5</v>
      </c>
      <c r="M776" t="s">
        <v>26</v>
      </c>
      <c r="N776" t="s">
        <v>27</v>
      </c>
      <c r="O776" t="s">
        <v>55</v>
      </c>
      <c r="P776" t="s">
        <v>26</v>
      </c>
      <c r="Q776" t="s">
        <v>26</v>
      </c>
      <c r="R776">
        <v>11</v>
      </c>
      <c r="S776" t="s">
        <v>27</v>
      </c>
      <c r="T776" t="str">
        <f t="shared" si="24"/>
        <v>Quarterly</v>
      </c>
      <c r="U776">
        <f>VLOOKUP(T776,[1]tablescore!$B$3:$C$8, 2,FALSE)</f>
        <v>4</v>
      </c>
      <c r="V776" t="str">
        <f t="shared" si="25"/>
        <v>Low Loyalty</v>
      </c>
      <c r="W776" t="s">
        <v>60</v>
      </c>
    </row>
    <row r="777" spans="1:23" x14ac:dyDescent="0.25">
      <c r="A777">
        <v>776</v>
      </c>
      <c r="B777">
        <v>49</v>
      </c>
      <c r="C777" t="str" cm="1">
        <f t="array" ref="C777">_xlfn.IFS(
  AND(B777&gt;=18, B777&lt;=24), "18-24",
  AND(B777&gt;=25, B777&lt;=34), "25-34",
  AND(B777&gt;=35, B777&lt;=44), "35-44",
  AND(B777&gt;=45, B777&lt;=54), "45-54",
  B777&gt;=55, "55+"
)</f>
        <v>45-54</v>
      </c>
      <c r="D777" t="s">
        <v>19</v>
      </c>
      <c r="E777" t="s">
        <v>68</v>
      </c>
      <c r="F777" t="s">
        <v>69</v>
      </c>
      <c r="G777">
        <v>53</v>
      </c>
      <c r="H777" t="s">
        <v>22</v>
      </c>
      <c r="I777" t="s">
        <v>38</v>
      </c>
      <c r="J777" t="s">
        <v>81</v>
      </c>
      <c r="K777" t="s">
        <v>25</v>
      </c>
      <c r="L777">
        <v>3</v>
      </c>
      <c r="M777" t="s">
        <v>26</v>
      </c>
      <c r="N777" t="s">
        <v>46</v>
      </c>
      <c r="O777" t="s">
        <v>76</v>
      </c>
      <c r="P777" t="s">
        <v>26</v>
      </c>
      <c r="Q777" t="s">
        <v>26</v>
      </c>
      <c r="R777">
        <v>8</v>
      </c>
      <c r="S777" t="s">
        <v>46</v>
      </c>
      <c r="T777" t="str">
        <f t="shared" si="24"/>
        <v>Month</v>
      </c>
      <c r="U777">
        <f>VLOOKUP(T777,[1]tablescore!$B$3:$C$8, 2,FALSE)</f>
        <v>12</v>
      </c>
      <c r="V777" t="str">
        <f t="shared" si="25"/>
        <v>Moderate</v>
      </c>
      <c r="W777" t="s">
        <v>88</v>
      </c>
    </row>
    <row r="778" spans="1:23" x14ac:dyDescent="0.25">
      <c r="A778">
        <v>777</v>
      </c>
      <c r="B778">
        <v>49</v>
      </c>
      <c r="C778" t="str" cm="1">
        <f t="array" ref="C778">_xlfn.IFS(
  AND(B778&gt;=18, B778&lt;=24), "18-24",
  AND(B778&gt;=25, B778&lt;=34), "25-34",
  AND(B778&gt;=35, B778&lt;=44), "35-44",
  AND(B778&gt;=45, B778&lt;=54), "45-54",
  B778&gt;=55, "55+"
)</f>
        <v>45-54</v>
      </c>
      <c r="D778" t="s">
        <v>19</v>
      </c>
      <c r="E778" t="s">
        <v>56</v>
      </c>
      <c r="F778" t="s">
        <v>21</v>
      </c>
      <c r="G778">
        <v>60</v>
      </c>
      <c r="H778" t="s">
        <v>90</v>
      </c>
      <c r="I778" t="s">
        <v>45</v>
      </c>
      <c r="J778" t="s">
        <v>33</v>
      </c>
      <c r="K778" t="s">
        <v>39</v>
      </c>
      <c r="L778">
        <v>5</v>
      </c>
      <c r="M778" t="s">
        <v>26</v>
      </c>
      <c r="N778" t="s">
        <v>46</v>
      </c>
      <c r="O778" t="s">
        <v>55</v>
      </c>
      <c r="P778" t="s">
        <v>26</v>
      </c>
      <c r="Q778" t="s">
        <v>26</v>
      </c>
      <c r="R778">
        <v>8</v>
      </c>
      <c r="S778" t="s">
        <v>29</v>
      </c>
      <c r="T778" t="str">
        <f t="shared" si="24"/>
        <v>Quarterly</v>
      </c>
      <c r="U778">
        <f>VLOOKUP(T778,[1]tablescore!$B$3:$C$8, 2,FALSE)</f>
        <v>4</v>
      </c>
      <c r="V778" t="str">
        <f t="shared" si="25"/>
        <v>Low Loyalty</v>
      </c>
      <c r="W778" t="s">
        <v>97</v>
      </c>
    </row>
    <row r="779" spans="1:23" x14ac:dyDescent="0.25">
      <c r="A779">
        <v>778</v>
      </c>
      <c r="B779">
        <v>55</v>
      </c>
      <c r="C779" t="str" cm="1">
        <f t="array" ref="C779">_xlfn.IFS(
  AND(B779&gt;=18, B779&lt;=24), "18-24",
  AND(B779&gt;=25, B779&lt;=34), "25-34",
  AND(B779&gt;=35, B779&lt;=44), "35-44",
  AND(B779&gt;=45, B779&lt;=54), "45-54",
  B779&gt;=55, "55+"
)</f>
        <v>55+</v>
      </c>
      <c r="D779" t="s">
        <v>19</v>
      </c>
      <c r="E779" t="s">
        <v>131</v>
      </c>
      <c r="F779" t="s">
        <v>21</v>
      </c>
      <c r="G779">
        <v>32</v>
      </c>
      <c r="H779" t="s">
        <v>52</v>
      </c>
      <c r="I779" t="s">
        <v>92</v>
      </c>
      <c r="J779" t="s">
        <v>67</v>
      </c>
      <c r="K779" t="s">
        <v>39</v>
      </c>
      <c r="L779">
        <v>2.5</v>
      </c>
      <c r="M779" t="s">
        <v>26</v>
      </c>
      <c r="N779" t="s">
        <v>27</v>
      </c>
      <c r="O779" t="s">
        <v>28</v>
      </c>
      <c r="P779" t="s">
        <v>26</v>
      </c>
      <c r="Q779" t="s">
        <v>26</v>
      </c>
      <c r="R779">
        <v>37</v>
      </c>
      <c r="S779" t="s">
        <v>29</v>
      </c>
      <c r="T779" t="str">
        <f t="shared" si="24"/>
        <v>Daily</v>
      </c>
      <c r="U779">
        <f>VLOOKUP(T779,[1]tablescore!$B$3:$C$8, 2,FALSE)</f>
        <v>30</v>
      </c>
      <c r="V779" t="str">
        <f t="shared" si="25"/>
        <v>Highly Loyal</v>
      </c>
      <c r="W779" t="s">
        <v>41</v>
      </c>
    </row>
    <row r="780" spans="1:23" x14ac:dyDescent="0.25">
      <c r="A780">
        <v>779</v>
      </c>
      <c r="B780">
        <v>29</v>
      </c>
      <c r="C780" t="str" cm="1">
        <f t="array" ref="C780">_xlfn.IFS(
  AND(B780&gt;=18, B780&lt;=24), "18-24",
  AND(B780&gt;=25, B780&lt;=34), "25-34",
  AND(B780&gt;=35, B780&lt;=44), "35-44",
  AND(B780&gt;=45, B780&lt;=54), "45-54",
  B780&gt;=55, "55+"
)</f>
        <v>25-34</v>
      </c>
      <c r="D780" t="s">
        <v>19</v>
      </c>
      <c r="E780" t="s">
        <v>131</v>
      </c>
      <c r="F780" t="s">
        <v>21</v>
      </c>
      <c r="G780">
        <v>50</v>
      </c>
      <c r="H780" t="s">
        <v>37</v>
      </c>
      <c r="I780" t="s">
        <v>45</v>
      </c>
      <c r="J780" t="s">
        <v>139</v>
      </c>
      <c r="K780" t="s">
        <v>54</v>
      </c>
      <c r="L780">
        <v>2.9</v>
      </c>
      <c r="M780" t="s">
        <v>26</v>
      </c>
      <c r="N780" t="s">
        <v>35</v>
      </c>
      <c r="O780" t="s">
        <v>76</v>
      </c>
      <c r="P780" t="s">
        <v>26</v>
      </c>
      <c r="Q780" t="s">
        <v>26</v>
      </c>
      <c r="R780">
        <v>23</v>
      </c>
      <c r="S780" t="s">
        <v>59</v>
      </c>
      <c r="T780" t="str">
        <f t="shared" si="24"/>
        <v>Annually</v>
      </c>
      <c r="U780">
        <f>VLOOKUP(T780,[1]tablescore!$B$3:$C$8, 2,FALSE)</f>
        <v>1</v>
      </c>
      <c r="V780" t="str">
        <f t="shared" si="25"/>
        <v>Low Loyalty</v>
      </c>
      <c r="W780" t="s">
        <v>50</v>
      </c>
    </row>
    <row r="781" spans="1:23" x14ac:dyDescent="0.25">
      <c r="A781">
        <v>780</v>
      </c>
      <c r="B781">
        <v>60</v>
      </c>
      <c r="C781" t="str" cm="1">
        <f t="array" ref="C781">_xlfn.IFS(
  AND(B781&gt;=18, B781&lt;=24), "18-24",
  AND(B781&gt;=25, B781&lt;=34), "25-34",
  AND(B781&gt;=35, B781&lt;=44), "35-44",
  AND(B781&gt;=45, B781&lt;=54), "45-54",
  B781&gt;=55, "55+"
)</f>
        <v>55+</v>
      </c>
      <c r="D781" t="s">
        <v>19</v>
      </c>
      <c r="E781" t="s">
        <v>82</v>
      </c>
      <c r="F781" t="s">
        <v>21</v>
      </c>
      <c r="G781">
        <v>94</v>
      </c>
      <c r="H781" t="s">
        <v>149</v>
      </c>
      <c r="I781" t="s">
        <v>45</v>
      </c>
      <c r="J781" t="s">
        <v>138</v>
      </c>
      <c r="K781" t="s">
        <v>39</v>
      </c>
      <c r="L781">
        <v>4.5999999999999996</v>
      </c>
      <c r="M781" t="s">
        <v>26</v>
      </c>
      <c r="N781" t="s">
        <v>27</v>
      </c>
      <c r="O781" t="s">
        <v>28</v>
      </c>
      <c r="P781" t="s">
        <v>26</v>
      </c>
      <c r="Q781" t="s">
        <v>26</v>
      </c>
      <c r="R781">
        <v>38</v>
      </c>
      <c r="S781" t="s">
        <v>35</v>
      </c>
      <c r="T781" t="str">
        <f t="shared" si="24"/>
        <v>Annually</v>
      </c>
      <c r="U781">
        <f>VLOOKUP(T781,[1]tablescore!$B$3:$C$8, 2,FALSE)</f>
        <v>1</v>
      </c>
      <c r="V781" t="str">
        <f t="shared" si="25"/>
        <v>Low Loyalty</v>
      </c>
      <c r="W781" t="s">
        <v>50</v>
      </c>
    </row>
    <row r="782" spans="1:23" x14ac:dyDescent="0.25">
      <c r="A782">
        <v>781</v>
      </c>
      <c r="B782">
        <v>34</v>
      </c>
      <c r="C782" t="str" cm="1">
        <f t="array" ref="C782">_xlfn.IFS(
  AND(B782&gt;=18, B782&lt;=24), "18-24",
  AND(B782&gt;=25, B782&lt;=34), "25-34",
  AND(B782&gt;=35, B782&lt;=44), "35-44",
  AND(B782&gt;=45, B782&lt;=54), "45-54",
  B782&gt;=55, "55+"
)</f>
        <v>25-34</v>
      </c>
      <c r="D782" t="s">
        <v>19</v>
      </c>
      <c r="E782" t="s">
        <v>73</v>
      </c>
      <c r="F782" t="s">
        <v>43</v>
      </c>
      <c r="G782">
        <v>26</v>
      </c>
      <c r="H782" t="s">
        <v>85</v>
      </c>
      <c r="I782" t="s">
        <v>45</v>
      </c>
      <c r="J782" t="s">
        <v>49</v>
      </c>
      <c r="K782" t="s">
        <v>39</v>
      </c>
      <c r="L782">
        <v>3.6</v>
      </c>
      <c r="M782" t="s">
        <v>26</v>
      </c>
      <c r="N782" t="s">
        <v>29</v>
      </c>
      <c r="O782" t="s">
        <v>40</v>
      </c>
      <c r="P782" t="s">
        <v>26</v>
      </c>
      <c r="Q782" t="s">
        <v>26</v>
      </c>
      <c r="R782">
        <v>38</v>
      </c>
      <c r="S782" t="s">
        <v>35</v>
      </c>
      <c r="T782" t="str">
        <f t="shared" si="24"/>
        <v>Quarterly</v>
      </c>
      <c r="U782">
        <f>VLOOKUP(T782,[1]tablescore!$B$3:$C$8, 2,FALSE)</f>
        <v>4</v>
      </c>
      <c r="V782" t="str">
        <f t="shared" si="25"/>
        <v>Low Loyalty</v>
      </c>
      <c r="W782" t="s">
        <v>60</v>
      </c>
    </row>
    <row r="783" spans="1:23" x14ac:dyDescent="0.25">
      <c r="A783">
        <v>782</v>
      </c>
      <c r="B783">
        <v>30</v>
      </c>
      <c r="C783" t="str" cm="1">
        <f t="array" ref="C783">_xlfn.IFS(
  AND(B783&gt;=18, B783&lt;=24), "18-24",
  AND(B783&gt;=25, B783&lt;=34), "25-34",
  AND(B783&gt;=35, B783&lt;=44), "35-44",
  AND(B783&gt;=45, B783&lt;=54), "45-54",
  B783&gt;=55, "55+"
)</f>
        <v>25-34</v>
      </c>
      <c r="D783" t="s">
        <v>19</v>
      </c>
      <c r="E783" t="s">
        <v>119</v>
      </c>
      <c r="F783" t="s">
        <v>69</v>
      </c>
      <c r="G783">
        <v>44</v>
      </c>
      <c r="H783" t="s">
        <v>145</v>
      </c>
      <c r="I783" t="s">
        <v>23</v>
      </c>
      <c r="J783" t="s">
        <v>129</v>
      </c>
      <c r="K783" t="s">
        <v>25</v>
      </c>
      <c r="L783">
        <v>3</v>
      </c>
      <c r="M783" t="s">
        <v>26</v>
      </c>
      <c r="N783" t="s">
        <v>46</v>
      </c>
      <c r="O783" t="s">
        <v>76</v>
      </c>
      <c r="P783" t="s">
        <v>26</v>
      </c>
      <c r="Q783" t="s">
        <v>26</v>
      </c>
      <c r="R783">
        <v>12</v>
      </c>
      <c r="S783" t="s">
        <v>27</v>
      </c>
      <c r="T783" t="str">
        <f t="shared" si="24"/>
        <v>2-week</v>
      </c>
      <c r="U783">
        <f>VLOOKUP(T783,[1]tablescore!$B$3:$C$8, 2,FALSE)</f>
        <v>26</v>
      </c>
      <c r="V783" t="str">
        <f t="shared" si="25"/>
        <v>Loyal</v>
      </c>
      <c r="W783" t="s">
        <v>30</v>
      </c>
    </row>
    <row r="784" spans="1:23" x14ac:dyDescent="0.25">
      <c r="A784">
        <v>783</v>
      </c>
      <c r="B784">
        <v>28</v>
      </c>
      <c r="C784" t="str" cm="1">
        <f t="array" ref="C784">_xlfn.IFS(
  AND(B784&gt;=18, B784&lt;=24), "18-24",
  AND(B784&gt;=25, B784&lt;=34), "25-34",
  AND(B784&gt;=35, B784&lt;=44), "35-44",
  AND(B784&gt;=45, B784&lt;=54), "45-54",
  B784&gt;=55, "55+"
)</f>
        <v>25-34</v>
      </c>
      <c r="D784" t="s">
        <v>19</v>
      </c>
      <c r="E784" t="s">
        <v>104</v>
      </c>
      <c r="F784" t="s">
        <v>21</v>
      </c>
      <c r="G784">
        <v>57</v>
      </c>
      <c r="H784" t="s">
        <v>78</v>
      </c>
      <c r="I784" t="s">
        <v>45</v>
      </c>
      <c r="J784" t="s">
        <v>96</v>
      </c>
      <c r="K784" t="s">
        <v>54</v>
      </c>
      <c r="L784">
        <v>4.5</v>
      </c>
      <c r="M784" t="s">
        <v>26</v>
      </c>
      <c r="N784" t="s">
        <v>46</v>
      </c>
      <c r="O784" t="s">
        <v>55</v>
      </c>
      <c r="P784" t="s">
        <v>26</v>
      </c>
      <c r="Q784" t="s">
        <v>26</v>
      </c>
      <c r="R784">
        <v>15</v>
      </c>
      <c r="S784" t="s">
        <v>35</v>
      </c>
      <c r="T784" t="str">
        <f t="shared" si="24"/>
        <v>Daily</v>
      </c>
      <c r="U784">
        <f>VLOOKUP(T784,[1]tablescore!$B$3:$C$8, 2,FALSE)</f>
        <v>30</v>
      </c>
      <c r="V784" t="str">
        <f t="shared" si="25"/>
        <v>Highly Loyal</v>
      </c>
      <c r="W784" t="s">
        <v>41</v>
      </c>
    </row>
    <row r="785" spans="1:23" x14ac:dyDescent="0.25">
      <c r="A785">
        <v>784</v>
      </c>
      <c r="B785">
        <v>63</v>
      </c>
      <c r="C785" t="str" cm="1">
        <f t="array" ref="C785">_xlfn.IFS(
  AND(B785&gt;=18, B785&lt;=24), "18-24",
  AND(B785&gt;=25, B785&lt;=34), "25-34",
  AND(B785&gt;=35, B785&lt;=44), "35-44",
  AND(B785&gt;=45, B785&lt;=54), "45-54",
  B785&gt;=55, "55+"
)</f>
        <v>55+</v>
      </c>
      <c r="D785" t="s">
        <v>19</v>
      </c>
      <c r="E785" t="s">
        <v>113</v>
      </c>
      <c r="F785" t="s">
        <v>21</v>
      </c>
      <c r="G785">
        <v>65</v>
      </c>
      <c r="H785" t="s">
        <v>62</v>
      </c>
      <c r="I785" t="s">
        <v>23</v>
      </c>
      <c r="J785" t="s">
        <v>75</v>
      </c>
      <c r="K785" t="s">
        <v>25</v>
      </c>
      <c r="L785">
        <v>4.5</v>
      </c>
      <c r="M785" t="s">
        <v>26</v>
      </c>
      <c r="N785" t="s">
        <v>59</v>
      </c>
      <c r="O785" t="s">
        <v>47</v>
      </c>
      <c r="P785" t="s">
        <v>26</v>
      </c>
      <c r="Q785" t="s">
        <v>26</v>
      </c>
      <c r="R785">
        <v>38</v>
      </c>
      <c r="S785" t="s">
        <v>46</v>
      </c>
      <c r="T785" t="str">
        <f t="shared" si="24"/>
        <v>2-week</v>
      </c>
      <c r="U785">
        <f>VLOOKUP(T785,[1]tablescore!$B$3:$C$8, 2,FALSE)</f>
        <v>26</v>
      </c>
      <c r="V785" t="str">
        <f t="shared" si="25"/>
        <v>Loyal</v>
      </c>
      <c r="W785" t="s">
        <v>30</v>
      </c>
    </row>
    <row r="786" spans="1:23" x14ac:dyDescent="0.25">
      <c r="A786">
        <v>785</v>
      </c>
      <c r="B786">
        <v>31</v>
      </c>
      <c r="C786" t="str" cm="1">
        <f t="array" ref="C786">_xlfn.IFS(
  AND(B786&gt;=18, B786&lt;=24), "18-24",
  AND(B786&gt;=25, B786&lt;=34), "25-34",
  AND(B786&gt;=35, B786&lt;=44), "35-44",
  AND(B786&gt;=45, B786&lt;=54), "45-54",
  B786&gt;=55, "55+"
)</f>
        <v>25-34</v>
      </c>
      <c r="D786" t="s">
        <v>19</v>
      </c>
      <c r="E786" t="s">
        <v>36</v>
      </c>
      <c r="F786" t="s">
        <v>21</v>
      </c>
      <c r="G786">
        <v>72</v>
      </c>
      <c r="H786" t="s">
        <v>90</v>
      </c>
      <c r="I786" t="s">
        <v>45</v>
      </c>
      <c r="J786" t="s">
        <v>100</v>
      </c>
      <c r="K786" t="s">
        <v>25</v>
      </c>
      <c r="L786">
        <v>3.2</v>
      </c>
      <c r="M786" t="s">
        <v>26</v>
      </c>
      <c r="N786" t="s">
        <v>59</v>
      </c>
      <c r="O786" t="s">
        <v>76</v>
      </c>
      <c r="P786" t="s">
        <v>26</v>
      </c>
      <c r="Q786" t="s">
        <v>26</v>
      </c>
      <c r="R786">
        <v>41</v>
      </c>
      <c r="S786" t="s">
        <v>34</v>
      </c>
      <c r="T786" t="str">
        <f t="shared" si="24"/>
        <v>Quarterly</v>
      </c>
      <c r="U786">
        <f>VLOOKUP(T786,[1]tablescore!$B$3:$C$8, 2,FALSE)</f>
        <v>4</v>
      </c>
      <c r="V786" t="str">
        <f t="shared" si="25"/>
        <v>Low Loyalty</v>
      </c>
      <c r="W786" t="s">
        <v>97</v>
      </c>
    </row>
    <row r="787" spans="1:23" x14ac:dyDescent="0.25">
      <c r="A787">
        <v>786</v>
      </c>
      <c r="B787">
        <v>46</v>
      </c>
      <c r="C787" t="str" cm="1">
        <f t="array" ref="C787">_xlfn.IFS(
  AND(B787&gt;=18, B787&lt;=24), "18-24",
  AND(B787&gt;=25, B787&lt;=34), "25-34",
  AND(B787&gt;=35, B787&lt;=44), "35-44",
  AND(B787&gt;=45, B787&lt;=54), "45-54",
  B787&gt;=55, "55+"
)</f>
        <v>45-54</v>
      </c>
      <c r="D787" t="s">
        <v>19</v>
      </c>
      <c r="E787" t="s">
        <v>61</v>
      </c>
      <c r="F787" t="s">
        <v>21</v>
      </c>
      <c r="G787">
        <v>62</v>
      </c>
      <c r="H787" t="s">
        <v>62</v>
      </c>
      <c r="I787" t="s">
        <v>38</v>
      </c>
      <c r="J787" t="s">
        <v>75</v>
      </c>
      <c r="K787" t="s">
        <v>39</v>
      </c>
      <c r="L787">
        <v>4</v>
      </c>
      <c r="M787" t="s">
        <v>26</v>
      </c>
      <c r="N787" t="s">
        <v>34</v>
      </c>
      <c r="O787" t="s">
        <v>47</v>
      </c>
      <c r="P787" t="s">
        <v>26</v>
      </c>
      <c r="Q787" t="s">
        <v>26</v>
      </c>
      <c r="R787">
        <v>37</v>
      </c>
      <c r="S787" t="s">
        <v>46</v>
      </c>
      <c r="T787" t="str">
        <f t="shared" si="24"/>
        <v>2-week</v>
      </c>
      <c r="U787">
        <f>VLOOKUP(T787,[1]tablescore!$B$3:$C$8, 2,FALSE)</f>
        <v>26</v>
      </c>
      <c r="V787" t="str">
        <f t="shared" si="25"/>
        <v>Loyal</v>
      </c>
      <c r="W787" t="s">
        <v>30</v>
      </c>
    </row>
    <row r="788" spans="1:23" x14ac:dyDescent="0.25">
      <c r="A788">
        <v>787</v>
      </c>
      <c r="B788">
        <v>70</v>
      </c>
      <c r="C788" t="str" cm="1">
        <f t="array" ref="C788">_xlfn.IFS(
  AND(B788&gt;=18, B788&lt;=24), "18-24",
  AND(B788&gt;=25, B788&lt;=34), "25-34",
  AND(B788&gt;=35, B788&lt;=44), "35-44",
  AND(B788&gt;=45, B788&lt;=54), "45-54",
  B788&gt;=55, "55+"
)</f>
        <v>55+</v>
      </c>
      <c r="D788" t="s">
        <v>19</v>
      </c>
      <c r="E788" t="s">
        <v>125</v>
      </c>
      <c r="F788" t="s">
        <v>69</v>
      </c>
      <c r="G788">
        <v>21</v>
      </c>
      <c r="H788" t="s">
        <v>116</v>
      </c>
      <c r="I788" t="s">
        <v>38</v>
      </c>
      <c r="J788" t="s">
        <v>86</v>
      </c>
      <c r="K788" t="s">
        <v>25</v>
      </c>
      <c r="L788">
        <v>4.8</v>
      </c>
      <c r="M788" t="s">
        <v>26</v>
      </c>
      <c r="N788" t="s">
        <v>27</v>
      </c>
      <c r="O788" t="s">
        <v>28</v>
      </c>
      <c r="P788" t="s">
        <v>26</v>
      </c>
      <c r="Q788" t="s">
        <v>26</v>
      </c>
      <c r="R788">
        <v>16</v>
      </c>
      <c r="S788" t="s">
        <v>34</v>
      </c>
      <c r="T788" t="str">
        <f t="shared" si="24"/>
        <v>Quarterly</v>
      </c>
      <c r="U788">
        <f>VLOOKUP(T788,[1]tablescore!$B$3:$C$8, 2,FALSE)</f>
        <v>4</v>
      </c>
      <c r="V788" t="str">
        <f t="shared" si="25"/>
        <v>Low Loyalty</v>
      </c>
      <c r="W788" t="s">
        <v>97</v>
      </c>
    </row>
    <row r="789" spans="1:23" x14ac:dyDescent="0.25">
      <c r="A789">
        <v>788</v>
      </c>
      <c r="B789">
        <v>53</v>
      </c>
      <c r="C789" t="str" cm="1">
        <f t="array" ref="C789">_xlfn.IFS(
  AND(B789&gt;=18, B789&lt;=24), "18-24",
  AND(B789&gt;=25, B789&lt;=34), "25-34",
  AND(B789&gt;=35, B789&lt;=44), "35-44",
  AND(B789&gt;=45, B789&lt;=54), "45-54",
  B789&gt;=55, "55+"
)</f>
        <v>45-54</v>
      </c>
      <c r="D789" t="s">
        <v>19</v>
      </c>
      <c r="E789" t="s">
        <v>68</v>
      </c>
      <c r="F789" t="s">
        <v>69</v>
      </c>
      <c r="G789">
        <v>85</v>
      </c>
      <c r="H789" t="s">
        <v>151</v>
      </c>
      <c r="I789" t="s">
        <v>38</v>
      </c>
      <c r="J789" t="s">
        <v>96</v>
      </c>
      <c r="K789" t="s">
        <v>39</v>
      </c>
      <c r="L789">
        <v>3.7</v>
      </c>
      <c r="M789" t="s">
        <v>26</v>
      </c>
      <c r="N789" t="s">
        <v>34</v>
      </c>
      <c r="O789" t="s">
        <v>40</v>
      </c>
      <c r="P789" t="s">
        <v>26</v>
      </c>
      <c r="Q789" t="s">
        <v>26</v>
      </c>
      <c r="R789">
        <v>25</v>
      </c>
      <c r="S789" t="s">
        <v>29</v>
      </c>
      <c r="T789" t="str">
        <f t="shared" si="24"/>
        <v>Daily</v>
      </c>
      <c r="U789">
        <f>VLOOKUP(T789,[1]tablescore!$B$3:$C$8, 2,FALSE)</f>
        <v>30</v>
      </c>
      <c r="V789" t="str">
        <f t="shared" si="25"/>
        <v>Highly Loyal</v>
      </c>
      <c r="W789" t="s">
        <v>41</v>
      </c>
    </row>
    <row r="790" spans="1:23" x14ac:dyDescent="0.25">
      <c r="A790">
        <v>789</v>
      </c>
      <c r="B790">
        <v>50</v>
      </c>
      <c r="C790" t="str" cm="1">
        <f t="array" ref="C790">_xlfn.IFS(
  AND(B790&gt;=18, B790&lt;=24), "18-24",
  AND(B790&gt;=25, B790&lt;=34), "25-34",
  AND(B790&gt;=35, B790&lt;=44), "35-44",
  AND(B790&gt;=45, B790&lt;=54), "45-54",
  B790&gt;=55, "55+"
)</f>
        <v>45-54</v>
      </c>
      <c r="D790" t="s">
        <v>19</v>
      </c>
      <c r="E790" t="s">
        <v>95</v>
      </c>
      <c r="F790" t="s">
        <v>21</v>
      </c>
      <c r="G790">
        <v>51</v>
      </c>
      <c r="H790" t="s">
        <v>44</v>
      </c>
      <c r="I790" t="s">
        <v>92</v>
      </c>
      <c r="J790" t="s">
        <v>139</v>
      </c>
      <c r="K790" t="s">
        <v>54</v>
      </c>
      <c r="L790">
        <v>3.8</v>
      </c>
      <c r="M790" t="s">
        <v>26</v>
      </c>
      <c r="N790" t="s">
        <v>29</v>
      </c>
      <c r="O790" t="s">
        <v>76</v>
      </c>
      <c r="P790" t="s">
        <v>26</v>
      </c>
      <c r="Q790" t="s">
        <v>26</v>
      </c>
      <c r="R790">
        <v>18</v>
      </c>
      <c r="S790" t="s">
        <v>34</v>
      </c>
      <c r="T790" t="str">
        <f t="shared" si="24"/>
        <v>Quarterly</v>
      </c>
      <c r="U790">
        <f>VLOOKUP(T790,[1]tablescore!$B$3:$C$8, 2,FALSE)</f>
        <v>4</v>
      </c>
      <c r="V790" t="str">
        <f t="shared" si="25"/>
        <v>Low Loyalty</v>
      </c>
      <c r="W790" t="s">
        <v>60</v>
      </c>
    </row>
    <row r="791" spans="1:23" x14ac:dyDescent="0.25">
      <c r="A791">
        <v>790</v>
      </c>
      <c r="B791">
        <v>33</v>
      </c>
      <c r="C791" t="str" cm="1">
        <f t="array" ref="C791">_xlfn.IFS(
  AND(B791&gt;=18, B791&lt;=24), "18-24",
  AND(B791&gt;=25, B791&lt;=34), "25-34",
  AND(B791&gt;=35, B791&lt;=44), "35-44",
  AND(B791&gt;=45, B791&lt;=54), "45-54",
  B791&gt;=55, "55+"
)</f>
        <v>25-34</v>
      </c>
      <c r="D791" t="s">
        <v>19</v>
      </c>
      <c r="E791" t="s">
        <v>68</v>
      </c>
      <c r="F791" t="s">
        <v>69</v>
      </c>
      <c r="G791">
        <v>84</v>
      </c>
      <c r="H791" t="s">
        <v>144</v>
      </c>
      <c r="I791" t="s">
        <v>38</v>
      </c>
      <c r="J791" t="s">
        <v>75</v>
      </c>
      <c r="K791" t="s">
        <v>58</v>
      </c>
      <c r="L791">
        <v>2.7</v>
      </c>
      <c r="M791" t="s">
        <v>26</v>
      </c>
      <c r="N791" t="s">
        <v>29</v>
      </c>
      <c r="O791" t="s">
        <v>55</v>
      </c>
      <c r="P791" t="s">
        <v>26</v>
      </c>
      <c r="Q791" t="s">
        <v>26</v>
      </c>
      <c r="R791">
        <v>4</v>
      </c>
      <c r="S791" t="s">
        <v>27</v>
      </c>
      <c r="T791" t="str">
        <f t="shared" si="24"/>
        <v>2-week</v>
      </c>
      <c r="U791">
        <f>VLOOKUP(T791,[1]tablescore!$B$3:$C$8, 2,FALSE)</f>
        <v>26</v>
      </c>
      <c r="V791" t="str">
        <f t="shared" si="25"/>
        <v>Loyal</v>
      </c>
      <c r="W791" t="s">
        <v>77</v>
      </c>
    </row>
    <row r="792" spans="1:23" x14ac:dyDescent="0.25">
      <c r="A792">
        <v>791</v>
      </c>
      <c r="B792">
        <v>22</v>
      </c>
      <c r="C792" t="str" cm="1">
        <f t="array" ref="C792">_xlfn.IFS(
  AND(B792&gt;=18, B792&lt;=24), "18-24",
  AND(B792&gt;=25, B792&lt;=34), "25-34",
  AND(B792&gt;=35, B792&lt;=44), "35-44",
  AND(B792&gt;=45, B792&lt;=54), "45-54",
  B792&gt;=55, "55+"
)</f>
        <v>18-24</v>
      </c>
      <c r="D792" t="s">
        <v>19</v>
      </c>
      <c r="E792" t="s">
        <v>31</v>
      </c>
      <c r="F792" t="s">
        <v>21</v>
      </c>
      <c r="G792">
        <v>37</v>
      </c>
      <c r="H792" t="s">
        <v>62</v>
      </c>
      <c r="I792" t="s">
        <v>45</v>
      </c>
      <c r="J792" t="s">
        <v>129</v>
      </c>
      <c r="K792" t="s">
        <v>54</v>
      </c>
      <c r="L792">
        <v>4.9000000000000004</v>
      </c>
      <c r="M792" t="s">
        <v>26</v>
      </c>
      <c r="N792" t="s">
        <v>29</v>
      </c>
      <c r="O792" t="s">
        <v>76</v>
      </c>
      <c r="P792" t="s">
        <v>26</v>
      </c>
      <c r="Q792" t="s">
        <v>26</v>
      </c>
      <c r="R792">
        <v>12</v>
      </c>
      <c r="S792" t="s">
        <v>34</v>
      </c>
      <c r="T792" t="str">
        <f t="shared" si="24"/>
        <v>Quarterly</v>
      </c>
      <c r="U792">
        <f>VLOOKUP(T792,[1]tablescore!$B$3:$C$8, 2,FALSE)</f>
        <v>4</v>
      </c>
      <c r="V792" t="str">
        <f t="shared" si="25"/>
        <v>Low Loyalty</v>
      </c>
      <c r="W792" t="s">
        <v>60</v>
      </c>
    </row>
    <row r="793" spans="1:23" x14ac:dyDescent="0.25">
      <c r="A793">
        <v>792</v>
      </c>
      <c r="B793">
        <v>50</v>
      </c>
      <c r="C793" t="str" cm="1">
        <f t="array" ref="C793">_xlfn.IFS(
  AND(B793&gt;=18, B793&lt;=24), "18-24",
  AND(B793&gt;=25, B793&lt;=34), "25-34",
  AND(B793&gt;=35, B793&lt;=44), "35-44",
  AND(B793&gt;=45, B793&lt;=54), "45-54",
  B793&gt;=55, "55+"
)</f>
        <v>45-54</v>
      </c>
      <c r="D793" t="s">
        <v>19</v>
      </c>
      <c r="E793" t="s">
        <v>119</v>
      </c>
      <c r="F793" t="s">
        <v>69</v>
      </c>
      <c r="G793">
        <v>44</v>
      </c>
      <c r="H793" t="s">
        <v>98</v>
      </c>
      <c r="I793" t="s">
        <v>38</v>
      </c>
      <c r="J793" t="s">
        <v>147</v>
      </c>
      <c r="K793" t="s">
        <v>54</v>
      </c>
      <c r="L793">
        <v>3.1</v>
      </c>
      <c r="M793" t="s">
        <v>26</v>
      </c>
      <c r="N793" t="s">
        <v>27</v>
      </c>
      <c r="O793" t="s">
        <v>72</v>
      </c>
      <c r="P793" t="s">
        <v>26</v>
      </c>
      <c r="Q793" t="s">
        <v>26</v>
      </c>
      <c r="R793">
        <v>35</v>
      </c>
      <c r="S793" t="s">
        <v>46</v>
      </c>
      <c r="T793" t="str">
        <f t="shared" si="24"/>
        <v>2-week</v>
      </c>
      <c r="U793">
        <f>VLOOKUP(T793,[1]tablescore!$B$3:$C$8, 2,FALSE)</f>
        <v>26</v>
      </c>
      <c r="V793" t="str">
        <f t="shared" si="25"/>
        <v>Loyal</v>
      </c>
      <c r="W793" t="s">
        <v>30</v>
      </c>
    </row>
    <row r="794" spans="1:23" x14ac:dyDescent="0.25">
      <c r="A794">
        <v>793</v>
      </c>
      <c r="B794">
        <v>34</v>
      </c>
      <c r="C794" t="str" cm="1">
        <f t="array" ref="C794">_xlfn.IFS(
  AND(B794&gt;=18, B794&lt;=24), "18-24",
  AND(B794&gt;=25, B794&lt;=34), "25-34",
  AND(B794&gt;=35, B794&lt;=44), "35-44",
  AND(B794&gt;=45, B794&lt;=54), "45-54",
  B794&gt;=55, "55+"
)</f>
        <v>25-34</v>
      </c>
      <c r="D794" t="s">
        <v>19</v>
      </c>
      <c r="E794" t="s">
        <v>51</v>
      </c>
      <c r="F794" t="s">
        <v>43</v>
      </c>
      <c r="G794">
        <v>45</v>
      </c>
      <c r="H794" t="s">
        <v>137</v>
      </c>
      <c r="I794" t="s">
        <v>45</v>
      </c>
      <c r="J794" t="s">
        <v>84</v>
      </c>
      <c r="K794" t="s">
        <v>39</v>
      </c>
      <c r="L794">
        <v>4.2</v>
      </c>
      <c r="M794" t="s">
        <v>26</v>
      </c>
      <c r="N794" t="s">
        <v>29</v>
      </c>
      <c r="O794" t="s">
        <v>47</v>
      </c>
      <c r="P794" t="s">
        <v>26</v>
      </c>
      <c r="Q794" t="s">
        <v>26</v>
      </c>
      <c r="R794">
        <v>45</v>
      </c>
      <c r="S794" t="s">
        <v>29</v>
      </c>
      <c r="T794" t="str">
        <f t="shared" si="24"/>
        <v>Daily</v>
      </c>
      <c r="U794">
        <f>VLOOKUP(T794,[1]tablescore!$B$3:$C$8, 2,FALSE)</f>
        <v>30</v>
      </c>
      <c r="V794" t="str">
        <f t="shared" si="25"/>
        <v>Highly Loyal</v>
      </c>
      <c r="W794" t="s">
        <v>41</v>
      </c>
    </row>
    <row r="795" spans="1:23" x14ac:dyDescent="0.25">
      <c r="A795">
        <v>794</v>
      </c>
      <c r="B795">
        <v>24</v>
      </c>
      <c r="C795" t="str" cm="1">
        <f t="array" ref="C795">_xlfn.IFS(
  AND(B795&gt;=18, B795&lt;=24), "18-24",
  AND(B795&gt;=25, B795&lt;=34), "25-34",
  AND(B795&gt;=35, B795&lt;=44), "35-44",
  AND(B795&gt;=45, B795&lt;=54), "45-54",
  B795&gt;=55, "55+"
)</f>
        <v>18-24</v>
      </c>
      <c r="D795" t="s">
        <v>19</v>
      </c>
      <c r="E795" t="s">
        <v>95</v>
      </c>
      <c r="F795" t="s">
        <v>21</v>
      </c>
      <c r="G795">
        <v>35</v>
      </c>
      <c r="H795" t="s">
        <v>90</v>
      </c>
      <c r="I795" t="s">
        <v>23</v>
      </c>
      <c r="J795" t="s">
        <v>33</v>
      </c>
      <c r="K795" t="s">
        <v>54</v>
      </c>
      <c r="L795">
        <v>3.8</v>
      </c>
      <c r="M795" t="s">
        <v>26</v>
      </c>
      <c r="N795" t="s">
        <v>35</v>
      </c>
      <c r="O795" t="s">
        <v>40</v>
      </c>
      <c r="P795" t="s">
        <v>26</v>
      </c>
      <c r="Q795" t="s">
        <v>26</v>
      </c>
      <c r="R795">
        <v>16</v>
      </c>
      <c r="S795" t="s">
        <v>27</v>
      </c>
      <c r="T795" t="str">
        <f t="shared" si="24"/>
        <v>Month</v>
      </c>
      <c r="U795">
        <f>VLOOKUP(T795,[1]tablescore!$B$3:$C$8, 2,FALSE)</f>
        <v>12</v>
      </c>
      <c r="V795" t="str">
        <f t="shared" si="25"/>
        <v>Moderate</v>
      </c>
      <c r="W795" t="s">
        <v>88</v>
      </c>
    </row>
    <row r="796" spans="1:23" x14ac:dyDescent="0.25">
      <c r="A796">
        <v>795</v>
      </c>
      <c r="B796">
        <v>69</v>
      </c>
      <c r="C796" t="str" cm="1">
        <f t="array" ref="C796">_xlfn.IFS(
  AND(B796&gt;=18, B796&lt;=24), "18-24",
  AND(B796&gt;=25, B796&lt;=34), "25-34",
  AND(B796&gt;=35, B796&lt;=44), "35-44",
  AND(B796&gt;=45, B796&lt;=54), "45-54",
  B796&gt;=55, "55+"
)</f>
        <v>55+</v>
      </c>
      <c r="D796" t="s">
        <v>19</v>
      </c>
      <c r="E796" t="s">
        <v>133</v>
      </c>
      <c r="F796" t="s">
        <v>69</v>
      </c>
      <c r="G796">
        <v>50</v>
      </c>
      <c r="H796" t="s">
        <v>22</v>
      </c>
      <c r="I796" t="s">
        <v>92</v>
      </c>
      <c r="J796" t="s">
        <v>139</v>
      </c>
      <c r="K796" t="s">
        <v>25</v>
      </c>
      <c r="L796">
        <v>4.2</v>
      </c>
      <c r="M796" t="s">
        <v>26</v>
      </c>
      <c r="N796" t="s">
        <v>34</v>
      </c>
      <c r="O796" t="s">
        <v>76</v>
      </c>
      <c r="P796" t="s">
        <v>26</v>
      </c>
      <c r="Q796" t="s">
        <v>26</v>
      </c>
      <c r="R796">
        <v>10</v>
      </c>
      <c r="S796" t="s">
        <v>59</v>
      </c>
      <c r="T796" t="str">
        <f t="shared" si="24"/>
        <v>2-week</v>
      </c>
      <c r="U796">
        <f>VLOOKUP(T796,[1]tablescore!$B$3:$C$8, 2,FALSE)</f>
        <v>26</v>
      </c>
      <c r="V796" t="str">
        <f t="shared" si="25"/>
        <v>Loyal</v>
      </c>
      <c r="W796" t="s">
        <v>30</v>
      </c>
    </row>
    <row r="797" spans="1:23" x14ac:dyDescent="0.25">
      <c r="A797">
        <v>796</v>
      </c>
      <c r="B797">
        <v>39</v>
      </c>
      <c r="C797" t="str" cm="1">
        <f t="array" ref="C797">_xlfn.IFS(
  AND(B797&gt;=18, B797&lt;=24), "18-24",
  AND(B797&gt;=25, B797&lt;=34), "25-34",
  AND(B797&gt;=35, B797&lt;=44), "35-44",
  AND(B797&gt;=45, B797&lt;=54), "45-54",
  B797&gt;=55, "55+"
)</f>
        <v>35-44</v>
      </c>
      <c r="D797" t="s">
        <v>19</v>
      </c>
      <c r="E797" t="s">
        <v>42</v>
      </c>
      <c r="F797" t="s">
        <v>43</v>
      </c>
      <c r="G797">
        <v>26</v>
      </c>
      <c r="H797" t="s">
        <v>85</v>
      </c>
      <c r="I797" t="s">
        <v>45</v>
      </c>
      <c r="J797" t="s">
        <v>118</v>
      </c>
      <c r="K797" t="s">
        <v>54</v>
      </c>
      <c r="L797">
        <v>4.5999999999999996</v>
      </c>
      <c r="M797" t="s">
        <v>26</v>
      </c>
      <c r="N797" t="s">
        <v>35</v>
      </c>
      <c r="O797" t="s">
        <v>76</v>
      </c>
      <c r="P797" t="s">
        <v>26</v>
      </c>
      <c r="Q797" t="s">
        <v>26</v>
      </c>
      <c r="R797">
        <v>34</v>
      </c>
      <c r="S797" t="s">
        <v>29</v>
      </c>
      <c r="T797" t="str">
        <f t="shared" si="24"/>
        <v>Annually</v>
      </c>
      <c r="U797">
        <f>VLOOKUP(T797,[1]tablescore!$B$3:$C$8, 2,FALSE)</f>
        <v>1</v>
      </c>
      <c r="V797" t="str">
        <f t="shared" si="25"/>
        <v>Low Loyalty</v>
      </c>
      <c r="W797" t="s">
        <v>50</v>
      </c>
    </row>
    <row r="798" spans="1:23" x14ac:dyDescent="0.25">
      <c r="A798">
        <v>797</v>
      </c>
      <c r="B798">
        <v>42</v>
      </c>
      <c r="C798" t="str" cm="1">
        <f t="array" ref="C798">_xlfn.IFS(
  AND(B798&gt;=18, B798&lt;=24), "18-24",
  AND(B798&gt;=25, B798&lt;=34), "25-34",
  AND(B798&gt;=35, B798&lt;=44), "35-44",
  AND(B798&gt;=45, B798&lt;=54), "45-54",
  B798&gt;=55, "55+"
)</f>
        <v>35-44</v>
      </c>
      <c r="D798" t="s">
        <v>19</v>
      </c>
      <c r="E798" t="s">
        <v>131</v>
      </c>
      <c r="F798" t="s">
        <v>21</v>
      </c>
      <c r="G798">
        <v>78</v>
      </c>
      <c r="H798" t="s">
        <v>117</v>
      </c>
      <c r="I798" t="s">
        <v>92</v>
      </c>
      <c r="J798" t="s">
        <v>94</v>
      </c>
      <c r="K798" t="s">
        <v>58</v>
      </c>
      <c r="L798">
        <v>4</v>
      </c>
      <c r="M798" t="s">
        <v>26</v>
      </c>
      <c r="N798" t="s">
        <v>59</v>
      </c>
      <c r="O798" t="s">
        <v>72</v>
      </c>
      <c r="P798" t="s">
        <v>26</v>
      </c>
      <c r="Q798" t="s">
        <v>26</v>
      </c>
      <c r="R798">
        <v>43</v>
      </c>
      <c r="S798" t="s">
        <v>27</v>
      </c>
      <c r="T798" t="str">
        <f t="shared" si="24"/>
        <v>Annually</v>
      </c>
      <c r="U798">
        <f>VLOOKUP(T798,[1]tablescore!$B$3:$C$8, 2,FALSE)</f>
        <v>1</v>
      </c>
      <c r="V798" t="str">
        <f t="shared" si="25"/>
        <v>Low Loyalty</v>
      </c>
      <c r="W798" t="s">
        <v>50</v>
      </c>
    </row>
    <row r="799" spans="1:23" x14ac:dyDescent="0.25">
      <c r="A799">
        <v>798</v>
      </c>
      <c r="B799">
        <v>42</v>
      </c>
      <c r="C799" t="str" cm="1">
        <f t="array" ref="C799">_xlfn.IFS(
  AND(B799&gt;=18, B799&lt;=24), "18-24",
  AND(B799&gt;=25, B799&lt;=34), "25-34",
  AND(B799&gt;=35, B799&lt;=44), "35-44",
  AND(B799&gt;=45, B799&lt;=54), "45-54",
  B799&gt;=55, "55+"
)</f>
        <v>35-44</v>
      </c>
      <c r="D799" t="s">
        <v>19</v>
      </c>
      <c r="E799" t="s">
        <v>64</v>
      </c>
      <c r="F799" t="s">
        <v>65</v>
      </c>
      <c r="G799">
        <v>82</v>
      </c>
      <c r="H799" t="s">
        <v>135</v>
      </c>
      <c r="I799" t="s">
        <v>45</v>
      </c>
      <c r="J799" t="s">
        <v>84</v>
      </c>
      <c r="K799" t="s">
        <v>58</v>
      </c>
      <c r="L799">
        <v>4</v>
      </c>
      <c r="M799" t="s">
        <v>26</v>
      </c>
      <c r="N799" t="s">
        <v>35</v>
      </c>
      <c r="O799" t="s">
        <v>72</v>
      </c>
      <c r="P799" t="s">
        <v>26</v>
      </c>
      <c r="Q799" t="s">
        <v>26</v>
      </c>
      <c r="R799">
        <v>38</v>
      </c>
      <c r="S799" t="s">
        <v>59</v>
      </c>
      <c r="T799" t="str">
        <f t="shared" si="24"/>
        <v>Daily</v>
      </c>
      <c r="U799">
        <f>VLOOKUP(T799,[1]tablescore!$B$3:$C$8, 2,FALSE)</f>
        <v>30</v>
      </c>
      <c r="V799" t="str">
        <f t="shared" si="25"/>
        <v>Highly Loyal</v>
      </c>
      <c r="W799" t="s">
        <v>41</v>
      </c>
    </row>
    <row r="800" spans="1:23" x14ac:dyDescent="0.25">
      <c r="A800">
        <v>799</v>
      </c>
      <c r="B800">
        <v>29</v>
      </c>
      <c r="C800" t="str" cm="1">
        <f t="array" ref="C800">_xlfn.IFS(
  AND(B800&gt;=18, B800&lt;=24), "18-24",
  AND(B800&gt;=25, B800&lt;=34), "25-34",
  AND(B800&gt;=35, B800&lt;=44), "35-44",
  AND(B800&gt;=45, B800&lt;=54), "45-54",
  B800&gt;=55, "55+"
)</f>
        <v>25-34</v>
      </c>
      <c r="D800" t="s">
        <v>19</v>
      </c>
      <c r="E800" t="s">
        <v>131</v>
      </c>
      <c r="F800" t="s">
        <v>21</v>
      </c>
      <c r="G800">
        <v>39</v>
      </c>
      <c r="H800" t="s">
        <v>120</v>
      </c>
      <c r="I800" t="s">
        <v>45</v>
      </c>
      <c r="J800" t="s">
        <v>84</v>
      </c>
      <c r="K800" t="s">
        <v>39</v>
      </c>
      <c r="L800">
        <v>3.8</v>
      </c>
      <c r="M800" t="s">
        <v>26</v>
      </c>
      <c r="N800" t="s">
        <v>35</v>
      </c>
      <c r="O800" t="s">
        <v>72</v>
      </c>
      <c r="P800" t="s">
        <v>26</v>
      </c>
      <c r="Q800" t="s">
        <v>26</v>
      </c>
      <c r="R800">
        <v>48</v>
      </c>
      <c r="S800" t="s">
        <v>46</v>
      </c>
      <c r="T800" t="str">
        <f t="shared" si="24"/>
        <v>Quarterly</v>
      </c>
      <c r="U800">
        <f>VLOOKUP(T800,[1]tablescore!$B$3:$C$8, 2,FALSE)</f>
        <v>4</v>
      </c>
      <c r="V800" t="str">
        <f t="shared" si="25"/>
        <v>Low Loyalty</v>
      </c>
      <c r="W800" t="s">
        <v>97</v>
      </c>
    </row>
    <row r="801" spans="1:23" x14ac:dyDescent="0.25">
      <c r="A801">
        <v>800</v>
      </c>
      <c r="B801">
        <v>55</v>
      </c>
      <c r="C801" t="str" cm="1">
        <f t="array" ref="C801">_xlfn.IFS(
  AND(B801&gt;=18, B801&lt;=24), "18-24",
  AND(B801&gt;=25, B801&lt;=34), "25-34",
  AND(B801&gt;=35, B801&lt;=44), "35-44",
  AND(B801&gt;=45, B801&lt;=54), "45-54",
  B801&gt;=55, "55+"
)</f>
        <v>55+</v>
      </c>
      <c r="D801" t="s">
        <v>19</v>
      </c>
      <c r="E801" t="s">
        <v>136</v>
      </c>
      <c r="F801" t="s">
        <v>69</v>
      </c>
      <c r="G801">
        <v>55</v>
      </c>
      <c r="H801" t="s">
        <v>107</v>
      </c>
      <c r="I801" t="s">
        <v>23</v>
      </c>
      <c r="J801" t="s">
        <v>110</v>
      </c>
      <c r="K801" t="s">
        <v>54</v>
      </c>
      <c r="L801">
        <v>3.3</v>
      </c>
      <c r="M801" t="s">
        <v>26</v>
      </c>
      <c r="N801" t="s">
        <v>29</v>
      </c>
      <c r="O801" t="s">
        <v>40</v>
      </c>
      <c r="P801" t="s">
        <v>26</v>
      </c>
      <c r="Q801" t="s">
        <v>26</v>
      </c>
      <c r="R801">
        <v>31</v>
      </c>
      <c r="S801" t="s">
        <v>46</v>
      </c>
      <c r="T801" t="str">
        <f t="shared" si="24"/>
        <v>Annually</v>
      </c>
      <c r="U801">
        <f>VLOOKUP(T801,[1]tablescore!$B$3:$C$8, 2,FALSE)</f>
        <v>1</v>
      </c>
      <c r="V801" t="str">
        <f t="shared" si="25"/>
        <v>Low Loyalty</v>
      </c>
      <c r="W801" t="s">
        <v>50</v>
      </c>
    </row>
    <row r="802" spans="1:23" x14ac:dyDescent="0.25">
      <c r="A802">
        <v>801</v>
      </c>
      <c r="B802">
        <v>32</v>
      </c>
      <c r="C802" t="str" cm="1">
        <f t="array" ref="C802">_xlfn.IFS(
  AND(B802&gt;=18, B802&lt;=24), "18-24",
  AND(B802&gt;=25, B802&lt;=34), "25-34",
  AND(B802&gt;=35, B802&lt;=44), "35-44",
  AND(B802&gt;=45, B802&lt;=54), "45-54",
  B802&gt;=55, "55+"
)</f>
        <v>25-34</v>
      </c>
      <c r="D802" t="s">
        <v>19</v>
      </c>
      <c r="E802" t="s">
        <v>131</v>
      </c>
      <c r="F802" t="s">
        <v>21</v>
      </c>
      <c r="G802">
        <v>20</v>
      </c>
      <c r="H802" t="s">
        <v>149</v>
      </c>
      <c r="I802" t="s">
        <v>38</v>
      </c>
      <c r="J802" t="s">
        <v>81</v>
      </c>
      <c r="K802" t="s">
        <v>54</v>
      </c>
      <c r="L802">
        <v>2.6</v>
      </c>
      <c r="M802" t="s">
        <v>26</v>
      </c>
      <c r="N802" t="s">
        <v>27</v>
      </c>
      <c r="O802" t="s">
        <v>40</v>
      </c>
      <c r="P802" t="s">
        <v>26</v>
      </c>
      <c r="Q802" t="s">
        <v>26</v>
      </c>
      <c r="R802">
        <v>20</v>
      </c>
      <c r="S802" t="s">
        <v>35</v>
      </c>
      <c r="T802" t="str">
        <f t="shared" si="24"/>
        <v>Quarterly</v>
      </c>
      <c r="U802">
        <f>VLOOKUP(T802,[1]tablescore!$B$3:$C$8, 2,FALSE)</f>
        <v>4</v>
      </c>
      <c r="V802" t="str">
        <f t="shared" si="25"/>
        <v>Low Loyalty</v>
      </c>
      <c r="W802" t="s">
        <v>97</v>
      </c>
    </row>
    <row r="803" spans="1:23" x14ac:dyDescent="0.25">
      <c r="A803">
        <v>802</v>
      </c>
      <c r="B803">
        <v>25</v>
      </c>
      <c r="C803" t="str" cm="1">
        <f t="array" ref="C803">_xlfn.IFS(
  AND(B803&gt;=18, B803&lt;=24), "18-24",
  AND(B803&gt;=25, B803&lt;=34), "25-34",
  AND(B803&gt;=35, B803&lt;=44), "35-44",
  AND(B803&gt;=45, B803&lt;=54), "45-54",
  B803&gt;=55, "55+"
)</f>
        <v>25-34</v>
      </c>
      <c r="D803" t="s">
        <v>19</v>
      </c>
      <c r="E803" t="s">
        <v>136</v>
      </c>
      <c r="F803" t="s">
        <v>69</v>
      </c>
      <c r="G803">
        <v>29</v>
      </c>
      <c r="H803" t="s">
        <v>123</v>
      </c>
      <c r="I803" t="s">
        <v>23</v>
      </c>
      <c r="J803" t="s">
        <v>138</v>
      </c>
      <c r="K803" t="s">
        <v>58</v>
      </c>
      <c r="L803">
        <v>4.9000000000000004</v>
      </c>
      <c r="M803" t="s">
        <v>26</v>
      </c>
      <c r="N803" t="s">
        <v>27</v>
      </c>
      <c r="O803" t="s">
        <v>28</v>
      </c>
      <c r="P803" t="s">
        <v>26</v>
      </c>
      <c r="Q803" t="s">
        <v>26</v>
      </c>
      <c r="R803">
        <v>12</v>
      </c>
      <c r="S803" t="s">
        <v>27</v>
      </c>
      <c r="T803" t="str">
        <f t="shared" si="24"/>
        <v>2-week</v>
      </c>
      <c r="U803">
        <f>VLOOKUP(T803,[1]tablescore!$B$3:$C$8, 2,FALSE)</f>
        <v>26</v>
      </c>
      <c r="V803" t="str">
        <f t="shared" si="25"/>
        <v>Loyal</v>
      </c>
      <c r="W803" t="s">
        <v>30</v>
      </c>
    </row>
    <row r="804" spans="1:23" x14ac:dyDescent="0.25">
      <c r="A804">
        <v>803</v>
      </c>
      <c r="B804">
        <v>38</v>
      </c>
      <c r="C804" t="str" cm="1">
        <f t="array" ref="C804">_xlfn.IFS(
  AND(B804&gt;=18, B804&lt;=24), "18-24",
  AND(B804&gt;=25, B804&lt;=34), "25-34",
  AND(B804&gt;=35, B804&lt;=44), "35-44",
  AND(B804&gt;=45, B804&lt;=54), "45-54",
  B804&gt;=55, "55+"
)</f>
        <v>35-44</v>
      </c>
      <c r="D804" t="s">
        <v>19</v>
      </c>
      <c r="E804" t="s">
        <v>95</v>
      </c>
      <c r="F804" t="s">
        <v>21</v>
      </c>
      <c r="G804">
        <v>41</v>
      </c>
      <c r="H804" t="s">
        <v>80</v>
      </c>
      <c r="I804" t="s">
        <v>45</v>
      </c>
      <c r="J804" t="s">
        <v>86</v>
      </c>
      <c r="K804" t="s">
        <v>25</v>
      </c>
      <c r="L804">
        <v>3.5</v>
      </c>
      <c r="M804" t="s">
        <v>26</v>
      </c>
      <c r="N804" t="s">
        <v>29</v>
      </c>
      <c r="O804" t="s">
        <v>47</v>
      </c>
      <c r="P804" t="s">
        <v>26</v>
      </c>
      <c r="Q804" t="s">
        <v>26</v>
      </c>
      <c r="R804">
        <v>2</v>
      </c>
      <c r="S804" t="s">
        <v>34</v>
      </c>
      <c r="T804" t="str">
        <f t="shared" si="24"/>
        <v>Daily</v>
      </c>
      <c r="U804">
        <f>VLOOKUP(T804,[1]tablescore!$B$3:$C$8, 2,FALSE)</f>
        <v>30</v>
      </c>
      <c r="V804" t="str">
        <f t="shared" si="25"/>
        <v>Highly Loyal</v>
      </c>
      <c r="W804" t="s">
        <v>41</v>
      </c>
    </row>
    <row r="805" spans="1:23" x14ac:dyDescent="0.25">
      <c r="A805">
        <v>804</v>
      </c>
      <c r="B805">
        <v>32</v>
      </c>
      <c r="C805" t="str" cm="1">
        <f t="array" ref="C805">_xlfn.IFS(
  AND(B805&gt;=18, B805&lt;=24), "18-24",
  AND(B805&gt;=25, B805&lt;=34), "25-34",
  AND(B805&gt;=35, B805&lt;=44), "35-44",
  AND(B805&gt;=45, B805&lt;=54), "45-54",
  B805&gt;=55, "55+"
)</f>
        <v>25-34</v>
      </c>
      <c r="D805" t="s">
        <v>19</v>
      </c>
      <c r="E805" t="s">
        <v>61</v>
      </c>
      <c r="F805" t="s">
        <v>21</v>
      </c>
      <c r="G805">
        <v>38</v>
      </c>
      <c r="H805" t="s">
        <v>146</v>
      </c>
      <c r="I805" t="s">
        <v>23</v>
      </c>
      <c r="J805" t="s">
        <v>67</v>
      </c>
      <c r="K805" t="s">
        <v>25</v>
      </c>
      <c r="L805">
        <v>2.8</v>
      </c>
      <c r="M805" t="s">
        <v>26</v>
      </c>
      <c r="N805" t="s">
        <v>27</v>
      </c>
      <c r="O805" t="s">
        <v>28</v>
      </c>
      <c r="P805" t="s">
        <v>26</v>
      </c>
      <c r="Q805" t="s">
        <v>26</v>
      </c>
      <c r="R805">
        <v>30</v>
      </c>
      <c r="S805" t="s">
        <v>29</v>
      </c>
      <c r="T805" t="str">
        <f t="shared" si="24"/>
        <v>Quarterly</v>
      </c>
      <c r="U805">
        <f>VLOOKUP(T805,[1]tablescore!$B$3:$C$8, 2,FALSE)</f>
        <v>4</v>
      </c>
      <c r="V805" t="str">
        <f t="shared" si="25"/>
        <v>Low Loyalty</v>
      </c>
      <c r="W805" t="s">
        <v>97</v>
      </c>
    </row>
    <row r="806" spans="1:23" x14ac:dyDescent="0.25">
      <c r="A806">
        <v>805</v>
      </c>
      <c r="B806">
        <v>43</v>
      </c>
      <c r="C806" t="str" cm="1">
        <f t="array" ref="C806">_xlfn.IFS(
  AND(B806&gt;=18, B806&lt;=24), "18-24",
  AND(B806&gt;=25, B806&lt;=34), "25-34",
  AND(B806&gt;=35, B806&lt;=44), "35-44",
  AND(B806&gt;=45, B806&lt;=54), "45-54",
  B806&gt;=55, "55+"
)</f>
        <v>35-44</v>
      </c>
      <c r="D806" t="s">
        <v>19</v>
      </c>
      <c r="E806" t="s">
        <v>132</v>
      </c>
      <c r="F806" t="s">
        <v>43</v>
      </c>
      <c r="G806">
        <v>47</v>
      </c>
      <c r="H806" t="s">
        <v>91</v>
      </c>
      <c r="I806" t="s">
        <v>45</v>
      </c>
      <c r="J806" t="s">
        <v>33</v>
      </c>
      <c r="K806" t="s">
        <v>54</v>
      </c>
      <c r="L806">
        <v>2.6</v>
      </c>
      <c r="M806" t="s">
        <v>26</v>
      </c>
      <c r="N806" t="s">
        <v>35</v>
      </c>
      <c r="O806" t="s">
        <v>76</v>
      </c>
      <c r="P806" t="s">
        <v>26</v>
      </c>
      <c r="Q806" t="s">
        <v>26</v>
      </c>
      <c r="R806">
        <v>28</v>
      </c>
      <c r="S806" t="s">
        <v>29</v>
      </c>
      <c r="T806" t="str">
        <f t="shared" si="24"/>
        <v>Quarterly</v>
      </c>
      <c r="U806">
        <f>VLOOKUP(T806,[1]tablescore!$B$3:$C$8, 2,FALSE)</f>
        <v>4</v>
      </c>
      <c r="V806" t="str">
        <f t="shared" si="25"/>
        <v>Low Loyalty</v>
      </c>
      <c r="W806" t="s">
        <v>60</v>
      </c>
    </row>
    <row r="807" spans="1:23" x14ac:dyDescent="0.25">
      <c r="A807">
        <v>806</v>
      </c>
      <c r="B807">
        <v>41</v>
      </c>
      <c r="C807" t="str" cm="1">
        <f t="array" ref="C807">_xlfn.IFS(
  AND(B807&gt;=18, B807&lt;=24), "18-24",
  AND(B807&gt;=25, B807&lt;=34), "25-34",
  AND(B807&gt;=35, B807&lt;=44), "35-44",
  AND(B807&gt;=45, B807&lt;=54), "45-54",
  B807&gt;=55, "55+"
)</f>
        <v>35-44</v>
      </c>
      <c r="D807" t="s">
        <v>19</v>
      </c>
      <c r="E807" t="s">
        <v>82</v>
      </c>
      <c r="F807" t="s">
        <v>21</v>
      </c>
      <c r="G807">
        <v>30</v>
      </c>
      <c r="H807" t="s">
        <v>146</v>
      </c>
      <c r="I807" t="s">
        <v>23</v>
      </c>
      <c r="J807" t="s">
        <v>53</v>
      </c>
      <c r="K807" t="s">
        <v>54</v>
      </c>
      <c r="L807">
        <v>3.7</v>
      </c>
      <c r="M807" t="s">
        <v>26</v>
      </c>
      <c r="N807" t="s">
        <v>29</v>
      </c>
      <c r="O807" t="s">
        <v>47</v>
      </c>
      <c r="P807" t="s">
        <v>26</v>
      </c>
      <c r="Q807" t="s">
        <v>26</v>
      </c>
      <c r="R807">
        <v>40</v>
      </c>
      <c r="S807" t="s">
        <v>59</v>
      </c>
      <c r="T807" t="str">
        <f t="shared" si="24"/>
        <v>Month</v>
      </c>
      <c r="U807">
        <f>VLOOKUP(T807,[1]tablescore!$B$3:$C$8, 2,FALSE)</f>
        <v>12</v>
      </c>
      <c r="V807" t="str">
        <f t="shared" si="25"/>
        <v>Moderate</v>
      </c>
      <c r="W807" t="s">
        <v>88</v>
      </c>
    </row>
    <row r="808" spans="1:23" x14ac:dyDescent="0.25">
      <c r="A808">
        <v>807</v>
      </c>
      <c r="B808">
        <v>56</v>
      </c>
      <c r="C808" t="str" cm="1">
        <f t="array" ref="C808">_xlfn.IFS(
  AND(B808&gt;=18, B808&lt;=24), "18-24",
  AND(B808&gt;=25, B808&lt;=34), "25-34",
  AND(B808&gt;=35, B808&lt;=44), "35-44",
  AND(B808&gt;=45, B808&lt;=54), "45-54",
  B808&gt;=55, "55+"
)</f>
        <v>55+</v>
      </c>
      <c r="D808" t="s">
        <v>19</v>
      </c>
      <c r="E808" t="s">
        <v>36</v>
      </c>
      <c r="F808" t="s">
        <v>21</v>
      </c>
      <c r="G808">
        <v>56</v>
      </c>
      <c r="H808" t="s">
        <v>103</v>
      </c>
      <c r="I808" t="s">
        <v>23</v>
      </c>
      <c r="J808" t="s">
        <v>63</v>
      </c>
      <c r="K808" t="s">
        <v>54</v>
      </c>
      <c r="L808">
        <v>2.7</v>
      </c>
      <c r="M808" t="s">
        <v>26</v>
      </c>
      <c r="N808" t="s">
        <v>27</v>
      </c>
      <c r="O808" t="s">
        <v>55</v>
      </c>
      <c r="P808" t="s">
        <v>26</v>
      </c>
      <c r="Q808" t="s">
        <v>26</v>
      </c>
      <c r="R808">
        <v>46</v>
      </c>
      <c r="S808" t="s">
        <v>46</v>
      </c>
      <c r="T808" t="str">
        <f t="shared" si="24"/>
        <v>Quarterly</v>
      </c>
      <c r="U808">
        <f>VLOOKUP(T808,[1]tablescore!$B$3:$C$8, 2,FALSE)</f>
        <v>4</v>
      </c>
      <c r="V808" t="str">
        <f t="shared" si="25"/>
        <v>Low Loyalty</v>
      </c>
      <c r="W808" t="s">
        <v>60</v>
      </c>
    </row>
    <row r="809" spans="1:23" x14ac:dyDescent="0.25">
      <c r="A809">
        <v>808</v>
      </c>
      <c r="B809">
        <v>27</v>
      </c>
      <c r="C809" t="str" cm="1">
        <f t="array" ref="C809">_xlfn.IFS(
  AND(B809&gt;=18, B809&lt;=24), "18-24",
  AND(B809&gt;=25, B809&lt;=34), "25-34",
  AND(B809&gt;=35, B809&lt;=44), "35-44",
  AND(B809&gt;=45, B809&lt;=54), "45-54",
  B809&gt;=55, "55+"
)</f>
        <v>25-34</v>
      </c>
      <c r="D809" t="s">
        <v>19</v>
      </c>
      <c r="E809" t="s">
        <v>113</v>
      </c>
      <c r="F809" t="s">
        <v>21</v>
      </c>
      <c r="G809">
        <v>89</v>
      </c>
      <c r="H809" t="s">
        <v>85</v>
      </c>
      <c r="I809" t="s">
        <v>38</v>
      </c>
      <c r="J809" t="s">
        <v>110</v>
      </c>
      <c r="K809" t="s">
        <v>25</v>
      </c>
      <c r="L809">
        <v>3.3</v>
      </c>
      <c r="M809" t="s">
        <v>26</v>
      </c>
      <c r="N809" t="s">
        <v>34</v>
      </c>
      <c r="O809" t="s">
        <v>28</v>
      </c>
      <c r="P809" t="s">
        <v>26</v>
      </c>
      <c r="Q809" t="s">
        <v>26</v>
      </c>
      <c r="R809">
        <v>15</v>
      </c>
      <c r="S809" t="s">
        <v>27</v>
      </c>
      <c r="T809" t="str">
        <f t="shared" si="24"/>
        <v>Daily</v>
      </c>
      <c r="U809">
        <f>VLOOKUP(T809,[1]tablescore!$B$3:$C$8, 2,FALSE)</f>
        <v>30</v>
      </c>
      <c r="V809" t="str">
        <f t="shared" si="25"/>
        <v>Highly Loyal</v>
      </c>
      <c r="W809" t="s">
        <v>41</v>
      </c>
    </row>
    <row r="810" spans="1:23" x14ac:dyDescent="0.25">
      <c r="A810">
        <v>809</v>
      </c>
      <c r="B810">
        <v>46</v>
      </c>
      <c r="C810" t="str" cm="1">
        <f t="array" ref="C810">_xlfn.IFS(
  AND(B810&gt;=18, B810&lt;=24), "18-24",
  AND(B810&gt;=25, B810&lt;=34), "25-34",
  AND(B810&gt;=35, B810&lt;=44), "35-44",
  AND(B810&gt;=45, B810&lt;=54), "45-54",
  B810&gt;=55, "55+"
)</f>
        <v>45-54</v>
      </c>
      <c r="D810" t="s">
        <v>19</v>
      </c>
      <c r="E810" t="s">
        <v>73</v>
      </c>
      <c r="F810" t="s">
        <v>43</v>
      </c>
      <c r="G810">
        <v>96</v>
      </c>
      <c r="H810" t="s">
        <v>148</v>
      </c>
      <c r="I810" t="s">
        <v>23</v>
      </c>
      <c r="J810" t="s">
        <v>93</v>
      </c>
      <c r="K810" t="s">
        <v>58</v>
      </c>
      <c r="L810">
        <v>4.5999999999999996</v>
      </c>
      <c r="M810" t="s">
        <v>26</v>
      </c>
      <c r="N810" t="s">
        <v>46</v>
      </c>
      <c r="O810" t="s">
        <v>47</v>
      </c>
      <c r="P810" t="s">
        <v>26</v>
      </c>
      <c r="Q810" t="s">
        <v>26</v>
      </c>
      <c r="R810">
        <v>38</v>
      </c>
      <c r="S810" t="s">
        <v>35</v>
      </c>
      <c r="T810" t="str">
        <f t="shared" si="24"/>
        <v>Quarterly</v>
      </c>
      <c r="U810">
        <f>VLOOKUP(T810,[1]tablescore!$B$3:$C$8, 2,FALSE)</f>
        <v>4</v>
      </c>
      <c r="V810" t="str">
        <f t="shared" si="25"/>
        <v>Low Loyalty</v>
      </c>
      <c r="W810" t="s">
        <v>97</v>
      </c>
    </row>
    <row r="811" spans="1:23" x14ac:dyDescent="0.25">
      <c r="A811">
        <v>810</v>
      </c>
      <c r="B811">
        <v>48</v>
      </c>
      <c r="C811" t="str" cm="1">
        <f t="array" ref="C811">_xlfn.IFS(
  AND(B811&gt;=18, B811&lt;=24), "18-24",
  AND(B811&gt;=25, B811&lt;=34), "25-34",
  AND(B811&gt;=35, B811&lt;=44), "35-44",
  AND(B811&gt;=45, B811&lt;=54), "45-54",
  B811&gt;=55, "55+"
)</f>
        <v>45-54</v>
      </c>
      <c r="D811" t="s">
        <v>19</v>
      </c>
      <c r="E811" t="s">
        <v>132</v>
      </c>
      <c r="F811" t="s">
        <v>43</v>
      </c>
      <c r="G811">
        <v>81</v>
      </c>
      <c r="H811" t="s">
        <v>126</v>
      </c>
      <c r="I811" t="s">
        <v>45</v>
      </c>
      <c r="J811" t="s">
        <v>84</v>
      </c>
      <c r="K811" t="s">
        <v>58</v>
      </c>
      <c r="L811">
        <v>4.9000000000000004</v>
      </c>
      <c r="M811" t="s">
        <v>26</v>
      </c>
      <c r="N811" t="s">
        <v>46</v>
      </c>
      <c r="O811" t="s">
        <v>47</v>
      </c>
      <c r="P811" t="s">
        <v>26</v>
      </c>
      <c r="Q811" t="s">
        <v>26</v>
      </c>
      <c r="R811">
        <v>30</v>
      </c>
      <c r="S811" t="s">
        <v>46</v>
      </c>
      <c r="T811" t="str">
        <f t="shared" si="24"/>
        <v>2-week</v>
      </c>
      <c r="U811">
        <f>VLOOKUP(T811,[1]tablescore!$B$3:$C$8, 2,FALSE)</f>
        <v>26</v>
      </c>
      <c r="V811" t="str">
        <f t="shared" si="25"/>
        <v>Loyal</v>
      </c>
      <c r="W811" t="s">
        <v>77</v>
      </c>
    </row>
    <row r="812" spans="1:23" x14ac:dyDescent="0.25">
      <c r="A812">
        <v>811</v>
      </c>
      <c r="B812">
        <v>52</v>
      </c>
      <c r="C812" t="str" cm="1">
        <f t="array" ref="C812">_xlfn.IFS(
  AND(B812&gt;=18, B812&lt;=24), "18-24",
  AND(B812&gt;=25, B812&lt;=34), "25-34",
  AND(B812&gt;=35, B812&lt;=44), "35-44",
  AND(B812&gt;=45, B812&lt;=54), "45-54",
  B812&gt;=55, "55+"
)</f>
        <v>45-54</v>
      </c>
      <c r="D812" t="s">
        <v>19</v>
      </c>
      <c r="E812" t="s">
        <v>119</v>
      </c>
      <c r="F812" t="s">
        <v>69</v>
      </c>
      <c r="G812">
        <v>83</v>
      </c>
      <c r="H812" t="s">
        <v>130</v>
      </c>
      <c r="I812" t="s">
        <v>38</v>
      </c>
      <c r="J812" t="s">
        <v>93</v>
      </c>
      <c r="K812" t="s">
        <v>58</v>
      </c>
      <c r="L812">
        <v>4.9000000000000004</v>
      </c>
      <c r="M812" t="s">
        <v>26</v>
      </c>
      <c r="N812" t="s">
        <v>59</v>
      </c>
      <c r="O812" t="s">
        <v>76</v>
      </c>
      <c r="P812" t="s">
        <v>26</v>
      </c>
      <c r="Q812" t="s">
        <v>26</v>
      </c>
      <c r="R812">
        <v>32</v>
      </c>
      <c r="S812" t="s">
        <v>59</v>
      </c>
      <c r="T812" t="str">
        <f t="shared" si="24"/>
        <v>2-week</v>
      </c>
      <c r="U812">
        <f>VLOOKUP(T812,[1]tablescore!$B$3:$C$8, 2,FALSE)</f>
        <v>26</v>
      </c>
      <c r="V812" t="str">
        <f t="shared" si="25"/>
        <v>Loyal</v>
      </c>
      <c r="W812" t="s">
        <v>77</v>
      </c>
    </row>
    <row r="813" spans="1:23" x14ac:dyDescent="0.25">
      <c r="A813">
        <v>812</v>
      </c>
      <c r="B813">
        <v>18</v>
      </c>
      <c r="C813" t="str" cm="1">
        <f t="array" ref="C813">_xlfn.IFS(
  AND(B813&gt;=18, B813&lt;=24), "18-24",
  AND(B813&gt;=25, B813&lt;=34), "25-34",
  AND(B813&gt;=35, B813&lt;=44), "35-44",
  AND(B813&gt;=45, B813&lt;=54), "45-54",
  B813&gt;=55, "55+"
)</f>
        <v>18-24</v>
      </c>
      <c r="D813" t="s">
        <v>19</v>
      </c>
      <c r="E813" t="s">
        <v>51</v>
      </c>
      <c r="F813" t="s">
        <v>43</v>
      </c>
      <c r="G813">
        <v>35</v>
      </c>
      <c r="H813" t="s">
        <v>115</v>
      </c>
      <c r="I813" t="s">
        <v>45</v>
      </c>
      <c r="J813" t="s">
        <v>96</v>
      </c>
      <c r="K813" t="s">
        <v>25</v>
      </c>
      <c r="L813">
        <v>2.7</v>
      </c>
      <c r="M813" t="s">
        <v>26</v>
      </c>
      <c r="N813" t="s">
        <v>59</v>
      </c>
      <c r="O813" t="s">
        <v>40</v>
      </c>
      <c r="P813" t="s">
        <v>26</v>
      </c>
      <c r="Q813" t="s">
        <v>26</v>
      </c>
      <c r="R813">
        <v>36</v>
      </c>
      <c r="S813" t="s">
        <v>29</v>
      </c>
      <c r="T813" t="str">
        <f t="shared" si="24"/>
        <v>Quarterly</v>
      </c>
      <c r="U813">
        <f>VLOOKUP(T813,[1]tablescore!$B$3:$C$8, 2,FALSE)</f>
        <v>4</v>
      </c>
      <c r="V813" t="str">
        <f t="shared" si="25"/>
        <v>Low Loyalty</v>
      </c>
      <c r="W813" t="s">
        <v>60</v>
      </c>
    </row>
    <row r="814" spans="1:23" x14ac:dyDescent="0.25">
      <c r="A814">
        <v>813</v>
      </c>
      <c r="B814">
        <v>64</v>
      </c>
      <c r="C814" t="str" cm="1">
        <f t="array" ref="C814">_xlfn.IFS(
  AND(B814&gt;=18, B814&lt;=24), "18-24",
  AND(B814&gt;=25, B814&lt;=34), "25-34",
  AND(B814&gt;=35, B814&lt;=44), "35-44",
  AND(B814&gt;=45, B814&lt;=54), "45-54",
  B814&gt;=55, "55+"
)</f>
        <v>55+</v>
      </c>
      <c r="D814" t="s">
        <v>19</v>
      </c>
      <c r="E814" t="s">
        <v>132</v>
      </c>
      <c r="F814" t="s">
        <v>43</v>
      </c>
      <c r="G814">
        <v>56</v>
      </c>
      <c r="H814" t="s">
        <v>120</v>
      </c>
      <c r="I814" t="s">
        <v>45</v>
      </c>
      <c r="J814" t="s">
        <v>79</v>
      </c>
      <c r="K814" t="s">
        <v>54</v>
      </c>
      <c r="L814">
        <v>3.2</v>
      </c>
      <c r="M814" t="s">
        <v>26</v>
      </c>
      <c r="N814" t="s">
        <v>46</v>
      </c>
      <c r="O814" t="s">
        <v>55</v>
      </c>
      <c r="P814" t="s">
        <v>26</v>
      </c>
      <c r="Q814" t="s">
        <v>26</v>
      </c>
      <c r="R814">
        <v>32</v>
      </c>
      <c r="S814" t="s">
        <v>27</v>
      </c>
      <c r="T814" t="str">
        <f t="shared" si="24"/>
        <v>Daily</v>
      </c>
      <c r="U814">
        <f>VLOOKUP(T814,[1]tablescore!$B$3:$C$8, 2,FALSE)</f>
        <v>30</v>
      </c>
      <c r="V814" t="str">
        <f t="shared" si="25"/>
        <v>Highly Loyal</v>
      </c>
      <c r="W814" t="s">
        <v>41</v>
      </c>
    </row>
    <row r="815" spans="1:23" x14ac:dyDescent="0.25">
      <c r="A815">
        <v>814</v>
      </c>
      <c r="B815">
        <v>54</v>
      </c>
      <c r="C815" t="str" cm="1">
        <f t="array" ref="C815">_xlfn.IFS(
  AND(B815&gt;=18, B815&lt;=24), "18-24",
  AND(B815&gt;=25, B815&lt;=34), "25-34",
  AND(B815&gt;=35, B815&lt;=44), "35-44",
  AND(B815&gt;=45, B815&lt;=54), "45-54",
  B815&gt;=55, "55+"
)</f>
        <v>45-54</v>
      </c>
      <c r="D815" t="s">
        <v>19</v>
      </c>
      <c r="E815" t="s">
        <v>68</v>
      </c>
      <c r="F815" t="s">
        <v>69</v>
      </c>
      <c r="G815">
        <v>45</v>
      </c>
      <c r="H815" t="s">
        <v>57</v>
      </c>
      <c r="I815" t="s">
        <v>38</v>
      </c>
      <c r="J815" t="s">
        <v>79</v>
      </c>
      <c r="K815" t="s">
        <v>54</v>
      </c>
      <c r="L815">
        <v>2.9</v>
      </c>
      <c r="M815" t="s">
        <v>26</v>
      </c>
      <c r="N815" t="s">
        <v>27</v>
      </c>
      <c r="O815" t="s">
        <v>76</v>
      </c>
      <c r="P815" t="s">
        <v>26</v>
      </c>
      <c r="Q815" t="s">
        <v>26</v>
      </c>
      <c r="R815">
        <v>14</v>
      </c>
      <c r="S815" t="s">
        <v>59</v>
      </c>
      <c r="T815" t="str">
        <f t="shared" si="24"/>
        <v>Annually</v>
      </c>
      <c r="U815">
        <f>VLOOKUP(T815,[1]tablescore!$B$3:$C$8, 2,FALSE)</f>
        <v>1</v>
      </c>
      <c r="V815" t="str">
        <f t="shared" si="25"/>
        <v>Low Loyalty</v>
      </c>
      <c r="W815" t="s">
        <v>50</v>
      </c>
    </row>
    <row r="816" spans="1:23" x14ac:dyDescent="0.25">
      <c r="A816">
        <v>815</v>
      </c>
      <c r="B816">
        <v>31</v>
      </c>
      <c r="C816" t="str" cm="1">
        <f t="array" ref="C816">_xlfn.IFS(
  AND(B816&gt;=18, B816&lt;=24), "18-24",
  AND(B816&gt;=25, B816&lt;=34), "25-34",
  AND(B816&gt;=35, B816&lt;=44), "35-44",
  AND(B816&gt;=45, B816&lt;=54), "45-54",
  B816&gt;=55, "55+"
)</f>
        <v>25-34</v>
      </c>
      <c r="D816" t="s">
        <v>19</v>
      </c>
      <c r="E816" t="s">
        <v>56</v>
      </c>
      <c r="F816" t="s">
        <v>21</v>
      </c>
      <c r="G816">
        <v>62</v>
      </c>
      <c r="H816" t="s">
        <v>134</v>
      </c>
      <c r="I816" t="s">
        <v>45</v>
      </c>
      <c r="J816" t="s">
        <v>71</v>
      </c>
      <c r="K816" t="s">
        <v>25</v>
      </c>
      <c r="L816">
        <v>3.8</v>
      </c>
      <c r="M816" t="s">
        <v>26</v>
      </c>
      <c r="N816" t="s">
        <v>35</v>
      </c>
      <c r="O816" t="s">
        <v>28</v>
      </c>
      <c r="P816" t="s">
        <v>26</v>
      </c>
      <c r="Q816" t="s">
        <v>26</v>
      </c>
      <c r="R816">
        <v>8</v>
      </c>
      <c r="S816" t="s">
        <v>46</v>
      </c>
      <c r="T816" t="str">
        <f t="shared" si="24"/>
        <v>Month</v>
      </c>
      <c r="U816">
        <f>VLOOKUP(T816,[1]tablescore!$B$3:$C$8, 2,FALSE)</f>
        <v>12</v>
      </c>
      <c r="V816" t="str">
        <f t="shared" si="25"/>
        <v>Moderate</v>
      </c>
      <c r="W816" t="s">
        <v>88</v>
      </c>
    </row>
    <row r="817" spans="1:23" x14ac:dyDescent="0.25">
      <c r="A817">
        <v>816</v>
      </c>
      <c r="B817">
        <v>30</v>
      </c>
      <c r="C817" t="str" cm="1">
        <f t="array" ref="C817">_xlfn.IFS(
  AND(B817&gt;=18, B817&lt;=24), "18-24",
  AND(B817&gt;=25, B817&lt;=34), "25-34",
  AND(B817&gt;=35, B817&lt;=44), "35-44",
  AND(B817&gt;=45, B817&lt;=54), "45-54",
  B817&gt;=55, "55+"
)</f>
        <v>25-34</v>
      </c>
      <c r="D817" t="s">
        <v>19</v>
      </c>
      <c r="E817" t="s">
        <v>125</v>
      </c>
      <c r="F817" t="s">
        <v>69</v>
      </c>
      <c r="G817">
        <v>84</v>
      </c>
      <c r="H817" t="s">
        <v>66</v>
      </c>
      <c r="I817" t="s">
        <v>23</v>
      </c>
      <c r="J817" t="s">
        <v>86</v>
      </c>
      <c r="K817" t="s">
        <v>39</v>
      </c>
      <c r="L817">
        <v>3</v>
      </c>
      <c r="M817" t="s">
        <v>26</v>
      </c>
      <c r="N817" t="s">
        <v>35</v>
      </c>
      <c r="O817" t="s">
        <v>47</v>
      </c>
      <c r="P817" t="s">
        <v>26</v>
      </c>
      <c r="Q817" t="s">
        <v>26</v>
      </c>
      <c r="R817">
        <v>27</v>
      </c>
      <c r="S817" t="s">
        <v>29</v>
      </c>
      <c r="T817" t="str">
        <f t="shared" si="24"/>
        <v>2-week</v>
      </c>
      <c r="U817">
        <f>VLOOKUP(T817,[1]tablescore!$B$3:$C$8, 2,FALSE)</f>
        <v>26</v>
      </c>
      <c r="V817" t="str">
        <f t="shared" si="25"/>
        <v>Loyal</v>
      </c>
      <c r="W817" t="s">
        <v>77</v>
      </c>
    </row>
    <row r="818" spans="1:23" x14ac:dyDescent="0.25">
      <c r="A818">
        <v>817</v>
      </c>
      <c r="B818">
        <v>26</v>
      </c>
      <c r="C818" t="str" cm="1">
        <f t="array" ref="C818">_xlfn.IFS(
  AND(B818&gt;=18, B818&lt;=24), "18-24",
  AND(B818&gt;=25, B818&lt;=34), "25-34",
  AND(B818&gt;=35, B818&lt;=44), "35-44",
  AND(B818&gt;=45, B818&lt;=54), "45-54",
  B818&gt;=55, "55+"
)</f>
        <v>25-34</v>
      </c>
      <c r="D818" t="s">
        <v>19</v>
      </c>
      <c r="E818" t="s">
        <v>31</v>
      </c>
      <c r="F818" t="s">
        <v>21</v>
      </c>
      <c r="G818">
        <v>24</v>
      </c>
      <c r="H818" t="s">
        <v>115</v>
      </c>
      <c r="I818" t="s">
        <v>23</v>
      </c>
      <c r="J818" t="s">
        <v>109</v>
      </c>
      <c r="K818" t="s">
        <v>54</v>
      </c>
      <c r="L818">
        <v>3.9</v>
      </c>
      <c r="M818" t="s">
        <v>26</v>
      </c>
      <c r="N818" t="s">
        <v>27</v>
      </c>
      <c r="O818" t="s">
        <v>76</v>
      </c>
      <c r="P818" t="s">
        <v>26</v>
      </c>
      <c r="Q818" t="s">
        <v>26</v>
      </c>
      <c r="R818">
        <v>24</v>
      </c>
      <c r="S818" t="s">
        <v>59</v>
      </c>
      <c r="T818" t="str">
        <f t="shared" si="24"/>
        <v>Month</v>
      </c>
      <c r="U818">
        <f>VLOOKUP(T818,[1]tablescore!$B$3:$C$8, 2,FALSE)</f>
        <v>12</v>
      </c>
      <c r="V818" t="str">
        <f t="shared" si="25"/>
        <v>Moderate</v>
      </c>
      <c r="W818" t="s">
        <v>88</v>
      </c>
    </row>
    <row r="819" spans="1:23" x14ac:dyDescent="0.25">
      <c r="A819">
        <v>818</v>
      </c>
      <c r="B819">
        <v>25</v>
      </c>
      <c r="C819" t="str" cm="1">
        <f t="array" ref="C819">_xlfn.IFS(
  AND(B819&gt;=18, B819&lt;=24), "18-24",
  AND(B819&gt;=25, B819&lt;=34), "25-34",
  AND(B819&gt;=35, B819&lt;=44), "35-44",
  AND(B819&gt;=45, B819&lt;=54), "45-54",
  B819&gt;=55, "55+"
)</f>
        <v>25-34</v>
      </c>
      <c r="D819" t="s">
        <v>19</v>
      </c>
      <c r="E819" t="s">
        <v>68</v>
      </c>
      <c r="F819" t="s">
        <v>69</v>
      </c>
      <c r="G819">
        <v>21</v>
      </c>
      <c r="H819" t="s">
        <v>107</v>
      </c>
      <c r="I819" t="s">
        <v>38</v>
      </c>
      <c r="J819" t="s">
        <v>24</v>
      </c>
      <c r="K819" t="s">
        <v>39</v>
      </c>
      <c r="L819">
        <v>4.7</v>
      </c>
      <c r="M819" t="s">
        <v>26</v>
      </c>
      <c r="N819" t="s">
        <v>27</v>
      </c>
      <c r="O819" t="s">
        <v>76</v>
      </c>
      <c r="P819" t="s">
        <v>26</v>
      </c>
      <c r="Q819" t="s">
        <v>26</v>
      </c>
      <c r="R819">
        <v>30</v>
      </c>
      <c r="S819" t="s">
        <v>46</v>
      </c>
      <c r="T819" t="str">
        <f t="shared" si="24"/>
        <v>2-week</v>
      </c>
      <c r="U819">
        <f>VLOOKUP(T819,[1]tablescore!$B$3:$C$8, 2,FALSE)</f>
        <v>26</v>
      </c>
      <c r="V819" t="str">
        <f t="shared" si="25"/>
        <v>Loyal</v>
      </c>
      <c r="W819" t="s">
        <v>30</v>
      </c>
    </row>
    <row r="820" spans="1:23" x14ac:dyDescent="0.25">
      <c r="A820">
        <v>819</v>
      </c>
      <c r="B820">
        <v>59</v>
      </c>
      <c r="C820" t="str" cm="1">
        <f t="array" ref="C820">_xlfn.IFS(
  AND(B820&gt;=18, B820&lt;=24), "18-24",
  AND(B820&gt;=25, B820&lt;=34), "25-34",
  AND(B820&gt;=35, B820&lt;=44), "35-44",
  AND(B820&gt;=45, B820&lt;=54), "45-54",
  B820&gt;=55, "55+"
)</f>
        <v>55+</v>
      </c>
      <c r="D820" t="s">
        <v>19</v>
      </c>
      <c r="E820" t="s">
        <v>56</v>
      </c>
      <c r="F820" t="s">
        <v>21</v>
      </c>
      <c r="G820">
        <v>91</v>
      </c>
      <c r="H820" t="s">
        <v>144</v>
      </c>
      <c r="I820" t="s">
        <v>45</v>
      </c>
      <c r="J820" t="s">
        <v>100</v>
      </c>
      <c r="K820" t="s">
        <v>25</v>
      </c>
      <c r="L820">
        <v>4.9000000000000004</v>
      </c>
      <c r="M820" t="s">
        <v>26</v>
      </c>
      <c r="N820" t="s">
        <v>35</v>
      </c>
      <c r="O820" t="s">
        <v>76</v>
      </c>
      <c r="P820" t="s">
        <v>26</v>
      </c>
      <c r="Q820" t="s">
        <v>26</v>
      </c>
      <c r="R820">
        <v>34</v>
      </c>
      <c r="S820" t="s">
        <v>59</v>
      </c>
      <c r="T820" t="str">
        <f t="shared" si="24"/>
        <v>Month</v>
      </c>
      <c r="U820">
        <f>VLOOKUP(T820,[1]tablescore!$B$3:$C$8, 2,FALSE)</f>
        <v>12</v>
      </c>
      <c r="V820" t="str">
        <f t="shared" si="25"/>
        <v>Moderate</v>
      </c>
      <c r="W820" t="s">
        <v>88</v>
      </c>
    </row>
    <row r="821" spans="1:23" x14ac:dyDescent="0.25">
      <c r="A821">
        <v>820</v>
      </c>
      <c r="B821">
        <v>55</v>
      </c>
      <c r="C821" t="str" cm="1">
        <f t="array" ref="C821">_xlfn.IFS(
  AND(B821&gt;=18, B821&lt;=24), "18-24",
  AND(B821&gt;=25, B821&lt;=34), "25-34",
  AND(B821&gt;=35, B821&lt;=44), "35-44",
  AND(B821&gt;=45, B821&lt;=54), "45-54",
  B821&gt;=55, "55+"
)</f>
        <v>55+</v>
      </c>
      <c r="D821" t="s">
        <v>19</v>
      </c>
      <c r="E821" t="s">
        <v>89</v>
      </c>
      <c r="F821" t="s">
        <v>69</v>
      </c>
      <c r="G821">
        <v>36</v>
      </c>
      <c r="H821" t="s">
        <v>112</v>
      </c>
      <c r="I821" t="s">
        <v>38</v>
      </c>
      <c r="J821" t="s">
        <v>86</v>
      </c>
      <c r="K821" t="s">
        <v>25</v>
      </c>
      <c r="L821">
        <v>4.8</v>
      </c>
      <c r="M821" t="s">
        <v>26</v>
      </c>
      <c r="N821" t="s">
        <v>34</v>
      </c>
      <c r="O821" t="s">
        <v>47</v>
      </c>
      <c r="P821" t="s">
        <v>26</v>
      </c>
      <c r="Q821" t="s">
        <v>26</v>
      </c>
      <c r="R821">
        <v>28</v>
      </c>
      <c r="S821" t="s">
        <v>59</v>
      </c>
      <c r="T821" t="str">
        <f t="shared" si="24"/>
        <v>Quarterly</v>
      </c>
      <c r="U821">
        <f>VLOOKUP(T821,[1]tablescore!$B$3:$C$8, 2,FALSE)</f>
        <v>4</v>
      </c>
      <c r="V821" t="str">
        <f t="shared" si="25"/>
        <v>Low Loyalty</v>
      </c>
      <c r="W821" t="s">
        <v>60</v>
      </c>
    </row>
    <row r="822" spans="1:23" x14ac:dyDescent="0.25">
      <c r="A822">
        <v>821</v>
      </c>
      <c r="B822">
        <v>56</v>
      </c>
      <c r="C822" t="str" cm="1">
        <f t="array" ref="C822">_xlfn.IFS(
  AND(B822&gt;=18, B822&lt;=24), "18-24",
  AND(B822&gt;=25, B822&lt;=34), "25-34",
  AND(B822&gt;=35, B822&lt;=44), "35-44",
  AND(B822&gt;=45, B822&lt;=54), "45-54",
  B822&gt;=55, "55+"
)</f>
        <v>55+</v>
      </c>
      <c r="D822" t="s">
        <v>19</v>
      </c>
      <c r="E822" t="s">
        <v>51</v>
      </c>
      <c r="F822" t="s">
        <v>43</v>
      </c>
      <c r="G822">
        <v>39</v>
      </c>
      <c r="H822" t="s">
        <v>62</v>
      </c>
      <c r="I822" t="s">
        <v>45</v>
      </c>
      <c r="J822" t="s">
        <v>49</v>
      </c>
      <c r="K822" t="s">
        <v>39</v>
      </c>
      <c r="L822">
        <v>2.5</v>
      </c>
      <c r="M822" t="s">
        <v>26</v>
      </c>
      <c r="N822" t="s">
        <v>35</v>
      </c>
      <c r="O822" t="s">
        <v>72</v>
      </c>
      <c r="P822" t="s">
        <v>26</v>
      </c>
      <c r="Q822" t="s">
        <v>26</v>
      </c>
      <c r="R822">
        <v>27</v>
      </c>
      <c r="S822" t="s">
        <v>59</v>
      </c>
      <c r="T822" t="str">
        <f t="shared" si="24"/>
        <v>Month</v>
      </c>
      <c r="U822">
        <f>VLOOKUP(T822,[1]tablescore!$B$3:$C$8, 2,FALSE)</f>
        <v>12</v>
      </c>
      <c r="V822" t="str">
        <f t="shared" si="25"/>
        <v>Moderate</v>
      </c>
      <c r="W822" t="s">
        <v>88</v>
      </c>
    </row>
    <row r="823" spans="1:23" x14ac:dyDescent="0.25">
      <c r="A823">
        <v>822</v>
      </c>
      <c r="B823">
        <v>62</v>
      </c>
      <c r="C823" t="str" cm="1">
        <f t="array" ref="C823">_xlfn.IFS(
  AND(B823&gt;=18, B823&lt;=24), "18-24",
  AND(B823&gt;=25, B823&lt;=34), "25-34",
  AND(B823&gt;=35, B823&lt;=44), "35-44",
  AND(B823&gt;=45, B823&lt;=54), "45-54",
  B823&gt;=55, "55+"
)</f>
        <v>55+</v>
      </c>
      <c r="D823" t="s">
        <v>19</v>
      </c>
      <c r="E823" t="s">
        <v>104</v>
      </c>
      <c r="F823" t="s">
        <v>21</v>
      </c>
      <c r="G823">
        <v>39</v>
      </c>
      <c r="H823" t="s">
        <v>145</v>
      </c>
      <c r="I823" t="s">
        <v>45</v>
      </c>
      <c r="J823" t="s">
        <v>96</v>
      </c>
      <c r="K823" t="s">
        <v>39</v>
      </c>
      <c r="L823">
        <v>3.9</v>
      </c>
      <c r="M823" t="s">
        <v>26</v>
      </c>
      <c r="N823" t="s">
        <v>35</v>
      </c>
      <c r="O823" t="s">
        <v>55</v>
      </c>
      <c r="P823" t="s">
        <v>26</v>
      </c>
      <c r="Q823" t="s">
        <v>26</v>
      </c>
      <c r="R823">
        <v>31</v>
      </c>
      <c r="S823" t="s">
        <v>27</v>
      </c>
      <c r="T823" t="str">
        <f t="shared" si="24"/>
        <v>2-week</v>
      </c>
      <c r="U823">
        <f>VLOOKUP(T823,[1]tablescore!$B$3:$C$8, 2,FALSE)</f>
        <v>26</v>
      </c>
      <c r="V823" t="str">
        <f t="shared" si="25"/>
        <v>Loyal</v>
      </c>
      <c r="W823" t="s">
        <v>77</v>
      </c>
    </row>
    <row r="824" spans="1:23" x14ac:dyDescent="0.25">
      <c r="A824">
        <v>823</v>
      </c>
      <c r="B824">
        <v>35</v>
      </c>
      <c r="C824" t="str" cm="1">
        <f t="array" ref="C824">_xlfn.IFS(
  AND(B824&gt;=18, B824&lt;=24), "18-24",
  AND(B824&gt;=25, B824&lt;=34), "25-34",
  AND(B824&gt;=35, B824&lt;=44), "35-44",
  AND(B824&gt;=45, B824&lt;=54), "45-54",
  B824&gt;=55, "55+"
)</f>
        <v>35-44</v>
      </c>
      <c r="D824" t="s">
        <v>19</v>
      </c>
      <c r="E824" t="s">
        <v>56</v>
      </c>
      <c r="F824" t="s">
        <v>21</v>
      </c>
      <c r="G824">
        <v>59</v>
      </c>
      <c r="H824" t="s">
        <v>91</v>
      </c>
      <c r="I824" t="s">
        <v>23</v>
      </c>
      <c r="J824" t="s">
        <v>147</v>
      </c>
      <c r="K824" t="s">
        <v>25</v>
      </c>
      <c r="L824">
        <v>3.4</v>
      </c>
      <c r="M824" t="s">
        <v>26</v>
      </c>
      <c r="N824" t="s">
        <v>35</v>
      </c>
      <c r="O824" t="s">
        <v>55</v>
      </c>
      <c r="P824" t="s">
        <v>26</v>
      </c>
      <c r="Q824" t="s">
        <v>26</v>
      </c>
      <c r="R824">
        <v>23</v>
      </c>
      <c r="S824" t="s">
        <v>34</v>
      </c>
      <c r="T824" t="str">
        <f t="shared" si="24"/>
        <v>Annually</v>
      </c>
      <c r="U824">
        <f>VLOOKUP(T824,[1]tablescore!$B$3:$C$8, 2,FALSE)</f>
        <v>1</v>
      </c>
      <c r="V824" t="str">
        <f t="shared" si="25"/>
        <v>Low Loyalty</v>
      </c>
      <c r="W824" t="s">
        <v>50</v>
      </c>
    </row>
    <row r="825" spans="1:23" x14ac:dyDescent="0.25">
      <c r="A825">
        <v>824</v>
      </c>
      <c r="B825">
        <v>51</v>
      </c>
      <c r="C825" t="str" cm="1">
        <f t="array" ref="C825">_xlfn.IFS(
  AND(B825&gt;=18, B825&lt;=24), "18-24",
  AND(B825&gt;=25, B825&lt;=34), "25-34",
  AND(B825&gt;=35, B825&lt;=44), "35-44",
  AND(B825&gt;=45, B825&lt;=54), "45-54",
  B825&gt;=55, "55+"
)</f>
        <v>45-54</v>
      </c>
      <c r="D825" t="s">
        <v>19</v>
      </c>
      <c r="E825" t="s">
        <v>89</v>
      </c>
      <c r="F825" t="s">
        <v>69</v>
      </c>
      <c r="G825">
        <v>27</v>
      </c>
      <c r="H825" t="s">
        <v>142</v>
      </c>
      <c r="I825" t="s">
        <v>45</v>
      </c>
      <c r="J825" t="s">
        <v>96</v>
      </c>
      <c r="K825" t="s">
        <v>25</v>
      </c>
      <c r="L825">
        <v>2.5</v>
      </c>
      <c r="M825" t="s">
        <v>26</v>
      </c>
      <c r="N825" t="s">
        <v>46</v>
      </c>
      <c r="O825" t="s">
        <v>40</v>
      </c>
      <c r="P825" t="s">
        <v>26</v>
      </c>
      <c r="Q825" t="s">
        <v>26</v>
      </c>
      <c r="R825">
        <v>11</v>
      </c>
      <c r="S825" t="s">
        <v>27</v>
      </c>
      <c r="T825" t="str">
        <f t="shared" si="24"/>
        <v>Quarterly</v>
      </c>
      <c r="U825">
        <f>VLOOKUP(T825,[1]tablescore!$B$3:$C$8, 2,FALSE)</f>
        <v>4</v>
      </c>
      <c r="V825" t="str">
        <f t="shared" si="25"/>
        <v>Low Loyalty</v>
      </c>
      <c r="W825" t="s">
        <v>60</v>
      </c>
    </row>
    <row r="826" spans="1:23" x14ac:dyDescent="0.25">
      <c r="A826">
        <v>825</v>
      </c>
      <c r="B826">
        <v>61</v>
      </c>
      <c r="C826" t="str" cm="1">
        <f t="array" ref="C826">_xlfn.IFS(
  AND(B826&gt;=18, B826&lt;=24), "18-24",
  AND(B826&gt;=25, B826&lt;=34), "25-34",
  AND(B826&gt;=35, B826&lt;=44), "35-44",
  AND(B826&gt;=45, B826&lt;=54), "45-54",
  B826&gt;=55, "55+"
)</f>
        <v>55+</v>
      </c>
      <c r="D826" t="s">
        <v>19</v>
      </c>
      <c r="E826" t="s">
        <v>20</v>
      </c>
      <c r="F826" t="s">
        <v>21</v>
      </c>
      <c r="G826">
        <v>94</v>
      </c>
      <c r="H826" t="s">
        <v>142</v>
      </c>
      <c r="I826" t="s">
        <v>45</v>
      </c>
      <c r="J826" t="s">
        <v>53</v>
      </c>
      <c r="K826" t="s">
        <v>39</v>
      </c>
      <c r="L826">
        <v>3</v>
      </c>
      <c r="M826" t="s">
        <v>26</v>
      </c>
      <c r="N826" t="s">
        <v>29</v>
      </c>
      <c r="O826" t="s">
        <v>76</v>
      </c>
      <c r="P826" t="s">
        <v>26</v>
      </c>
      <c r="Q826" t="s">
        <v>26</v>
      </c>
      <c r="R826">
        <v>48</v>
      </c>
      <c r="S826" t="s">
        <v>35</v>
      </c>
      <c r="T826" t="str">
        <f t="shared" si="24"/>
        <v>Quarterly</v>
      </c>
      <c r="U826">
        <f>VLOOKUP(T826,[1]tablescore!$B$3:$C$8, 2,FALSE)</f>
        <v>4</v>
      </c>
      <c r="V826" t="str">
        <f t="shared" si="25"/>
        <v>Low Loyalty</v>
      </c>
      <c r="W826" t="s">
        <v>60</v>
      </c>
    </row>
    <row r="827" spans="1:23" x14ac:dyDescent="0.25">
      <c r="A827">
        <v>826</v>
      </c>
      <c r="B827">
        <v>27</v>
      </c>
      <c r="C827" t="str" cm="1">
        <f t="array" ref="C827">_xlfn.IFS(
  AND(B827&gt;=18, B827&lt;=24), "18-24",
  AND(B827&gt;=25, B827&lt;=34), "25-34",
  AND(B827&gt;=35, B827&lt;=44), "35-44",
  AND(B827&gt;=45, B827&lt;=54), "45-54",
  B827&gt;=55, "55+"
)</f>
        <v>25-34</v>
      </c>
      <c r="D827" t="s">
        <v>19</v>
      </c>
      <c r="E827" t="s">
        <v>136</v>
      </c>
      <c r="F827" t="s">
        <v>69</v>
      </c>
      <c r="G827">
        <v>94</v>
      </c>
      <c r="H827" t="s">
        <v>143</v>
      </c>
      <c r="I827" t="s">
        <v>92</v>
      </c>
      <c r="J827" t="s">
        <v>110</v>
      </c>
      <c r="K827" t="s">
        <v>58</v>
      </c>
      <c r="L827">
        <v>3.6</v>
      </c>
      <c r="M827" t="s">
        <v>26</v>
      </c>
      <c r="N827" t="s">
        <v>29</v>
      </c>
      <c r="O827" t="s">
        <v>47</v>
      </c>
      <c r="P827" t="s">
        <v>26</v>
      </c>
      <c r="Q827" t="s">
        <v>26</v>
      </c>
      <c r="R827">
        <v>17</v>
      </c>
      <c r="S827" t="s">
        <v>35</v>
      </c>
      <c r="T827" t="str">
        <f t="shared" si="24"/>
        <v>Month</v>
      </c>
      <c r="U827">
        <f>VLOOKUP(T827,[1]tablescore!$B$3:$C$8, 2,FALSE)</f>
        <v>12</v>
      </c>
      <c r="V827" t="str">
        <f t="shared" si="25"/>
        <v>Moderate</v>
      </c>
      <c r="W827" t="s">
        <v>88</v>
      </c>
    </row>
    <row r="828" spans="1:23" x14ac:dyDescent="0.25">
      <c r="A828">
        <v>827</v>
      </c>
      <c r="B828">
        <v>54</v>
      </c>
      <c r="C828" t="str" cm="1">
        <f t="array" ref="C828">_xlfn.IFS(
  AND(B828&gt;=18, B828&lt;=24), "18-24",
  AND(B828&gt;=25, B828&lt;=34), "25-34",
  AND(B828&gt;=35, B828&lt;=44), "35-44",
  AND(B828&gt;=45, B828&lt;=54), "45-54",
  B828&gt;=55, "55+"
)</f>
        <v>45-54</v>
      </c>
      <c r="D828" t="s">
        <v>19</v>
      </c>
      <c r="E828" t="s">
        <v>82</v>
      </c>
      <c r="F828" t="s">
        <v>21</v>
      </c>
      <c r="G828">
        <v>94</v>
      </c>
      <c r="H828" t="s">
        <v>37</v>
      </c>
      <c r="I828" t="s">
        <v>45</v>
      </c>
      <c r="J828" t="s">
        <v>75</v>
      </c>
      <c r="K828" t="s">
        <v>25</v>
      </c>
      <c r="L828">
        <v>3.6</v>
      </c>
      <c r="M828" t="s">
        <v>26</v>
      </c>
      <c r="N828" t="s">
        <v>27</v>
      </c>
      <c r="O828" t="s">
        <v>55</v>
      </c>
      <c r="P828" t="s">
        <v>26</v>
      </c>
      <c r="Q828" t="s">
        <v>26</v>
      </c>
      <c r="R828">
        <v>36</v>
      </c>
      <c r="S828" t="s">
        <v>46</v>
      </c>
      <c r="T828" t="str">
        <f t="shared" si="24"/>
        <v>Daily</v>
      </c>
      <c r="U828">
        <f>VLOOKUP(T828,[1]tablescore!$B$3:$C$8, 2,FALSE)</f>
        <v>30</v>
      </c>
      <c r="V828" t="str">
        <f t="shared" si="25"/>
        <v>Highly Loyal</v>
      </c>
      <c r="W828" t="s">
        <v>41</v>
      </c>
    </row>
    <row r="829" spans="1:23" x14ac:dyDescent="0.25">
      <c r="A829">
        <v>828</v>
      </c>
      <c r="B829">
        <v>31</v>
      </c>
      <c r="C829" t="str" cm="1">
        <f t="array" ref="C829">_xlfn.IFS(
  AND(B829&gt;=18, B829&lt;=24), "18-24",
  AND(B829&gt;=25, B829&lt;=34), "25-34",
  AND(B829&gt;=35, B829&lt;=44), "35-44",
  AND(B829&gt;=45, B829&lt;=54), "45-54",
  B829&gt;=55, "55+"
)</f>
        <v>25-34</v>
      </c>
      <c r="D829" t="s">
        <v>19</v>
      </c>
      <c r="E829" t="s">
        <v>73</v>
      </c>
      <c r="F829" t="s">
        <v>43</v>
      </c>
      <c r="G829">
        <v>51</v>
      </c>
      <c r="H829" t="s">
        <v>112</v>
      </c>
      <c r="I829" t="s">
        <v>38</v>
      </c>
      <c r="J829" t="s">
        <v>96</v>
      </c>
      <c r="K829" t="s">
        <v>58</v>
      </c>
      <c r="L829">
        <v>4.0999999999999996</v>
      </c>
      <c r="M829" t="s">
        <v>26</v>
      </c>
      <c r="N829" t="s">
        <v>27</v>
      </c>
      <c r="O829" t="s">
        <v>40</v>
      </c>
      <c r="P829" t="s">
        <v>26</v>
      </c>
      <c r="Q829" t="s">
        <v>26</v>
      </c>
      <c r="R829">
        <v>33</v>
      </c>
      <c r="S829" t="s">
        <v>34</v>
      </c>
      <c r="T829" t="str">
        <f t="shared" si="24"/>
        <v>2-week</v>
      </c>
      <c r="U829">
        <f>VLOOKUP(T829,[1]tablescore!$B$3:$C$8, 2,FALSE)</f>
        <v>26</v>
      </c>
      <c r="V829" t="str">
        <f t="shared" si="25"/>
        <v>Loyal</v>
      </c>
      <c r="W829" t="s">
        <v>30</v>
      </c>
    </row>
    <row r="830" spans="1:23" x14ac:dyDescent="0.25">
      <c r="A830">
        <v>829</v>
      </c>
      <c r="B830">
        <v>24</v>
      </c>
      <c r="C830" t="str" cm="1">
        <f t="array" ref="C830">_xlfn.IFS(
  AND(B830&gt;=18, B830&lt;=24), "18-24",
  AND(B830&gt;=25, B830&lt;=34), "25-34",
  AND(B830&gt;=35, B830&lt;=44), "35-44",
  AND(B830&gt;=45, B830&lt;=54), "45-54",
  B830&gt;=55, "55+"
)</f>
        <v>18-24</v>
      </c>
      <c r="D830" t="s">
        <v>19</v>
      </c>
      <c r="E830" t="s">
        <v>131</v>
      </c>
      <c r="F830" t="s">
        <v>21</v>
      </c>
      <c r="G830">
        <v>62</v>
      </c>
      <c r="H830" t="s">
        <v>107</v>
      </c>
      <c r="I830" t="s">
        <v>45</v>
      </c>
      <c r="J830" t="s">
        <v>100</v>
      </c>
      <c r="K830" t="s">
        <v>58</v>
      </c>
      <c r="L830">
        <v>3.7</v>
      </c>
      <c r="M830" t="s">
        <v>26</v>
      </c>
      <c r="N830" t="s">
        <v>34</v>
      </c>
      <c r="O830" t="s">
        <v>72</v>
      </c>
      <c r="P830" t="s">
        <v>26</v>
      </c>
      <c r="Q830" t="s">
        <v>26</v>
      </c>
      <c r="R830">
        <v>27</v>
      </c>
      <c r="S830" t="s">
        <v>46</v>
      </c>
      <c r="T830" t="str">
        <f t="shared" si="24"/>
        <v>2-week</v>
      </c>
      <c r="U830">
        <f>VLOOKUP(T830,[1]tablescore!$B$3:$C$8, 2,FALSE)</f>
        <v>26</v>
      </c>
      <c r="V830" t="str">
        <f t="shared" si="25"/>
        <v>Loyal</v>
      </c>
      <c r="W830" t="s">
        <v>77</v>
      </c>
    </row>
    <row r="831" spans="1:23" x14ac:dyDescent="0.25">
      <c r="A831">
        <v>830</v>
      </c>
      <c r="B831">
        <v>42</v>
      </c>
      <c r="C831" t="str" cm="1">
        <f t="array" ref="C831">_xlfn.IFS(
  AND(B831&gt;=18, B831&lt;=24), "18-24",
  AND(B831&gt;=25, B831&lt;=34), "25-34",
  AND(B831&gt;=35, B831&lt;=44), "35-44",
  AND(B831&gt;=45, B831&lt;=54), "45-54",
  B831&gt;=55, "55+"
)</f>
        <v>35-44</v>
      </c>
      <c r="D831" t="s">
        <v>19</v>
      </c>
      <c r="E831" t="s">
        <v>131</v>
      </c>
      <c r="F831" t="s">
        <v>21</v>
      </c>
      <c r="G831">
        <v>57</v>
      </c>
      <c r="H831" t="s">
        <v>144</v>
      </c>
      <c r="I831" t="s">
        <v>38</v>
      </c>
      <c r="J831" t="s">
        <v>67</v>
      </c>
      <c r="K831" t="s">
        <v>39</v>
      </c>
      <c r="L831">
        <v>3.1</v>
      </c>
      <c r="M831" t="s">
        <v>26</v>
      </c>
      <c r="N831" t="s">
        <v>59</v>
      </c>
      <c r="O831" t="s">
        <v>72</v>
      </c>
      <c r="P831" t="s">
        <v>26</v>
      </c>
      <c r="Q831" t="s">
        <v>26</v>
      </c>
      <c r="R831">
        <v>14</v>
      </c>
      <c r="S831" t="s">
        <v>27</v>
      </c>
      <c r="T831" t="str">
        <f t="shared" si="24"/>
        <v>2-week</v>
      </c>
      <c r="U831">
        <f>VLOOKUP(T831,[1]tablescore!$B$3:$C$8, 2,FALSE)</f>
        <v>26</v>
      </c>
      <c r="V831" t="str">
        <f t="shared" si="25"/>
        <v>Loyal</v>
      </c>
      <c r="W831" t="s">
        <v>30</v>
      </c>
    </row>
    <row r="832" spans="1:23" x14ac:dyDescent="0.25">
      <c r="A832">
        <v>831</v>
      </c>
      <c r="B832">
        <v>41</v>
      </c>
      <c r="C832" t="str" cm="1">
        <f t="array" ref="C832">_xlfn.IFS(
  AND(B832&gt;=18, B832&lt;=24), "18-24",
  AND(B832&gt;=25, B832&lt;=34), "25-34",
  AND(B832&gt;=35, B832&lt;=44), "35-44",
  AND(B832&gt;=45, B832&lt;=54), "45-54",
  B832&gt;=55, "55+"
)</f>
        <v>35-44</v>
      </c>
      <c r="D832" t="s">
        <v>19</v>
      </c>
      <c r="E832" t="s">
        <v>61</v>
      </c>
      <c r="F832" t="s">
        <v>21</v>
      </c>
      <c r="G832">
        <v>76</v>
      </c>
      <c r="H832" t="s">
        <v>52</v>
      </c>
      <c r="I832" t="s">
        <v>45</v>
      </c>
      <c r="J832" t="s">
        <v>33</v>
      </c>
      <c r="K832" t="s">
        <v>58</v>
      </c>
      <c r="L832">
        <v>4.2</v>
      </c>
      <c r="M832" t="s">
        <v>26</v>
      </c>
      <c r="N832" t="s">
        <v>35</v>
      </c>
      <c r="O832" t="s">
        <v>28</v>
      </c>
      <c r="P832" t="s">
        <v>26</v>
      </c>
      <c r="Q832" t="s">
        <v>26</v>
      </c>
      <c r="R832">
        <v>5</v>
      </c>
      <c r="S832" t="s">
        <v>27</v>
      </c>
      <c r="T832" t="str">
        <f t="shared" si="24"/>
        <v>Annually</v>
      </c>
      <c r="U832">
        <f>VLOOKUP(T832,[1]tablescore!$B$3:$C$8, 2,FALSE)</f>
        <v>1</v>
      </c>
      <c r="V832" t="str">
        <f t="shared" si="25"/>
        <v>Low Loyalty</v>
      </c>
      <c r="W832" t="s">
        <v>50</v>
      </c>
    </row>
    <row r="833" spans="1:23" x14ac:dyDescent="0.25">
      <c r="A833">
        <v>832</v>
      </c>
      <c r="B833">
        <v>66</v>
      </c>
      <c r="C833" t="str" cm="1">
        <f t="array" ref="C833">_xlfn.IFS(
  AND(B833&gt;=18, B833&lt;=24), "18-24",
  AND(B833&gt;=25, B833&lt;=34), "25-34",
  AND(B833&gt;=35, B833&lt;=44), "35-44",
  AND(B833&gt;=45, B833&lt;=54), "45-54",
  B833&gt;=55, "55+"
)</f>
        <v>55+</v>
      </c>
      <c r="D833" t="s">
        <v>19</v>
      </c>
      <c r="E833" t="s">
        <v>127</v>
      </c>
      <c r="F833" t="s">
        <v>69</v>
      </c>
      <c r="G833">
        <v>63</v>
      </c>
      <c r="H833" t="s">
        <v>140</v>
      </c>
      <c r="I833" t="s">
        <v>45</v>
      </c>
      <c r="J833" t="s">
        <v>108</v>
      </c>
      <c r="K833" t="s">
        <v>54</v>
      </c>
      <c r="L833">
        <v>4.3</v>
      </c>
      <c r="M833" t="s">
        <v>26</v>
      </c>
      <c r="N833" t="s">
        <v>59</v>
      </c>
      <c r="O833" t="s">
        <v>28</v>
      </c>
      <c r="P833" t="s">
        <v>26</v>
      </c>
      <c r="Q833" t="s">
        <v>26</v>
      </c>
      <c r="R833">
        <v>47</v>
      </c>
      <c r="S833" t="s">
        <v>35</v>
      </c>
      <c r="T833" t="str">
        <f t="shared" si="24"/>
        <v>Quarterly</v>
      </c>
      <c r="U833">
        <f>VLOOKUP(T833,[1]tablescore!$B$3:$C$8, 2,FALSE)</f>
        <v>4</v>
      </c>
      <c r="V833" t="str">
        <f t="shared" si="25"/>
        <v>Low Loyalty</v>
      </c>
      <c r="W833" t="s">
        <v>97</v>
      </c>
    </row>
    <row r="834" spans="1:23" x14ac:dyDescent="0.25">
      <c r="A834">
        <v>833</v>
      </c>
      <c r="B834">
        <v>58</v>
      </c>
      <c r="C834" t="str" cm="1">
        <f t="array" ref="C834">_xlfn.IFS(
  AND(B834&gt;=18, B834&lt;=24), "18-24",
  AND(B834&gt;=25, B834&lt;=34), "25-34",
  AND(B834&gt;=35, B834&lt;=44), "35-44",
  AND(B834&gt;=45, B834&lt;=54), "45-54",
  B834&gt;=55, "55+"
)</f>
        <v>55+</v>
      </c>
      <c r="D834" t="s">
        <v>19</v>
      </c>
      <c r="E834" t="s">
        <v>102</v>
      </c>
      <c r="F834" t="s">
        <v>65</v>
      </c>
      <c r="G834">
        <v>80</v>
      </c>
      <c r="H834" t="s">
        <v>99</v>
      </c>
      <c r="I834" t="s">
        <v>23</v>
      </c>
      <c r="J834" t="s">
        <v>138</v>
      </c>
      <c r="K834" t="s">
        <v>58</v>
      </c>
      <c r="L834">
        <v>2.5</v>
      </c>
      <c r="M834" t="s">
        <v>26</v>
      </c>
      <c r="N834" t="s">
        <v>27</v>
      </c>
      <c r="O834" t="s">
        <v>28</v>
      </c>
      <c r="P834" t="s">
        <v>26</v>
      </c>
      <c r="Q834" t="s">
        <v>26</v>
      </c>
      <c r="R834">
        <v>28</v>
      </c>
      <c r="S834" t="s">
        <v>35</v>
      </c>
      <c r="T834" t="str">
        <f t="shared" si="24"/>
        <v>2-week</v>
      </c>
      <c r="U834">
        <f>VLOOKUP(T834,[1]tablescore!$B$3:$C$8, 2,FALSE)</f>
        <v>26</v>
      </c>
      <c r="V834" t="str">
        <f t="shared" si="25"/>
        <v>Loyal</v>
      </c>
      <c r="W834" t="s">
        <v>77</v>
      </c>
    </row>
    <row r="835" spans="1:23" x14ac:dyDescent="0.25">
      <c r="A835">
        <v>834</v>
      </c>
      <c r="B835">
        <v>43</v>
      </c>
      <c r="C835" t="str" cm="1">
        <f t="array" ref="C835">_xlfn.IFS(
  AND(B835&gt;=18, B835&lt;=24), "18-24",
  AND(B835&gt;=25, B835&lt;=34), "25-34",
  AND(B835&gt;=35, B835&lt;=44), "35-44",
  AND(B835&gt;=45, B835&lt;=54), "45-54",
  B835&gt;=55, "55+"
)</f>
        <v>35-44</v>
      </c>
      <c r="D835" t="s">
        <v>19</v>
      </c>
      <c r="E835" t="s">
        <v>68</v>
      </c>
      <c r="F835" t="s">
        <v>69</v>
      </c>
      <c r="G835">
        <v>68</v>
      </c>
      <c r="H835" t="s">
        <v>101</v>
      </c>
      <c r="I835" t="s">
        <v>45</v>
      </c>
      <c r="J835" t="s">
        <v>75</v>
      </c>
      <c r="K835" t="s">
        <v>58</v>
      </c>
      <c r="L835">
        <v>3.5</v>
      </c>
      <c r="M835" t="s">
        <v>26</v>
      </c>
      <c r="N835" t="s">
        <v>59</v>
      </c>
      <c r="O835" t="s">
        <v>55</v>
      </c>
      <c r="P835" t="s">
        <v>26</v>
      </c>
      <c r="Q835" t="s">
        <v>26</v>
      </c>
      <c r="R835">
        <v>11</v>
      </c>
      <c r="S835" t="s">
        <v>27</v>
      </c>
      <c r="T835" t="str">
        <f t="shared" ref="T835:T898" si="26">IF(TRIM(W835)="Every 3 months","Quarterly",IF(TRIM(W835)="Fortnightly","2-week",IF(TRIM(W835)="Bi-Weekly","2-week",IF(TRIM(W835)="Weekly","Daily",IF(TRIM(W835)="Monthly","Month",TRIM(W835))))))</f>
        <v>Annually</v>
      </c>
      <c r="U835">
        <f>VLOOKUP(T835,[1]tablescore!$B$3:$C$8, 2,FALSE)</f>
        <v>1</v>
      </c>
      <c r="V835" t="str">
        <f t="shared" ref="V835:V898" si="27">_xlfn.IFS(U835&gt;=30, "Highly Loyal", U835&gt;=26, "Loyal", U835&gt;=12, "Moderate", U835&lt;5, "Low Loyalty")</f>
        <v>Low Loyalty</v>
      </c>
      <c r="W835" t="s">
        <v>50</v>
      </c>
    </row>
    <row r="836" spans="1:23" x14ac:dyDescent="0.25">
      <c r="A836">
        <v>835</v>
      </c>
      <c r="B836">
        <v>52</v>
      </c>
      <c r="C836" t="str" cm="1">
        <f t="array" ref="C836">_xlfn.IFS(
  AND(B836&gt;=18, B836&lt;=24), "18-24",
  AND(B836&gt;=25, B836&lt;=34), "25-34",
  AND(B836&gt;=35, B836&lt;=44), "35-44",
  AND(B836&gt;=45, B836&lt;=54), "45-54",
  B836&gt;=55, "55+"
)</f>
        <v>45-54</v>
      </c>
      <c r="D836" t="s">
        <v>19</v>
      </c>
      <c r="E836" t="s">
        <v>133</v>
      </c>
      <c r="F836" t="s">
        <v>69</v>
      </c>
      <c r="G836">
        <v>89</v>
      </c>
      <c r="H836" t="s">
        <v>107</v>
      </c>
      <c r="I836" t="s">
        <v>45</v>
      </c>
      <c r="J836" t="s">
        <v>129</v>
      </c>
      <c r="K836" t="s">
        <v>54</v>
      </c>
      <c r="L836">
        <v>3.1</v>
      </c>
      <c r="M836" t="s">
        <v>26</v>
      </c>
      <c r="N836" t="s">
        <v>59</v>
      </c>
      <c r="O836" t="s">
        <v>40</v>
      </c>
      <c r="P836" t="s">
        <v>26</v>
      </c>
      <c r="Q836" t="s">
        <v>26</v>
      </c>
      <c r="R836">
        <v>18</v>
      </c>
      <c r="S836" t="s">
        <v>27</v>
      </c>
      <c r="T836" t="str">
        <f t="shared" si="26"/>
        <v>Daily</v>
      </c>
      <c r="U836">
        <f>VLOOKUP(T836,[1]tablescore!$B$3:$C$8, 2,FALSE)</f>
        <v>30</v>
      </c>
      <c r="V836" t="str">
        <f t="shared" si="27"/>
        <v>Highly Loyal</v>
      </c>
      <c r="W836" t="s">
        <v>41</v>
      </c>
    </row>
    <row r="837" spans="1:23" x14ac:dyDescent="0.25">
      <c r="A837">
        <v>836</v>
      </c>
      <c r="B837">
        <v>35</v>
      </c>
      <c r="C837" t="str" cm="1">
        <f t="array" ref="C837">_xlfn.IFS(
  AND(B837&gt;=18, B837&lt;=24), "18-24",
  AND(B837&gt;=25, B837&lt;=34), "25-34",
  AND(B837&gt;=35, B837&lt;=44), "35-44",
  AND(B837&gt;=45, B837&lt;=54), "45-54",
  B837&gt;=55, "55+"
)</f>
        <v>35-44</v>
      </c>
      <c r="D837" t="s">
        <v>19</v>
      </c>
      <c r="E837" t="s">
        <v>132</v>
      </c>
      <c r="F837" t="s">
        <v>43</v>
      </c>
      <c r="G837">
        <v>26</v>
      </c>
      <c r="H837" t="s">
        <v>135</v>
      </c>
      <c r="I837" t="s">
        <v>23</v>
      </c>
      <c r="J837" t="s">
        <v>129</v>
      </c>
      <c r="K837" t="s">
        <v>54</v>
      </c>
      <c r="L837">
        <v>2.5</v>
      </c>
      <c r="M837" t="s">
        <v>26</v>
      </c>
      <c r="N837" t="s">
        <v>59</v>
      </c>
      <c r="O837" t="s">
        <v>47</v>
      </c>
      <c r="P837" t="s">
        <v>26</v>
      </c>
      <c r="Q837" t="s">
        <v>26</v>
      </c>
      <c r="R837">
        <v>21</v>
      </c>
      <c r="S837" t="s">
        <v>59</v>
      </c>
      <c r="T837" t="str">
        <f t="shared" si="26"/>
        <v>Daily</v>
      </c>
      <c r="U837">
        <f>VLOOKUP(T837,[1]tablescore!$B$3:$C$8, 2,FALSE)</f>
        <v>30</v>
      </c>
      <c r="V837" t="str">
        <f t="shared" si="27"/>
        <v>Highly Loyal</v>
      </c>
      <c r="W837" t="s">
        <v>41</v>
      </c>
    </row>
    <row r="838" spans="1:23" x14ac:dyDescent="0.25">
      <c r="A838">
        <v>837</v>
      </c>
      <c r="B838">
        <v>23</v>
      </c>
      <c r="C838" t="str" cm="1">
        <f t="array" ref="C838">_xlfn.IFS(
  AND(B838&gt;=18, B838&lt;=24), "18-24",
  AND(B838&gt;=25, B838&lt;=34), "25-34",
  AND(B838&gt;=35, B838&lt;=44), "35-44",
  AND(B838&gt;=45, B838&lt;=54), "45-54",
  B838&gt;=55, "55+"
)</f>
        <v>18-24</v>
      </c>
      <c r="D838" t="s">
        <v>19</v>
      </c>
      <c r="E838" t="s">
        <v>127</v>
      </c>
      <c r="F838" t="s">
        <v>69</v>
      </c>
      <c r="G838">
        <v>90</v>
      </c>
      <c r="H838" t="s">
        <v>66</v>
      </c>
      <c r="I838" t="s">
        <v>23</v>
      </c>
      <c r="J838" t="s">
        <v>84</v>
      </c>
      <c r="K838" t="s">
        <v>25</v>
      </c>
      <c r="L838">
        <v>3.9</v>
      </c>
      <c r="M838" t="s">
        <v>26</v>
      </c>
      <c r="N838" t="s">
        <v>46</v>
      </c>
      <c r="O838" t="s">
        <v>76</v>
      </c>
      <c r="P838" t="s">
        <v>26</v>
      </c>
      <c r="Q838" t="s">
        <v>26</v>
      </c>
      <c r="R838">
        <v>22</v>
      </c>
      <c r="S838" t="s">
        <v>35</v>
      </c>
      <c r="T838" t="str">
        <f t="shared" si="26"/>
        <v>2-week</v>
      </c>
      <c r="U838">
        <f>VLOOKUP(T838,[1]tablescore!$B$3:$C$8, 2,FALSE)</f>
        <v>26</v>
      </c>
      <c r="V838" t="str">
        <f t="shared" si="27"/>
        <v>Loyal</v>
      </c>
      <c r="W838" t="s">
        <v>77</v>
      </c>
    </row>
    <row r="839" spans="1:23" x14ac:dyDescent="0.25">
      <c r="A839">
        <v>838</v>
      </c>
      <c r="B839">
        <v>25</v>
      </c>
      <c r="C839" t="str" cm="1">
        <f t="array" ref="C839">_xlfn.IFS(
  AND(B839&gt;=18, B839&lt;=24), "18-24",
  AND(B839&gt;=25, B839&lt;=34), "25-34",
  AND(B839&gt;=35, B839&lt;=44), "35-44",
  AND(B839&gt;=45, B839&lt;=54), "45-54",
  B839&gt;=55, "55+"
)</f>
        <v>25-34</v>
      </c>
      <c r="D839" t="s">
        <v>19</v>
      </c>
      <c r="E839" t="s">
        <v>104</v>
      </c>
      <c r="F839" t="s">
        <v>21</v>
      </c>
      <c r="G839">
        <v>28</v>
      </c>
      <c r="H839" t="s">
        <v>115</v>
      </c>
      <c r="I839" t="s">
        <v>23</v>
      </c>
      <c r="J839" t="s">
        <v>110</v>
      </c>
      <c r="K839" t="s">
        <v>39</v>
      </c>
      <c r="L839">
        <v>4.9000000000000004</v>
      </c>
      <c r="M839" t="s">
        <v>26</v>
      </c>
      <c r="N839" t="s">
        <v>27</v>
      </c>
      <c r="O839" t="s">
        <v>28</v>
      </c>
      <c r="P839" t="s">
        <v>26</v>
      </c>
      <c r="Q839" t="s">
        <v>26</v>
      </c>
      <c r="R839">
        <v>33</v>
      </c>
      <c r="S839" t="s">
        <v>35</v>
      </c>
      <c r="T839" t="str">
        <f t="shared" si="26"/>
        <v>Quarterly</v>
      </c>
      <c r="U839">
        <f>VLOOKUP(T839,[1]tablescore!$B$3:$C$8, 2,FALSE)</f>
        <v>4</v>
      </c>
      <c r="V839" t="str">
        <f t="shared" si="27"/>
        <v>Low Loyalty</v>
      </c>
      <c r="W839" t="s">
        <v>97</v>
      </c>
    </row>
    <row r="840" spans="1:23" x14ac:dyDescent="0.25">
      <c r="A840">
        <v>839</v>
      </c>
      <c r="B840">
        <v>33</v>
      </c>
      <c r="C840" t="str" cm="1">
        <f t="array" ref="C840">_xlfn.IFS(
  AND(B840&gt;=18, B840&lt;=24), "18-24",
  AND(B840&gt;=25, B840&lt;=34), "25-34",
  AND(B840&gt;=35, B840&lt;=44), "35-44",
  AND(B840&gt;=45, B840&lt;=54), "45-54",
  B840&gt;=55, "55+"
)</f>
        <v>25-34</v>
      </c>
      <c r="D840" t="s">
        <v>19</v>
      </c>
      <c r="E840" t="s">
        <v>64</v>
      </c>
      <c r="F840" t="s">
        <v>65</v>
      </c>
      <c r="G840">
        <v>29</v>
      </c>
      <c r="H840" t="s">
        <v>22</v>
      </c>
      <c r="I840" t="s">
        <v>45</v>
      </c>
      <c r="J840" t="s">
        <v>24</v>
      </c>
      <c r="K840" t="s">
        <v>39</v>
      </c>
      <c r="L840">
        <v>4.3</v>
      </c>
      <c r="M840" t="s">
        <v>26</v>
      </c>
      <c r="N840" t="s">
        <v>34</v>
      </c>
      <c r="O840" t="s">
        <v>28</v>
      </c>
      <c r="P840" t="s">
        <v>26</v>
      </c>
      <c r="Q840" t="s">
        <v>26</v>
      </c>
      <c r="R840">
        <v>49</v>
      </c>
      <c r="S840" t="s">
        <v>27</v>
      </c>
      <c r="T840" t="str">
        <f t="shared" si="26"/>
        <v>Annually</v>
      </c>
      <c r="U840">
        <f>VLOOKUP(T840,[1]tablescore!$B$3:$C$8, 2,FALSE)</f>
        <v>1</v>
      </c>
      <c r="V840" t="str">
        <f t="shared" si="27"/>
        <v>Low Loyalty</v>
      </c>
      <c r="W840" t="s">
        <v>50</v>
      </c>
    </row>
    <row r="841" spans="1:23" x14ac:dyDescent="0.25">
      <c r="A841">
        <v>840</v>
      </c>
      <c r="B841">
        <v>48</v>
      </c>
      <c r="C841" t="str" cm="1">
        <f t="array" ref="C841">_xlfn.IFS(
  AND(B841&gt;=18, B841&lt;=24), "18-24",
  AND(B841&gt;=25, B841&lt;=34), "25-34",
  AND(B841&gt;=35, B841&lt;=44), "35-44",
  AND(B841&gt;=45, B841&lt;=54), "45-54",
  B841&gt;=55, "55+"
)</f>
        <v>45-54</v>
      </c>
      <c r="D841" t="s">
        <v>19</v>
      </c>
      <c r="E841" t="s">
        <v>56</v>
      </c>
      <c r="F841" t="s">
        <v>21</v>
      </c>
      <c r="G841">
        <v>31</v>
      </c>
      <c r="H841" t="s">
        <v>115</v>
      </c>
      <c r="I841" t="s">
        <v>23</v>
      </c>
      <c r="J841" t="s">
        <v>86</v>
      </c>
      <c r="K841" t="s">
        <v>39</v>
      </c>
      <c r="L841">
        <v>2.6</v>
      </c>
      <c r="M841" t="s">
        <v>26</v>
      </c>
      <c r="N841" t="s">
        <v>35</v>
      </c>
      <c r="O841" t="s">
        <v>40</v>
      </c>
      <c r="P841" t="s">
        <v>26</v>
      </c>
      <c r="Q841" t="s">
        <v>26</v>
      </c>
      <c r="R841">
        <v>10</v>
      </c>
      <c r="S841" t="s">
        <v>59</v>
      </c>
      <c r="T841" t="str">
        <f t="shared" si="26"/>
        <v>Quarterly</v>
      </c>
      <c r="U841">
        <f>VLOOKUP(T841,[1]tablescore!$B$3:$C$8, 2,FALSE)</f>
        <v>4</v>
      </c>
      <c r="V841" t="str">
        <f t="shared" si="27"/>
        <v>Low Loyalty</v>
      </c>
      <c r="W841" t="s">
        <v>97</v>
      </c>
    </row>
    <row r="842" spans="1:23" x14ac:dyDescent="0.25">
      <c r="A842">
        <v>841</v>
      </c>
      <c r="B842">
        <v>42</v>
      </c>
      <c r="C842" t="str" cm="1">
        <f t="array" ref="C842">_xlfn.IFS(
  AND(B842&gt;=18, B842&lt;=24), "18-24",
  AND(B842&gt;=25, B842&lt;=34), "25-34",
  AND(B842&gt;=35, B842&lt;=44), "35-44",
  AND(B842&gt;=45, B842&lt;=54), "45-54",
  B842&gt;=55, "55+"
)</f>
        <v>35-44</v>
      </c>
      <c r="D842" t="s">
        <v>19</v>
      </c>
      <c r="E842" t="s">
        <v>56</v>
      </c>
      <c r="F842" t="s">
        <v>21</v>
      </c>
      <c r="G842">
        <v>24</v>
      </c>
      <c r="H842" t="s">
        <v>90</v>
      </c>
      <c r="I842" t="s">
        <v>23</v>
      </c>
      <c r="J842" t="s">
        <v>86</v>
      </c>
      <c r="K842" t="s">
        <v>54</v>
      </c>
      <c r="L842">
        <v>4.2</v>
      </c>
      <c r="M842" t="s">
        <v>26</v>
      </c>
      <c r="N842" t="s">
        <v>34</v>
      </c>
      <c r="O842" t="s">
        <v>72</v>
      </c>
      <c r="P842" t="s">
        <v>26</v>
      </c>
      <c r="Q842" t="s">
        <v>26</v>
      </c>
      <c r="R842">
        <v>18</v>
      </c>
      <c r="S842" t="s">
        <v>46</v>
      </c>
      <c r="T842" t="str">
        <f t="shared" si="26"/>
        <v>Daily</v>
      </c>
      <c r="U842">
        <f>VLOOKUP(T842,[1]tablescore!$B$3:$C$8, 2,FALSE)</f>
        <v>30</v>
      </c>
      <c r="V842" t="str">
        <f t="shared" si="27"/>
        <v>Highly Loyal</v>
      </c>
      <c r="W842" t="s">
        <v>41</v>
      </c>
    </row>
    <row r="843" spans="1:23" x14ac:dyDescent="0.25">
      <c r="A843">
        <v>842</v>
      </c>
      <c r="B843">
        <v>55</v>
      </c>
      <c r="C843" t="str" cm="1">
        <f t="array" ref="C843">_xlfn.IFS(
  AND(B843&gt;=18, B843&lt;=24), "18-24",
  AND(B843&gt;=25, B843&lt;=34), "25-34",
  AND(B843&gt;=35, B843&lt;=44), "35-44",
  AND(B843&gt;=45, B843&lt;=54), "45-54",
  B843&gt;=55, "55+"
)</f>
        <v>55+</v>
      </c>
      <c r="D843" t="s">
        <v>19</v>
      </c>
      <c r="E843" t="s">
        <v>31</v>
      </c>
      <c r="F843" t="s">
        <v>21</v>
      </c>
      <c r="G843">
        <v>88</v>
      </c>
      <c r="H843" t="s">
        <v>105</v>
      </c>
      <c r="I843" t="s">
        <v>45</v>
      </c>
      <c r="J843" t="s">
        <v>118</v>
      </c>
      <c r="K843" t="s">
        <v>54</v>
      </c>
      <c r="L843">
        <v>2.6</v>
      </c>
      <c r="M843" t="s">
        <v>26</v>
      </c>
      <c r="N843" t="s">
        <v>29</v>
      </c>
      <c r="O843" t="s">
        <v>76</v>
      </c>
      <c r="P843" t="s">
        <v>26</v>
      </c>
      <c r="Q843" t="s">
        <v>26</v>
      </c>
      <c r="R843">
        <v>28</v>
      </c>
      <c r="S843" t="s">
        <v>46</v>
      </c>
      <c r="T843" t="str">
        <f t="shared" si="26"/>
        <v>2-week</v>
      </c>
      <c r="U843">
        <f>VLOOKUP(T843,[1]tablescore!$B$3:$C$8, 2,FALSE)</f>
        <v>26</v>
      </c>
      <c r="V843" t="str">
        <f t="shared" si="27"/>
        <v>Loyal</v>
      </c>
      <c r="W843" t="s">
        <v>30</v>
      </c>
    </row>
    <row r="844" spans="1:23" x14ac:dyDescent="0.25">
      <c r="A844">
        <v>843</v>
      </c>
      <c r="B844">
        <v>59</v>
      </c>
      <c r="C844" t="str" cm="1">
        <f t="array" ref="C844">_xlfn.IFS(
  AND(B844&gt;=18, B844&lt;=24), "18-24",
  AND(B844&gt;=25, B844&lt;=34), "25-34",
  AND(B844&gt;=35, B844&lt;=44), "35-44",
  AND(B844&gt;=45, B844&lt;=54), "45-54",
  B844&gt;=55, "55+"
)</f>
        <v>55+</v>
      </c>
      <c r="D844" t="s">
        <v>19</v>
      </c>
      <c r="E844" t="s">
        <v>56</v>
      </c>
      <c r="F844" t="s">
        <v>21</v>
      </c>
      <c r="G844">
        <v>87</v>
      </c>
      <c r="H844" t="s">
        <v>70</v>
      </c>
      <c r="I844" t="s">
        <v>45</v>
      </c>
      <c r="J844" t="s">
        <v>84</v>
      </c>
      <c r="K844" t="s">
        <v>39</v>
      </c>
      <c r="L844">
        <v>3.6</v>
      </c>
      <c r="M844" t="s">
        <v>26</v>
      </c>
      <c r="N844" t="s">
        <v>29</v>
      </c>
      <c r="O844" t="s">
        <v>28</v>
      </c>
      <c r="P844" t="s">
        <v>26</v>
      </c>
      <c r="Q844" t="s">
        <v>26</v>
      </c>
      <c r="R844">
        <v>25</v>
      </c>
      <c r="S844" t="s">
        <v>46</v>
      </c>
      <c r="T844" t="str">
        <f t="shared" si="26"/>
        <v>Daily</v>
      </c>
      <c r="U844">
        <f>VLOOKUP(T844,[1]tablescore!$B$3:$C$8, 2,FALSE)</f>
        <v>30</v>
      </c>
      <c r="V844" t="str">
        <f t="shared" si="27"/>
        <v>Highly Loyal</v>
      </c>
      <c r="W844" t="s">
        <v>41</v>
      </c>
    </row>
    <row r="845" spans="1:23" x14ac:dyDescent="0.25">
      <c r="A845">
        <v>844</v>
      </c>
      <c r="B845">
        <v>65</v>
      </c>
      <c r="C845" t="str" cm="1">
        <f t="array" ref="C845">_xlfn.IFS(
  AND(B845&gt;=18, B845&lt;=24), "18-24",
  AND(B845&gt;=25, B845&lt;=34), "25-34",
  AND(B845&gt;=35, B845&lt;=44), "35-44",
  AND(B845&gt;=45, B845&lt;=54), "45-54",
  B845&gt;=55, "55+"
)</f>
        <v>55+</v>
      </c>
      <c r="D845" t="s">
        <v>19</v>
      </c>
      <c r="E845" t="s">
        <v>104</v>
      </c>
      <c r="F845" t="s">
        <v>21</v>
      </c>
      <c r="G845">
        <v>80</v>
      </c>
      <c r="H845" t="s">
        <v>141</v>
      </c>
      <c r="I845" t="s">
        <v>38</v>
      </c>
      <c r="J845" t="s">
        <v>118</v>
      </c>
      <c r="K845" t="s">
        <v>54</v>
      </c>
      <c r="L845">
        <v>3.2</v>
      </c>
      <c r="M845" t="s">
        <v>26</v>
      </c>
      <c r="N845" t="s">
        <v>35</v>
      </c>
      <c r="O845" t="s">
        <v>28</v>
      </c>
      <c r="P845" t="s">
        <v>26</v>
      </c>
      <c r="Q845" t="s">
        <v>26</v>
      </c>
      <c r="R845">
        <v>6</v>
      </c>
      <c r="S845" t="s">
        <v>46</v>
      </c>
      <c r="T845" t="str">
        <f t="shared" si="26"/>
        <v>Daily</v>
      </c>
      <c r="U845">
        <f>VLOOKUP(T845,[1]tablescore!$B$3:$C$8, 2,FALSE)</f>
        <v>30</v>
      </c>
      <c r="V845" t="str">
        <f t="shared" si="27"/>
        <v>Highly Loyal</v>
      </c>
      <c r="W845" t="s">
        <v>41</v>
      </c>
    </row>
    <row r="846" spans="1:23" x14ac:dyDescent="0.25">
      <c r="A846">
        <v>845</v>
      </c>
      <c r="B846">
        <v>59</v>
      </c>
      <c r="C846" t="str" cm="1">
        <f t="array" ref="C846">_xlfn.IFS(
  AND(B846&gt;=18, B846&lt;=24), "18-24",
  AND(B846&gt;=25, B846&lt;=34), "25-34",
  AND(B846&gt;=35, B846&lt;=44), "35-44",
  AND(B846&gt;=45, B846&lt;=54), "45-54",
  B846&gt;=55, "55+"
)</f>
        <v>55+</v>
      </c>
      <c r="D846" t="s">
        <v>19</v>
      </c>
      <c r="E846" t="s">
        <v>42</v>
      </c>
      <c r="F846" t="s">
        <v>43</v>
      </c>
      <c r="G846">
        <v>48</v>
      </c>
      <c r="H846" t="s">
        <v>70</v>
      </c>
      <c r="I846" t="s">
        <v>23</v>
      </c>
      <c r="J846" t="s">
        <v>75</v>
      </c>
      <c r="K846" t="s">
        <v>25</v>
      </c>
      <c r="L846">
        <v>4.4000000000000004</v>
      </c>
      <c r="M846" t="s">
        <v>26</v>
      </c>
      <c r="N846" t="s">
        <v>46</v>
      </c>
      <c r="O846" t="s">
        <v>28</v>
      </c>
      <c r="P846" t="s">
        <v>26</v>
      </c>
      <c r="Q846" t="s">
        <v>26</v>
      </c>
      <c r="R846">
        <v>44</v>
      </c>
      <c r="S846" t="s">
        <v>29</v>
      </c>
      <c r="T846" t="str">
        <f t="shared" si="26"/>
        <v>2-week</v>
      </c>
      <c r="U846">
        <f>VLOOKUP(T846,[1]tablescore!$B$3:$C$8, 2,FALSE)</f>
        <v>26</v>
      </c>
      <c r="V846" t="str">
        <f t="shared" si="27"/>
        <v>Loyal</v>
      </c>
      <c r="W846" t="s">
        <v>77</v>
      </c>
    </row>
    <row r="847" spans="1:23" x14ac:dyDescent="0.25">
      <c r="A847">
        <v>846</v>
      </c>
      <c r="B847">
        <v>31</v>
      </c>
      <c r="C847" t="str" cm="1">
        <f t="array" ref="C847">_xlfn.IFS(
  AND(B847&gt;=18, B847&lt;=24), "18-24",
  AND(B847&gt;=25, B847&lt;=34), "25-34",
  AND(B847&gt;=35, B847&lt;=44), "35-44",
  AND(B847&gt;=45, B847&lt;=54), "45-54",
  B847&gt;=55, "55+"
)</f>
        <v>25-34</v>
      </c>
      <c r="D847" t="s">
        <v>19</v>
      </c>
      <c r="E847" t="s">
        <v>136</v>
      </c>
      <c r="F847" t="s">
        <v>69</v>
      </c>
      <c r="G847">
        <v>21</v>
      </c>
      <c r="H847" t="s">
        <v>151</v>
      </c>
      <c r="I847" t="s">
        <v>92</v>
      </c>
      <c r="J847" t="s">
        <v>63</v>
      </c>
      <c r="K847" t="s">
        <v>25</v>
      </c>
      <c r="L847">
        <v>3.7</v>
      </c>
      <c r="M847" t="s">
        <v>26</v>
      </c>
      <c r="N847" t="s">
        <v>46</v>
      </c>
      <c r="O847" t="s">
        <v>55</v>
      </c>
      <c r="P847" t="s">
        <v>26</v>
      </c>
      <c r="Q847" t="s">
        <v>26</v>
      </c>
      <c r="R847">
        <v>30</v>
      </c>
      <c r="S847" t="s">
        <v>29</v>
      </c>
      <c r="T847" t="str">
        <f t="shared" si="26"/>
        <v>Month</v>
      </c>
      <c r="U847">
        <f>VLOOKUP(T847,[1]tablescore!$B$3:$C$8, 2,FALSE)</f>
        <v>12</v>
      </c>
      <c r="V847" t="str">
        <f t="shared" si="27"/>
        <v>Moderate</v>
      </c>
      <c r="W847" t="s">
        <v>88</v>
      </c>
    </row>
    <row r="848" spans="1:23" x14ac:dyDescent="0.25">
      <c r="A848">
        <v>847</v>
      </c>
      <c r="B848">
        <v>49</v>
      </c>
      <c r="C848" t="str" cm="1">
        <f t="array" ref="C848">_xlfn.IFS(
  AND(B848&gt;=18, B848&lt;=24), "18-24",
  AND(B848&gt;=25, B848&lt;=34), "25-34",
  AND(B848&gt;=35, B848&lt;=44), "35-44",
  AND(B848&gt;=45, B848&lt;=54), "45-54",
  B848&gt;=55, "55+"
)</f>
        <v>45-54</v>
      </c>
      <c r="D848" t="s">
        <v>19</v>
      </c>
      <c r="E848" t="s">
        <v>132</v>
      </c>
      <c r="F848" t="s">
        <v>43</v>
      </c>
      <c r="G848">
        <v>72</v>
      </c>
      <c r="H848" t="s">
        <v>22</v>
      </c>
      <c r="I848" t="s">
        <v>45</v>
      </c>
      <c r="J848" t="s">
        <v>71</v>
      </c>
      <c r="K848" t="s">
        <v>39</v>
      </c>
      <c r="L848">
        <v>3.7</v>
      </c>
      <c r="M848" t="s">
        <v>26</v>
      </c>
      <c r="N848" t="s">
        <v>34</v>
      </c>
      <c r="O848" t="s">
        <v>28</v>
      </c>
      <c r="P848" t="s">
        <v>26</v>
      </c>
      <c r="Q848" t="s">
        <v>26</v>
      </c>
      <c r="R848">
        <v>42</v>
      </c>
      <c r="S848" t="s">
        <v>59</v>
      </c>
      <c r="T848" t="str">
        <f t="shared" si="26"/>
        <v>Quarterly</v>
      </c>
      <c r="U848">
        <f>VLOOKUP(T848,[1]tablescore!$B$3:$C$8, 2,FALSE)</f>
        <v>4</v>
      </c>
      <c r="V848" t="str">
        <f t="shared" si="27"/>
        <v>Low Loyalty</v>
      </c>
      <c r="W848" t="s">
        <v>60</v>
      </c>
    </row>
    <row r="849" spans="1:23" x14ac:dyDescent="0.25">
      <c r="A849">
        <v>848</v>
      </c>
      <c r="B849">
        <v>53</v>
      </c>
      <c r="C849" t="str" cm="1">
        <f t="array" ref="C849">_xlfn.IFS(
  AND(B849&gt;=18, B849&lt;=24), "18-24",
  AND(B849&gt;=25, B849&lt;=34), "25-34",
  AND(B849&gt;=35, B849&lt;=44), "35-44",
  AND(B849&gt;=45, B849&lt;=54), "45-54",
  B849&gt;=55, "55+"
)</f>
        <v>45-54</v>
      </c>
      <c r="D849" t="s">
        <v>19</v>
      </c>
      <c r="E849" t="s">
        <v>104</v>
      </c>
      <c r="F849" t="s">
        <v>21</v>
      </c>
      <c r="G849">
        <v>44</v>
      </c>
      <c r="H849" t="s">
        <v>137</v>
      </c>
      <c r="I849" t="s">
        <v>23</v>
      </c>
      <c r="J849" t="s">
        <v>138</v>
      </c>
      <c r="K849" t="s">
        <v>58</v>
      </c>
      <c r="L849">
        <v>4.0999999999999996</v>
      </c>
      <c r="M849" t="s">
        <v>26</v>
      </c>
      <c r="N849" t="s">
        <v>34</v>
      </c>
      <c r="O849" t="s">
        <v>55</v>
      </c>
      <c r="P849" t="s">
        <v>26</v>
      </c>
      <c r="Q849" t="s">
        <v>26</v>
      </c>
      <c r="R849">
        <v>30</v>
      </c>
      <c r="S849" t="s">
        <v>46</v>
      </c>
      <c r="T849" t="str">
        <f t="shared" si="26"/>
        <v>Month</v>
      </c>
      <c r="U849">
        <f>VLOOKUP(T849,[1]tablescore!$B$3:$C$8, 2,FALSE)</f>
        <v>12</v>
      </c>
      <c r="V849" t="str">
        <f t="shared" si="27"/>
        <v>Moderate</v>
      </c>
      <c r="W849" t="s">
        <v>88</v>
      </c>
    </row>
    <row r="850" spans="1:23" x14ac:dyDescent="0.25">
      <c r="A850">
        <v>849</v>
      </c>
      <c r="B850">
        <v>48</v>
      </c>
      <c r="C850" t="str" cm="1">
        <f t="array" ref="C850">_xlfn.IFS(
  AND(B850&gt;=18, B850&lt;=24), "18-24",
  AND(B850&gt;=25, B850&lt;=34), "25-34",
  AND(B850&gt;=35, B850&lt;=44), "35-44",
  AND(B850&gt;=45, B850&lt;=54), "45-54",
  B850&gt;=55, "55+"
)</f>
        <v>45-54</v>
      </c>
      <c r="D850" t="s">
        <v>19</v>
      </c>
      <c r="E850" t="s">
        <v>42</v>
      </c>
      <c r="F850" t="s">
        <v>43</v>
      </c>
      <c r="G850">
        <v>73</v>
      </c>
      <c r="H850" t="s">
        <v>80</v>
      </c>
      <c r="I850" t="s">
        <v>45</v>
      </c>
      <c r="J850" t="s">
        <v>93</v>
      </c>
      <c r="K850" t="s">
        <v>58</v>
      </c>
      <c r="L850">
        <v>3.6</v>
      </c>
      <c r="M850" t="s">
        <v>26</v>
      </c>
      <c r="N850" t="s">
        <v>46</v>
      </c>
      <c r="O850" t="s">
        <v>76</v>
      </c>
      <c r="P850" t="s">
        <v>26</v>
      </c>
      <c r="Q850" t="s">
        <v>26</v>
      </c>
      <c r="R850">
        <v>33</v>
      </c>
      <c r="S850" t="s">
        <v>27</v>
      </c>
      <c r="T850" t="str">
        <f t="shared" si="26"/>
        <v>2-week</v>
      </c>
      <c r="U850">
        <f>VLOOKUP(T850,[1]tablescore!$B$3:$C$8, 2,FALSE)</f>
        <v>26</v>
      </c>
      <c r="V850" t="str">
        <f t="shared" si="27"/>
        <v>Loyal</v>
      </c>
      <c r="W850" t="s">
        <v>77</v>
      </c>
    </row>
    <row r="851" spans="1:23" x14ac:dyDescent="0.25">
      <c r="A851">
        <v>850</v>
      </c>
      <c r="B851">
        <v>23</v>
      </c>
      <c r="C851" t="str" cm="1">
        <f t="array" ref="C851">_xlfn.IFS(
  AND(B851&gt;=18, B851&lt;=24), "18-24",
  AND(B851&gt;=25, B851&lt;=34), "25-34",
  AND(B851&gt;=35, B851&lt;=44), "35-44",
  AND(B851&gt;=45, B851&lt;=54), "45-54",
  B851&gt;=55, "55+"
)</f>
        <v>18-24</v>
      </c>
      <c r="D851" t="s">
        <v>19</v>
      </c>
      <c r="E851" t="s">
        <v>36</v>
      </c>
      <c r="F851" t="s">
        <v>21</v>
      </c>
      <c r="G851">
        <v>61</v>
      </c>
      <c r="H851" t="s">
        <v>70</v>
      </c>
      <c r="I851" t="s">
        <v>38</v>
      </c>
      <c r="J851" t="s">
        <v>63</v>
      </c>
      <c r="K851" t="s">
        <v>39</v>
      </c>
      <c r="L851">
        <v>4.3</v>
      </c>
      <c r="M851" t="s">
        <v>26</v>
      </c>
      <c r="N851" t="s">
        <v>59</v>
      </c>
      <c r="O851" t="s">
        <v>28</v>
      </c>
      <c r="P851" t="s">
        <v>26</v>
      </c>
      <c r="Q851" t="s">
        <v>26</v>
      </c>
      <c r="R851">
        <v>24</v>
      </c>
      <c r="S851" t="s">
        <v>46</v>
      </c>
      <c r="T851" t="str">
        <f t="shared" si="26"/>
        <v>Quarterly</v>
      </c>
      <c r="U851">
        <f>VLOOKUP(T851,[1]tablescore!$B$3:$C$8, 2,FALSE)</f>
        <v>4</v>
      </c>
      <c r="V851" t="str">
        <f t="shared" si="27"/>
        <v>Low Loyalty</v>
      </c>
      <c r="W851" t="s">
        <v>60</v>
      </c>
    </row>
    <row r="852" spans="1:23" x14ac:dyDescent="0.25">
      <c r="A852">
        <v>851</v>
      </c>
      <c r="B852">
        <v>68</v>
      </c>
      <c r="C852" t="str" cm="1">
        <f t="array" ref="C852">_xlfn.IFS(
  AND(B852&gt;=18, B852&lt;=24), "18-24",
  AND(B852&gt;=25, B852&lt;=34), "25-34",
  AND(B852&gt;=35, B852&lt;=44), "35-44",
  AND(B852&gt;=45, B852&lt;=54), "45-54",
  B852&gt;=55, "55+"
)</f>
        <v>55+</v>
      </c>
      <c r="D852" t="s">
        <v>19</v>
      </c>
      <c r="E852" t="s">
        <v>73</v>
      </c>
      <c r="F852" t="s">
        <v>43</v>
      </c>
      <c r="G852">
        <v>20</v>
      </c>
      <c r="H852" t="s">
        <v>146</v>
      </c>
      <c r="I852" t="s">
        <v>23</v>
      </c>
      <c r="J852" t="s">
        <v>49</v>
      </c>
      <c r="K852" t="s">
        <v>25</v>
      </c>
      <c r="L852">
        <v>2.6</v>
      </c>
      <c r="M852" t="s">
        <v>26</v>
      </c>
      <c r="N852" t="s">
        <v>34</v>
      </c>
      <c r="O852" t="s">
        <v>76</v>
      </c>
      <c r="P852" t="s">
        <v>26</v>
      </c>
      <c r="Q852" t="s">
        <v>26</v>
      </c>
      <c r="R852">
        <v>13</v>
      </c>
      <c r="S852" t="s">
        <v>29</v>
      </c>
      <c r="T852" t="str">
        <f t="shared" si="26"/>
        <v>Month</v>
      </c>
      <c r="U852">
        <f>VLOOKUP(T852,[1]tablescore!$B$3:$C$8, 2,FALSE)</f>
        <v>12</v>
      </c>
      <c r="V852" t="str">
        <f t="shared" si="27"/>
        <v>Moderate</v>
      </c>
      <c r="W852" t="s">
        <v>88</v>
      </c>
    </row>
    <row r="853" spans="1:23" x14ac:dyDescent="0.25">
      <c r="A853">
        <v>852</v>
      </c>
      <c r="B853">
        <v>35</v>
      </c>
      <c r="C853" t="str" cm="1">
        <f t="array" ref="C853">_xlfn.IFS(
  AND(B853&gt;=18, B853&lt;=24), "18-24",
  AND(B853&gt;=25, B853&lt;=34), "25-34",
  AND(B853&gt;=35, B853&lt;=44), "35-44",
  AND(B853&gt;=45, B853&lt;=54), "45-54",
  B853&gt;=55, "55+"
)</f>
        <v>35-44</v>
      </c>
      <c r="D853" t="s">
        <v>19</v>
      </c>
      <c r="E853" t="s">
        <v>42</v>
      </c>
      <c r="F853" t="s">
        <v>43</v>
      </c>
      <c r="G853">
        <v>86</v>
      </c>
      <c r="H853" t="s">
        <v>37</v>
      </c>
      <c r="I853" t="s">
        <v>45</v>
      </c>
      <c r="J853" t="s">
        <v>108</v>
      </c>
      <c r="K853" t="s">
        <v>54</v>
      </c>
      <c r="L853">
        <v>2.9</v>
      </c>
      <c r="M853" t="s">
        <v>26</v>
      </c>
      <c r="N853" t="s">
        <v>27</v>
      </c>
      <c r="O853" t="s">
        <v>28</v>
      </c>
      <c r="P853" t="s">
        <v>26</v>
      </c>
      <c r="Q853" t="s">
        <v>26</v>
      </c>
      <c r="R853">
        <v>19</v>
      </c>
      <c r="S853" t="s">
        <v>59</v>
      </c>
      <c r="T853" t="str">
        <f t="shared" si="26"/>
        <v>Month</v>
      </c>
      <c r="U853">
        <f>VLOOKUP(T853,[1]tablescore!$B$3:$C$8, 2,FALSE)</f>
        <v>12</v>
      </c>
      <c r="V853" t="str">
        <f t="shared" si="27"/>
        <v>Moderate</v>
      </c>
      <c r="W853" t="s">
        <v>88</v>
      </c>
    </row>
    <row r="854" spans="1:23" x14ac:dyDescent="0.25">
      <c r="A854">
        <v>853</v>
      </c>
      <c r="B854">
        <v>34</v>
      </c>
      <c r="C854" t="str" cm="1">
        <f t="array" ref="C854">_xlfn.IFS(
  AND(B854&gt;=18, B854&lt;=24), "18-24",
  AND(B854&gt;=25, B854&lt;=34), "25-34",
  AND(B854&gt;=35, B854&lt;=44), "35-44",
  AND(B854&gt;=45, B854&lt;=54), "45-54",
  B854&gt;=55, "55+"
)</f>
        <v>25-34</v>
      </c>
      <c r="D854" t="s">
        <v>19</v>
      </c>
      <c r="E854" t="s">
        <v>82</v>
      </c>
      <c r="F854" t="s">
        <v>21</v>
      </c>
      <c r="G854">
        <v>60</v>
      </c>
      <c r="H854" t="s">
        <v>103</v>
      </c>
      <c r="I854" t="s">
        <v>23</v>
      </c>
      <c r="J854" t="s">
        <v>139</v>
      </c>
      <c r="K854" t="s">
        <v>39</v>
      </c>
      <c r="L854">
        <v>4.2</v>
      </c>
      <c r="M854" t="s">
        <v>26</v>
      </c>
      <c r="N854" t="s">
        <v>29</v>
      </c>
      <c r="O854" t="s">
        <v>47</v>
      </c>
      <c r="P854" t="s">
        <v>26</v>
      </c>
      <c r="Q854" t="s">
        <v>26</v>
      </c>
      <c r="R854">
        <v>23</v>
      </c>
      <c r="S854" t="s">
        <v>59</v>
      </c>
      <c r="T854" t="str">
        <f t="shared" si="26"/>
        <v>Quarterly</v>
      </c>
      <c r="U854">
        <f>VLOOKUP(T854,[1]tablescore!$B$3:$C$8, 2,FALSE)</f>
        <v>4</v>
      </c>
      <c r="V854" t="str">
        <f t="shared" si="27"/>
        <v>Low Loyalty</v>
      </c>
      <c r="W854" t="s">
        <v>97</v>
      </c>
    </row>
    <row r="855" spans="1:23" x14ac:dyDescent="0.25">
      <c r="A855">
        <v>854</v>
      </c>
      <c r="B855">
        <v>62</v>
      </c>
      <c r="C855" t="str" cm="1">
        <f t="array" ref="C855">_xlfn.IFS(
  AND(B855&gt;=18, B855&lt;=24), "18-24",
  AND(B855&gt;=25, B855&lt;=34), "25-34",
  AND(B855&gt;=35, B855&lt;=44), "35-44",
  AND(B855&gt;=45, B855&lt;=54), "45-54",
  B855&gt;=55, "55+"
)</f>
        <v>55+</v>
      </c>
      <c r="D855" t="s">
        <v>19</v>
      </c>
      <c r="E855" t="s">
        <v>125</v>
      </c>
      <c r="F855" t="s">
        <v>69</v>
      </c>
      <c r="G855">
        <v>43</v>
      </c>
      <c r="H855" t="s">
        <v>80</v>
      </c>
      <c r="I855" t="s">
        <v>23</v>
      </c>
      <c r="J855" t="s">
        <v>121</v>
      </c>
      <c r="K855" t="s">
        <v>25</v>
      </c>
      <c r="L855">
        <v>4</v>
      </c>
      <c r="M855" t="s">
        <v>26</v>
      </c>
      <c r="N855" t="s">
        <v>46</v>
      </c>
      <c r="O855" t="s">
        <v>40</v>
      </c>
      <c r="P855" t="s">
        <v>26</v>
      </c>
      <c r="Q855" t="s">
        <v>26</v>
      </c>
      <c r="R855">
        <v>35</v>
      </c>
      <c r="S855" t="s">
        <v>35</v>
      </c>
      <c r="T855" t="str">
        <f t="shared" si="26"/>
        <v>Month</v>
      </c>
      <c r="U855">
        <f>VLOOKUP(T855,[1]tablescore!$B$3:$C$8, 2,FALSE)</f>
        <v>12</v>
      </c>
      <c r="V855" t="str">
        <f t="shared" si="27"/>
        <v>Moderate</v>
      </c>
      <c r="W855" t="s">
        <v>88</v>
      </c>
    </row>
    <row r="856" spans="1:23" x14ac:dyDescent="0.25">
      <c r="A856">
        <v>855</v>
      </c>
      <c r="B856">
        <v>21</v>
      </c>
      <c r="C856" t="str" cm="1">
        <f t="array" ref="C856">_xlfn.IFS(
  AND(B856&gt;=18, B856&lt;=24), "18-24",
  AND(B856&gt;=25, B856&lt;=34), "25-34",
  AND(B856&gt;=35, B856&lt;=44), "35-44",
  AND(B856&gt;=45, B856&lt;=54), "45-54",
  B856&gt;=55, "55+"
)</f>
        <v>18-24</v>
      </c>
      <c r="D856" t="s">
        <v>19</v>
      </c>
      <c r="E856" t="s">
        <v>95</v>
      </c>
      <c r="F856" t="s">
        <v>21</v>
      </c>
      <c r="G856">
        <v>44</v>
      </c>
      <c r="H856" t="s">
        <v>99</v>
      </c>
      <c r="I856" t="s">
        <v>23</v>
      </c>
      <c r="J856" t="s">
        <v>138</v>
      </c>
      <c r="K856" t="s">
        <v>39</v>
      </c>
      <c r="L856">
        <v>4.3</v>
      </c>
      <c r="M856" t="s">
        <v>26</v>
      </c>
      <c r="N856" t="s">
        <v>34</v>
      </c>
      <c r="O856" t="s">
        <v>40</v>
      </c>
      <c r="P856" t="s">
        <v>26</v>
      </c>
      <c r="Q856" t="s">
        <v>26</v>
      </c>
      <c r="R856">
        <v>22</v>
      </c>
      <c r="S856" t="s">
        <v>29</v>
      </c>
      <c r="T856" t="str">
        <f t="shared" si="26"/>
        <v>Month</v>
      </c>
      <c r="U856">
        <f>VLOOKUP(T856,[1]tablescore!$B$3:$C$8, 2,FALSE)</f>
        <v>12</v>
      </c>
      <c r="V856" t="str">
        <f t="shared" si="27"/>
        <v>Moderate</v>
      </c>
      <c r="W856" t="s">
        <v>88</v>
      </c>
    </row>
    <row r="857" spans="1:23" x14ac:dyDescent="0.25">
      <c r="A857">
        <v>856</v>
      </c>
      <c r="B857">
        <v>70</v>
      </c>
      <c r="C857" t="str" cm="1">
        <f t="array" ref="C857">_xlfn.IFS(
  AND(B857&gt;=18, B857&lt;=24), "18-24",
  AND(B857&gt;=25, B857&lt;=34), "25-34",
  AND(B857&gt;=35, B857&lt;=44), "35-44",
  AND(B857&gt;=45, B857&lt;=54), "45-54",
  B857&gt;=55, "55+"
)</f>
        <v>55+</v>
      </c>
      <c r="D857" t="s">
        <v>19</v>
      </c>
      <c r="E857" t="s">
        <v>131</v>
      </c>
      <c r="F857" t="s">
        <v>21</v>
      </c>
      <c r="G857">
        <v>76</v>
      </c>
      <c r="H857" t="s">
        <v>48</v>
      </c>
      <c r="I857" t="s">
        <v>23</v>
      </c>
      <c r="J857" t="s">
        <v>81</v>
      </c>
      <c r="K857" t="s">
        <v>39</v>
      </c>
      <c r="L857">
        <v>3</v>
      </c>
      <c r="M857" t="s">
        <v>26</v>
      </c>
      <c r="N857" t="s">
        <v>35</v>
      </c>
      <c r="O857" t="s">
        <v>72</v>
      </c>
      <c r="P857" t="s">
        <v>26</v>
      </c>
      <c r="Q857" t="s">
        <v>26</v>
      </c>
      <c r="R857">
        <v>14</v>
      </c>
      <c r="S857" t="s">
        <v>27</v>
      </c>
      <c r="T857" t="str">
        <f t="shared" si="26"/>
        <v>Quarterly</v>
      </c>
      <c r="U857">
        <f>VLOOKUP(T857,[1]tablescore!$B$3:$C$8, 2,FALSE)</f>
        <v>4</v>
      </c>
      <c r="V857" t="str">
        <f t="shared" si="27"/>
        <v>Low Loyalty</v>
      </c>
      <c r="W857" t="s">
        <v>60</v>
      </c>
    </row>
    <row r="858" spans="1:23" x14ac:dyDescent="0.25">
      <c r="A858">
        <v>857</v>
      </c>
      <c r="B858">
        <v>55</v>
      </c>
      <c r="C858" t="str" cm="1">
        <f t="array" ref="C858">_xlfn.IFS(
  AND(B858&gt;=18, B858&lt;=24), "18-24",
  AND(B858&gt;=25, B858&lt;=34), "25-34",
  AND(B858&gt;=35, B858&lt;=44), "35-44",
  AND(B858&gt;=45, B858&lt;=54), "45-54",
  B858&gt;=55, "55+"
)</f>
        <v>55+</v>
      </c>
      <c r="D858" t="s">
        <v>19</v>
      </c>
      <c r="E858" t="s">
        <v>56</v>
      </c>
      <c r="F858" t="s">
        <v>21</v>
      </c>
      <c r="G858">
        <v>33</v>
      </c>
      <c r="H858" t="s">
        <v>120</v>
      </c>
      <c r="I858" t="s">
        <v>45</v>
      </c>
      <c r="J858" t="s">
        <v>81</v>
      </c>
      <c r="K858" t="s">
        <v>54</v>
      </c>
      <c r="L858">
        <v>3.5</v>
      </c>
      <c r="M858" t="s">
        <v>26</v>
      </c>
      <c r="N858" t="s">
        <v>59</v>
      </c>
      <c r="O858" t="s">
        <v>28</v>
      </c>
      <c r="P858" t="s">
        <v>26</v>
      </c>
      <c r="Q858" t="s">
        <v>26</v>
      </c>
      <c r="R858">
        <v>47</v>
      </c>
      <c r="S858" t="s">
        <v>59</v>
      </c>
      <c r="T858" t="str">
        <f t="shared" si="26"/>
        <v>2-week</v>
      </c>
      <c r="U858">
        <f>VLOOKUP(T858,[1]tablescore!$B$3:$C$8, 2,FALSE)</f>
        <v>26</v>
      </c>
      <c r="V858" t="str">
        <f t="shared" si="27"/>
        <v>Loyal</v>
      </c>
      <c r="W858" t="s">
        <v>30</v>
      </c>
    </row>
    <row r="859" spans="1:23" x14ac:dyDescent="0.25">
      <c r="A859">
        <v>858</v>
      </c>
      <c r="B859">
        <v>43</v>
      </c>
      <c r="C859" t="str" cm="1">
        <f t="array" ref="C859">_xlfn.IFS(
  AND(B859&gt;=18, B859&lt;=24), "18-24",
  AND(B859&gt;=25, B859&lt;=34), "25-34",
  AND(B859&gt;=35, B859&lt;=44), "35-44",
  AND(B859&gt;=45, B859&lt;=54), "45-54",
  B859&gt;=55, "55+"
)</f>
        <v>35-44</v>
      </c>
      <c r="D859" t="s">
        <v>19</v>
      </c>
      <c r="E859" t="s">
        <v>61</v>
      </c>
      <c r="F859" t="s">
        <v>21</v>
      </c>
      <c r="G859">
        <v>60</v>
      </c>
      <c r="H859" t="s">
        <v>70</v>
      </c>
      <c r="I859" t="s">
        <v>23</v>
      </c>
      <c r="J859" t="s">
        <v>109</v>
      </c>
      <c r="K859" t="s">
        <v>58</v>
      </c>
      <c r="L859">
        <v>3</v>
      </c>
      <c r="M859" t="s">
        <v>26</v>
      </c>
      <c r="N859" t="s">
        <v>35</v>
      </c>
      <c r="O859" t="s">
        <v>55</v>
      </c>
      <c r="P859" t="s">
        <v>26</v>
      </c>
      <c r="Q859" t="s">
        <v>26</v>
      </c>
      <c r="R859">
        <v>50</v>
      </c>
      <c r="S859" t="s">
        <v>59</v>
      </c>
      <c r="T859" t="str">
        <f t="shared" si="26"/>
        <v>Quarterly</v>
      </c>
      <c r="U859">
        <f>VLOOKUP(T859,[1]tablescore!$B$3:$C$8, 2,FALSE)</f>
        <v>4</v>
      </c>
      <c r="V859" t="str">
        <f t="shared" si="27"/>
        <v>Low Loyalty</v>
      </c>
      <c r="W859" t="s">
        <v>97</v>
      </c>
    </row>
    <row r="860" spans="1:23" x14ac:dyDescent="0.25">
      <c r="A860">
        <v>859</v>
      </c>
      <c r="B860">
        <v>19</v>
      </c>
      <c r="C860" t="str" cm="1">
        <f t="array" ref="C860">_xlfn.IFS(
  AND(B860&gt;=18, B860&lt;=24), "18-24",
  AND(B860&gt;=25, B860&lt;=34), "25-34",
  AND(B860&gt;=35, B860&lt;=44), "35-44",
  AND(B860&gt;=45, B860&lt;=54), "45-54",
  B860&gt;=55, "55+"
)</f>
        <v>18-24</v>
      </c>
      <c r="D860" t="s">
        <v>19</v>
      </c>
      <c r="E860" t="s">
        <v>102</v>
      </c>
      <c r="F860" t="s">
        <v>65</v>
      </c>
      <c r="G860">
        <v>26</v>
      </c>
      <c r="H860" t="s">
        <v>101</v>
      </c>
      <c r="I860" t="s">
        <v>23</v>
      </c>
      <c r="J860" t="s">
        <v>79</v>
      </c>
      <c r="K860" t="s">
        <v>58</v>
      </c>
      <c r="L860">
        <v>3.1</v>
      </c>
      <c r="M860" t="s">
        <v>26</v>
      </c>
      <c r="N860" t="s">
        <v>46</v>
      </c>
      <c r="O860" t="s">
        <v>40</v>
      </c>
      <c r="P860" t="s">
        <v>26</v>
      </c>
      <c r="Q860" t="s">
        <v>26</v>
      </c>
      <c r="R860">
        <v>33</v>
      </c>
      <c r="S860" t="s">
        <v>46</v>
      </c>
      <c r="T860" t="str">
        <f t="shared" si="26"/>
        <v>Daily</v>
      </c>
      <c r="U860">
        <f>VLOOKUP(T860,[1]tablescore!$B$3:$C$8, 2,FALSE)</f>
        <v>30</v>
      </c>
      <c r="V860" t="str">
        <f t="shared" si="27"/>
        <v>Highly Loyal</v>
      </c>
      <c r="W860" t="s">
        <v>41</v>
      </c>
    </row>
    <row r="861" spans="1:23" x14ac:dyDescent="0.25">
      <c r="A861">
        <v>860</v>
      </c>
      <c r="B861">
        <v>47</v>
      </c>
      <c r="C861" t="str" cm="1">
        <f t="array" ref="C861">_xlfn.IFS(
  AND(B861&gt;=18, B861&lt;=24), "18-24",
  AND(B861&gt;=25, B861&lt;=34), "25-34",
  AND(B861&gt;=35, B861&lt;=44), "35-44",
  AND(B861&gt;=45, B861&lt;=54), "45-54",
  B861&gt;=55, "55+"
)</f>
        <v>45-54</v>
      </c>
      <c r="D861" t="s">
        <v>19</v>
      </c>
      <c r="E861" t="s">
        <v>104</v>
      </c>
      <c r="F861" t="s">
        <v>21</v>
      </c>
      <c r="G861">
        <v>73</v>
      </c>
      <c r="H861" t="s">
        <v>148</v>
      </c>
      <c r="I861" t="s">
        <v>45</v>
      </c>
      <c r="J861" t="s">
        <v>86</v>
      </c>
      <c r="K861" t="s">
        <v>25</v>
      </c>
      <c r="L861">
        <v>4</v>
      </c>
      <c r="M861" t="s">
        <v>26</v>
      </c>
      <c r="N861" t="s">
        <v>27</v>
      </c>
      <c r="O861" t="s">
        <v>47</v>
      </c>
      <c r="P861" t="s">
        <v>26</v>
      </c>
      <c r="Q861" t="s">
        <v>26</v>
      </c>
      <c r="R861">
        <v>7</v>
      </c>
      <c r="S861" t="s">
        <v>59</v>
      </c>
      <c r="T861" t="str">
        <f t="shared" si="26"/>
        <v>Month</v>
      </c>
      <c r="U861">
        <f>VLOOKUP(T861,[1]tablescore!$B$3:$C$8, 2,FALSE)</f>
        <v>12</v>
      </c>
      <c r="V861" t="str">
        <f t="shared" si="27"/>
        <v>Moderate</v>
      </c>
      <c r="W861" t="s">
        <v>88</v>
      </c>
    </row>
    <row r="862" spans="1:23" x14ac:dyDescent="0.25">
      <c r="A862">
        <v>861</v>
      </c>
      <c r="B862">
        <v>26</v>
      </c>
      <c r="C862" t="str" cm="1">
        <f t="array" ref="C862">_xlfn.IFS(
  AND(B862&gt;=18, B862&lt;=24), "18-24",
  AND(B862&gt;=25, B862&lt;=34), "25-34",
  AND(B862&gt;=35, B862&lt;=44), "35-44",
  AND(B862&gt;=45, B862&lt;=54), "45-54",
  B862&gt;=55, "55+"
)</f>
        <v>25-34</v>
      </c>
      <c r="D862" t="s">
        <v>19</v>
      </c>
      <c r="E862" t="s">
        <v>73</v>
      </c>
      <c r="F862" t="s">
        <v>43</v>
      </c>
      <c r="G862">
        <v>87</v>
      </c>
      <c r="H862" t="s">
        <v>126</v>
      </c>
      <c r="I862" t="s">
        <v>45</v>
      </c>
      <c r="J862" t="s">
        <v>33</v>
      </c>
      <c r="K862" t="s">
        <v>39</v>
      </c>
      <c r="L862">
        <v>4.0999999999999996</v>
      </c>
      <c r="M862" t="s">
        <v>26</v>
      </c>
      <c r="N862" t="s">
        <v>59</v>
      </c>
      <c r="O862" t="s">
        <v>55</v>
      </c>
      <c r="P862" t="s">
        <v>26</v>
      </c>
      <c r="Q862" t="s">
        <v>26</v>
      </c>
      <c r="R862">
        <v>3</v>
      </c>
      <c r="S862" t="s">
        <v>35</v>
      </c>
      <c r="T862" t="str">
        <f t="shared" si="26"/>
        <v>Month</v>
      </c>
      <c r="U862">
        <f>VLOOKUP(T862,[1]tablescore!$B$3:$C$8, 2,FALSE)</f>
        <v>12</v>
      </c>
      <c r="V862" t="str">
        <f t="shared" si="27"/>
        <v>Moderate</v>
      </c>
      <c r="W862" t="s">
        <v>88</v>
      </c>
    </row>
    <row r="863" spans="1:23" x14ac:dyDescent="0.25">
      <c r="A863">
        <v>862</v>
      </c>
      <c r="B863">
        <v>46</v>
      </c>
      <c r="C863" t="str" cm="1">
        <f t="array" ref="C863">_xlfn.IFS(
  AND(B863&gt;=18, B863&lt;=24), "18-24",
  AND(B863&gt;=25, B863&lt;=34), "25-34",
  AND(B863&gt;=35, B863&lt;=44), "35-44",
  AND(B863&gt;=45, B863&lt;=54), "45-54",
  B863&gt;=55, "55+"
)</f>
        <v>45-54</v>
      </c>
      <c r="D863" t="s">
        <v>19</v>
      </c>
      <c r="E863" t="s">
        <v>87</v>
      </c>
      <c r="F863" t="s">
        <v>21</v>
      </c>
      <c r="G863">
        <v>100</v>
      </c>
      <c r="H863" t="s">
        <v>128</v>
      </c>
      <c r="I863" t="s">
        <v>92</v>
      </c>
      <c r="J863" t="s">
        <v>96</v>
      </c>
      <c r="K863" t="s">
        <v>39</v>
      </c>
      <c r="L863">
        <v>3.3</v>
      </c>
      <c r="M863" t="s">
        <v>26</v>
      </c>
      <c r="N863" t="s">
        <v>46</v>
      </c>
      <c r="O863" t="s">
        <v>72</v>
      </c>
      <c r="P863" t="s">
        <v>26</v>
      </c>
      <c r="Q863" t="s">
        <v>26</v>
      </c>
      <c r="R863">
        <v>35</v>
      </c>
      <c r="S863" t="s">
        <v>27</v>
      </c>
      <c r="T863" t="str">
        <f t="shared" si="26"/>
        <v>Quarterly</v>
      </c>
      <c r="U863">
        <f>VLOOKUP(T863,[1]tablescore!$B$3:$C$8, 2,FALSE)</f>
        <v>4</v>
      </c>
      <c r="V863" t="str">
        <f t="shared" si="27"/>
        <v>Low Loyalty</v>
      </c>
      <c r="W863" t="s">
        <v>97</v>
      </c>
    </row>
    <row r="864" spans="1:23" x14ac:dyDescent="0.25">
      <c r="A864">
        <v>863</v>
      </c>
      <c r="B864">
        <v>19</v>
      </c>
      <c r="C864" t="str" cm="1">
        <f t="array" ref="C864">_xlfn.IFS(
  AND(B864&gt;=18, B864&lt;=24), "18-24",
  AND(B864&gt;=25, B864&lt;=34), "25-34",
  AND(B864&gt;=35, B864&lt;=44), "35-44",
  AND(B864&gt;=45, B864&lt;=54), "45-54",
  B864&gt;=55, "55+"
)</f>
        <v>18-24</v>
      </c>
      <c r="D864" t="s">
        <v>19</v>
      </c>
      <c r="E864" t="s">
        <v>64</v>
      </c>
      <c r="F864" t="s">
        <v>65</v>
      </c>
      <c r="G864">
        <v>84</v>
      </c>
      <c r="H864" t="s">
        <v>74</v>
      </c>
      <c r="I864" t="s">
        <v>45</v>
      </c>
      <c r="J864" t="s">
        <v>63</v>
      </c>
      <c r="K864" t="s">
        <v>25</v>
      </c>
      <c r="L864">
        <v>4.9000000000000004</v>
      </c>
      <c r="M864" t="s">
        <v>26</v>
      </c>
      <c r="N864" t="s">
        <v>46</v>
      </c>
      <c r="O864" t="s">
        <v>55</v>
      </c>
      <c r="P864" t="s">
        <v>26</v>
      </c>
      <c r="Q864" t="s">
        <v>26</v>
      </c>
      <c r="R864">
        <v>13</v>
      </c>
      <c r="S864" t="s">
        <v>46</v>
      </c>
      <c r="T864" t="str">
        <f t="shared" si="26"/>
        <v>2-week</v>
      </c>
      <c r="U864">
        <f>VLOOKUP(T864,[1]tablescore!$B$3:$C$8, 2,FALSE)</f>
        <v>26</v>
      </c>
      <c r="V864" t="str">
        <f t="shared" si="27"/>
        <v>Loyal</v>
      </c>
      <c r="W864" t="s">
        <v>30</v>
      </c>
    </row>
    <row r="865" spans="1:23" x14ac:dyDescent="0.25">
      <c r="A865">
        <v>864</v>
      </c>
      <c r="B865">
        <v>49</v>
      </c>
      <c r="C865" t="str" cm="1">
        <f t="array" ref="C865">_xlfn.IFS(
  AND(B865&gt;=18, B865&lt;=24), "18-24",
  AND(B865&gt;=25, B865&lt;=34), "25-34",
  AND(B865&gt;=35, B865&lt;=44), "35-44",
  AND(B865&gt;=45, B865&lt;=54), "45-54",
  B865&gt;=55, "55+"
)</f>
        <v>45-54</v>
      </c>
      <c r="D865" t="s">
        <v>19</v>
      </c>
      <c r="E865" t="s">
        <v>51</v>
      </c>
      <c r="F865" t="s">
        <v>43</v>
      </c>
      <c r="G865">
        <v>41</v>
      </c>
      <c r="H865" t="s">
        <v>145</v>
      </c>
      <c r="I865" t="s">
        <v>45</v>
      </c>
      <c r="J865" t="s">
        <v>109</v>
      </c>
      <c r="K865" t="s">
        <v>54</v>
      </c>
      <c r="L865">
        <v>3.9</v>
      </c>
      <c r="M865" t="s">
        <v>26</v>
      </c>
      <c r="N865" t="s">
        <v>46</v>
      </c>
      <c r="O865" t="s">
        <v>55</v>
      </c>
      <c r="P865" t="s">
        <v>26</v>
      </c>
      <c r="Q865" t="s">
        <v>26</v>
      </c>
      <c r="R865">
        <v>42</v>
      </c>
      <c r="S865" t="s">
        <v>46</v>
      </c>
      <c r="T865" t="str">
        <f t="shared" si="26"/>
        <v>2-week</v>
      </c>
      <c r="U865">
        <f>VLOOKUP(T865,[1]tablescore!$B$3:$C$8, 2,FALSE)</f>
        <v>26</v>
      </c>
      <c r="V865" t="str">
        <f t="shared" si="27"/>
        <v>Loyal</v>
      </c>
      <c r="W865" t="s">
        <v>30</v>
      </c>
    </row>
    <row r="866" spans="1:23" x14ac:dyDescent="0.25">
      <c r="A866">
        <v>865</v>
      </c>
      <c r="B866">
        <v>51</v>
      </c>
      <c r="C866" t="str" cm="1">
        <f t="array" ref="C866">_xlfn.IFS(
  AND(B866&gt;=18, B866&lt;=24), "18-24",
  AND(B866&gt;=25, B866&lt;=34), "25-34",
  AND(B866&gt;=35, B866&lt;=44), "35-44",
  AND(B866&gt;=45, B866&lt;=54), "45-54",
  B866&gt;=55, "55+"
)</f>
        <v>45-54</v>
      </c>
      <c r="D866" t="s">
        <v>19</v>
      </c>
      <c r="E866" t="s">
        <v>36</v>
      </c>
      <c r="F866" t="s">
        <v>21</v>
      </c>
      <c r="G866">
        <v>59</v>
      </c>
      <c r="H866" t="s">
        <v>22</v>
      </c>
      <c r="I866" t="s">
        <v>38</v>
      </c>
      <c r="J866" t="s">
        <v>63</v>
      </c>
      <c r="K866" t="s">
        <v>25</v>
      </c>
      <c r="L866">
        <v>3.9</v>
      </c>
      <c r="M866" t="s">
        <v>26</v>
      </c>
      <c r="N866" t="s">
        <v>46</v>
      </c>
      <c r="O866" t="s">
        <v>47</v>
      </c>
      <c r="P866" t="s">
        <v>26</v>
      </c>
      <c r="Q866" t="s">
        <v>26</v>
      </c>
      <c r="R866">
        <v>5</v>
      </c>
      <c r="S866" t="s">
        <v>46</v>
      </c>
      <c r="T866" t="str">
        <f t="shared" si="26"/>
        <v>Annually</v>
      </c>
      <c r="U866">
        <f>VLOOKUP(T866,[1]tablescore!$B$3:$C$8, 2,FALSE)</f>
        <v>1</v>
      </c>
      <c r="V866" t="str">
        <f t="shared" si="27"/>
        <v>Low Loyalty</v>
      </c>
      <c r="W866" t="s">
        <v>50</v>
      </c>
    </row>
    <row r="867" spans="1:23" x14ac:dyDescent="0.25">
      <c r="A867">
        <v>866</v>
      </c>
      <c r="B867">
        <v>64</v>
      </c>
      <c r="C867" t="str" cm="1">
        <f t="array" ref="C867">_xlfn.IFS(
  AND(B867&gt;=18, B867&lt;=24), "18-24",
  AND(B867&gt;=25, B867&lt;=34), "25-34",
  AND(B867&gt;=35, B867&lt;=44), "35-44",
  AND(B867&gt;=45, B867&lt;=54), "45-54",
  B867&gt;=55, "55+"
)</f>
        <v>55+</v>
      </c>
      <c r="D867" t="s">
        <v>19</v>
      </c>
      <c r="E867" t="s">
        <v>20</v>
      </c>
      <c r="F867" t="s">
        <v>21</v>
      </c>
      <c r="G867">
        <v>26</v>
      </c>
      <c r="H867" t="s">
        <v>112</v>
      </c>
      <c r="I867" t="s">
        <v>23</v>
      </c>
      <c r="J867" t="s">
        <v>63</v>
      </c>
      <c r="K867" t="s">
        <v>25</v>
      </c>
      <c r="L867">
        <v>4.8</v>
      </c>
      <c r="M867" t="s">
        <v>26</v>
      </c>
      <c r="N867" t="s">
        <v>34</v>
      </c>
      <c r="O867" t="s">
        <v>76</v>
      </c>
      <c r="P867" t="s">
        <v>26</v>
      </c>
      <c r="Q867" t="s">
        <v>26</v>
      </c>
      <c r="R867">
        <v>23</v>
      </c>
      <c r="S867" t="s">
        <v>29</v>
      </c>
      <c r="T867" t="str">
        <f t="shared" si="26"/>
        <v>Annually</v>
      </c>
      <c r="U867">
        <f>VLOOKUP(T867,[1]tablescore!$B$3:$C$8, 2,FALSE)</f>
        <v>1</v>
      </c>
      <c r="V867" t="str">
        <f t="shared" si="27"/>
        <v>Low Loyalty</v>
      </c>
      <c r="W867" t="s">
        <v>50</v>
      </c>
    </row>
    <row r="868" spans="1:23" x14ac:dyDescent="0.25">
      <c r="A868">
        <v>867</v>
      </c>
      <c r="B868">
        <v>67</v>
      </c>
      <c r="C868" t="str" cm="1">
        <f t="array" ref="C868">_xlfn.IFS(
  AND(B868&gt;=18, B868&lt;=24), "18-24",
  AND(B868&gt;=25, B868&lt;=34), "25-34",
  AND(B868&gt;=35, B868&lt;=44), "35-44",
  AND(B868&gt;=45, B868&lt;=54), "45-54",
  B868&gt;=55, "55+"
)</f>
        <v>55+</v>
      </c>
      <c r="D868" t="s">
        <v>19</v>
      </c>
      <c r="E868" t="s">
        <v>89</v>
      </c>
      <c r="F868" t="s">
        <v>69</v>
      </c>
      <c r="G868">
        <v>69</v>
      </c>
      <c r="H868" t="s">
        <v>123</v>
      </c>
      <c r="I868" t="s">
        <v>45</v>
      </c>
      <c r="J868" t="s">
        <v>93</v>
      </c>
      <c r="K868" t="s">
        <v>54</v>
      </c>
      <c r="L868">
        <v>2.7</v>
      </c>
      <c r="M868" t="s">
        <v>26</v>
      </c>
      <c r="N868" t="s">
        <v>27</v>
      </c>
      <c r="O868" t="s">
        <v>40</v>
      </c>
      <c r="P868" t="s">
        <v>26</v>
      </c>
      <c r="Q868" t="s">
        <v>26</v>
      </c>
      <c r="R868">
        <v>11</v>
      </c>
      <c r="S868" t="s">
        <v>46</v>
      </c>
      <c r="T868" t="str">
        <f t="shared" si="26"/>
        <v>2-week</v>
      </c>
      <c r="U868">
        <f>VLOOKUP(T868,[1]tablescore!$B$3:$C$8, 2,FALSE)</f>
        <v>26</v>
      </c>
      <c r="V868" t="str">
        <f t="shared" si="27"/>
        <v>Loyal</v>
      </c>
      <c r="W868" t="s">
        <v>77</v>
      </c>
    </row>
    <row r="869" spans="1:23" x14ac:dyDescent="0.25">
      <c r="A869">
        <v>868</v>
      </c>
      <c r="B869">
        <v>37</v>
      </c>
      <c r="C869" t="str" cm="1">
        <f t="array" ref="C869">_xlfn.IFS(
  AND(B869&gt;=18, B869&lt;=24), "18-24",
  AND(B869&gt;=25, B869&lt;=34), "25-34",
  AND(B869&gt;=35, B869&lt;=44), "35-44",
  AND(B869&gt;=45, B869&lt;=54), "45-54",
  B869&gt;=55, "55+"
)</f>
        <v>35-44</v>
      </c>
      <c r="D869" t="s">
        <v>19</v>
      </c>
      <c r="E869" t="s">
        <v>102</v>
      </c>
      <c r="F869" t="s">
        <v>65</v>
      </c>
      <c r="G869">
        <v>20</v>
      </c>
      <c r="H869" t="s">
        <v>112</v>
      </c>
      <c r="I869" t="s">
        <v>45</v>
      </c>
      <c r="J869" t="s">
        <v>49</v>
      </c>
      <c r="K869" t="s">
        <v>39</v>
      </c>
      <c r="L869">
        <v>3.1</v>
      </c>
      <c r="M869" t="s">
        <v>26</v>
      </c>
      <c r="N869" t="s">
        <v>59</v>
      </c>
      <c r="O869" t="s">
        <v>40</v>
      </c>
      <c r="P869" t="s">
        <v>26</v>
      </c>
      <c r="Q869" t="s">
        <v>26</v>
      </c>
      <c r="R869">
        <v>23</v>
      </c>
      <c r="S869" t="s">
        <v>34</v>
      </c>
      <c r="T869" t="str">
        <f t="shared" si="26"/>
        <v>2-week</v>
      </c>
      <c r="U869">
        <f>VLOOKUP(T869,[1]tablescore!$B$3:$C$8, 2,FALSE)</f>
        <v>26</v>
      </c>
      <c r="V869" t="str">
        <f t="shared" si="27"/>
        <v>Loyal</v>
      </c>
      <c r="W869" t="s">
        <v>30</v>
      </c>
    </row>
    <row r="870" spans="1:23" x14ac:dyDescent="0.25">
      <c r="A870">
        <v>869</v>
      </c>
      <c r="B870">
        <v>40</v>
      </c>
      <c r="C870" t="str" cm="1">
        <f t="array" ref="C870">_xlfn.IFS(
  AND(B870&gt;=18, B870&lt;=24), "18-24",
  AND(B870&gt;=25, B870&lt;=34), "25-34",
  AND(B870&gt;=35, B870&lt;=44), "35-44",
  AND(B870&gt;=45, B870&lt;=54), "45-54",
  B870&gt;=55, "55+"
)</f>
        <v>35-44</v>
      </c>
      <c r="D870" t="s">
        <v>19</v>
      </c>
      <c r="E870" t="s">
        <v>82</v>
      </c>
      <c r="F870" t="s">
        <v>21</v>
      </c>
      <c r="G870">
        <v>83</v>
      </c>
      <c r="H870" t="s">
        <v>98</v>
      </c>
      <c r="I870" t="s">
        <v>45</v>
      </c>
      <c r="J870" t="s">
        <v>96</v>
      </c>
      <c r="K870" t="s">
        <v>54</v>
      </c>
      <c r="L870">
        <v>3.2</v>
      </c>
      <c r="M870" t="s">
        <v>26</v>
      </c>
      <c r="N870" t="s">
        <v>27</v>
      </c>
      <c r="O870" t="s">
        <v>47</v>
      </c>
      <c r="P870" t="s">
        <v>26</v>
      </c>
      <c r="Q870" t="s">
        <v>26</v>
      </c>
      <c r="R870">
        <v>2</v>
      </c>
      <c r="S870" t="s">
        <v>27</v>
      </c>
      <c r="T870" t="str">
        <f t="shared" si="26"/>
        <v>Quarterly</v>
      </c>
      <c r="U870">
        <f>VLOOKUP(T870,[1]tablescore!$B$3:$C$8, 2,FALSE)</f>
        <v>4</v>
      </c>
      <c r="V870" t="str">
        <f t="shared" si="27"/>
        <v>Low Loyalty</v>
      </c>
      <c r="W870" t="s">
        <v>97</v>
      </c>
    </row>
    <row r="871" spans="1:23" x14ac:dyDescent="0.25">
      <c r="A871">
        <v>870</v>
      </c>
      <c r="B871">
        <v>38</v>
      </c>
      <c r="C871" t="str" cm="1">
        <f t="array" ref="C871">_xlfn.IFS(
  AND(B871&gt;=18, B871&lt;=24), "18-24",
  AND(B871&gt;=25, B871&lt;=34), "25-34",
  AND(B871&gt;=35, B871&lt;=44), "35-44",
  AND(B871&gt;=45, B871&lt;=54), "45-54",
  B871&gt;=55, "55+"
)</f>
        <v>35-44</v>
      </c>
      <c r="D871" t="s">
        <v>19</v>
      </c>
      <c r="E871" t="s">
        <v>125</v>
      </c>
      <c r="F871" t="s">
        <v>69</v>
      </c>
      <c r="G871">
        <v>54</v>
      </c>
      <c r="H871" t="s">
        <v>83</v>
      </c>
      <c r="I871" t="s">
        <v>45</v>
      </c>
      <c r="J871" t="s">
        <v>67</v>
      </c>
      <c r="K871" t="s">
        <v>39</v>
      </c>
      <c r="L871">
        <v>2.7</v>
      </c>
      <c r="M871" t="s">
        <v>26</v>
      </c>
      <c r="N871" t="s">
        <v>46</v>
      </c>
      <c r="O871" t="s">
        <v>72</v>
      </c>
      <c r="P871" t="s">
        <v>26</v>
      </c>
      <c r="Q871" t="s">
        <v>26</v>
      </c>
      <c r="R871">
        <v>33</v>
      </c>
      <c r="S871" t="s">
        <v>46</v>
      </c>
      <c r="T871" t="str">
        <f t="shared" si="26"/>
        <v>Daily</v>
      </c>
      <c r="U871">
        <f>VLOOKUP(T871,[1]tablescore!$B$3:$C$8, 2,FALSE)</f>
        <v>30</v>
      </c>
      <c r="V871" t="str">
        <f t="shared" si="27"/>
        <v>Highly Loyal</v>
      </c>
      <c r="W871" t="s">
        <v>41</v>
      </c>
    </row>
    <row r="872" spans="1:23" x14ac:dyDescent="0.25">
      <c r="A872">
        <v>871</v>
      </c>
      <c r="B872">
        <v>66</v>
      </c>
      <c r="C872" t="str" cm="1">
        <f t="array" ref="C872">_xlfn.IFS(
  AND(B872&gt;=18, B872&lt;=24), "18-24",
  AND(B872&gt;=25, B872&lt;=34), "25-34",
  AND(B872&gt;=35, B872&lt;=44), "35-44",
  AND(B872&gt;=45, B872&lt;=54), "45-54",
  B872&gt;=55, "55+"
)</f>
        <v>55+</v>
      </c>
      <c r="D872" t="s">
        <v>19</v>
      </c>
      <c r="E872" t="s">
        <v>104</v>
      </c>
      <c r="F872" t="s">
        <v>21</v>
      </c>
      <c r="G872">
        <v>66</v>
      </c>
      <c r="H872" t="s">
        <v>66</v>
      </c>
      <c r="I872" t="s">
        <v>45</v>
      </c>
      <c r="J872" t="s">
        <v>138</v>
      </c>
      <c r="K872" t="s">
        <v>58</v>
      </c>
      <c r="L872">
        <v>2.5</v>
      </c>
      <c r="M872" t="s">
        <v>26</v>
      </c>
      <c r="N872" t="s">
        <v>35</v>
      </c>
      <c r="O872" t="s">
        <v>55</v>
      </c>
      <c r="P872" t="s">
        <v>26</v>
      </c>
      <c r="Q872" t="s">
        <v>26</v>
      </c>
      <c r="R872">
        <v>6</v>
      </c>
      <c r="S872" t="s">
        <v>34</v>
      </c>
      <c r="T872" t="str">
        <f t="shared" si="26"/>
        <v>2-week</v>
      </c>
      <c r="U872">
        <f>VLOOKUP(T872,[1]tablescore!$B$3:$C$8, 2,FALSE)</f>
        <v>26</v>
      </c>
      <c r="V872" t="str">
        <f t="shared" si="27"/>
        <v>Loyal</v>
      </c>
      <c r="W872" t="s">
        <v>77</v>
      </c>
    </row>
    <row r="873" spans="1:23" x14ac:dyDescent="0.25">
      <c r="A873">
        <v>872</v>
      </c>
      <c r="B873">
        <v>47</v>
      </c>
      <c r="C873" t="str" cm="1">
        <f t="array" ref="C873">_xlfn.IFS(
  AND(B873&gt;=18, B873&lt;=24), "18-24",
  AND(B873&gt;=25, B873&lt;=34), "25-34",
  AND(B873&gt;=35, B873&lt;=44), "35-44",
  AND(B873&gt;=45, B873&lt;=54), "45-54",
  B873&gt;=55, "55+"
)</f>
        <v>45-54</v>
      </c>
      <c r="D873" t="s">
        <v>19</v>
      </c>
      <c r="E873" t="s">
        <v>68</v>
      </c>
      <c r="F873" t="s">
        <v>69</v>
      </c>
      <c r="G873">
        <v>42</v>
      </c>
      <c r="H873" t="s">
        <v>78</v>
      </c>
      <c r="I873" t="s">
        <v>45</v>
      </c>
      <c r="J873" t="s">
        <v>63</v>
      </c>
      <c r="K873" t="s">
        <v>39</v>
      </c>
      <c r="L873">
        <v>2.6</v>
      </c>
      <c r="M873" t="s">
        <v>26</v>
      </c>
      <c r="N873" t="s">
        <v>34</v>
      </c>
      <c r="O873" t="s">
        <v>47</v>
      </c>
      <c r="P873" t="s">
        <v>26</v>
      </c>
      <c r="Q873" t="s">
        <v>26</v>
      </c>
      <c r="R873">
        <v>45</v>
      </c>
      <c r="S873" t="s">
        <v>59</v>
      </c>
      <c r="T873" t="str">
        <f t="shared" si="26"/>
        <v>Quarterly</v>
      </c>
      <c r="U873">
        <f>VLOOKUP(T873,[1]tablescore!$B$3:$C$8, 2,FALSE)</f>
        <v>4</v>
      </c>
      <c r="V873" t="str">
        <f t="shared" si="27"/>
        <v>Low Loyalty</v>
      </c>
      <c r="W873" t="s">
        <v>60</v>
      </c>
    </row>
    <row r="874" spans="1:23" x14ac:dyDescent="0.25">
      <c r="A874">
        <v>873</v>
      </c>
      <c r="B874">
        <v>56</v>
      </c>
      <c r="C874" t="str" cm="1">
        <f t="array" ref="C874">_xlfn.IFS(
  AND(B874&gt;=18, B874&lt;=24), "18-24",
  AND(B874&gt;=25, B874&lt;=34), "25-34",
  AND(B874&gt;=35, B874&lt;=44), "35-44",
  AND(B874&gt;=45, B874&lt;=54), "45-54",
  B874&gt;=55, "55+"
)</f>
        <v>55+</v>
      </c>
      <c r="D874" t="s">
        <v>19</v>
      </c>
      <c r="E874" t="s">
        <v>36</v>
      </c>
      <c r="F874" t="s">
        <v>21</v>
      </c>
      <c r="G874">
        <v>33</v>
      </c>
      <c r="H874" t="s">
        <v>114</v>
      </c>
      <c r="I874" t="s">
        <v>45</v>
      </c>
      <c r="J874" t="s">
        <v>71</v>
      </c>
      <c r="K874" t="s">
        <v>39</v>
      </c>
      <c r="L874">
        <v>2.9</v>
      </c>
      <c r="M874" t="s">
        <v>26</v>
      </c>
      <c r="N874" t="s">
        <v>35</v>
      </c>
      <c r="O874" t="s">
        <v>55</v>
      </c>
      <c r="P874" t="s">
        <v>26</v>
      </c>
      <c r="Q874" t="s">
        <v>26</v>
      </c>
      <c r="R874">
        <v>25</v>
      </c>
      <c r="S874" t="s">
        <v>35</v>
      </c>
      <c r="T874" t="str">
        <f t="shared" si="26"/>
        <v>Quarterly</v>
      </c>
      <c r="U874">
        <f>VLOOKUP(T874,[1]tablescore!$B$3:$C$8, 2,FALSE)</f>
        <v>4</v>
      </c>
      <c r="V874" t="str">
        <f t="shared" si="27"/>
        <v>Low Loyalty</v>
      </c>
      <c r="W874" t="s">
        <v>60</v>
      </c>
    </row>
    <row r="875" spans="1:23" x14ac:dyDescent="0.25">
      <c r="A875">
        <v>874</v>
      </c>
      <c r="B875">
        <v>51</v>
      </c>
      <c r="C875" t="str" cm="1">
        <f t="array" ref="C875">_xlfn.IFS(
  AND(B875&gt;=18, B875&lt;=24), "18-24",
  AND(B875&gt;=25, B875&lt;=34), "25-34",
  AND(B875&gt;=35, B875&lt;=44), "35-44",
  AND(B875&gt;=45, B875&lt;=54), "45-54",
  B875&gt;=55, "55+"
)</f>
        <v>45-54</v>
      </c>
      <c r="D875" t="s">
        <v>19</v>
      </c>
      <c r="E875" t="s">
        <v>132</v>
      </c>
      <c r="F875" t="s">
        <v>43</v>
      </c>
      <c r="G875">
        <v>77</v>
      </c>
      <c r="H875" t="s">
        <v>91</v>
      </c>
      <c r="I875" t="s">
        <v>45</v>
      </c>
      <c r="J875" t="s">
        <v>71</v>
      </c>
      <c r="K875" t="s">
        <v>54</v>
      </c>
      <c r="L875">
        <v>4.2</v>
      </c>
      <c r="M875" t="s">
        <v>26</v>
      </c>
      <c r="N875" t="s">
        <v>46</v>
      </c>
      <c r="O875" t="s">
        <v>40</v>
      </c>
      <c r="P875" t="s">
        <v>26</v>
      </c>
      <c r="Q875" t="s">
        <v>26</v>
      </c>
      <c r="R875">
        <v>24</v>
      </c>
      <c r="S875" t="s">
        <v>29</v>
      </c>
      <c r="T875" t="str">
        <f t="shared" si="26"/>
        <v>Quarterly</v>
      </c>
      <c r="U875">
        <f>VLOOKUP(T875,[1]tablescore!$B$3:$C$8, 2,FALSE)</f>
        <v>4</v>
      </c>
      <c r="V875" t="str">
        <f t="shared" si="27"/>
        <v>Low Loyalty</v>
      </c>
      <c r="W875" t="s">
        <v>60</v>
      </c>
    </row>
    <row r="876" spans="1:23" x14ac:dyDescent="0.25">
      <c r="A876">
        <v>875</v>
      </c>
      <c r="B876">
        <v>25</v>
      </c>
      <c r="C876" t="str" cm="1">
        <f t="array" ref="C876">_xlfn.IFS(
  AND(B876&gt;=18, B876&lt;=24), "18-24",
  AND(B876&gt;=25, B876&lt;=34), "25-34",
  AND(B876&gt;=35, B876&lt;=44), "35-44",
  AND(B876&gt;=45, B876&lt;=54), "45-54",
  B876&gt;=55, "55+"
)</f>
        <v>25-34</v>
      </c>
      <c r="D876" t="s">
        <v>19</v>
      </c>
      <c r="E876" t="s">
        <v>102</v>
      </c>
      <c r="F876" t="s">
        <v>65</v>
      </c>
      <c r="G876">
        <v>65</v>
      </c>
      <c r="H876" t="s">
        <v>32</v>
      </c>
      <c r="I876" t="s">
        <v>45</v>
      </c>
      <c r="J876" t="s">
        <v>147</v>
      </c>
      <c r="K876" t="s">
        <v>58</v>
      </c>
      <c r="L876">
        <v>4.4000000000000004</v>
      </c>
      <c r="M876" t="s">
        <v>26</v>
      </c>
      <c r="N876" t="s">
        <v>46</v>
      </c>
      <c r="O876" t="s">
        <v>40</v>
      </c>
      <c r="P876" t="s">
        <v>26</v>
      </c>
      <c r="Q876" t="s">
        <v>26</v>
      </c>
      <c r="R876">
        <v>10</v>
      </c>
      <c r="S876" t="s">
        <v>29</v>
      </c>
      <c r="T876" t="str">
        <f t="shared" si="26"/>
        <v>Quarterly</v>
      </c>
      <c r="U876">
        <f>VLOOKUP(T876,[1]tablescore!$B$3:$C$8, 2,FALSE)</f>
        <v>4</v>
      </c>
      <c r="V876" t="str">
        <f t="shared" si="27"/>
        <v>Low Loyalty</v>
      </c>
      <c r="W876" t="s">
        <v>97</v>
      </c>
    </row>
    <row r="877" spans="1:23" x14ac:dyDescent="0.25">
      <c r="A877">
        <v>876</v>
      </c>
      <c r="B877">
        <v>37</v>
      </c>
      <c r="C877" t="str" cm="1">
        <f t="array" ref="C877">_xlfn.IFS(
  AND(B877&gt;=18, B877&lt;=24), "18-24",
  AND(B877&gt;=25, B877&lt;=34), "25-34",
  AND(B877&gt;=35, B877&lt;=44), "35-44",
  AND(B877&gt;=45, B877&lt;=54), "45-54",
  B877&gt;=55, "55+"
)</f>
        <v>35-44</v>
      </c>
      <c r="D877" t="s">
        <v>19</v>
      </c>
      <c r="E877" t="s">
        <v>42</v>
      </c>
      <c r="F877" t="s">
        <v>43</v>
      </c>
      <c r="G877">
        <v>39</v>
      </c>
      <c r="H877" t="s">
        <v>114</v>
      </c>
      <c r="I877" t="s">
        <v>23</v>
      </c>
      <c r="J877" t="s">
        <v>24</v>
      </c>
      <c r="K877" t="s">
        <v>54</v>
      </c>
      <c r="L877">
        <v>4.0999999999999996</v>
      </c>
      <c r="M877" t="s">
        <v>26</v>
      </c>
      <c r="N877" t="s">
        <v>29</v>
      </c>
      <c r="O877" t="s">
        <v>40</v>
      </c>
      <c r="P877" t="s">
        <v>26</v>
      </c>
      <c r="Q877" t="s">
        <v>26</v>
      </c>
      <c r="R877">
        <v>7</v>
      </c>
      <c r="S877" t="s">
        <v>34</v>
      </c>
      <c r="T877" t="str">
        <f t="shared" si="26"/>
        <v>Quarterly</v>
      </c>
      <c r="U877">
        <f>VLOOKUP(T877,[1]tablescore!$B$3:$C$8, 2,FALSE)</f>
        <v>4</v>
      </c>
      <c r="V877" t="str">
        <f t="shared" si="27"/>
        <v>Low Loyalty</v>
      </c>
      <c r="W877" t="s">
        <v>97</v>
      </c>
    </row>
    <row r="878" spans="1:23" x14ac:dyDescent="0.25">
      <c r="A878">
        <v>877</v>
      </c>
      <c r="B878">
        <v>41</v>
      </c>
      <c r="C878" t="str" cm="1">
        <f t="array" ref="C878">_xlfn.IFS(
  AND(B878&gt;=18, B878&lt;=24), "18-24",
  AND(B878&gt;=25, B878&lt;=34), "25-34",
  AND(B878&gt;=35, B878&lt;=44), "35-44",
  AND(B878&gt;=45, B878&lt;=54), "45-54",
  B878&gt;=55, "55+"
)</f>
        <v>35-44</v>
      </c>
      <c r="D878" t="s">
        <v>19</v>
      </c>
      <c r="E878" t="s">
        <v>136</v>
      </c>
      <c r="F878" t="s">
        <v>69</v>
      </c>
      <c r="G878">
        <v>51</v>
      </c>
      <c r="H878" t="s">
        <v>143</v>
      </c>
      <c r="I878" t="s">
        <v>23</v>
      </c>
      <c r="J878" t="s">
        <v>24</v>
      </c>
      <c r="K878" t="s">
        <v>54</v>
      </c>
      <c r="L878">
        <v>3.8</v>
      </c>
      <c r="M878" t="s">
        <v>26</v>
      </c>
      <c r="N878" t="s">
        <v>29</v>
      </c>
      <c r="O878" t="s">
        <v>72</v>
      </c>
      <c r="P878" t="s">
        <v>26</v>
      </c>
      <c r="Q878" t="s">
        <v>26</v>
      </c>
      <c r="R878">
        <v>1</v>
      </c>
      <c r="S878" t="s">
        <v>59</v>
      </c>
      <c r="T878" t="str">
        <f t="shared" si="26"/>
        <v>Daily</v>
      </c>
      <c r="U878">
        <f>VLOOKUP(T878,[1]tablescore!$B$3:$C$8, 2,FALSE)</f>
        <v>30</v>
      </c>
      <c r="V878" t="str">
        <f t="shared" si="27"/>
        <v>Highly Loyal</v>
      </c>
      <c r="W878" t="s">
        <v>41</v>
      </c>
    </row>
    <row r="879" spans="1:23" x14ac:dyDescent="0.25">
      <c r="A879">
        <v>878</v>
      </c>
      <c r="B879">
        <v>64</v>
      </c>
      <c r="C879" t="str" cm="1">
        <f t="array" ref="C879">_xlfn.IFS(
  AND(B879&gt;=18, B879&lt;=24), "18-24",
  AND(B879&gt;=25, B879&lt;=34), "25-34",
  AND(B879&gt;=35, B879&lt;=44), "35-44",
  AND(B879&gt;=45, B879&lt;=54), "45-54",
  B879&gt;=55, "55+"
)</f>
        <v>55+</v>
      </c>
      <c r="D879" t="s">
        <v>19</v>
      </c>
      <c r="E879" t="s">
        <v>68</v>
      </c>
      <c r="F879" t="s">
        <v>69</v>
      </c>
      <c r="G879">
        <v>65</v>
      </c>
      <c r="H879" t="s">
        <v>143</v>
      </c>
      <c r="I879" t="s">
        <v>45</v>
      </c>
      <c r="J879" t="s">
        <v>121</v>
      </c>
      <c r="K879" t="s">
        <v>25</v>
      </c>
      <c r="L879">
        <v>4.9000000000000004</v>
      </c>
      <c r="M879" t="s">
        <v>26</v>
      </c>
      <c r="N879" t="s">
        <v>29</v>
      </c>
      <c r="O879" t="s">
        <v>47</v>
      </c>
      <c r="P879" t="s">
        <v>26</v>
      </c>
      <c r="Q879" t="s">
        <v>26</v>
      </c>
      <c r="R879">
        <v>45</v>
      </c>
      <c r="S879" t="s">
        <v>29</v>
      </c>
      <c r="T879" t="str">
        <f t="shared" si="26"/>
        <v>Quarterly</v>
      </c>
      <c r="U879">
        <f>VLOOKUP(T879,[1]tablescore!$B$3:$C$8, 2,FALSE)</f>
        <v>4</v>
      </c>
      <c r="V879" t="str">
        <f t="shared" si="27"/>
        <v>Low Loyalty</v>
      </c>
      <c r="W879" t="s">
        <v>97</v>
      </c>
    </row>
    <row r="880" spans="1:23" x14ac:dyDescent="0.25">
      <c r="A880">
        <v>879</v>
      </c>
      <c r="B880">
        <v>23</v>
      </c>
      <c r="C880" t="str" cm="1">
        <f t="array" ref="C880">_xlfn.IFS(
  AND(B880&gt;=18, B880&lt;=24), "18-24",
  AND(B880&gt;=25, B880&lt;=34), "25-34",
  AND(B880&gt;=35, B880&lt;=44), "35-44",
  AND(B880&gt;=45, B880&lt;=54), "45-54",
  B880&gt;=55, "55+"
)</f>
        <v>18-24</v>
      </c>
      <c r="D880" t="s">
        <v>19</v>
      </c>
      <c r="E880" t="s">
        <v>89</v>
      </c>
      <c r="F880" t="s">
        <v>69</v>
      </c>
      <c r="G880">
        <v>89</v>
      </c>
      <c r="H880" t="s">
        <v>122</v>
      </c>
      <c r="I880" t="s">
        <v>38</v>
      </c>
      <c r="J880" t="s">
        <v>94</v>
      </c>
      <c r="K880" t="s">
        <v>54</v>
      </c>
      <c r="L880">
        <v>4.9000000000000004</v>
      </c>
      <c r="M880" t="s">
        <v>26</v>
      </c>
      <c r="N880" t="s">
        <v>35</v>
      </c>
      <c r="O880" t="s">
        <v>28</v>
      </c>
      <c r="P880" t="s">
        <v>26</v>
      </c>
      <c r="Q880" t="s">
        <v>26</v>
      </c>
      <c r="R880">
        <v>37</v>
      </c>
      <c r="S880" t="s">
        <v>59</v>
      </c>
      <c r="T880" t="str">
        <f t="shared" si="26"/>
        <v>Daily</v>
      </c>
      <c r="U880">
        <f>VLOOKUP(T880,[1]tablescore!$B$3:$C$8, 2,FALSE)</f>
        <v>30</v>
      </c>
      <c r="V880" t="str">
        <f t="shared" si="27"/>
        <v>Highly Loyal</v>
      </c>
      <c r="W880" t="s">
        <v>41</v>
      </c>
    </row>
    <row r="881" spans="1:23" x14ac:dyDescent="0.25">
      <c r="A881">
        <v>880</v>
      </c>
      <c r="B881">
        <v>62</v>
      </c>
      <c r="C881" t="str" cm="1">
        <f t="array" ref="C881">_xlfn.IFS(
  AND(B881&gt;=18, B881&lt;=24), "18-24",
  AND(B881&gt;=25, B881&lt;=34), "25-34",
  AND(B881&gt;=35, B881&lt;=44), "35-44",
  AND(B881&gt;=45, B881&lt;=54), "45-54",
  B881&gt;=55, "55+"
)</f>
        <v>55+</v>
      </c>
      <c r="D881" t="s">
        <v>19</v>
      </c>
      <c r="E881" t="s">
        <v>87</v>
      </c>
      <c r="F881" t="s">
        <v>21</v>
      </c>
      <c r="G881">
        <v>76</v>
      </c>
      <c r="H881" t="s">
        <v>52</v>
      </c>
      <c r="I881" t="s">
        <v>38</v>
      </c>
      <c r="J881" t="s">
        <v>93</v>
      </c>
      <c r="K881" t="s">
        <v>39</v>
      </c>
      <c r="L881">
        <v>4.0999999999999996</v>
      </c>
      <c r="M881" t="s">
        <v>26</v>
      </c>
      <c r="N881" t="s">
        <v>27</v>
      </c>
      <c r="O881" t="s">
        <v>40</v>
      </c>
      <c r="P881" t="s">
        <v>26</v>
      </c>
      <c r="Q881" t="s">
        <v>26</v>
      </c>
      <c r="R881">
        <v>14</v>
      </c>
      <c r="S881" t="s">
        <v>46</v>
      </c>
      <c r="T881" t="str">
        <f t="shared" si="26"/>
        <v>Quarterly</v>
      </c>
      <c r="U881">
        <f>VLOOKUP(T881,[1]tablescore!$B$3:$C$8, 2,FALSE)</f>
        <v>4</v>
      </c>
      <c r="V881" t="str">
        <f t="shared" si="27"/>
        <v>Low Loyalty</v>
      </c>
      <c r="W881" t="s">
        <v>60</v>
      </c>
    </row>
    <row r="882" spans="1:23" x14ac:dyDescent="0.25">
      <c r="A882">
        <v>881</v>
      </c>
      <c r="B882">
        <v>39</v>
      </c>
      <c r="C882" t="str" cm="1">
        <f t="array" ref="C882">_xlfn.IFS(
  AND(B882&gt;=18, B882&lt;=24), "18-24",
  AND(B882&gt;=25, B882&lt;=34), "25-34",
  AND(B882&gt;=35, B882&lt;=44), "35-44",
  AND(B882&gt;=45, B882&lt;=54), "45-54",
  B882&gt;=55, "55+"
)</f>
        <v>35-44</v>
      </c>
      <c r="D882" t="s">
        <v>19</v>
      </c>
      <c r="E882" t="s">
        <v>133</v>
      </c>
      <c r="F882" t="s">
        <v>69</v>
      </c>
      <c r="G882">
        <v>75</v>
      </c>
      <c r="H882" t="s">
        <v>107</v>
      </c>
      <c r="I882" t="s">
        <v>23</v>
      </c>
      <c r="J882" t="s">
        <v>108</v>
      </c>
      <c r="K882" t="s">
        <v>39</v>
      </c>
      <c r="L882">
        <v>3.1</v>
      </c>
      <c r="M882" t="s">
        <v>26</v>
      </c>
      <c r="N882" t="s">
        <v>29</v>
      </c>
      <c r="O882" t="s">
        <v>28</v>
      </c>
      <c r="P882" t="s">
        <v>26</v>
      </c>
      <c r="Q882" t="s">
        <v>26</v>
      </c>
      <c r="R882">
        <v>25</v>
      </c>
      <c r="S882" t="s">
        <v>59</v>
      </c>
      <c r="T882" t="str">
        <f t="shared" si="26"/>
        <v>Month</v>
      </c>
      <c r="U882">
        <f>VLOOKUP(T882,[1]tablescore!$B$3:$C$8, 2,FALSE)</f>
        <v>12</v>
      </c>
      <c r="V882" t="str">
        <f t="shared" si="27"/>
        <v>Moderate</v>
      </c>
      <c r="W882" t="s">
        <v>88</v>
      </c>
    </row>
    <row r="883" spans="1:23" x14ac:dyDescent="0.25">
      <c r="A883">
        <v>882</v>
      </c>
      <c r="B883">
        <v>52</v>
      </c>
      <c r="C883" t="str" cm="1">
        <f t="array" ref="C883">_xlfn.IFS(
  AND(B883&gt;=18, B883&lt;=24), "18-24",
  AND(B883&gt;=25, B883&lt;=34), "25-34",
  AND(B883&gt;=35, B883&lt;=44), "35-44",
  AND(B883&gt;=45, B883&lt;=54), "45-54",
  B883&gt;=55, "55+"
)</f>
        <v>45-54</v>
      </c>
      <c r="D883" t="s">
        <v>19</v>
      </c>
      <c r="E883" t="s">
        <v>42</v>
      </c>
      <c r="F883" t="s">
        <v>43</v>
      </c>
      <c r="G883">
        <v>61</v>
      </c>
      <c r="H883" t="s">
        <v>126</v>
      </c>
      <c r="I883" t="s">
        <v>45</v>
      </c>
      <c r="J883" t="s">
        <v>67</v>
      </c>
      <c r="K883" t="s">
        <v>54</v>
      </c>
      <c r="L883">
        <v>2.7</v>
      </c>
      <c r="M883" t="s">
        <v>26</v>
      </c>
      <c r="N883" t="s">
        <v>27</v>
      </c>
      <c r="O883" t="s">
        <v>47</v>
      </c>
      <c r="P883" t="s">
        <v>26</v>
      </c>
      <c r="Q883" t="s">
        <v>26</v>
      </c>
      <c r="R883">
        <v>18</v>
      </c>
      <c r="S883" t="s">
        <v>29</v>
      </c>
      <c r="T883" t="str">
        <f t="shared" si="26"/>
        <v>Annually</v>
      </c>
      <c r="U883">
        <f>VLOOKUP(T883,[1]tablescore!$B$3:$C$8, 2,FALSE)</f>
        <v>1</v>
      </c>
      <c r="V883" t="str">
        <f t="shared" si="27"/>
        <v>Low Loyalty</v>
      </c>
      <c r="W883" t="s">
        <v>50</v>
      </c>
    </row>
    <row r="884" spans="1:23" x14ac:dyDescent="0.25">
      <c r="A884">
        <v>883</v>
      </c>
      <c r="B884">
        <v>50</v>
      </c>
      <c r="C884" t="str" cm="1">
        <f t="array" ref="C884">_xlfn.IFS(
  AND(B884&gt;=18, B884&lt;=24), "18-24",
  AND(B884&gt;=25, B884&lt;=34), "25-34",
  AND(B884&gt;=35, B884&lt;=44), "35-44",
  AND(B884&gt;=45, B884&lt;=54), "45-54",
  B884&gt;=55, "55+"
)</f>
        <v>45-54</v>
      </c>
      <c r="D884" t="s">
        <v>19</v>
      </c>
      <c r="E884" t="s">
        <v>132</v>
      </c>
      <c r="F884" t="s">
        <v>43</v>
      </c>
      <c r="G884">
        <v>35</v>
      </c>
      <c r="H884" t="s">
        <v>128</v>
      </c>
      <c r="I884" t="s">
        <v>45</v>
      </c>
      <c r="J884" t="s">
        <v>109</v>
      </c>
      <c r="K884" t="s">
        <v>58</v>
      </c>
      <c r="L884">
        <v>3.8</v>
      </c>
      <c r="M884" t="s">
        <v>26</v>
      </c>
      <c r="N884" t="s">
        <v>35</v>
      </c>
      <c r="O884" t="s">
        <v>47</v>
      </c>
      <c r="P884" t="s">
        <v>26</v>
      </c>
      <c r="Q884" t="s">
        <v>26</v>
      </c>
      <c r="R884">
        <v>37</v>
      </c>
      <c r="S884" t="s">
        <v>35</v>
      </c>
      <c r="T884" t="str">
        <f t="shared" si="26"/>
        <v>Quarterly</v>
      </c>
      <c r="U884">
        <f>VLOOKUP(T884,[1]tablescore!$B$3:$C$8, 2,FALSE)</f>
        <v>4</v>
      </c>
      <c r="V884" t="str">
        <f t="shared" si="27"/>
        <v>Low Loyalty</v>
      </c>
      <c r="W884" t="s">
        <v>97</v>
      </c>
    </row>
    <row r="885" spans="1:23" x14ac:dyDescent="0.25">
      <c r="A885">
        <v>884</v>
      </c>
      <c r="B885">
        <v>28</v>
      </c>
      <c r="C885" t="str" cm="1">
        <f t="array" ref="C885">_xlfn.IFS(
  AND(B885&gt;=18, B885&lt;=24), "18-24",
  AND(B885&gt;=25, B885&lt;=34), "25-34",
  AND(B885&gt;=35, B885&lt;=44), "35-44",
  AND(B885&gt;=45, B885&lt;=54), "45-54",
  B885&gt;=55, "55+"
)</f>
        <v>25-34</v>
      </c>
      <c r="D885" t="s">
        <v>19</v>
      </c>
      <c r="E885" t="s">
        <v>51</v>
      </c>
      <c r="F885" t="s">
        <v>43</v>
      </c>
      <c r="G885">
        <v>37</v>
      </c>
      <c r="H885" t="s">
        <v>141</v>
      </c>
      <c r="I885" t="s">
        <v>38</v>
      </c>
      <c r="J885" t="s">
        <v>81</v>
      </c>
      <c r="K885" t="s">
        <v>58</v>
      </c>
      <c r="L885">
        <v>4.3</v>
      </c>
      <c r="M885" t="s">
        <v>26</v>
      </c>
      <c r="N885" t="s">
        <v>29</v>
      </c>
      <c r="O885" t="s">
        <v>40</v>
      </c>
      <c r="P885" t="s">
        <v>26</v>
      </c>
      <c r="Q885" t="s">
        <v>26</v>
      </c>
      <c r="R885">
        <v>30</v>
      </c>
      <c r="S885" t="s">
        <v>34</v>
      </c>
      <c r="T885" t="str">
        <f t="shared" si="26"/>
        <v>Month</v>
      </c>
      <c r="U885">
        <f>VLOOKUP(T885,[1]tablescore!$B$3:$C$8, 2,FALSE)</f>
        <v>12</v>
      </c>
      <c r="V885" t="str">
        <f t="shared" si="27"/>
        <v>Moderate</v>
      </c>
      <c r="W885" t="s">
        <v>88</v>
      </c>
    </row>
    <row r="886" spans="1:23" x14ac:dyDescent="0.25">
      <c r="A886">
        <v>885</v>
      </c>
      <c r="B886">
        <v>67</v>
      </c>
      <c r="C886" t="str" cm="1">
        <f t="array" ref="C886">_xlfn.IFS(
  AND(B886&gt;=18, B886&lt;=24), "18-24",
  AND(B886&gt;=25, B886&lt;=34), "25-34",
  AND(B886&gt;=35, B886&lt;=44), "35-44",
  AND(B886&gt;=45, B886&lt;=54), "45-54",
  B886&gt;=55, "55+"
)</f>
        <v>55+</v>
      </c>
      <c r="D886" t="s">
        <v>19</v>
      </c>
      <c r="E886" t="s">
        <v>87</v>
      </c>
      <c r="F886" t="s">
        <v>21</v>
      </c>
      <c r="G886">
        <v>91</v>
      </c>
      <c r="H886" t="s">
        <v>78</v>
      </c>
      <c r="I886" t="s">
        <v>23</v>
      </c>
      <c r="J886" t="s">
        <v>139</v>
      </c>
      <c r="K886" t="s">
        <v>25</v>
      </c>
      <c r="L886">
        <v>4.0999999999999996</v>
      </c>
      <c r="M886" t="s">
        <v>26</v>
      </c>
      <c r="N886" t="s">
        <v>29</v>
      </c>
      <c r="O886" t="s">
        <v>28</v>
      </c>
      <c r="P886" t="s">
        <v>26</v>
      </c>
      <c r="Q886" t="s">
        <v>26</v>
      </c>
      <c r="R886">
        <v>34</v>
      </c>
      <c r="S886" t="s">
        <v>34</v>
      </c>
      <c r="T886" t="str">
        <f t="shared" si="26"/>
        <v>Daily</v>
      </c>
      <c r="U886">
        <f>VLOOKUP(T886,[1]tablescore!$B$3:$C$8, 2,FALSE)</f>
        <v>30</v>
      </c>
      <c r="V886" t="str">
        <f t="shared" si="27"/>
        <v>Highly Loyal</v>
      </c>
      <c r="W886" t="s">
        <v>41</v>
      </c>
    </row>
    <row r="887" spans="1:23" x14ac:dyDescent="0.25">
      <c r="A887">
        <v>886</v>
      </c>
      <c r="B887">
        <v>41</v>
      </c>
      <c r="C887" t="str" cm="1">
        <f t="array" ref="C887">_xlfn.IFS(
  AND(B887&gt;=18, B887&lt;=24), "18-24",
  AND(B887&gt;=25, B887&lt;=34), "25-34",
  AND(B887&gt;=35, B887&lt;=44), "35-44",
  AND(B887&gt;=45, B887&lt;=54), "45-54",
  B887&gt;=55, "55+"
)</f>
        <v>35-44</v>
      </c>
      <c r="D887" t="s">
        <v>19</v>
      </c>
      <c r="E887" t="s">
        <v>82</v>
      </c>
      <c r="F887" t="s">
        <v>21</v>
      </c>
      <c r="G887">
        <v>99</v>
      </c>
      <c r="H887" t="s">
        <v>124</v>
      </c>
      <c r="I887" t="s">
        <v>23</v>
      </c>
      <c r="J887" t="s">
        <v>75</v>
      </c>
      <c r="K887" t="s">
        <v>58</v>
      </c>
      <c r="L887">
        <v>4.4000000000000004</v>
      </c>
      <c r="M887" t="s">
        <v>26</v>
      </c>
      <c r="N887" t="s">
        <v>27</v>
      </c>
      <c r="O887" t="s">
        <v>40</v>
      </c>
      <c r="P887" t="s">
        <v>26</v>
      </c>
      <c r="Q887" t="s">
        <v>26</v>
      </c>
      <c r="R887">
        <v>49</v>
      </c>
      <c r="S887" t="s">
        <v>59</v>
      </c>
      <c r="T887" t="str">
        <f t="shared" si="26"/>
        <v>Quarterly</v>
      </c>
      <c r="U887">
        <f>VLOOKUP(T887,[1]tablescore!$B$3:$C$8, 2,FALSE)</f>
        <v>4</v>
      </c>
      <c r="V887" t="str">
        <f t="shared" si="27"/>
        <v>Low Loyalty</v>
      </c>
      <c r="W887" t="s">
        <v>97</v>
      </c>
    </row>
    <row r="888" spans="1:23" x14ac:dyDescent="0.25">
      <c r="A888">
        <v>887</v>
      </c>
      <c r="B888">
        <v>19</v>
      </c>
      <c r="C888" t="str" cm="1">
        <f t="array" ref="C888">_xlfn.IFS(
  AND(B888&gt;=18, B888&lt;=24), "18-24",
  AND(B888&gt;=25, B888&lt;=34), "25-34",
  AND(B888&gt;=35, B888&lt;=44), "35-44",
  AND(B888&gt;=45, B888&lt;=54), "45-54",
  B888&gt;=55, "55+"
)</f>
        <v>18-24</v>
      </c>
      <c r="D888" t="s">
        <v>19</v>
      </c>
      <c r="E888" t="s">
        <v>61</v>
      </c>
      <c r="F888" t="s">
        <v>21</v>
      </c>
      <c r="G888">
        <v>54</v>
      </c>
      <c r="H888" t="s">
        <v>149</v>
      </c>
      <c r="I888" t="s">
        <v>38</v>
      </c>
      <c r="J888" t="s">
        <v>110</v>
      </c>
      <c r="K888" t="s">
        <v>54</v>
      </c>
      <c r="L888">
        <v>3.6</v>
      </c>
      <c r="M888" t="s">
        <v>26</v>
      </c>
      <c r="N888" t="s">
        <v>46</v>
      </c>
      <c r="O888" t="s">
        <v>28</v>
      </c>
      <c r="P888" t="s">
        <v>26</v>
      </c>
      <c r="Q888" t="s">
        <v>26</v>
      </c>
      <c r="R888">
        <v>48</v>
      </c>
      <c r="S888" t="s">
        <v>34</v>
      </c>
      <c r="T888" t="str">
        <f t="shared" si="26"/>
        <v>Month</v>
      </c>
      <c r="U888">
        <f>VLOOKUP(T888,[1]tablescore!$B$3:$C$8, 2,FALSE)</f>
        <v>12</v>
      </c>
      <c r="V888" t="str">
        <f t="shared" si="27"/>
        <v>Moderate</v>
      </c>
      <c r="W888" t="s">
        <v>88</v>
      </c>
    </row>
    <row r="889" spans="1:23" x14ac:dyDescent="0.25">
      <c r="A889">
        <v>888</v>
      </c>
      <c r="B889">
        <v>70</v>
      </c>
      <c r="C889" t="str" cm="1">
        <f t="array" ref="C889">_xlfn.IFS(
  AND(B889&gt;=18, B889&lt;=24), "18-24",
  AND(B889&gt;=25, B889&lt;=34), "25-34",
  AND(B889&gt;=35, B889&lt;=44), "35-44",
  AND(B889&gt;=45, B889&lt;=54), "45-54",
  B889&gt;=55, "55+"
)</f>
        <v>55+</v>
      </c>
      <c r="D889" t="s">
        <v>19</v>
      </c>
      <c r="E889" t="s">
        <v>68</v>
      </c>
      <c r="F889" t="s">
        <v>69</v>
      </c>
      <c r="G889">
        <v>47</v>
      </c>
      <c r="H889" t="s">
        <v>134</v>
      </c>
      <c r="I889" t="s">
        <v>23</v>
      </c>
      <c r="J889" t="s">
        <v>49</v>
      </c>
      <c r="K889" t="s">
        <v>25</v>
      </c>
      <c r="L889">
        <v>3.3</v>
      </c>
      <c r="M889" t="s">
        <v>26</v>
      </c>
      <c r="N889" t="s">
        <v>27</v>
      </c>
      <c r="O889" t="s">
        <v>72</v>
      </c>
      <c r="P889" t="s">
        <v>26</v>
      </c>
      <c r="Q889" t="s">
        <v>26</v>
      </c>
      <c r="R889">
        <v>33</v>
      </c>
      <c r="S889" t="s">
        <v>46</v>
      </c>
      <c r="T889" t="str">
        <f t="shared" si="26"/>
        <v>2-week</v>
      </c>
      <c r="U889">
        <f>VLOOKUP(T889,[1]tablescore!$B$3:$C$8, 2,FALSE)</f>
        <v>26</v>
      </c>
      <c r="V889" t="str">
        <f t="shared" si="27"/>
        <v>Loyal</v>
      </c>
      <c r="W889" t="s">
        <v>30</v>
      </c>
    </row>
    <row r="890" spans="1:23" x14ac:dyDescent="0.25">
      <c r="A890">
        <v>889</v>
      </c>
      <c r="B890">
        <v>49</v>
      </c>
      <c r="C890" t="str" cm="1">
        <f t="array" ref="C890">_xlfn.IFS(
  AND(B890&gt;=18, B890&lt;=24), "18-24",
  AND(B890&gt;=25, B890&lt;=34), "25-34",
  AND(B890&gt;=35, B890&lt;=44), "35-44",
  AND(B890&gt;=45, B890&lt;=54), "45-54",
  B890&gt;=55, "55+"
)</f>
        <v>45-54</v>
      </c>
      <c r="D890" t="s">
        <v>19</v>
      </c>
      <c r="E890" t="s">
        <v>119</v>
      </c>
      <c r="F890" t="s">
        <v>69</v>
      </c>
      <c r="G890">
        <v>77</v>
      </c>
      <c r="H890" t="s">
        <v>83</v>
      </c>
      <c r="I890" t="s">
        <v>38</v>
      </c>
      <c r="J890" t="s">
        <v>81</v>
      </c>
      <c r="K890" t="s">
        <v>39</v>
      </c>
      <c r="L890">
        <v>3.6</v>
      </c>
      <c r="M890" t="s">
        <v>26</v>
      </c>
      <c r="N890" t="s">
        <v>29</v>
      </c>
      <c r="O890" t="s">
        <v>28</v>
      </c>
      <c r="P890" t="s">
        <v>26</v>
      </c>
      <c r="Q890" t="s">
        <v>26</v>
      </c>
      <c r="R890">
        <v>44</v>
      </c>
      <c r="S890" t="s">
        <v>35</v>
      </c>
      <c r="T890" t="str">
        <f t="shared" si="26"/>
        <v>Annually</v>
      </c>
      <c r="U890">
        <f>VLOOKUP(T890,[1]tablescore!$B$3:$C$8, 2,FALSE)</f>
        <v>1</v>
      </c>
      <c r="V890" t="str">
        <f t="shared" si="27"/>
        <v>Low Loyalty</v>
      </c>
      <c r="W890" t="s">
        <v>50</v>
      </c>
    </row>
    <row r="891" spans="1:23" x14ac:dyDescent="0.25">
      <c r="A891">
        <v>890</v>
      </c>
      <c r="B891">
        <v>59</v>
      </c>
      <c r="C891" t="str" cm="1">
        <f t="array" ref="C891">_xlfn.IFS(
  AND(B891&gt;=18, B891&lt;=24), "18-24",
  AND(B891&gt;=25, B891&lt;=34), "25-34",
  AND(B891&gt;=35, B891&lt;=44), "35-44",
  AND(B891&gt;=45, B891&lt;=54), "45-54",
  B891&gt;=55, "55+"
)</f>
        <v>55+</v>
      </c>
      <c r="D891" t="s">
        <v>19</v>
      </c>
      <c r="E891" t="s">
        <v>136</v>
      </c>
      <c r="F891" t="s">
        <v>69</v>
      </c>
      <c r="G891">
        <v>84</v>
      </c>
      <c r="H891" t="s">
        <v>117</v>
      </c>
      <c r="I891" t="s">
        <v>38</v>
      </c>
      <c r="J891" t="s">
        <v>79</v>
      </c>
      <c r="K891" t="s">
        <v>58</v>
      </c>
      <c r="L891">
        <v>2.8</v>
      </c>
      <c r="M891" t="s">
        <v>26</v>
      </c>
      <c r="N891" t="s">
        <v>29</v>
      </c>
      <c r="O891" t="s">
        <v>40</v>
      </c>
      <c r="P891" t="s">
        <v>26</v>
      </c>
      <c r="Q891" t="s">
        <v>26</v>
      </c>
      <c r="R891">
        <v>50</v>
      </c>
      <c r="S891" t="s">
        <v>29</v>
      </c>
      <c r="T891" t="str">
        <f t="shared" si="26"/>
        <v>Daily</v>
      </c>
      <c r="U891">
        <f>VLOOKUP(T891,[1]tablescore!$B$3:$C$8, 2,FALSE)</f>
        <v>30</v>
      </c>
      <c r="V891" t="str">
        <f t="shared" si="27"/>
        <v>Highly Loyal</v>
      </c>
      <c r="W891" t="s">
        <v>41</v>
      </c>
    </row>
    <row r="892" spans="1:23" x14ac:dyDescent="0.25">
      <c r="A892">
        <v>891</v>
      </c>
      <c r="B892">
        <v>52</v>
      </c>
      <c r="C892" t="str" cm="1">
        <f t="array" ref="C892">_xlfn.IFS(
  AND(B892&gt;=18, B892&lt;=24), "18-24",
  AND(B892&gt;=25, B892&lt;=34), "25-34",
  AND(B892&gt;=35, B892&lt;=44), "35-44",
  AND(B892&gt;=45, B892&lt;=54), "45-54",
  B892&gt;=55, "55+"
)</f>
        <v>45-54</v>
      </c>
      <c r="D892" t="s">
        <v>19</v>
      </c>
      <c r="E892" t="s">
        <v>127</v>
      </c>
      <c r="F892" t="s">
        <v>69</v>
      </c>
      <c r="G892">
        <v>51</v>
      </c>
      <c r="H892" t="s">
        <v>85</v>
      </c>
      <c r="I892" t="s">
        <v>38</v>
      </c>
      <c r="J892" t="s">
        <v>75</v>
      </c>
      <c r="K892" t="s">
        <v>39</v>
      </c>
      <c r="L892">
        <v>4.3</v>
      </c>
      <c r="M892" t="s">
        <v>26</v>
      </c>
      <c r="N892" t="s">
        <v>27</v>
      </c>
      <c r="O892" t="s">
        <v>72</v>
      </c>
      <c r="P892" t="s">
        <v>26</v>
      </c>
      <c r="Q892" t="s">
        <v>26</v>
      </c>
      <c r="R892">
        <v>47</v>
      </c>
      <c r="S892" t="s">
        <v>27</v>
      </c>
      <c r="T892" t="str">
        <f t="shared" si="26"/>
        <v>Month</v>
      </c>
      <c r="U892">
        <f>VLOOKUP(T892,[1]tablescore!$B$3:$C$8, 2,FALSE)</f>
        <v>12</v>
      </c>
      <c r="V892" t="str">
        <f t="shared" si="27"/>
        <v>Moderate</v>
      </c>
      <c r="W892" t="s">
        <v>88</v>
      </c>
    </row>
    <row r="893" spans="1:23" x14ac:dyDescent="0.25">
      <c r="A893">
        <v>892</v>
      </c>
      <c r="B893">
        <v>20</v>
      </c>
      <c r="C893" t="str" cm="1">
        <f t="array" ref="C893">_xlfn.IFS(
  AND(B893&gt;=18, B893&lt;=24), "18-24",
  AND(B893&gt;=25, B893&lt;=34), "25-34",
  AND(B893&gt;=35, B893&lt;=44), "35-44",
  AND(B893&gt;=45, B893&lt;=54), "45-54",
  B893&gt;=55, "55+"
)</f>
        <v>18-24</v>
      </c>
      <c r="D893" t="s">
        <v>19</v>
      </c>
      <c r="E893" t="s">
        <v>87</v>
      </c>
      <c r="F893" t="s">
        <v>21</v>
      </c>
      <c r="G893">
        <v>26</v>
      </c>
      <c r="H893" t="s">
        <v>141</v>
      </c>
      <c r="I893" t="s">
        <v>38</v>
      </c>
      <c r="J893" t="s">
        <v>93</v>
      </c>
      <c r="K893" t="s">
        <v>54</v>
      </c>
      <c r="L893">
        <v>3.9</v>
      </c>
      <c r="M893" t="s">
        <v>26</v>
      </c>
      <c r="N893" t="s">
        <v>29</v>
      </c>
      <c r="O893" t="s">
        <v>76</v>
      </c>
      <c r="P893" t="s">
        <v>26</v>
      </c>
      <c r="Q893" t="s">
        <v>26</v>
      </c>
      <c r="R893">
        <v>24</v>
      </c>
      <c r="S893" t="s">
        <v>46</v>
      </c>
      <c r="T893" t="str">
        <f t="shared" si="26"/>
        <v>Quarterly</v>
      </c>
      <c r="U893">
        <f>VLOOKUP(T893,[1]tablescore!$B$3:$C$8, 2,FALSE)</f>
        <v>4</v>
      </c>
      <c r="V893" t="str">
        <f t="shared" si="27"/>
        <v>Low Loyalty</v>
      </c>
      <c r="W893" t="s">
        <v>97</v>
      </c>
    </row>
    <row r="894" spans="1:23" x14ac:dyDescent="0.25">
      <c r="A894">
        <v>893</v>
      </c>
      <c r="B894">
        <v>31</v>
      </c>
      <c r="C894" t="str" cm="1">
        <f t="array" ref="C894">_xlfn.IFS(
  AND(B894&gt;=18, B894&lt;=24), "18-24",
  AND(B894&gt;=25, B894&lt;=34), "25-34",
  AND(B894&gt;=35, B894&lt;=44), "35-44",
  AND(B894&gt;=45, B894&lt;=54), "45-54",
  B894&gt;=55, "55+"
)</f>
        <v>25-34</v>
      </c>
      <c r="D894" t="s">
        <v>19</v>
      </c>
      <c r="E894" t="s">
        <v>61</v>
      </c>
      <c r="F894" t="s">
        <v>21</v>
      </c>
      <c r="G894">
        <v>64</v>
      </c>
      <c r="H894" t="s">
        <v>123</v>
      </c>
      <c r="I894" t="s">
        <v>23</v>
      </c>
      <c r="J894" t="s">
        <v>24</v>
      </c>
      <c r="K894" t="s">
        <v>54</v>
      </c>
      <c r="L894">
        <v>2.7</v>
      </c>
      <c r="M894" t="s">
        <v>26</v>
      </c>
      <c r="N894" t="s">
        <v>29</v>
      </c>
      <c r="O894" t="s">
        <v>40</v>
      </c>
      <c r="P894" t="s">
        <v>26</v>
      </c>
      <c r="Q894" t="s">
        <v>26</v>
      </c>
      <c r="R894">
        <v>43</v>
      </c>
      <c r="S894" t="s">
        <v>59</v>
      </c>
      <c r="T894" t="str">
        <f t="shared" si="26"/>
        <v>Month</v>
      </c>
      <c r="U894">
        <f>VLOOKUP(T894,[1]tablescore!$B$3:$C$8, 2,FALSE)</f>
        <v>12</v>
      </c>
      <c r="V894" t="str">
        <f t="shared" si="27"/>
        <v>Moderate</v>
      </c>
      <c r="W894" t="s">
        <v>88</v>
      </c>
    </row>
    <row r="895" spans="1:23" x14ac:dyDescent="0.25">
      <c r="A895">
        <v>894</v>
      </c>
      <c r="B895">
        <v>33</v>
      </c>
      <c r="C895" t="str" cm="1">
        <f t="array" ref="C895">_xlfn.IFS(
  AND(B895&gt;=18, B895&lt;=24), "18-24",
  AND(B895&gt;=25, B895&lt;=34), "25-34",
  AND(B895&gt;=35, B895&lt;=44), "35-44",
  AND(B895&gt;=45, B895&lt;=54), "45-54",
  B895&gt;=55, "55+"
)</f>
        <v>25-34</v>
      </c>
      <c r="D895" t="s">
        <v>19</v>
      </c>
      <c r="E895" t="s">
        <v>133</v>
      </c>
      <c r="F895" t="s">
        <v>69</v>
      </c>
      <c r="G895">
        <v>51</v>
      </c>
      <c r="H895" t="s">
        <v>143</v>
      </c>
      <c r="I895" t="s">
        <v>45</v>
      </c>
      <c r="J895" t="s">
        <v>108</v>
      </c>
      <c r="K895" t="s">
        <v>39</v>
      </c>
      <c r="L895">
        <v>4.7</v>
      </c>
      <c r="M895" t="s">
        <v>26</v>
      </c>
      <c r="N895" t="s">
        <v>59</v>
      </c>
      <c r="O895" t="s">
        <v>28</v>
      </c>
      <c r="P895" t="s">
        <v>26</v>
      </c>
      <c r="Q895" t="s">
        <v>26</v>
      </c>
      <c r="R895">
        <v>14</v>
      </c>
      <c r="S895" t="s">
        <v>29</v>
      </c>
      <c r="T895" t="str">
        <f t="shared" si="26"/>
        <v>Month</v>
      </c>
      <c r="U895">
        <f>VLOOKUP(T895,[1]tablescore!$B$3:$C$8, 2,FALSE)</f>
        <v>12</v>
      </c>
      <c r="V895" t="str">
        <f t="shared" si="27"/>
        <v>Moderate</v>
      </c>
      <c r="W895" t="s">
        <v>88</v>
      </c>
    </row>
    <row r="896" spans="1:23" x14ac:dyDescent="0.25">
      <c r="A896">
        <v>895</v>
      </c>
      <c r="B896">
        <v>44</v>
      </c>
      <c r="C896" t="str" cm="1">
        <f t="array" ref="C896">_xlfn.IFS(
  AND(B896&gt;=18, B896&lt;=24), "18-24",
  AND(B896&gt;=25, B896&lt;=34), "25-34",
  AND(B896&gt;=35, B896&lt;=44), "35-44",
  AND(B896&gt;=45, B896&lt;=54), "45-54",
  B896&gt;=55, "55+"
)</f>
        <v>35-44</v>
      </c>
      <c r="D896" t="s">
        <v>19</v>
      </c>
      <c r="E896" t="s">
        <v>104</v>
      </c>
      <c r="F896" t="s">
        <v>21</v>
      </c>
      <c r="G896">
        <v>60</v>
      </c>
      <c r="H896" t="s">
        <v>52</v>
      </c>
      <c r="I896" t="s">
        <v>23</v>
      </c>
      <c r="J896" t="s">
        <v>75</v>
      </c>
      <c r="K896" t="s">
        <v>39</v>
      </c>
      <c r="L896">
        <v>3.8</v>
      </c>
      <c r="M896" t="s">
        <v>26</v>
      </c>
      <c r="N896" t="s">
        <v>29</v>
      </c>
      <c r="O896" t="s">
        <v>40</v>
      </c>
      <c r="P896" t="s">
        <v>26</v>
      </c>
      <c r="Q896" t="s">
        <v>26</v>
      </c>
      <c r="R896">
        <v>3</v>
      </c>
      <c r="S896" t="s">
        <v>59</v>
      </c>
      <c r="T896" t="str">
        <f t="shared" si="26"/>
        <v>Quarterly</v>
      </c>
      <c r="U896">
        <f>VLOOKUP(T896,[1]tablescore!$B$3:$C$8, 2,FALSE)</f>
        <v>4</v>
      </c>
      <c r="V896" t="str">
        <f t="shared" si="27"/>
        <v>Low Loyalty</v>
      </c>
      <c r="W896" t="s">
        <v>60</v>
      </c>
    </row>
    <row r="897" spans="1:23" x14ac:dyDescent="0.25">
      <c r="A897">
        <v>896</v>
      </c>
      <c r="B897">
        <v>40</v>
      </c>
      <c r="C897" t="str" cm="1">
        <f t="array" ref="C897">_xlfn.IFS(
  AND(B897&gt;=18, B897&lt;=24), "18-24",
  AND(B897&gt;=25, B897&lt;=34), "25-34",
  AND(B897&gt;=35, B897&lt;=44), "35-44",
  AND(B897&gt;=45, B897&lt;=54), "45-54",
  B897&gt;=55, "55+"
)</f>
        <v>35-44</v>
      </c>
      <c r="D897" t="s">
        <v>19</v>
      </c>
      <c r="E897" t="s">
        <v>125</v>
      </c>
      <c r="F897" t="s">
        <v>69</v>
      </c>
      <c r="G897">
        <v>69</v>
      </c>
      <c r="H897" t="s">
        <v>91</v>
      </c>
      <c r="I897" t="s">
        <v>92</v>
      </c>
      <c r="J897" t="s">
        <v>79</v>
      </c>
      <c r="K897" t="s">
        <v>39</v>
      </c>
      <c r="L897">
        <v>4.7</v>
      </c>
      <c r="M897" t="s">
        <v>26</v>
      </c>
      <c r="N897" t="s">
        <v>59</v>
      </c>
      <c r="O897" t="s">
        <v>47</v>
      </c>
      <c r="P897" t="s">
        <v>26</v>
      </c>
      <c r="Q897" t="s">
        <v>26</v>
      </c>
      <c r="R897">
        <v>33</v>
      </c>
      <c r="S897" t="s">
        <v>59</v>
      </c>
      <c r="T897" t="str">
        <f t="shared" si="26"/>
        <v>Quarterly</v>
      </c>
      <c r="U897">
        <f>VLOOKUP(T897,[1]tablescore!$B$3:$C$8, 2,FALSE)</f>
        <v>4</v>
      </c>
      <c r="V897" t="str">
        <f t="shared" si="27"/>
        <v>Low Loyalty</v>
      </c>
      <c r="W897" t="s">
        <v>60</v>
      </c>
    </row>
    <row r="898" spans="1:23" x14ac:dyDescent="0.25">
      <c r="A898">
        <v>897</v>
      </c>
      <c r="B898">
        <v>69</v>
      </c>
      <c r="C898" t="str" cm="1">
        <f t="array" ref="C898">_xlfn.IFS(
  AND(B898&gt;=18, B898&lt;=24), "18-24",
  AND(B898&gt;=25, B898&lt;=34), "25-34",
  AND(B898&gt;=35, B898&lt;=44), "35-44",
  AND(B898&gt;=45, B898&lt;=54), "45-54",
  B898&gt;=55, "55+"
)</f>
        <v>55+</v>
      </c>
      <c r="D898" t="s">
        <v>19</v>
      </c>
      <c r="E898" t="s">
        <v>106</v>
      </c>
      <c r="F898" t="s">
        <v>69</v>
      </c>
      <c r="G898">
        <v>29</v>
      </c>
      <c r="H898" t="s">
        <v>74</v>
      </c>
      <c r="I898" t="s">
        <v>45</v>
      </c>
      <c r="J898" t="s">
        <v>93</v>
      </c>
      <c r="K898" t="s">
        <v>39</v>
      </c>
      <c r="L898">
        <v>4.7</v>
      </c>
      <c r="M898" t="s">
        <v>26</v>
      </c>
      <c r="N898" t="s">
        <v>27</v>
      </c>
      <c r="O898" t="s">
        <v>28</v>
      </c>
      <c r="P898" t="s">
        <v>26</v>
      </c>
      <c r="Q898" t="s">
        <v>26</v>
      </c>
      <c r="R898">
        <v>38</v>
      </c>
      <c r="S898" t="s">
        <v>35</v>
      </c>
      <c r="T898" t="str">
        <f t="shared" si="26"/>
        <v>2-week</v>
      </c>
      <c r="U898">
        <f>VLOOKUP(T898,[1]tablescore!$B$3:$C$8, 2,FALSE)</f>
        <v>26</v>
      </c>
      <c r="V898" t="str">
        <f t="shared" si="27"/>
        <v>Loyal</v>
      </c>
      <c r="W898" t="s">
        <v>30</v>
      </c>
    </row>
    <row r="899" spans="1:23" x14ac:dyDescent="0.25">
      <c r="A899">
        <v>898</v>
      </c>
      <c r="B899">
        <v>29</v>
      </c>
      <c r="C899" t="str" cm="1">
        <f t="array" ref="C899">_xlfn.IFS(
  AND(B899&gt;=18, B899&lt;=24), "18-24",
  AND(B899&gt;=25, B899&lt;=34), "25-34",
  AND(B899&gt;=35, B899&lt;=44), "35-44",
  AND(B899&gt;=45, B899&lt;=54), "45-54",
  B899&gt;=55, "55+"
)</f>
        <v>25-34</v>
      </c>
      <c r="D899" t="s">
        <v>19</v>
      </c>
      <c r="E899" t="s">
        <v>56</v>
      </c>
      <c r="F899" t="s">
        <v>21</v>
      </c>
      <c r="G899">
        <v>91</v>
      </c>
      <c r="H899" t="s">
        <v>115</v>
      </c>
      <c r="I899" t="s">
        <v>45</v>
      </c>
      <c r="J899" t="s">
        <v>24</v>
      </c>
      <c r="K899" t="s">
        <v>39</v>
      </c>
      <c r="L899">
        <v>3.4</v>
      </c>
      <c r="M899" t="s">
        <v>26</v>
      </c>
      <c r="N899" t="s">
        <v>46</v>
      </c>
      <c r="O899" t="s">
        <v>28</v>
      </c>
      <c r="P899" t="s">
        <v>26</v>
      </c>
      <c r="Q899" t="s">
        <v>26</v>
      </c>
      <c r="R899">
        <v>46</v>
      </c>
      <c r="S899" t="s">
        <v>29</v>
      </c>
      <c r="T899" t="str">
        <f t="shared" ref="T899:T962" si="28">IF(TRIM(W899)="Every 3 months","Quarterly",IF(TRIM(W899)="Fortnightly","2-week",IF(TRIM(W899)="Bi-Weekly","2-week",IF(TRIM(W899)="Weekly","Daily",IF(TRIM(W899)="Monthly","Month",TRIM(W899))))))</f>
        <v>Daily</v>
      </c>
      <c r="U899">
        <f>VLOOKUP(T899,[1]tablescore!$B$3:$C$8, 2,FALSE)</f>
        <v>30</v>
      </c>
      <c r="V899" t="str">
        <f t="shared" ref="V899:V962" si="29">_xlfn.IFS(U899&gt;=30, "Highly Loyal", U899&gt;=26, "Loyal", U899&gt;=12, "Moderate", U899&lt;5, "Low Loyalty")</f>
        <v>Highly Loyal</v>
      </c>
      <c r="W899" t="s">
        <v>41</v>
      </c>
    </row>
    <row r="900" spans="1:23" x14ac:dyDescent="0.25">
      <c r="A900">
        <v>899</v>
      </c>
      <c r="B900">
        <v>54</v>
      </c>
      <c r="C900" t="str" cm="1">
        <f t="array" ref="C900">_xlfn.IFS(
  AND(B900&gt;=18, B900&lt;=24), "18-24",
  AND(B900&gt;=25, B900&lt;=34), "25-34",
  AND(B900&gt;=35, B900&lt;=44), "35-44",
  AND(B900&gt;=45, B900&lt;=54), "45-54",
  B900&gt;=55, "55+"
)</f>
        <v>45-54</v>
      </c>
      <c r="D900" t="s">
        <v>19</v>
      </c>
      <c r="E900" t="s">
        <v>136</v>
      </c>
      <c r="F900" t="s">
        <v>69</v>
      </c>
      <c r="G900">
        <v>70</v>
      </c>
      <c r="H900" t="s">
        <v>107</v>
      </c>
      <c r="I900" t="s">
        <v>23</v>
      </c>
      <c r="J900" t="s">
        <v>108</v>
      </c>
      <c r="K900" t="s">
        <v>39</v>
      </c>
      <c r="L900">
        <v>3.5</v>
      </c>
      <c r="M900" t="s">
        <v>26</v>
      </c>
      <c r="N900" t="s">
        <v>27</v>
      </c>
      <c r="O900" t="s">
        <v>72</v>
      </c>
      <c r="P900" t="s">
        <v>26</v>
      </c>
      <c r="Q900" t="s">
        <v>26</v>
      </c>
      <c r="R900">
        <v>19</v>
      </c>
      <c r="S900" t="s">
        <v>34</v>
      </c>
      <c r="T900" t="str">
        <f t="shared" si="28"/>
        <v>Quarterly</v>
      </c>
      <c r="U900">
        <f>VLOOKUP(T900,[1]tablescore!$B$3:$C$8, 2,FALSE)</f>
        <v>4</v>
      </c>
      <c r="V900" t="str">
        <f t="shared" si="29"/>
        <v>Low Loyalty</v>
      </c>
      <c r="W900" t="s">
        <v>97</v>
      </c>
    </row>
    <row r="901" spans="1:23" x14ac:dyDescent="0.25">
      <c r="A901">
        <v>900</v>
      </c>
      <c r="B901">
        <v>65</v>
      </c>
      <c r="C901" t="str" cm="1">
        <f t="array" ref="C901">_xlfn.IFS(
  AND(B901&gt;=18, B901&lt;=24), "18-24",
  AND(B901&gt;=25, B901&lt;=34), "25-34",
  AND(B901&gt;=35, B901&lt;=44), "35-44",
  AND(B901&gt;=45, B901&lt;=54), "45-54",
  B901&gt;=55, "55+"
)</f>
        <v>55+</v>
      </c>
      <c r="D901" t="s">
        <v>19</v>
      </c>
      <c r="E901" t="s">
        <v>31</v>
      </c>
      <c r="F901" t="s">
        <v>21</v>
      </c>
      <c r="G901">
        <v>58</v>
      </c>
      <c r="H901" t="s">
        <v>44</v>
      </c>
      <c r="I901" t="s">
        <v>45</v>
      </c>
      <c r="J901" t="s">
        <v>100</v>
      </c>
      <c r="K901" t="s">
        <v>54</v>
      </c>
      <c r="L901">
        <v>4</v>
      </c>
      <c r="M901" t="s">
        <v>26</v>
      </c>
      <c r="N901" t="s">
        <v>59</v>
      </c>
      <c r="O901" t="s">
        <v>55</v>
      </c>
      <c r="P901" t="s">
        <v>26</v>
      </c>
      <c r="Q901" t="s">
        <v>26</v>
      </c>
      <c r="R901">
        <v>20</v>
      </c>
      <c r="S901" t="s">
        <v>46</v>
      </c>
      <c r="T901" t="str">
        <f t="shared" si="28"/>
        <v>Annually</v>
      </c>
      <c r="U901">
        <f>VLOOKUP(T901,[1]tablescore!$B$3:$C$8, 2,FALSE)</f>
        <v>1</v>
      </c>
      <c r="V901" t="str">
        <f t="shared" si="29"/>
        <v>Low Loyalty</v>
      </c>
      <c r="W901" t="s">
        <v>50</v>
      </c>
    </row>
    <row r="902" spans="1:23" x14ac:dyDescent="0.25">
      <c r="A902">
        <v>901</v>
      </c>
      <c r="B902">
        <v>54</v>
      </c>
      <c r="C902" t="str" cm="1">
        <f t="array" ref="C902">_xlfn.IFS(
  AND(B902&gt;=18, B902&lt;=24), "18-24",
  AND(B902&gt;=25, B902&lt;=34), "25-34",
  AND(B902&gt;=35, B902&lt;=44), "35-44",
  AND(B902&gt;=45, B902&lt;=54), "45-54",
  B902&gt;=55, "55+"
)</f>
        <v>45-54</v>
      </c>
      <c r="D902" t="s">
        <v>19</v>
      </c>
      <c r="E902" t="s">
        <v>125</v>
      </c>
      <c r="F902" t="s">
        <v>69</v>
      </c>
      <c r="G902">
        <v>98</v>
      </c>
      <c r="H902" t="s">
        <v>66</v>
      </c>
      <c r="I902" t="s">
        <v>23</v>
      </c>
      <c r="J902" t="s">
        <v>24</v>
      </c>
      <c r="K902" t="s">
        <v>58</v>
      </c>
      <c r="L902">
        <v>3.3</v>
      </c>
      <c r="M902" t="s">
        <v>26</v>
      </c>
      <c r="N902" t="s">
        <v>35</v>
      </c>
      <c r="O902" t="s">
        <v>40</v>
      </c>
      <c r="P902" t="s">
        <v>26</v>
      </c>
      <c r="Q902" t="s">
        <v>26</v>
      </c>
      <c r="R902">
        <v>42</v>
      </c>
      <c r="S902" t="s">
        <v>34</v>
      </c>
      <c r="T902" t="str">
        <f t="shared" si="28"/>
        <v>Quarterly</v>
      </c>
      <c r="U902">
        <f>VLOOKUP(T902,[1]tablescore!$B$3:$C$8, 2,FALSE)</f>
        <v>4</v>
      </c>
      <c r="V902" t="str">
        <f t="shared" si="29"/>
        <v>Low Loyalty</v>
      </c>
      <c r="W902" t="s">
        <v>60</v>
      </c>
    </row>
    <row r="903" spans="1:23" x14ac:dyDescent="0.25">
      <c r="A903">
        <v>902</v>
      </c>
      <c r="B903">
        <v>60</v>
      </c>
      <c r="C903" t="str" cm="1">
        <f t="array" ref="C903">_xlfn.IFS(
  AND(B903&gt;=18, B903&lt;=24), "18-24",
  AND(B903&gt;=25, B903&lt;=34), "25-34",
  AND(B903&gt;=35, B903&lt;=44), "35-44",
  AND(B903&gt;=45, B903&lt;=54), "45-54",
  B903&gt;=55, "55+"
)</f>
        <v>55+</v>
      </c>
      <c r="D903" t="s">
        <v>19</v>
      </c>
      <c r="E903" t="s">
        <v>119</v>
      </c>
      <c r="F903" t="s">
        <v>69</v>
      </c>
      <c r="G903">
        <v>68</v>
      </c>
      <c r="H903" t="s">
        <v>70</v>
      </c>
      <c r="I903" t="s">
        <v>23</v>
      </c>
      <c r="J903" t="s">
        <v>84</v>
      </c>
      <c r="K903" t="s">
        <v>54</v>
      </c>
      <c r="L903">
        <v>4.7</v>
      </c>
      <c r="M903" t="s">
        <v>26</v>
      </c>
      <c r="N903" t="s">
        <v>59</v>
      </c>
      <c r="O903" t="s">
        <v>72</v>
      </c>
      <c r="P903" t="s">
        <v>26</v>
      </c>
      <c r="Q903" t="s">
        <v>26</v>
      </c>
      <c r="R903">
        <v>34</v>
      </c>
      <c r="S903" t="s">
        <v>35</v>
      </c>
      <c r="T903" t="str">
        <f t="shared" si="28"/>
        <v>Month</v>
      </c>
      <c r="U903">
        <f>VLOOKUP(T903,[1]tablescore!$B$3:$C$8, 2,FALSE)</f>
        <v>12</v>
      </c>
      <c r="V903" t="str">
        <f t="shared" si="29"/>
        <v>Moderate</v>
      </c>
      <c r="W903" t="s">
        <v>88</v>
      </c>
    </row>
    <row r="904" spans="1:23" x14ac:dyDescent="0.25">
      <c r="A904">
        <v>903</v>
      </c>
      <c r="B904">
        <v>43</v>
      </c>
      <c r="C904" t="str" cm="1">
        <f t="array" ref="C904">_xlfn.IFS(
  AND(B904&gt;=18, B904&lt;=24), "18-24",
  AND(B904&gt;=25, B904&lt;=34), "25-34",
  AND(B904&gt;=35, B904&lt;=44), "35-44",
  AND(B904&gt;=45, B904&lt;=54), "45-54",
  B904&gt;=55, "55+"
)</f>
        <v>35-44</v>
      </c>
      <c r="D904" t="s">
        <v>19</v>
      </c>
      <c r="E904" t="s">
        <v>125</v>
      </c>
      <c r="F904" t="s">
        <v>69</v>
      </c>
      <c r="G904">
        <v>44</v>
      </c>
      <c r="H904" t="s">
        <v>22</v>
      </c>
      <c r="I904" t="s">
        <v>45</v>
      </c>
      <c r="J904" t="s">
        <v>118</v>
      </c>
      <c r="K904" t="s">
        <v>54</v>
      </c>
      <c r="L904">
        <v>2.8</v>
      </c>
      <c r="M904" t="s">
        <v>26</v>
      </c>
      <c r="N904" t="s">
        <v>59</v>
      </c>
      <c r="O904" t="s">
        <v>47</v>
      </c>
      <c r="P904" t="s">
        <v>26</v>
      </c>
      <c r="Q904" t="s">
        <v>26</v>
      </c>
      <c r="R904">
        <v>5</v>
      </c>
      <c r="S904" t="s">
        <v>35</v>
      </c>
      <c r="T904" t="str">
        <f t="shared" si="28"/>
        <v>Month</v>
      </c>
      <c r="U904">
        <f>VLOOKUP(T904,[1]tablescore!$B$3:$C$8, 2,FALSE)</f>
        <v>12</v>
      </c>
      <c r="V904" t="str">
        <f t="shared" si="29"/>
        <v>Moderate</v>
      </c>
      <c r="W904" t="s">
        <v>88</v>
      </c>
    </row>
    <row r="905" spans="1:23" x14ac:dyDescent="0.25">
      <c r="A905">
        <v>904</v>
      </c>
      <c r="B905">
        <v>44</v>
      </c>
      <c r="C905" t="str" cm="1">
        <f t="array" ref="C905">_xlfn.IFS(
  AND(B905&gt;=18, B905&lt;=24), "18-24",
  AND(B905&gt;=25, B905&lt;=34), "25-34",
  AND(B905&gt;=35, B905&lt;=44), "35-44",
  AND(B905&gt;=45, B905&lt;=54), "45-54",
  B905&gt;=55, "55+"
)</f>
        <v>35-44</v>
      </c>
      <c r="D905" t="s">
        <v>19</v>
      </c>
      <c r="E905" t="s">
        <v>102</v>
      </c>
      <c r="F905" t="s">
        <v>65</v>
      </c>
      <c r="G905">
        <v>45</v>
      </c>
      <c r="H905" t="s">
        <v>140</v>
      </c>
      <c r="I905" t="s">
        <v>45</v>
      </c>
      <c r="J905" t="s">
        <v>138</v>
      </c>
      <c r="K905" t="s">
        <v>25</v>
      </c>
      <c r="L905">
        <v>3.3</v>
      </c>
      <c r="M905" t="s">
        <v>26</v>
      </c>
      <c r="N905" t="s">
        <v>34</v>
      </c>
      <c r="O905" t="s">
        <v>28</v>
      </c>
      <c r="P905" t="s">
        <v>26</v>
      </c>
      <c r="Q905" t="s">
        <v>26</v>
      </c>
      <c r="R905">
        <v>3</v>
      </c>
      <c r="S905" t="s">
        <v>46</v>
      </c>
      <c r="T905" t="str">
        <f t="shared" si="28"/>
        <v>Quarterly</v>
      </c>
      <c r="U905">
        <f>VLOOKUP(T905,[1]tablescore!$B$3:$C$8, 2,FALSE)</f>
        <v>4</v>
      </c>
      <c r="V905" t="str">
        <f t="shared" si="29"/>
        <v>Low Loyalty</v>
      </c>
      <c r="W905" t="s">
        <v>60</v>
      </c>
    </row>
    <row r="906" spans="1:23" x14ac:dyDescent="0.25">
      <c r="A906">
        <v>905</v>
      </c>
      <c r="B906">
        <v>69</v>
      </c>
      <c r="C906" t="str" cm="1">
        <f t="array" ref="C906">_xlfn.IFS(
  AND(B906&gt;=18, B906&lt;=24), "18-24",
  AND(B906&gt;=25, B906&lt;=34), "25-34",
  AND(B906&gt;=35, B906&lt;=44), "35-44",
  AND(B906&gt;=45, B906&lt;=54), "45-54",
  B906&gt;=55, "55+"
)</f>
        <v>55+</v>
      </c>
      <c r="D906" t="s">
        <v>19</v>
      </c>
      <c r="E906" t="s">
        <v>113</v>
      </c>
      <c r="F906" t="s">
        <v>21</v>
      </c>
      <c r="G906">
        <v>99</v>
      </c>
      <c r="H906" t="s">
        <v>120</v>
      </c>
      <c r="I906" t="s">
        <v>23</v>
      </c>
      <c r="J906" t="s">
        <v>147</v>
      </c>
      <c r="K906" t="s">
        <v>39</v>
      </c>
      <c r="L906">
        <v>2.9</v>
      </c>
      <c r="M906" t="s">
        <v>26</v>
      </c>
      <c r="N906" t="s">
        <v>27</v>
      </c>
      <c r="O906" t="s">
        <v>40</v>
      </c>
      <c r="P906" t="s">
        <v>26</v>
      </c>
      <c r="Q906" t="s">
        <v>26</v>
      </c>
      <c r="R906">
        <v>46</v>
      </c>
      <c r="S906" t="s">
        <v>46</v>
      </c>
      <c r="T906" t="str">
        <f t="shared" si="28"/>
        <v>Quarterly</v>
      </c>
      <c r="U906">
        <f>VLOOKUP(T906,[1]tablescore!$B$3:$C$8, 2,FALSE)</f>
        <v>4</v>
      </c>
      <c r="V906" t="str">
        <f t="shared" si="29"/>
        <v>Low Loyalty</v>
      </c>
      <c r="W906" t="s">
        <v>97</v>
      </c>
    </row>
    <row r="907" spans="1:23" x14ac:dyDescent="0.25">
      <c r="A907">
        <v>906</v>
      </c>
      <c r="B907">
        <v>46</v>
      </c>
      <c r="C907" t="str" cm="1">
        <f t="array" ref="C907">_xlfn.IFS(
  AND(B907&gt;=18, B907&lt;=24), "18-24",
  AND(B907&gt;=25, B907&lt;=34), "25-34",
  AND(B907&gt;=35, B907&lt;=44), "35-44",
  AND(B907&gt;=45, B907&lt;=54), "45-54",
  B907&gt;=55, "55+"
)</f>
        <v>45-54</v>
      </c>
      <c r="D907" t="s">
        <v>19</v>
      </c>
      <c r="E907" t="s">
        <v>82</v>
      </c>
      <c r="F907" t="s">
        <v>21</v>
      </c>
      <c r="G907">
        <v>68</v>
      </c>
      <c r="H907" t="s">
        <v>91</v>
      </c>
      <c r="I907" t="s">
        <v>38</v>
      </c>
      <c r="J907" t="s">
        <v>109</v>
      </c>
      <c r="K907" t="s">
        <v>39</v>
      </c>
      <c r="L907">
        <v>2.8</v>
      </c>
      <c r="M907" t="s">
        <v>26</v>
      </c>
      <c r="N907" t="s">
        <v>27</v>
      </c>
      <c r="O907" t="s">
        <v>55</v>
      </c>
      <c r="P907" t="s">
        <v>26</v>
      </c>
      <c r="Q907" t="s">
        <v>26</v>
      </c>
      <c r="R907">
        <v>16</v>
      </c>
      <c r="S907" t="s">
        <v>29</v>
      </c>
      <c r="T907" t="str">
        <f t="shared" si="28"/>
        <v>Annually</v>
      </c>
      <c r="U907">
        <f>VLOOKUP(T907,[1]tablescore!$B$3:$C$8, 2,FALSE)</f>
        <v>1</v>
      </c>
      <c r="V907" t="str">
        <f t="shared" si="29"/>
        <v>Low Loyalty</v>
      </c>
      <c r="W907" t="s">
        <v>50</v>
      </c>
    </row>
    <row r="908" spans="1:23" x14ac:dyDescent="0.25">
      <c r="A908">
        <v>907</v>
      </c>
      <c r="B908">
        <v>41</v>
      </c>
      <c r="C908" t="str" cm="1">
        <f t="array" ref="C908">_xlfn.IFS(
  AND(B908&gt;=18, B908&lt;=24), "18-24",
  AND(B908&gt;=25, B908&lt;=34), "25-34",
  AND(B908&gt;=35, B908&lt;=44), "35-44",
  AND(B908&gt;=45, B908&lt;=54), "45-54",
  B908&gt;=55, "55+"
)</f>
        <v>35-44</v>
      </c>
      <c r="D908" t="s">
        <v>19</v>
      </c>
      <c r="E908" t="s">
        <v>95</v>
      </c>
      <c r="F908" t="s">
        <v>21</v>
      </c>
      <c r="G908">
        <v>56</v>
      </c>
      <c r="H908" t="s">
        <v>126</v>
      </c>
      <c r="I908" t="s">
        <v>45</v>
      </c>
      <c r="J908" t="s">
        <v>108</v>
      </c>
      <c r="K908" t="s">
        <v>39</v>
      </c>
      <c r="L908">
        <v>4.2</v>
      </c>
      <c r="M908" t="s">
        <v>26</v>
      </c>
      <c r="N908" t="s">
        <v>59</v>
      </c>
      <c r="O908" t="s">
        <v>55</v>
      </c>
      <c r="P908" t="s">
        <v>26</v>
      </c>
      <c r="Q908" t="s">
        <v>26</v>
      </c>
      <c r="R908">
        <v>21</v>
      </c>
      <c r="S908" t="s">
        <v>59</v>
      </c>
      <c r="T908" t="str">
        <f t="shared" si="28"/>
        <v>2-week</v>
      </c>
      <c r="U908">
        <f>VLOOKUP(T908,[1]tablescore!$B$3:$C$8, 2,FALSE)</f>
        <v>26</v>
      </c>
      <c r="V908" t="str">
        <f t="shared" si="29"/>
        <v>Loyal</v>
      </c>
      <c r="W908" t="s">
        <v>77</v>
      </c>
    </row>
    <row r="909" spans="1:23" x14ac:dyDescent="0.25">
      <c r="A909">
        <v>908</v>
      </c>
      <c r="B909">
        <v>32</v>
      </c>
      <c r="C909" t="str" cm="1">
        <f t="array" ref="C909">_xlfn.IFS(
  AND(B909&gt;=18, B909&lt;=24), "18-24",
  AND(B909&gt;=25, B909&lt;=34), "25-34",
  AND(B909&gt;=35, B909&lt;=44), "35-44",
  AND(B909&gt;=45, B909&lt;=54), "45-54",
  B909&gt;=55, "55+"
)</f>
        <v>25-34</v>
      </c>
      <c r="D909" t="s">
        <v>19</v>
      </c>
      <c r="E909" t="s">
        <v>31</v>
      </c>
      <c r="F909" t="s">
        <v>21</v>
      </c>
      <c r="G909">
        <v>43</v>
      </c>
      <c r="H909" t="s">
        <v>70</v>
      </c>
      <c r="I909" t="s">
        <v>23</v>
      </c>
      <c r="J909" t="s">
        <v>109</v>
      </c>
      <c r="K909" t="s">
        <v>25</v>
      </c>
      <c r="L909">
        <v>4.4000000000000004</v>
      </c>
      <c r="M909" t="s">
        <v>26</v>
      </c>
      <c r="N909" t="s">
        <v>46</v>
      </c>
      <c r="O909" t="s">
        <v>28</v>
      </c>
      <c r="P909" t="s">
        <v>26</v>
      </c>
      <c r="Q909" t="s">
        <v>26</v>
      </c>
      <c r="R909">
        <v>34</v>
      </c>
      <c r="S909" t="s">
        <v>27</v>
      </c>
      <c r="T909" t="str">
        <f t="shared" si="28"/>
        <v>2-week</v>
      </c>
      <c r="U909">
        <f>VLOOKUP(T909,[1]tablescore!$B$3:$C$8, 2,FALSE)</f>
        <v>26</v>
      </c>
      <c r="V909" t="str">
        <f t="shared" si="29"/>
        <v>Loyal</v>
      </c>
      <c r="W909" t="s">
        <v>77</v>
      </c>
    </row>
    <row r="910" spans="1:23" x14ac:dyDescent="0.25">
      <c r="A910">
        <v>909</v>
      </c>
      <c r="B910">
        <v>26</v>
      </c>
      <c r="C910" t="str" cm="1">
        <f t="array" ref="C910">_xlfn.IFS(
  AND(B910&gt;=18, B910&lt;=24), "18-24",
  AND(B910&gt;=25, B910&lt;=34), "25-34",
  AND(B910&gt;=35, B910&lt;=44), "35-44",
  AND(B910&gt;=45, B910&lt;=54), "45-54",
  B910&gt;=55, "55+"
)</f>
        <v>25-34</v>
      </c>
      <c r="D910" t="s">
        <v>19</v>
      </c>
      <c r="E910" t="s">
        <v>89</v>
      </c>
      <c r="F910" t="s">
        <v>69</v>
      </c>
      <c r="G910">
        <v>99</v>
      </c>
      <c r="H910" t="s">
        <v>137</v>
      </c>
      <c r="I910" t="s">
        <v>45</v>
      </c>
      <c r="J910" t="s">
        <v>49</v>
      </c>
      <c r="K910" t="s">
        <v>25</v>
      </c>
      <c r="L910">
        <v>3.6</v>
      </c>
      <c r="M910" t="s">
        <v>26</v>
      </c>
      <c r="N910" t="s">
        <v>35</v>
      </c>
      <c r="O910" t="s">
        <v>40</v>
      </c>
      <c r="P910" t="s">
        <v>26</v>
      </c>
      <c r="Q910" t="s">
        <v>26</v>
      </c>
      <c r="R910">
        <v>9</v>
      </c>
      <c r="S910" t="s">
        <v>46</v>
      </c>
      <c r="T910" t="str">
        <f t="shared" si="28"/>
        <v>Quarterly</v>
      </c>
      <c r="U910">
        <f>VLOOKUP(T910,[1]tablescore!$B$3:$C$8, 2,FALSE)</f>
        <v>4</v>
      </c>
      <c r="V910" t="str">
        <f t="shared" si="29"/>
        <v>Low Loyalty</v>
      </c>
      <c r="W910" t="s">
        <v>97</v>
      </c>
    </row>
    <row r="911" spans="1:23" x14ac:dyDescent="0.25">
      <c r="A911">
        <v>910</v>
      </c>
      <c r="B911">
        <v>61</v>
      </c>
      <c r="C911" t="str" cm="1">
        <f t="array" ref="C911">_xlfn.IFS(
  AND(B911&gt;=18, B911&lt;=24), "18-24",
  AND(B911&gt;=25, B911&lt;=34), "25-34",
  AND(B911&gt;=35, B911&lt;=44), "35-44",
  AND(B911&gt;=45, B911&lt;=54), "45-54",
  B911&gt;=55, "55+"
)</f>
        <v>55+</v>
      </c>
      <c r="D911" t="s">
        <v>19</v>
      </c>
      <c r="E911" t="s">
        <v>136</v>
      </c>
      <c r="F911" t="s">
        <v>69</v>
      </c>
      <c r="G911">
        <v>56</v>
      </c>
      <c r="H911" t="s">
        <v>62</v>
      </c>
      <c r="I911" t="s">
        <v>23</v>
      </c>
      <c r="J911" t="s">
        <v>67</v>
      </c>
      <c r="K911" t="s">
        <v>58</v>
      </c>
      <c r="L911">
        <v>2.7</v>
      </c>
      <c r="M911" t="s">
        <v>26</v>
      </c>
      <c r="N911" t="s">
        <v>59</v>
      </c>
      <c r="O911" t="s">
        <v>28</v>
      </c>
      <c r="P911" t="s">
        <v>26</v>
      </c>
      <c r="Q911" t="s">
        <v>26</v>
      </c>
      <c r="R911">
        <v>36</v>
      </c>
      <c r="S911" t="s">
        <v>46</v>
      </c>
      <c r="T911" t="str">
        <f t="shared" si="28"/>
        <v>Daily</v>
      </c>
      <c r="U911">
        <f>VLOOKUP(T911,[1]tablescore!$B$3:$C$8, 2,FALSE)</f>
        <v>30</v>
      </c>
      <c r="V911" t="str">
        <f t="shared" si="29"/>
        <v>Highly Loyal</v>
      </c>
      <c r="W911" t="s">
        <v>41</v>
      </c>
    </row>
    <row r="912" spans="1:23" x14ac:dyDescent="0.25">
      <c r="A912">
        <v>911</v>
      </c>
      <c r="B912">
        <v>49</v>
      </c>
      <c r="C912" t="str" cm="1">
        <f t="array" ref="C912">_xlfn.IFS(
  AND(B912&gt;=18, B912&lt;=24), "18-24",
  AND(B912&gt;=25, B912&lt;=34), "25-34",
  AND(B912&gt;=35, B912&lt;=44), "35-44",
  AND(B912&gt;=45, B912&lt;=54), "45-54",
  B912&gt;=55, "55+"
)</f>
        <v>45-54</v>
      </c>
      <c r="D912" t="s">
        <v>19</v>
      </c>
      <c r="E912" t="s">
        <v>104</v>
      </c>
      <c r="F912" t="s">
        <v>21</v>
      </c>
      <c r="G912">
        <v>25</v>
      </c>
      <c r="H912" t="s">
        <v>126</v>
      </c>
      <c r="I912" t="s">
        <v>38</v>
      </c>
      <c r="J912" t="s">
        <v>71</v>
      </c>
      <c r="K912" t="s">
        <v>39</v>
      </c>
      <c r="L912">
        <v>3.4</v>
      </c>
      <c r="M912" t="s">
        <v>26</v>
      </c>
      <c r="N912" t="s">
        <v>34</v>
      </c>
      <c r="O912" t="s">
        <v>28</v>
      </c>
      <c r="P912" t="s">
        <v>26</v>
      </c>
      <c r="Q912" t="s">
        <v>26</v>
      </c>
      <c r="R912">
        <v>22</v>
      </c>
      <c r="S912" t="s">
        <v>27</v>
      </c>
      <c r="T912" t="str">
        <f t="shared" si="28"/>
        <v>Month</v>
      </c>
      <c r="U912">
        <f>VLOOKUP(T912,[1]tablescore!$B$3:$C$8, 2,FALSE)</f>
        <v>12</v>
      </c>
      <c r="V912" t="str">
        <f t="shared" si="29"/>
        <v>Moderate</v>
      </c>
      <c r="W912" t="s">
        <v>88</v>
      </c>
    </row>
    <row r="913" spans="1:23" x14ac:dyDescent="0.25">
      <c r="A913">
        <v>912</v>
      </c>
      <c r="B913">
        <v>53</v>
      </c>
      <c r="C913" t="str" cm="1">
        <f t="array" ref="C913">_xlfn.IFS(
  AND(B913&gt;=18, B913&lt;=24), "18-24",
  AND(B913&gt;=25, B913&lt;=34), "25-34",
  AND(B913&gt;=35, B913&lt;=44), "35-44",
  AND(B913&gt;=45, B913&lt;=54), "45-54",
  B913&gt;=55, "55+"
)</f>
        <v>45-54</v>
      </c>
      <c r="D913" t="s">
        <v>19</v>
      </c>
      <c r="E913" t="s">
        <v>95</v>
      </c>
      <c r="F913" t="s">
        <v>21</v>
      </c>
      <c r="G913">
        <v>74</v>
      </c>
      <c r="H913" t="s">
        <v>145</v>
      </c>
      <c r="I913" t="s">
        <v>45</v>
      </c>
      <c r="J913" t="s">
        <v>94</v>
      </c>
      <c r="K913" t="s">
        <v>25</v>
      </c>
      <c r="L913">
        <v>2.8</v>
      </c>
      <c r="M913" t="s">
        <v>26</v>
      </c>
      <c r="N913" t="s">
        <v>35</v>
      </c>
      <c r="O913" t="s">
        <v>72</v>
      </c>
      <c r="P913" t="s">
        <v>26</v>
      </c>
      <c r="Q913" t="s">
        <v>26</v>
      </c>
      <c r="R913">
        <v>2</v>
      </c>
      <c r="S913" t="s">
        <v>34</v>
      </c>
      <c r="T913" t="str">
        <f t="shared" si="28"/>
        <v>Quarterly</v>
      </c>
      <c r="U913">
        <f>VLOOKUP(T913,[1]tablescore!$B$3:$C$8, 2,FALSE)</f>
        <v>4</v>
      </c>
      <c r="V913" t="str">
        <f t="shared" si="29"/>
        <v>Low Loyalty</v>
      </c>
      <c r="W913" t="s">
        <v>60</v>
      </c>
    </row>
    <row r="914" spans="1:23" x14ac:dyDescent="0.25">
      <c r="A914">
        <v>913</v>
      </c>
      <c r="B914">
        <v>24</v>
      </c>
      <c r="C914" t="str" cm="1">
        <f t="array" ref="C914">_xlfn.IFS(
  AND(B914&gt;=18, B914&lt;=24), "18-24",
  AND(B914&gt;=25, B914&lt;=34), "25-34",
  AND(B914&gt;=35, B914&lt;=44), "35-44",
  AND(B914&gt;=45, B914&lt;=54), "45-54",
  B914&gt;=55, "55+"
)</f>
        <v>18-24</v>
      </c>
      <c r="D914" t="s">
        <v>19</v>
      </c>
      <c r="E914" t="s">
        <v>104</v>
      </c>
      <c r="F914" t="s">
        <v>21</v>
      </c>
      <c r="G914">
        <v>56</v>
      </c>
      <c r="H914" t="s">
        <v>74</v>
      </c>
      <c r="I914" t="s">
        <v>45</v>
      </c>
      <c r="J914" t="s">
        <v>96</v>
      </c>
      <c r="K914" t="s">
        <v>25</v>
      </c>
      <c r="L914">
        <v>3.4</v>
      </c>
      <c r="M914" t="s">
        <v>26</v>
      </c>
      <c r="N914" t="s">
        <v>34</v>
      </c>
      <c r="O914" t="s">
        <v>47</v>
      </c>
      <c r="P914" t="s">
        <v>26</v>
      </c>
      <c r="Q914" t="s">
        <v>26</v>
      </c>
      <c r="R914">
        <v>32</v>
      </c>
      <c r="S914" t="s">
        <v>34</v>
      </c>
      <c r="T914" t="str">
        <f t="shared" si="28"/>
        <v>Month</v>
      </c>
      <c r="U914">
        <f>VLOOKUP(T914,[1]tablescore!$B$3:$C$8, 2,FALSE)</f>
        <v>12</v>
      </c>
      <c r="V914" t="str">
        <f t="shared" si="29"/>
        <v>Moderate</v>
      </c>
      <c r="W914" t="s">
        <v>88</v>
      </c>
    </row>
    <row r="915" spans="1:23" x14ac:dyDescent="0.25">
      <c r="A915">
        <v>914</v>
      </c>
      <c r="B915">
        <v>37</v>
      </c>
      <c r="C915" t="str" cm="1">
        <f t="array" ref="C915">_xlfn.IFS(
  AND(B915&gt;=18, B915&lt;=24), "18-24",
  AND(B915&gt;=25, B915&lt;=34), "25-34",
  AND(B915&gt;=35, B915&lt;=44), "35-44",
  AND(B915&gt;=45, B915&lt;=54), "45-54",
  B915&gt;=55, "55+"
)</f>
        <v>35-44</v>
      </c>
      <c r="D915" t="s">
        <v>19</v>
      </c>
      <c r="E915" t="s">
        <v>51</v>
      </c>
      <c r="F915" t="s">
        <v>43</v>
      </c>
      <c r="G915">
        <v>47</v>
      </c>
      <c r="H915" t="s">
        <v>149</v>
      </c>
      <c r="I915" t="s">
        <v>45</v>
      </c>
      <c r="J915" t="s">
        <v>139</v>
      </c>
      <c r="K915" t="s">
        <v>58</v>
      </c>
      <c r="L915">
        <v>2.6</v>
      </c>
      <c r="M915" t="s">
        <v>26</v>
      </c>
      <c r="N915" t="s">
        <v>34</v>
      </c>
      <c r="O915" t="s">
        <v>47</v>
      </c>
      <c r="P915" t="s">
        <v>26</v>
      </c>
      <c r="Q915" t="s">
        <v>26</v>
      </c>
      <c r="R915">
        <v>29</v>
      </c>
      <c r="S915" t="s">
        <v>35</v>
      </c>
      <c r="T915" t="str">
        <f t="shared" si="28"/>
        <v>Quarterly</v>
      </c>
      <c r="U915">
        <f>VLOOKUP(T915,[1]tablescore!$B$3:$C$8, 2,FALSE)</f>
        <v>4</v>
      </c>
      <c r="V915" t="str">
        <f t="shared" si="29"/>
        <v>Low Loyalty</v>
      </c>
      <c r="W915" t="s">
        <v>97</v>
      </c>
    </row>
    <row r="916" spans="1:23" x14ac:dyDescent="0.25">
      <c r="A916">
        <v>915</v>
      </c>
      <c r="B916">
        <v>43</v>
      </c>
      <c r="C916" t="str" cm="1">
        <f t="array" ref="C916">_xlfn.IFS(
  AND(B916&gt;=18, B916&lt;=24), "18-24",
  AND(B916&gt;=25, B916&lt;=34), "25-34",
  AND(B916&gt;=35, B916&lt;=44), "35-44",
  AND(B916&gt;=45, B916&lt;=54), "45-54",
  B916&gt;=55, "55+"
)</f>
        <v>35-44</v>
      </c>
      <c r="D916" t="s">
        <v>19</v>
      </c>
      <c r="E916" t="s">
        <v>82</v>
      </c>
      <c r="F916" t="s">
        <v>21</v>
      </c>
      <c r="G916">
        <v>67</v>
      </c>
      <c r="H916" t="s">
        <v>140</v>
      </c>
      <c r="I916" t="s">
        <v>23</v>
      </c>
      <c r="J916" t="s">
        <v>75</v>
      </c>
      <c r="K916" t="s">
        <v>54</v>
      </c>
      <c r="L916">
        <v>4.0999999999999996</v>
      </c>
      <c r="M916" t="s">
        <v>26</v>
      </c>
      <c r="N916" t="s">
        <v>46</v>
      </c>
      <c r="O916" t="s">
        <v>55</v>
      </c>
      <c r="P916" t="s">
        <v>26</v>
      </c>
      <c r="Q916" t="s">
        <v>26</v>
      </c>
      <c r="R916">
        <v>27</v>
      </c>
      <c r="S916" t="s">
        <v>29</v>
      </c>
      <c r="T916" t="str">
        <f t="shared" si="28"/>
        <v>Quarterly</v>
      </c>
      <c r="U916">
        <f>VLOOKUP(T916,[1]tablescore!$B$3:$C$8, 2,FALSE)</f>
        <v>4</v>
      </c>
      <c r="V916" t="str">
        <f t="shared" si="29"/>
        <v>Low Loyalty</v>
      </c>
      <c r="W916" t="s">
        <v>97</v>
      </c>
    </row>
    <row r="917" spans="1:23" x14ac:dyDescent="0.25">
      <c r="A917">
        <v>916</v>
      </c>
      <c r="B917">
        <v>31</v>
      </c>
      <c r="C917" t="str" cm="1">
        <f t="array" ref="C917">_xlfn.IFS(
  AND(B917&gt;=18, B917&lt;=24), "18-24",
  AND(B917&gt;=25, B917&lt;=34), "25-34",
  AND(B917&gt;=35, B917&lt;=44), "35-44",
  AND(B917&gt;=45, B917&lt;=54), "45-54",
  B917&gt;=55, "55+"
)</f>
        <v>25-34</v>
      </c>
      <c r="D917" t="s">
        <v>19</v>
      </c>
      <c r="E917" t="s">
        <v>82</v>
      </c>
      <c r="F917" t="s">
        <v>21</v>
      </c>
      <c r="G917">
        <v>22</v>
      </c>
      <c r="H917" t="s">
        <v>44</v>
      </c>
      <c r="I917" t="s">
        <v>23</v>
      </c>
      <c r="J917" t="s">
        <v>75</v>
      </c>
      <c r="K917" t="s">
        <v>25</v>
      </c>
      <c r="L917">
        <v>2.9</v>
      </c>
      <c r="M917" t="s">
        <v>26</v>
      </c>
      <c r="N917" t="s">
        <v>59</v>
      </c>
      <c r="O917" t="s">
        <v>76</v>
      </c>
      <c r="P917" t="s">
        <v>26</v>
      </c>
      <c r="Q917" t="s">
        <v>26</v>
      </c>
      <c r="R917">
        <v>33</v>
      </c>
      <c r="S917" t="s">
        <v>27</v>
      </c>
      <c r="T917" t="str">
        <f t="shared" si="28"/>
        <v>2-week</v>
      </c>
      <c r="U917">
        <f>VLOOKUP(T917,[1]tablescore!$B$3:$C$8, 2,FALSE)</f>
        <v>26</v>
      </c>
      <c r="V917" t="str">
        <f t="shared" si="29"/>
        <v>Loyal</v>
      </c>
      <c r="W917" t="s">
        <v>30</v>
      </c>
    </row>
    <row r="918" spans="1:23" x14ac:dyDescent="0.25">
      <c r="A918">
        <v>917</v>
      </c>
      <c r="B918">
        <v>49</v>
      </c>
      <c r="C918" t="str" cm="1">
        <f t="array" ref="C918">_xlfn.IFS(
  AND(B918&gt;=18, B918&lt;=24), "18-24",
  AND(B918&gt;=25, B918&lt;=34), "25-34",
  AND(B918&gt;=35, B918&lt;=44), "35-44",
  AND(B918&gt;=45, B918&lt;=54), "45-54",
  B918&gt;=55, "55+"
)</f>
        <v>45-54</v>
      </c>
      <c r="D918" t="s">
        <v>19</v>
      </c>
      <c r="E918" t="s">
        <v>36</v>
      </c>
      <c r="F918" t="s">
        <v>21</v>
      </c>
      <c r="G918">
        <v>34</v>
      </c>
      <c r="H918" t="s">
        <v>115</v>
      </c>
      <c r="I918" t="s">
        <v>38</v>
      </c>
      <c r="J918" t="s">
        <v>138</v>
      </c>
      <c r="K918" t="s">
        <v>39</v>
      </c>
      <c r="L918">
        <v>2.7</v>
      </c>
      <c r="M918" t="s">
        <v>26</v>
      </c>
      <c r="N918" t="s">
        <v>35</v>
      </c>
      <c r="O918" t="s">
        <v>55</v>
      </c>
      <c r="P918" t="s">
        <v>26</v>
      </c>
      <c r="Q918" t="s">
        <v>26</v>
      </c>
      <c r="R918">
        <v>16</v>
      </c>
      <c r="S918" t="s">
        <v>29</v>
      </c>
      <c r="T918" t="str">
        <f t="shared" si="28"/>
        <v>Month</v>
      </c>
      <c r="U918">
        <f>VLOOKUP(T918,[1]tablescore!$B$3:$C$8, 2,FALSE)</f>
        <v>12</v>
      </c>
      <c r="V918" t="str">
        <f t="shared" si="29"/>
        <v>Moderate</v>
      </c>
      <c r="W918" t="s">
        <v>88</v>
      </c>
    </row>
    <row r="919" spans="1:23" x14ac:dyDescent="0.25">
      <c r="A919">
        <v>918</v>
      </c>
      <c r="B919">
        <v>69</v>
      </c>
      <c r="C919" t="str" cm="1">
        <f t="array" ref="C919">_xlfn.IFS(
  AND(B919&gt;=18, B919&lt;=24), "18-24",
  AND(B919&gt;=25, B919&lt;=34), "25-34",
  AND(B919&gt;=35, B919&lt;=44), "35-44",
  AND(B919&gt;=45, B919&lt;=54), "45-54",
  B919&gt;=55, "55+"
)</f>
        <v>55+</v>
      </c>
      <c r="D919" t="s">
        <v>19</v>
      </c>
      <c r="E919" t="s">
        <v>31</v>
      </c>
      <c r="F919" t="s">
        <v>21</v>
      </c>
      <c r="G919">
        <v>64</v>
      </c>
      <c r="H919" t="s">
        <v>70</v>
      </c>
      <c r="I919" t="s">
        <v>45</v>
      </c>
      <c r="J919" t="s">
        <v>33</v>
      </c>
      <c r="K919" t="s">
        <v>39</v>
      </c>
      <c r="L919">
        <v>3.7</v>
      </c>
      <c r="M919" t="s">
        <v>26</v>
      </c>
      <c r="N919" t="s">
        <v>59</v>
      </c>
      <c r="O919" t="s">
        <v>55</v>
      </c>
      <c r="P919" t="s">
        <v>26</v>
      </c>
      <c r="Q919" t="s">
        <v>26</v>
      </c>
      <c r="R919">
        <v>11</v>
      </c>
      <c r="S919" t="s">
        <v>34</v>
      </c>
      <c r="T919" t="str">
        <f t="shared" si="28"/>
        <v>Quarterly</v>
      </c>
      <c r="U919">
        <f>VLOOKUP(T919,[1]tablescore!$B$3:$C$8, 2,FALSE)</f>
        <v>4</v>
      </c>
      <c r="V919" t="str">
        <f t="shared" si="29"/>
        <v>Low Loyalty</v>
      </c>
      <c r="W919" t="s">
        <v>60</v>
      </c>
    </row>
    <row r="920" spans="1:23" x14ac:dyDescent="0.25">
      <c r="A920">
        <v>919</v>
      </c>
      <c r="B920">
        <v>65</v>
      </c>
      <c r="C920" t="str" cm="1">
        <f t="array" ref="C920">_xlfn.IFS(
  AND(B920&gt;=18, B920&lt;=24), "18-24",
  AND(B920&gt;=25, B920&lt;=34), "25-34",
  AND(B920&gt;=35, B920&lt;=44), "35-44",
  AND(B920&gt;=45, B920&lt;=54), "45-54",
  B920&gt;=55, "55+"
)</f>
        <v>55+</v>
      </c>
      <c r="D920" t="s">
        <v>19</v>
      </c>
      <c r="E920" t="s">
        <v>61</v>
      </c>
      <c r="F920" t="s">
        <v>21</v>
      </c>
      <c r="G920">
        <v>42</v>
      </c>
      <c r="H920" t="s">
        <v>98</v>
      </c>
      <c r="I920" t="s">
        <v>45</v>
      </c>
      <c r="J920" t="s">
        <v>121</v>
      </c>
      <c r="K920" t="s">
        <v>39</v>
      </c>
      <c r="L920">
        <v>4.3</v>
      </c>
      <c r="M920" t="s">
        <v>26</v>
      </c>
      <c r="N920" t="s">
        <v>35</v>
      </c>
      <c r="O920" t="s">
        <v>72</v>
      </c>
      <c r="P920" t="s">
        <v>26</v>
      </c>
      <c r="Q920" t="s">
        <v>26</v>
      </c>
      <c r="R920">
        <v>11</v>
      </c>
      <c r="S920" t="s">
        <v>35</v>
      </c>
      <c r="T920" t="str">
        <f t="shared" si="28"/>
        <v>2-week</v>
      </c>
      <c r="U920">
        <f>VLOOKUP(T920,[1]tablescore!$B$3:$C$8, 2,FALSE)</f>
        <v>26</v>
      </c>
      <c r="V920" t="str">
        <f t="shared" si="29"/>
        <v>Loyal</v>
      </c>
      <c r="W920" t="s">
        <v>30</v>
      </c>
    </row>
    <row r="921" spans="1:23" x14ac:dyDescent="0.25">
      <c r="A921">
        <v>920</v>
      </c>
      <c r="B921">
        <v>41</v>
      </c>
      <c r="C921" t="str" cm="1">
        <f t="array" ref="C921">_xlfn.IFS(
  AND(B921&gt;=18, B921&lt;=24), "18-24",
  AND(B921&gt;=25, B921&lt;=34), "25-34",
  AND(B921&gt;=35, B921&lt;=44), "35-44",
  AND(B921&gt;=45, B921&lt;=54), "45-54",
  B921&gt;=55, "55+"
)</f>
        <v>35-44</v>
      </c>
      <c r="D921" t="s">
        <v>19</v>
      </c>
      <c r="E921" t="s">
        <v>56</v>
      </c>
      <c r="F921" t="s">
        <v>21</v>
      </c>
      <c r="G921">
        <v>82</v>
      </c>
      <c r="H921" t="s">
        <v>37</v>
      </c>
      <c r="I921" t="s">
        <v>23</v>
      </c>
      <c r="J921" t="s">
        <v>96</v>
      </c>
      <c r="K921" t="s">
        <v>25</v>
      </c>
      <c r="L921">
        <v>2.6</v>
      </c>
      <c r="M921" t="s">
        <v>26</v>
      </c>
      <c r="N921" t="s">
        <v>46</v>
      </c>
      <c r="O921" t="s">
        <v>72</v>
      </c>
      <c r="P921" t="s">
        <v>26</v>
      </c>
      <c r="Q921" t="s">
        <v>26</v>
      </c>
      <c r="R921">
        <v>17</v>
      </c>
      <c r="S921" t="s">
        <v>59</v>
      </c>
      <c r="T921" t="str">
        <f t="shared" si="28"/>
        <v>2-week</v>
      </c>
      <c r="U921">
        <f>VLOOKUP(T921,[1]tablescore!$B$3:$C$8, 2,FALSE)</f>
        <v>26</v>
      </c>
      <c r="V921" t="str">
        <f t="shared" si="29"/>
        <v>Loyal</v>
      </c>
      <c r="W921" t="s">
        <v>77</v>
      </c>
    </row>
    <row r="922" spans="1:23" x14ac:dyDescent="0.25">
      <c r="A922">
        <v>921</v>
      </c>
      <c r="B922">
        <v>37</v>
      </c>
      <c r="C922" t="str" cm="1">
        <f t="array" ref="C922">_xlfn.IFS(
  AND(B922&gt;=18, B922&lt;=24), "18-24",
  AND(B922&gt;=25, B922&lt;=34), "25-34",
  AND(B922&gt;=35, B922&lt;=44), "35-44",
  AND(B922&gt;=45, B922&lt;=54), "45-54",
  B922&gt;=55, "55+"
)</f>
        <v>35-44</v>
      </c>
      <c r="D922" t="s">
        <v>19</v>
      </c>
      <c r="E922" t="s">
        <v>136</v>
      </c>
      <c r="F922" t="s">
        <v>69</v>
      </c>
      <c r="G922">
        <v>81</v>
      </c>
      <c r="H922" t="s">
        <v>74</v>
      </c>
      <c r="I922" t="s">
        <v>92</v>
      </c>
      <c r="J922" t="s">
        <v>81</v>
      </c>
      <c r="K922" t="s">
        <v>54</v>
      </c>
      <c r="L922">
        <v>4.3</v>
      </c>
      <c r="M922" t="s">
        <v>26</v>
      </c>
      <c r="N922" t="s">
        <v>27</v>
      </c>
      <c r="O922" t="s">
        <v>40</v>
      </c>
      <c r="P922" t="s">
        <v>26</v>
      </c>
      <c r="Q922" t="s">
        <v>26</v>
      </c>
      <c r="R922">
        <v>37</v>
      </c>
      <c r="S922" t="s">
        <v>35</v>
      </c>
      <c r="T922" t="str">
        <f t="shared" si="28"/>
        <v>Daily</v>
      </c>
      <c r="U922">
        <f>VLOOKUP(T922,[1]tablescore!$B$3:$C$8, 2,FALSE)</f>
        <v>30</v>
      </c>
      <c r="V922" t="str">
        <f t="shared" si="29"/>
        <v>Highly Loyal</v>
      </c>
      <c r="W922" t="s">
        <v>41</v>
      </c>
    </row>
    <row r="923" spans="1:23" x14ac:dyDescent="0.25">
      <c r="A923">
        <v>922</v>
      </c>
      <c r="B923">
        <v>70</v>
      </c>
      <c r="C923" t="str" cm="1">
        <f t="array" ref="C923">_xlfn.IFS(
  AND(B923&gt;=18, B923&lt;=24), "18-24",
  AND(B923&gt;=25, B923&lt;=34), "25-34",
  AND(B923&gt;=35, B923&lt;=44), "35-44",
  AND(B923&gt;=45, B923&lt;=54), "45-54",
  B923&gt;=55, "55+"
)</f>
        <v>55+</v>
      </c>
      <c r="D923" t="s">
        <v>19</v>
      </c>
      <c r="E923" t="s">
        <v>64</v>
      </c>
      <c r="F923" t="s">
        <v>65</v>
      </c>
      <c r="G923">
        <v>24</v>
      </c>
      <c r="H923" t="s">
        <v>130</v>
      </c>
      <c r="I923" t="s">
        <v>23</v>
      </c>
      <c r="J923" t="s">
        <v>67</v>
      </c>
      <c r="K923" t="s">
        <v>54</v>
      </c>
      <c r="L923">
        <v>4.0999999999999996</v>
      </c>
      <c r="M923" t="s">
        <v>26</v>
      </c>
      <c r="N923" t="s">
        <v>29</v>
      </c>
      <c r="O923" t="s">
        <v>28</v>
      </c>
      <c r="P923" t="s">
        <v>26</v>
      </c>
      <c r="Q923" t="s">
        <v>26</v>
      </c>
      <c r="R923">
        <v>18</v>
      </c>
      <c r="S923" t="s">
        <v>46</v>
      </c>
      <c r="T923" t="str">
        <f t="shared" si="28"/>
        <v>Daily</v>
      </c>
      <c r="U923">
        <f>VLOOKUP(T923,[1]tablescore!$B$3:$C$8, 2,FALSE)</f>
        <v>30</v>
      </c>
      <c r="V923" t="str">
        <f t="shared" si="29"/>
        <v>Highly Loyal</v>
      </c>
      <c r="W923" t="s">
        <v>41</v>
      </c>
    </row>
    <row r="924" spans="1:23" x14ac:dyDescent="0.25">
      <c r="A924">
        <v>923</v>
      </c>
      <c r="B924">
        <v>63</v>
      </c>
      <c r="C924" t="str" cm="1">
        <f t="array" ref="C924">_xlfn.IFS(
  AND(B924&gt;=18, B924&lt;=24), "18-24",
  AND(B924&gt;=25, B924&lt;=34), "25-34",
  AND(B924&gt;=35, B924&lt;=44), "35-44",
  AND(B924&gt;=45, B924&lt;=54), "45-54",
  B924&gt;=55, "55+"
)</f>
        <v>55+</v>
      </c>
      <c r="D924" t="s">
        <v>19</v>
      </c>
      <c r="E924" t="s">
        <v>51</v>
      </c>
      <c r="F924" t="s">
        <v>43</v>
      </c>
      <c r="G924">
        <v>60</v>
      </c>
      <c r="H924" t="s">
        <v>142</v>
      </c>
      <c r="I924" t="s">
        <v>45</v>
      </c>
      <c r="J924" t="s">
        <v>109</v>
      </c>
      <c r="K924" t="s">
        <v>58</v>
      </c>
      <c r="L924">
        <v>4.2</v>
      </c>
      <c r="M924" t="s">
        <v>26</v>
      </c>
      <c r="N924" t="s">
        <v>29</v>
      </c>
      <c r="O924" t="s">
        <v>55</v>
      </c>
      <c r="P924" t="s">
        <v>26</v>
      </c>
      <c r="Q924" t="s">
        <v>26</v>
      </c>
      <c r="R924">
        <v>13</v>
      </c>
      <c r="S924" t="s">
        <v>27</v>
      </c>
      <c r="T924" t="str">
        <f t="shared" si="28"/>
        <v>Month</v>
      </c>
      <c r="U924">
        <f>VLOOKUP(T924,[1]tablescore!$B$3:$C$8, 2,FALSE)</f>
        <v>12</v>
      </c>
      <c r="V924" t="str">
        <f t="shared" si="29"/>
        <v>Moderate</v>
      </c>
      <c r="W924" t="s">
        <v>88</v>
      </c>
    </row>
    <row r="925" spans="1:23" x14ac:dyDescent="0.25">
      <c r="A925">
        <v>924</v>
      </c>
      <c r="B925">
        <v>55</v>
      </c>
      <c r="C925" t="str" cm="1">
        <f t="array" ref="C925">_xlfn.IFS(
  AND(B925&gt;=18, B925&lt;=24), "18-24",
  AND(B925&gt;=25, B925&lt;=34), "25-34",
  AND(B925&gt;=35, B925&lt;=44), "35-44",
  AND(B925&gt;=45, B925&lt;=54), "45-54",
  B925&gt;=55, "55+"
)</f>
        <v>55+</v>
      </c>
      <c r="D925" t="s">
        <v>19</v>
      </c>
      <c r="E925" t="s">
        <v>56</v>
      </c>
      <c r="F925" t="s">
        <v>21</v>
      </c>
      <c r="G925">
        <v>24</v>
      </c>
      <c r="H925" t="s">
        <v>74</v>
      </c>
      <c r="I925" t="s">
        <v>45</v>
      </c>
      <c r="J925" t="s">
        <v>67</v>
      </c>
      <c r="K925" t="s">
        <v>39</v>
      </c>
      <c r="L925">
        <v>4.2</v>
      </c>
      <c r="M925" t="s">
        <v>26</v>
      </c>
      <c r="N925" t="s">
        <v>46</v>
      </c>
      <c r="O925" t="s">
        <v>72</v>
      </c>
      <c r="P925" t="s">
        <v>26</v>
      </c>
      <c r="Q925" t="s">
        <v>26</v>
      </c>
      <c r="R925">
        <v>7</v>
      </c>
      <c r="S925" t="s">
        <v>46</v>
      </c>
      <c r="T925" t="str">
        <f t="shared" si="28"/>
        <v>Daily</v>
      </c>
      <c r="U925">
        <f>VLOOKUP(T925,[1]tablescore!$B$3:$C$8, 2,FALSE)</f>
        <v>30</v>
      </c>
      <c r="V925" t="str">
        <f t="shared" si="29"/>
        <v>Highly Loyal</v>
      </c>
      <c r="W925" t="s">
        <v>41</v>
      </c>
    </row>
    <row r="926" spans="1:23" x14ac:dyDescent="0.25">
      <c r="A926">
        <v>925</v>
      </c>
      <c r="B926">
        <v>52</v>
      </c>
      <c r="C926" t="str" cm="1">
        <f t="array" ref="C926">_xlfn.IFS(
  AND(B926&gt;=18, B926&lt;=24), "18-24",
  AND(B926&gt;=25, B926&lt;=34), "25-34",
  AND(B926&gt;=35, B926&lt;=44), "35-44",
  AND(B926&gt;=45, B926&lt;=54), "45-54",
  B926&gt;=55, "55+"
)</f>
        <v>45-54</v>
      </c>
      <c r="D926" t="s">
        <v>19</v>
      </c>
      <c r="E926" t="s">
        <v>131</v>
      </c>
      <c r="F926" t="s">
        <v>21</v>
      </c>
      <c r="G926">
        <v>78</v>
      </c>
      <c r="H926" t="s">
        <v>111</v>
      </c>
      <c r="I926" t="s">
        <v>92</v>
      </c>
      <c r="J926" t="s">
        <v>118</v>
      </c>
      <c r="K926" t="s">
        <v>25</v>
      </c>
      <c r="L926">
        <v>3.1</v>
      </c>
      <c r="M926" t="s">
        <v>26</v>
      </c>
      <c r="N926" t="s">
        <v>27</v>
      </c>
      <c r="O926" t="s">
        <v>55</v>
      </c>
      <c r="P926" t="s">
        <v>26</v>
      </c>
      <c r="Q926" t="s">
        <v>26</v>
      </c>
      <c r="R926">
        <v>37</v>
      </c>
      <c r="S926" t="s">
        <v>35</v>
      </c>
      <c r="T926" t="str">
        <f t="shared" si="28"/>
        <v>Quarterly</v>
      </c>
      <c r="U926">
        <f>VLOOKUP(T926,[1]tablescore!$B$3:$C$8, 2,FALSE)</f>
        <v>4</v>
      </c>
      <c r="V926" t="str">
        <f t="shared" si="29"/>
        <v>Low Loyalty</v>
      </c>
      <c r="W926" t="s">
        <v>60</v>
      </c>
    </row>
    <row r="927" spans="1:23" x14ac:dyDescent="0.25">
      <c r="A927">
        <v>926</v>
      </c>
      <c r="B927">
        <v>22</v>
      </c>
      <c r="C927" t="str" cm="1">
        <f t="array" ref="C927">_xlfn.IFS(
  AND(B927&gt;=18, B927&lt;=24), "18-24",
  AND(B927&gt;=25, B927&lt;=34), "25-34",
  AND(B927&gt;=35, B927&lt;=44), "35-44",
  AND(B927&gt;=45, B927&lt;=54), "45-54",
  B927&gt;=55, "55+"
)</f>
        <v>18-24</v>
      </c>
      <c r="D927" t="s">
        <v>19</v>
      </c>
      <c r="E927" t="s">
        <v>36</v>
      </c>
      <c r="F927" t="s">
        <v>21</v>
      </c>
      <c r="G927">
        <v>88</v>
      </c>
      <c r="H927" t="s">
        <v>117</v>
      </c>
      <c r="I927" t="s">
        <v>23</v>
      </c>
      <c r="J927" t="s">
        <v>86</v>
      </c>
      <c r="K927" t="s">
        <v>25</v>
      </c>
      <c r="L927">
        <v>4.9000000000000004</v>
      </c>
      <c r="M927" t="s">
        <v>26</v>
      </c>
      <c r="N927" t="s">
        <v>27</v>
      </c>
      <c r="O927" t="s">
        <v>28</v>
      </c>
      <c r="P927" t="s">
        <v>26</v>
      </c>
      <c r="Q927" t="s">
        <v>26</v>
      </c>
      <c r="R927">
        <v>8</v>
      </c>
      <c r="S927" t="s">
        <v>35</v>
      </c>
      <c r="T927" t="str">
        <f t="shared" si="28"/>
        <v>Month</v>
      </c>
      <c r="U927">
        <f>VLOOKUP(T927,[1]tablescore!$B$3:$C$8, 2,FALSE)</f>
        <v>12</v>
      </c>
      <c r="V927" t="str">
        <f t="shared" si="29"/>
        <v>Moderate</v>
      </c>
      <c r="W927" t="s">
        <v>88</v>
      </c>
    </row>
    <row r="928" spans="1:23" x14ac:dyDescent="0.25">
      <c r="A928">
        <v>927</v>
      </c>
      <c r="B928">
        <v>54</v>
      </c>
      <c r="C928" t="str" cm="1">
        <f t="array" ref="C928">_xlfn.IFS(
  AND(B928&gt;=18, B928&lt;=24), "18-24",
  AND(B928&gt;=25, B928&lt;=34), "25-34",
  AND(B928&gt;=35, B928&lt;=44), "35-44",
  AND(B928&gt;=45, B928&lt;=54), "45-54",
  B928&gt;=55, "55+"
)</f>
        <v>45-54</v>
      </c>
      <c r="D928" t="s">
        <v>19</v>
      </c>
      <c r="E928" t="s">
        <v>36</v>
      </c>
      <c r="F928" t="s">
        <v>21</v>
      </c>
      <c r="G928">
        <v>63</v>
      </c>
      <c r="H928" t="s">
        <v>37</v>
      </c>
      <c r="I928" t="s">
        <v>92</v>
      </c>
      <c r="J928" t="s">
        <v>96</v>
      </c>
      <c r="K928" t="s">
        <v>39</v>
      </c>
      <c r="L928">
        <v>4.4000000000000004</v>
      </c>
      <c r="M928" t="s">
        <v>26</v>
      </c>
      <c r="N928" t="s">
        <v>46</v>
      </c>
      <c r="O928" t="s">
        <v>28</v>
      </c>
      <c r="P928" t="s">
        <v>26</v>
      </c>
      <c r="Q928" t="s">
        <v>26</v>
      </c>
      <c r="R928">
        <v>11</v>
      </c>
      <c r="S928" t="s">
        <v>35</v>
      </c>
      <c r="T928" t="str">
        <f t="shared" si="28"/>
        <v>2-week</v>
      </c>
      <c r="U928">
        <f>VLOOKUP(T928,[1]tablescore!$B$3:$C$8, 2,FALSE)</f>
        <v>26</v>
      </c>
      <c r="V928" t="str">
        <f t="shared" si="29"/>
        <v>Loyal</v>
      </c>
      <c r="W928" t="s">
        <v>77</v>
      </c>
    </row>
    <row r="929" spans="1:23" x14ac:dyDescent="0.25">
      <c r="A929">
        <v>928</v>
      </c>
      <c r="B929">
        <v>28</v>
      </c>
      <c r="C929" t="str" cm="1">
        <f t="array" ref="C929">_xlfn.IFS(
  AND(B929&gt;=18, B929&lt;=24), "18-24",
  AND(B929&gt;=25, B929&lt;=34), "25-34",
  AND(B929&gt;=35, B929&lt;=44), "35-44",
  AND(B929&gt;=45, B929&lt;=54), "45-54",
  B929&gt;=55, "55+"
)</f>
        <v>25-34</v>
      </c>
      <c r="D929" t="s">
        <v>19</v>
      </c>
      <c r="E929" t="s">
        <v>51</v>
      </c>
      <c r="F929" t="s">
        <v>43</v>
      </c>
      <c r="G929">
        <v>78</v>
      </c>
      <c r="H929" t="s">
        <v>123</v>
      </c>
      <c r="I929" t="s">
        <v>23</v>
      </c>
      <c r="J929" t="s">
        <v>94</v>
      </c>
      <c r="K929" t="s">
        <v>54</v>
      </c>
      <c r="L929">
        <v>4.4000000000000004</v>
      </c>
      <c r="M929" t="s">
        <v>26</v>
      </c>
      <c r="N929" t="s">
        <v>34</v>
      </c>
      <c r="O929" t="s">
        <v>55</v>
      </c>
      <c r="P929" t="s">
        <v>26</v>
      </c>
      <c r="Q929" t="s">
        <v>26</v>
      </c>
      <c r="R929">
        <v>8</v>
      </c>
      <c r="S929" t="s">
        <v>29</v>
      </c>
      <c r="T929" t="str">
        <f t="shared" si="28"/>
        <v>2-week</v>
      </c>
      <c r="U929">
        <f>VLOOKUP(T929,[1]tablescore!$B$3:$C$8, 2,FALSE)</f>
        <v>26</v>
      </c>
      <c r="V929" t="str">
        <f t="shared" si="29"/>
        <v>Loyal</v>
      </c>
      <c r="W929" t="s">
        <v>77</v>
      </c>
    </row>
    <row r="930" spans="1:23" x14ac:dyDescent="0.25">
      <c r="A930">
        <v>929</v>
      </c>
      <c r="B930">
        <v>67</v>
      </c>
      <c r="C930" t="str" cm="1">
        <f t="array" ref="C930">_xlfn.IFS(
  AND(B930&gt;=18, B930&lt;=24), "18-24",
  AND(B930&gt;=25, B930&lt;=34), "25-34",
  AND(B930&gt;=35, B930&lt;=44), "35-44",
  AND(B930&gt;=45, B930&lt;=54), "45-54",
  B930&gt;=55, "55+"
)</f>
        <v>55+</v>
      </c>
      <c r="D930" t="s">
        <v>19</v>
      </c>
      <c r="E930" t="s">
        <v>82</v>
      </c>
      <c r="F930" t="s">
        <v>21</v>
      </c>
      <c r="G930">
        <v>37</v>
      </c>
      <c r="H930" t="s">
        <v>74</v>
      </c>
      <c r="I930" t="s">
        <v>92</v>
      </c>
      <c r="J930" t="s">
        <v>139</v>
      </c>
      <c r="K930" t="s">
        <v>25</v>
      </c>
      <c r="L930">
        <v>3.4</v>
      </c>
      <c r="M930" t="s">
        <v>26</v>
      </c>
      <c r="N930" t="s">
        <v>34</v>
      </c>
      <c r="O930" t="s">
        <v>76</v>
      </c>
      <c r="P930" t="s">
        <v>26</v>
      </c>
      <c r="Q930" t="s">
        <v>26</v>
      </c>
      <c r="R930">
        <v>31</v>
      </c>
      <c r="S930" t="s">
        <v>35</v>
      </c>
      <c r="T930" t="str">
        <f t="shared" si="28"/>
        <v>Quarterly</v>
      </c>
      <c r="U930">
        <f>VLOOKUP(T930,[1]tablescore!$B$3:$C$8, 2,FALSE)</f>
        <v>4</v>
      </c>
      <c r="V930" t="str">
        <f t="shared" si="29"/>
        <v>Low Loyalty</v>
      </c>
      <c r="W930" t="s">
        <v>97</v>
      </c>
    </row>
    <row r="931" spans="1:23" x14ac:dyDescent="0.25">
      <c r="A931">
        <v>930</v>
      </c>
      <c r="B931">
        <v>59</v>
      </c>
      <c r="C931" t="str" cm="1">
        <f t="array" ref="C931">_xlfn.IFS(
  AND(B931&gt;=18, B931&lt;=24), "18-24",
  AND(B931&gt;=25, B931&lt;=34), "25-34",
  AND(B931&gt;=35, B931&lt;=44), "35-44",
  AND(B931&gt;=45, B931&lt;=54), "45-54",
  B931&gt;=55, "55+"
)</f>
        <v>55+</v>
      </c>
      <c r="D931" t="s">
        <v>19</v>
      </c>
      <c r="E931" t="s">
        <v>132</v>
      </c>
      <c r="F931" t="s">
        <v>43</v>
      </c>
      <c r="G931">
        <v>94</v>
      </c>
      <c r="H931" t="s">
        <v>143</v>
      </c>
      <c r="I931" t="s">
        <v>45</v>
      </c>
      <c r="J931" t="s">
        <v>53</v>
      </c>
      <c r="K931" t="s">
        <v>58</v>
      </c>
      <c r="L931">
        <v>4.5</v>
      </c>
      <c r="M931" t="s">
        <v>26</v>
      </c>
      <c r="N931" t="s">
        <v>29</v>
      </c>
      <c r="O931" t="s">
        <v>72</v>
      </c>
      <c r="P931" t="s">
        <v>26</v>
      </c>
      <c r="Q931" t="s">
        <v>26</v>
      </c>
      <c r="R931">
        <v>26</v>
      </c>
      <c r="S931" t="s">
        <v>59</v>
      </c>
      <c r="T931" t="str">
        <f t="shared" si="28"/>
        <v>2-week</v>
      </c>
      <c r="U931">
        <f>VLOOKUP(T931,[1]tablescore!$B$3:$C$8, 2,FALSE)</f>
        <v>26</v>
      </c>
      <c r="V931" t="str">
        <f t="shared" si="29"/>
        <v>Loyal</v>
      </c>
      <c r="W931" t="s">
        <v>30</v>
      </c>
    </row>
    <row r="932" spans="1:23" x14ac:dyDescent="0.25">
      <c r="A932">
        <v>931</v>
      </c>
      <c r="B932">
        <v>26</v>
      </c>
      <c r="C932" t="str" cm="1">
        <f t="array" ref="C932">_xlfn.IFS(
  AND(B932&gt;=18, B932&lt;=24), "18-24",
  AND(B932&gt;=25, B932&lt;=34), "25-34",
  AND(B932&gt;=35, B932&lt;=44), "35-44",
  AND(B932&gt;=45, B932&lt;=54), "45-54",
  B932&gt;=55, "55+"
)</f>
        <v>25-34</v>
      </c>
      <c r="D932" t="s">
        <v>19</v>
      </c>
      <c r="E932" t="s">
        <v>113</v>
      </c>
      <c r="F932" t="s">
        <v>21</v>
      </c>
      <c r="G932">
        <v>78</v>
      </c>
      <c r="H932" t="s">
        <v>78</v>
      </c>
      <c r="I932" t="s">
        <v>23</v>
      </c>
      <c r="J932" t="s">
        <v>96</v>
      </c>
      <c r="K932" t="s">
        <v>58</v>
      </c>
      <c r="L932">
        <v>4.5</v>
      </c>
      <c r="M932" t="s">
        <v>26</v>
      </c>
      <c r="N932" t="s">
        <v>27</v>
      </c>
      <c r="O932" t="s">
        <v>76</v>
      </c>
      <c r="P932" t="s">
        <v>26</v>
      </c>
      <c r="Q932" t="s">
        <v>26</v>
      </c>
      <c r="R932">
        <v>20</v>
      </c>
      <c r="S932" t="s">
        <v>27</v>
      </c>
      <c r="T932" t="str">
        <f t="shared" si="28"/>
        <v>2-week</v>
      </c>
      <c r="U932">
        <f>VLOOKUP(T932,[1]tablescore!$B$3:$C$8, 2,FALSE)</f>
        <v>26</v>
      </c>
      <c r="V932" t="str">
        <f t="shared" si="29"/>
        <v>Loyal</v>
      </c>
      <c r="W932" t="s">
        <v>77</v>
      </c>
    </row>
    <row r="933" spans="1:23" x14ac:dyDescent="0.25">
      <c r="A933">
        <v>932</v>
      </c>
      <c r="B933">
        <v>24</v>
      </c>
      <c r="C933" t="str" cm="1">
        <f t="array" ref="C933">_xlfn.IFS(
  AND(B933&gt;=18, B933&lt;=24), "18-24",
  AND(B933&gt;=25, B933&lt;=34), "25-34",
  AND(B933&gt;=35, B933&lt;=44), "35-44",
  AND(B933&gt;=45, B933&lt;=54), "45-54",
  B933&gt;=55, "55+"
)</f>
        <v>18-24</v>
      </c>
      <c r="D933" t="s">
        <v>19</v>
      </c>
      <c r="E933" t="s">
        <v>64</v>
      </c>
      <c r="F933" t="s">
        <v>65</v>
      </c>
      <c r="G933">
        <v>36</v>
      </c>
      <c r="H933" t="s">
        <v>143</v>
      </c>
      <c r="I933" t="s">
        <v>45</v>
      </c>
      <c r="J933" t="s">
        <v>67</v>
      </c>
      <c r="K933" t="s">
        <v>25</v>
      </c>
      <c r="L933">
        <v>4.0999999999999996</v>
      </c>
      <c r="M933" t="s">
        <v>26</v>
      </c>
      <c r="N933" t="s">
        <v>35</v>
      </c>
      <c r="O933" t="s">
        <v>55</v>
      </c>
      <c r="P933" t="s">
        <v>26</v>
      </c>
      <c r="Q933" t="s">
        <v>26</v>
      </c>
      <c r="R933">
        <v>24</v>
      </c>
      <c r="S933" t="s">
        <v>34</v>
      </c>
      <c r="T933" t="str">
        <f t="shared" si="28"/>
        <v>2-week</v>
      </c>
      <c r="U933">
        <f>VLOOKUP(T933,[1]tablescore!$B$3:$C$8, 2,FALSE)</f>
        <v>26</v>
      </c>
      <c r="V933" t="str">
        <f t="shared" si="29"/>
        <v>Loyal</v>
      </c>
      <c r="W933" t="s">
        <v>30</v>
      </c>
    </row>
    <row r="934" spans="1:23" x14ac:dyDescent="0.25">
      <c r="A934">
        <v>933</v>
      </c>
      <c r="B934">
        <v>62</v>
      </c>
      <c r="C934" t="str" cm="1">
        <f t="array" ref="C934">_xlfn.IFS(
  AND(B934&gt;=18, B934&lt;=24), "18-24",
  AND(B934&gt;=25, B934&lt;=34), "25-34",
  AND(B934&gt;=35, B934&lt;=44), "35-44",
  AND(B934&gt;=45, B934&lt;=54), "45-54",
  B934&gt;=55, "55+"
)</f>
        <v>55+</v>
      </c>
      <c r="D934" t="s">
        <v>19</v>
      </c>
      <c r="E934" t="s">
        <v>87</v>
      </c>
      <c r="F934" t="s">
        <v>21</v>
      </c>
      <c r="G934">
        <v>24</v>
      </c>
      <c r="H934" t="s">
        <v>116</v>
      </c>
      <c r="I934" t="s">
        <v>23</v>
      </c>
      <c r="J934" t="s">
        <v>138</v>
      </c>
      <c r="K934" t="s">
        <v>25</v>
      </c>
      <c r="L934">
        <v>3.2</v>
      </c>
      <c r="M934" t="s">
        <v>26</v>
      </c>
      <c r="N934" t="s">
        <v>29</v>
      </c>
      <c r="O934" t="s">
        <v>55</v>
      </c>
      <c r="P934" t="s">
        <v>26</v>
      </c>
      <c r="Q934" t="s">
        <v>26</v>
      </c>
      <c r="R934">
        <v>45</v>
      </c>
      <c r="S934" t="s">
        <v>59</v>
      </c>
      <c r="T934" t="str">
        <f t="shared" si="28"/>
        <v>2-week</v>
      </c>
      <c r="U934">
        <f>VLOOKUP(T934,[1]tablescore!$B$3:$C$8, 2,FALSE)</f>
        <v>26</v>
      </c>
      <c r="V934" t="str">
        <f t="shared" si="29"/>
        <v>Loyal</v>
      </c>
      <c r="W934" t="s">
        <v>77</v>
      </c>
    </row>
    <row r="935" spans="1:23" x14ac:dyDescent="0.25">
      <c r="A935">
        <v>934</v>
      </c>
      <c r="B935">
        <v>70</v>
      </c>
      <c r="C935" t="str" cm="1">
        <f t="array" ref="C935">_xlfn.IFS(
  AND(B935&gt;=18, B935&lt;=24), "18-24",
  AND(B935&gt;=25, B935&lt;=34), "25-34",
  AND(B935&gt;=35, B935&lt;=44), "35-44",
  AND(B935&gt;=45, B935&lt;=54), "45-54",
  B935&gt;=55, "55+"
)</f>
        <v>55+</v>
      </c>
      <c r="D935" t="s">
        <v>19</v>
      </c>
      <c r="E935" t="s">
        <v>51</v>
      </c>
      <c r="F935" t="s">
        <v>43</v>
      </c>
      <c r="G935">
        <v>84</v>
      </c>
      <c r="H935" t="s">
        <v>112</v>
      </c>
      <c r="I935" t="s">
        <v>45</v>
      </c>
      <c r="J935" t="s">
        <v>147</v>
      </c>
      <c r="K935" t="s">
        <v>39</v>
      </c>
      <c r="L935">
        <v>2.7</v>
      </c>
      <c r="M935" t="s">
        <v>26</v>
      </c>
      <c r="N935" t="s">
        <v>59</v>
      </c>
      <c r="O935" t="s">
        <v>76</v>
      </c>
      <c r="P935" t="s">
        <v>26</v>
      </c>
      <c r="Q935" t="s">
        <v>26</v>
      </c>
      <c r="R935">
        <v>33</v>
      </c>
      <c r="S935" t="s">
        <v>59</v>
      </c>
      <c r="T935" t="str">
        <f t="shared" si="28"/>
        <v>Month</v>
      </c>
      <c r="U935">
        <f>VLOOKUP(T935,[1]tablescore!$B$3:$C$8, 2,FALSE)</f>
        <v>12</v>
      </c>
      <c r="V935" t="str">
        <f t="shared" si="29"/>
        <v>Moderate</v>
      </c>
      <c r="W935" t="s">
        <v>88</v>
      </c>
    </row>
    <row r="936" spans="1:23" x14ac:dyDescent="0.25">
      <c r="A936">
        <v>935</v>
      </c>
      <c r="B936">
        <v>45</v>
      </c>
      <c r="C936" t="str" cm="1">
        <f t="array" ref="C936">_xlfn.IFS(
  AND(B936&gt;=18, B936&lt;=24), "18-24",
  AND(B936&gt;=25, B936&lt;=34), "25-34",
  AND(B936&gt;=35, B936&lt;=44), "35-44",
  AND(B936&gt;=45, B936&lt;=54), "45-54",
  B936&gt;=55, "55+"
)</f>
        <v>45-54</v>
      </c>
      <c r="D936" t="s">
        <v>19</v>
      </c>
      <c r="E936" t="s">
        <v>36</v>
      </c>
      <c r="F936" t="s">
        <v>21</v>
      </c>
      <c r="G936">
        <v>47</v>
      </c>
      <c r="H936" t="s">
        <v>48</v>
      </c>
      <c r="I936" t="s">
        <v>38</v>
      </c>
      <c r="J936" t="s">
        <v>139</v>
      </c>
      <c r="K936" t="s">
        <v>39</v>
      </c>
      <c r="L936">
        <v>3.7</v>
      </c>
      <c r="M936" t="s">
        <v>26</v>
      </c>
      <c r="N936" t="s">
        <v>34</v>
      </c>
      <c r="O936" t="s">
        <v>28</v>
      </c>
      <c r="P936" t="s">
        <v>26</v>
      </c>
      <c r="Q936" t="s">
        <v>26</v>
      </c>
      <c r="R936">
        <v>21</v>
      </c>
      <c r="S936" t="s">
        <v>34</v>
      </c>
      <c r="T936" t="str">
        <f t="shared" si="28"/>
        <v>Month</v>
      </c>
      <c r="U936">
        <f>VLOOKUP(T936,[1]tablescore!$B$3:$C$8, 2,FALSE)</f>
        <v>12</v>
      </c>
      <c r="V936" t="str">
        <f t="shared" si="29"/>
        <v>Moderate</v>
      </c>
      <c r="W936" t="s">
        <v>88</v>
      </c>
    </row>
    <row r="937" spans="1:23" x14ac:dyDescent="0.25">
      <c r="A937">
        <v>936</v>
      </c>
      <c r="B937">
        <v>58</v>
      </c>
      <c r="C937" t="str" cm="1">
        <f t="array" ref="C937">_xlfn.IFS(
  AND(B937&gt;=18, B937&lt;=24), "18-24",
  AND(B937&gt;=25, B937&lt;=34), "25-34",
  AND(B937&gt;=35, B937&lt;=44), "35-44",
  AND(B937&gt;=45, B937&lt;=54), "45-54",
  B937&gt;=55, "55+"
)</f>
        <v>55+</v>
      </c>
      <c r="D937" t="s">
        <v>19</v>
      </c>
      <c r="E937" t="s">
        <v>104</v>
      </c>
      <c r="F937" t="s">
        <v>21</v>
      </c>
      <c r="G937">
        <v>51</v>
      </c>
      <c r="H937" t="s">
        <v>124</v>
      </c>
      <c r="I937" t="s">
        <v>23</v>
      </c>
      <c r="J937" t="s">
        <v>53</v>
      </c>
      <c r="K937" t="s">
        <v>58</v>
      </c>
      <c r="L937">
        <v>2.6</v>
      </c>
      <c r="M937" t="s">
        <v>26</v>
      </c>
      <c r="N937" t="s">
        <v>27</v>
      </c>
      <c r="O937" t="s">
        <v>76</v>
      </c>
      <c r="P937" t="s">
        <v>26</v>
      </c>
      <c r="Q937" t="s">
        <v>26</v>
      </c>
      <c r="R937">
        <v>2</v>
      </c>
      <c r="S937" t="s">
        <v>34</v>
      </c>
      <c r="T937" t="str">
        <f t="shared" si="28"/>
        <v>2-week</v>
      </c>
      <c r="U937">
        <f>VLOOKUP(T937,[1]tablescore!$B$3:$C$8, 2,FALSE)</f>
        <v>26</v>
      </c>
      <c r="V937" t="str">
        <f t="shared" si="29"/>
        <v>Loyal</v>
      </c>
      <c r="W937" t="s">
        <v>30</v>
      </c>
    </row>
    <row r="938" spans="1:23" x14ac:dyDescent="0.25">
      <c r="A938">
        <v>937</v>
      </c>
      <c r="B938">
        <v>31</v>
      </c>
      <c r="C938" t="str" cm="1">
        <f t="array" ref="C938">_xlfn.IFS(
  AND(B938&gt;=18, B938&lt;=24), "18-24",
  AND(B938&gt;=25, B938&lt;=34), "25-34",
  AND(B938&gt;=35, B938&lt;=44), "35-44",
  AND(B938&gt;=45, B938&lt;=54), "45-54",
  B938&gt;=55, "55+"
)</f>
        <v>25-34</v>
      </c>
      <c r="D938" t="s">
        <v>19</v>
      </c>
      <c r="E938" t="s">
        <v>73</v>
      </c>
      <c r="F938" t="s">
        <v>43</v>
      </c>
      <c r="G938">
        <v>84</v>
      </c>
      <c r="H938" t="s">
        <v>32</v>
      </c>
      <c r="I938" t="s">
        <v>45</v>
      </c>
      <c r="J938" t="s">
        <v>71</v>
      </c>
      <c r="K938" t="s">
        <v>54</v>
      </c>
      <c r="L938">
        <v>2.7</v>
      </c>
      <c r="M938" t="s">
        <v>26</v>
      </c>
      <c r="N938" t="s">
        <v>59</v>
      </c>
      <c r="O938" t="s">
        <v>40</v>
      </c>
      <c r="P938" t="s">
        <v>26</v>
      </c>
      <c r="Q938" t="s">
        <v>26</v>
      </c>
      <c r="R938">
        <v>28</v>
      </c>
      <c r="S938" t="s">
        <v>35</v>
      </c>
      <c r="T938" t="str">
        <f t="shared" si="28"/>
        <v>Daily</v>
      </c>
      <c r="U938">
        <f>VLOOKUP(T938,[1]tablescore!$B$3:$C$8, 2,FALSE)</f>
        <v>30</v>
      </c>
      <c r="V938" t="str">
        <f t="shared" si="29"/>
        <v>Highly Loyal</v>
      </c>
      <c r="W938" t="s">
        <v>41</v>
      </c>
    </row>
    <row r="939" spans="1:23" x14ac:dyDescent="0.25">
      <c r="A939">
        <v>938</v>
      </c>
      <c r="B939">
        <v>32</v>
      </c>
      <c r="C939" t="str" cm="1">
        <f t="array" ref="C939">_xlfn.IFS(
  AND(B939&gt;=18, B939&lt;=24), "18-24",
  AND(B939&gt;=25, B939&lt;=34), "25-34",
  AND(B939&gt;=35, B939&lt;=44), "35-44",
  AND(B939&gt;=45, B939&lt;=54), "45-54",
  B939&gt;=55, "55+"
)</f>
        <v>25-34</v>
      </c>
      <c r="D939" t="s">
        <v>19</v>
      </c>
      <c r="E939" t="s">
        <v>61</v>
      </c>
      <c r="F939" t="s">
        <v>21</v>
      </c>
      <c r="G939">
        <v>24</v>
      </c>
      <c r="H939" t="s">
        <v>150</v>
      </c>
      <c r="I939" t="s">
        <v>45</v>
      </c>
      <c r="J939" t="s">
        <v>147</v>
      </c>
      <c r="K939" t="s">
        <v>54</v>
      </c>
      <c r="L939">
        <v>2.7</v>
      </c>
      <c r="M939" t="s">
        <v>26</v>
      </c>
      <c r="N939" t="s">
        <v>59</v>
      </c>
      <c r="O939" t="s">
        <v>28</v>
      </c>
      <c r="P939" t="s">
        <v>26</v>
      </c>
      <c r="Q939" t="s">
        <v>26</v>
      </c>
      <c r="R939">
        <v>18</v>
      </c>
      <c r="S939" t="s">
        <v>29</v>
      </c>
      <c r="T939" t="str">
        <f t="shared" si="28"/>
        <v>Quarterly</v>
      </c>
      <c r="U939">
        <f>VLOOKUP(T939,[1]tablescore!$B$3:$C$8, 2,FALSE)</f>
        <v>4</v>
      </c>
      <c r="V939" t="str">
        <f t="shared" si="29"/>
        <v>Low Loyalty</v>
      </c>
      <c r="W939" t="s">
        <v>60</v>
      </c>
    </row>
    <row r="940" spans="1:23" x14ac:dyDescent="0.25">
      <c r="A940">
        <v>939</v>
      </c>
      <c r="B940">
        <v>36</v>
      </c>
      <c r="C940" t="str" cm="1">
        <f t="array" ref="C940">_xlfn.IFS(
  AND(B940&gt;=18, B940&lt;=24), "18-24",
  AND(B940&gt;=25, B940&lt;=34), "25-34",
  AND(B940&gt;=35, B940&lt;=44), "35-44",
  AND(B940&gt;=45, B940&lt;=54), "45-54",
  B940&gt;=55, "55+"
)</f>
        <v>35-44</v>
      </c>
      <c r="D940" t="s">
        <v>19</v>
      </c>
      <c r="E940" t="s">
        <v>20</v>
      </c>
      <c r="F940" t="s">
        <v>21</v>
      </c>
      <c r="G940">
        <v>97</v>
      </c>
      <c r="H940" t="s">
        <v>148</v>
      </c>
      <c r="I940" t="s">
        <v>38</v>
      </c>
      <c r="J940" t="s">
        <v>86</v>
      </c>
      <c r="K940" t="s">
        <v>58</v>
      </c>
      <c r="L940">
        <v>4.8</v>
      </c>
      <c r="M940" t="s">
        <v>26</v>
      </c>
      <c r="N940" t="s">
        <v>34</v>
      </c>
      <c r="O940" t="s">
        <v>40</v>
      </c>
      <c r="P940" t="s">
        <v>26</v>
      </c>
      <c r="Q940" t="s">
        <v>26</v>
      </c>
      <c r="R940">
        <v>21</v>
      </c>
      <c r="S940" t="s">
        <v>59</v>
      </c>
      <c r="T940" t="str">
        <f t="shared" si="28"/>
        <v>2-week</v>
      </c>
      <c r="U940">
        <f>VLOOKUP(T940,[1]tablescore!$B$3:$C$8, 2,FALSE)</f>
        <v>26</v>
      </c>
      <c r="V940" t="str">
        <f t="shared" si="29"/>
        <v>Loyal</v>
      </c>
      <c r="W940" t="s">
        <v>30</v>
      </c>
    </row>
    <row r="941" spans="1:23" x14ac:dyDescent="0.25">
      <c r="A941">
        <v>940</v>
      </c>
      <c r="B941">
        <v>25</v>
      </c>
      <c r="C941" t="str" cm="1">
        <f t="array" ref="C941">_xlfn.IFS(
  AND(B941&gt;=18, B941&lt;=24), "18-24",
  AND(B941&gt;=25, B941&lt;=34), "25-34",
  AND(B941&gt;=35, B941&lt;=44), "35-44",
  AND(B941&gt;=45, B941&lt;=54), "45-54",
  B941&gt;=55, "55+"
)</f>
        <v>25-34</v>
      </c>
      <c r="D941" t="s">
        <v>19</v>
      </c>
      <c r="E941" t="s">
        <v>113</v>
      </c>
      <c r="F941" t="s">
        <v>21</v>
      </c>
      <c r="G941">
        <v>89</v>
      </c>
      <c r="H941" t="s">
        <v>85</v>
      </c>
      <c r="I941" t="s">
        <v>23</v>
      </c>
      <c r="J941" t="s">
        <v>129</v>
      </c>
      <c r="K941" t="s">
        <v>25</v>
      </c>
      <c r="L941">
        <v>4.8</v>
      </c>
      <c r="M941" t="s">
        <v>26</v>
      </c>
      <c r="N941" t="s">
        <v>29</v>
      </c>
      <c r="O941" t="s">
        <v>47</v>
      </c>
      <c r="P941" t="s">
        <v>26</v>
      </c>
      <c r="Q941" t="s">
        <v>26</v>
      </c>
      <c r="R941">
        <v>24</v>
      </c>
      <c r="S941" t="s">
        <v>27</v>
      </c>
      <c r="T941" t="str">
        <f t="shared" si="28"/>
        <v>Month</v>
      </c>
      <c r="U941">
        <f>VLOOKUP(T941,[1]tablescore!$B$3:$C$8, 2,FALSE)</f>
        <v>12</v>
      </c>
      <c r="V941" t="str">
        <f t="shared" si="29"/>
        <v>Moderate</v>
      </c>
      <c r="W941" t="s">
        <v>88</v>
      </c>
    </row>
    <row r="942" spans="1:23" x14ac:dyDescent="0.25">
      <c r="A942">
        <v>941</v>
      </c>
      <c r="B942">
        <v>48</v>
      </c>
      <c r="C942" t="str" cm="1">
        <f t="array" ref="C942">_xlfn.IFS(
  AND(B942&gt;=18, B942&lt;=24), "18-24",
  AND(B942&gt;=25, B942&lt;=34), "25-34",
  AND(B942&gt;=35, B942&lt;=44), "35-44",
  AND(B942&gt;=45, B942&lt;=54), "45-54",
  B942&gt;=55, "55+"
)</f>
        <v>45-54</v>
      </c>
      <c r="D942" t="s">
        <v>19</v>
      </c>
      <c r="E942" t="s">
        <v>136</v>
      </c>
      <c r="F942" t="s">
        <v>69</v>
      </c>
      <c r="G942">
        <v>44</v>
      </c>
      <c r="H942" t="s">
        <v>112</v>
      </c>
      <c r="I942" t="s">
        <v>38</v>
      </c>
      <c r="J942" t="s">
        <v>33</v>
      </c>
      <c r="K942" t="s">
        <v>39</v>
      </c>
      <c r="L942">
        <v>2.6</v>
      </c>
      <c r="M942" t="s">
        <v>26</v>
      </c>
      <c r="N942" t="s">
        <v>46</v>
      </c>
      <c r="O942" t="s">
        <v>76</v>
      </c>
      <c r="P942" t="s">
        <v>26</v>
      </c>
      <c r="Q942" t="s">
        <v>26</v>
      </c>
      <c r="R942">
        <v>15</v>
      </c>
      <c r="S942" t="s">
        <v>46</v>
      </c>
      <c r="T942" t="str">
        <f t="shared" si="28"/>
        <v>Quarterly</v>
      </c>
      <c r="U942">
        <f>VLOOKUP(T942,[1]tablescore!$B$3:$C$8, 2,FALSE)</f>
        <v>4</v>
      </c>
      <c r="V942" t="str">
        <f t="shared" si="29"/>
        <v>Low Loyalty</v>
      </c>
      <c r="W942" t="s">
        <v>97</v>
      </c>
    </row>
    <row r="943" spans="1:23" x14ac:dyDescent="0.25">
      <c r="A943">
        <v>942</v>
      </c>
      <c r="B943">
        <v>39</v>
      </c>
      <c r="C943" t="str" cm="1">
        <f t="array" ref="C943">_xlfn.IFS(
  AND(B943&gt;=18, B943&lt;=24), "18-24",
  AND(B943&gt;=25, B943&lt;=34), "25-34",
  AND(B943&gt;=35, B943&lt;=44), "35-44",
  AND(B943&gt;=45, B943&lt;=54), "45-54",
  B943&gt;=55, "55+"
)</f>
        <v>35-44</v>
      </c>
      <c r="D943" t="s">
        <v>19</v>
      </c>
      <c r="E943" t="s">
        <v>68</v>
      </c>
      <c r="F943" t="s">
        <v>69</v>
      </c>
      <c r="G943">
        <v>35</v>
      </c>
      <c r="H943" t="s">
        <v>115</v>
      </c>
      <c r="I943" t="s">
        <v>23</v>
      </c>
      <c r="J943" t="s">
        <v>94</v>
      </c>
      <c r="K943" t="s">
        <v>25</v>
      </c>
      <c r="L943">
        <v>4.5</v>
      </c>
      <c r="M943" t="s">
        <v>26</v>
      </c>
      <c r="N943" t="s">
        <v>34</v>
      </c>
      <c r="O943" t="s">
        <v>72</v>
      </c>
      <c r="P943" t="s">
        <v>26</v>
      </c>
      <c r="Q943" t="s">
        <v>26</v>
      </c>
      <c r="R943">
        <v>38</v>
      </c>
      <c r="S943" t="s">
        <v>46</v>
      </c>
      <c r="T943" t="str">
        <f t="shared" si="28"/>
        <v>Quarterly</v>
      </c>
      <c r="U943">
        <f>VLOOKUP(T943,[1]tablescore!$B$3:$C$8, 2,FALSE)</f>
        <v>4</v>
      </c>
      <c r="V943" t="str">
        <f t="shared" si="29"/>
        <v>Low Loyalty</v>
      </c>
      <c r="W943" t="s">
        <v>97</v>
      </c>
    </row>
    <row r="944" spans="1:23" x14ac:dyDescent="0.25">
      <c r="A944">
        <v>943</v>
      </c>
      <c r="B944">
        <v>26</v>
      </c>
      <c r="C944" t="str" cm="1">
        <f t="array" ref="C944">_xlfn.IFS(
  AND(B944&gt;=18, B944&lt;=24), "18-24",
  AND(B944&gt;=25, B944&lt;=34), "25-34",
  AND(B944&gt;=35, B944&lt;=44), "35-44",
  AND(B944&gt;=45, B944&lt;=54), "45-54",
  B944&gt;=55, "55+"
)</f>
        <v>25-34</v>
      </c>
      <c r="D944" t="s">
        <v>19</v>
      </c>
      <c r="E944" t="s">
        <v>82</v>
      </c>
      <c r="F944" t="s">
        <v>21</v>
      </c>
      <c r="G944">
        <v>91</v>
      </c>
      <c r="H944" t="s">
        <v>117</v>
      </c>
      <c r="I944" t="s">
        <v>45</v>
      </c>
      <c r="J944" t="s">
        <v>109</v>
      </c>
      <c r="K944" t="s">
        <v>25</v>
      </c>
      <c r="L944">
        <v>3.2</v>
      </c>
      <c r="M944" t="s">
        <v>26</v>
      </c>
      <c r="N944" t="s">
        <v>35</v>
      </c>
      <c r="O944" t="s">
        <v>28</v>
      </c>
      <c r="P944" t="s">
        <v>26</v>
      </c>
      <c r="Q944" t="s">
        <v>26</v>
      </c>
      <c r="R944">
        <v>38</v>
      </c>
      <c r="S944" t="s">
        <v>46</v>
      </c>
      <c r="T944" t="str">
        <f t="shared" si="28"/>
        <v>2-week</v>
      </c>
      <c r="U944">
        <f>VLOOKUP(T944,[1]tablescore!$B$3:$C$8, 2,FALSE)</f>
        <v>26</v>
      </c>
      <c r="V944" t="str">
        <f t="shared" si="29"/>
        <v>Loyal</v>
      </c>
      <c r="W944" t="s">
        <v>77</v>
      </c>
    </row>
    <row r="945" spans="1:23" x14ac:dyDescent="0.25">
      <c r="A945">
        <v>944</v>
      </c>
      <c r="B945">
        <v>32</v>
      </c>
      <c r="C945" t="str" cm="1">
        <f t="array" ref="C945">_xlfn.IFS(
  AND(B945&gt;=18, B945&lt;=24), "18-24",
  AND(B945&gt;=25, B945&lt;=34), "25-34",
  AND(B945&gt;=35, B945&lt;=44), "35-44",
  AND(B945&gt;=45, B945&lt;=54), "45-54",
  B945&gt;=55, "55+"
)</f>
        <v>25-34</v>
      </c>
      <c r="D945" t="s">
        <v>19</v>
      </c>
      <c r="E945" t="s">
        <v>125</v>
      </c>
      <c r="F945" t="s">
        <v>69</v>
      </c>
      <c r="G945">
        <v>63</v>
      </c>
      <c r="H945" t="s">
        <v>101</v>
      </c>
      <c r="I945" t="s">
        <v>23</v>
      </c>
      <c r="J945" t="s">
        <v>109</v>
      </c>
      <c r="K945" t="s">
        <v>25</v>
      </c>
      <c r="L945">
        <v>3.8</v>
      </c>
      <c r="M945" t="s">
        <v>26</v>
      </c>
      <c r="N945" t="s">
        <v>46</v>
      </c>
      <c r="O945" t="s">
        <v>47</v>
      </c>
      <c r="P945" t="s">
        <v>26</v>
      </c>
      <c r="Q945" t="s">
        <v>26</v>
      </c>
      <c r="R945">
        <v>13</v>
      </c>
      <c r="S945" t="s">
        <v>29</v>
      </c>
      <c r="T945" t="str">
        <f t="shared" si="28"/>
        <v>2-week</v>
      </c>
      <c r="U945">
        <f>VLOOKUP(T945,[1]tablescore!$B$3:$C$8, 2,FALSE)</f>
        <v>26</v>
      </c>
      <c r="V945" t="str">
        <f t="shared" si="29"/>
        <v>Loyal</v>
      </c>
      <c r="W945" t="s">
        <v>30</v>
      </c>
    </row>
    <row r="946" spans="1:23" x14ac:dyDescent="0.25">
      <c r="A946">
        <v>945</v>
      </c>
      <c r="B946">
        <v>54</v>
      </c>
      <c r="C946" t="str" cm="1">
        <f t="array" ref="C946">_xlfn.IFS(
  AND(B946&gt;=18, B946&lt;=24), "18-24",
  AND(B946&gt;=25, B946&lt;=34), "25-34",
  AND(B946&gt;=35, B946&lt;=44), "35-44",
  AND(B946&gt;=45, B946&lt;=54), "45-54",
  B946&gt;=55, "55+"
)</f>
        <v>45-54</v>
      </c>
      <c r="D946" t="s">
        <v>19</v>
      </c>
      <c r="E946" t="s">
        <v>136</v>
      </c>
      <c r="F946" t="s">
        <v>69</v>
      </c>
      <c r="G946">
        <v>97</v>
      </c>
      <c r="H946" t="s">
        <v>116</v>
      </c>
      <c r="I946" t="s">
        <v>38</v>
      </c>
      <c r="J946" t="s">
        <v>24</v>
      </c>
      <c r="K946" t="s">
        <v>39</v>
      </c>
      <c r="L946">
        <v>4.8</v>
      </c>
      <c r="M946" t="s">
        <v>26</v>
      </c>
      <c r="N946" t="s">
        <v>59</v>
      </c>
      <c r="O946" t="s">
        <v>28</v>
      </c>
      <c r="P946" t="s">
        <v>26</v>
      </c>
      <c r="Q946" t="s">
        <v>26</v>
      </c>
      <c r="R946">
        <v>39</v>
      </c>
      <c r="S946" t="s">
        <v>35</v>
      </c>
      <c r="T946" t="str">
        <f t="shared" si="28"/>
        <v>2-week</v>
      </c>
      <c r="U946">
        <f>VLOOKUP(T946,[1]tablescore!$B$3:$C$8, 2,FALSE)</f>
        <v>26</v>
      </c>
      <c r="V946" t="str">
        <f t="shared" si="29"/>
        <v>Loyal</v>
      </c>
      <c r="W946" t="s">
        <v>77</v>
      </c>
    </row>
    <row r="947" spans="1:23" x14ac:dyDescent="0.25">
      <c r="A947">
        <v>946</v>
      </c>
      <c r="B947">
        <v>38</v>
      </c>
      <c r="C947" t="str" cm="1">
        <f t="array" ref="C947">_xlfn.IFS(
  AND(B947&gt;=18, B947&lt;=24), "18-24",
  AND(B947&gt;=25, B947&lt;=34), "25-34",
  AND(B947&gt;=35, B947&lt;=44), "35-44",
  AND(B947&gt;=45, B947&lt;=54), "45-54",
  B947&gt;=55, "55+"
)</f>
        <v>35-44</v>
      </c>
      <c r="D947" t="s">
        <v>19</v>
      </c>
      <c r="E947" t="s">
        <v>132</v>
      </c>
      <c r="F947" t="s">
        <v>43</v>
      </c>
      <c r="G947">
        <v>38</v>
      </c>
      <c r="H947" t="s">
        <v>134</v>
      </c>
      <c r="I947" t="s">
        <v>45</v>
      </c>
      <c r="J947" t="s">
        <v>84</v>
      </c>
      <c r="K947" t="s">
        <v>54</v>
      </c>
      <c r="L947">
        <v>4.0999999999999996</v>
      </c>
      <c r="M947" t="s">
        <v>26</v>
      </c>
      <c r="N947" t="s">
        <v>59</v>
      </c>
      <c r="O947" t="s">
        <v>76</v>
      </c>
      <c r="P947" t="s">
        <v>26</v>
      </c>
      <c r="Q947" t="s">
        <v>26</v>
      </c>
      <c r="R947">
        <v>8</v>
      </c>
      <c r="S947" t="s">
        <v>29</v>
      </c>
      <c r="T947" t="str">
        <f t="shared" si="28"/>
        <v>Quarterly</v>
      </c>
      <c r="U947">
        <f>VLOOKUP(T947,[1]tablescore!$B$3:$C$8, 2,FALSE)</f>
        <v>4</v>
      </c>
      <c r="V947" t="str">
        <f t="shared" si="29"/>
        <v>Low Loyalty</v>
      </c>
      <c r="W947" t="s">
        <v>97</v>
      </c>
    </row>
    <row r="948" spans="1:23" x14ac:dyDescent="0.25">
      <c r="A948">
        <v>947</v>
      </c>
      <c r="B948">
        <v>46</v>
      </c>
      <c r="C948" t="str" cm="1">
        <f t="array" ref="C948">_xlfn.IFS(
  AND(B948&gt;=18, B948&lt;=24), "18-24",
  AND(B948&gt;=25, B948&lt;=34), "25-34",
  AND(B948&gt;=35, B948&lt;=44), "35-44",
  AND(B948&gt;=45, B948&lt;=54), "45-54",
  B948&gt;=55, "55+"
)</f>
        <v>45-54</v>
      </c>
      <c r="D948" t="s">
        <v>19</v>
      </c>
      <c r="E948" t="s">
        <v>64</v>
      </c>
      <c r="F948" t="s">
        <v>65</v>
      </c>
      <c r="G948">
        <v>24</v>
      </c>
      <c r="H948" t="s">
        <v>141</v>
      </c>
      <c r="I948" t="s">
        <v>92</v>
      </c>
      <c r="J948" t="s">
        <v>138</v>
      </c>
      <c r="K948" t="s">
        <v>39</v>
      </c>
      <c r="L948">
        <v>2.8</v>
      </c>
      <c r="M948" t="s">
        <v>26</v>
      </c>
      <c r="N948" t="s">
        <v>46</v>
      </c>
      <c r="O948" t="s">
        <v>47</v>
      </c>
      <c r="P948" t="s">
        <v>26</v>
      </c>
      <c r="Q948" t="s">
        <v>26</v>
      </c>
      <c r="R948">
        <v>4</v>
      </c>
      <c r="S948" t="s">
        <v>46</v>
      </c>
      <c r="T948" t="str">
        <f t="shared" si="28"/>
        <v>Quarterly</v>
      </c>
      <c r="U948">
        <f>VLOOKUP(T948,[1]tablescore!$B$3:$C$8, 2,FALSE)</f>
        <v>4</v>
      </c>
      <c r="V948" t="str">
        <f t="shared" si="29"/>
        <v>Low Loyalty</v>
      </c>
      <c r="W948" t="s">
        <v>60</v>
      </c>
    </row>
    <row r="949" spans="1:23" x14ac:dyDescent="0.25">
      <c r="A949">
        <v>948</v>
      </c>
      <c r="B949">
        <v>57</v>
      </c>
      <c r="C949" t="str" cm="1">
        <f t="array" ref="C949">_xlfn.IFS(
  AND(B949&gt;=18, B949&lt;=24), "18-24",
  AND(B949&gt;=25, B949&lt;=34), "25-34",
  AND(B949&gt;=35, B949&lt;=44), "35-44",
  AND(B949&gt;=45, B949&lt;=54), "45-54",
  B949&gt;=55, "55+"
)</f>
        <v>55+</v>
      </c>
      <c r="D949" t="s">
        <v>19</v>
      </c>
      <c r="E949" t="s">
        <v>20</v>
      </c>
      <c r="F949" t="s">
        <v>21</v>
      </c>
      <c r="G949">
        <v>32</v>
      </c>
      <c r="H949" t="s">
        <v>116</v>
      </c>
      <c r="I949" t="s">
        <v>45</v>
      </c>
      <c r="J949" t="s">
        <v>63</v>
      </c>
      <c r="K949" t="s">
        <v>25</v>
      </c>
      <c r="L949">
        <v>3.9</v>
      </c>
      <c r="M949" t="s">
        <v>26</v>
      </c>
      <c r="N949" t="s">
        <v>35</v>
      </c>
      <c r="O949" t="s">
        <v>76</v>
      </c>
      <c r="P949" t="s">
        <v>26</v>
      </c>
      <c r="Q949" t="s">
        <v>26</v>
      </c>
      <c r="R949">
        <v>6</v>
      </c>
      <c r="S949" t="s">
        <v>35</v>
      </c>
      <c r="T949" t="str">
        <f t="shared" si="28"/>
        <v>Quarterly</v>
      </c>
      <c r="U949">
        <f>VLOOKUP(T949,[1]tablescore!$B$3:$C$8, 2,FALSE)</f>
        <v>4</v>
      </c>
      <c r="V949" t="str">
        <f t="shared" si="29"/>
        <v>Low Loyalty</v>
      </c>
      <c r="W949" t="s">
        <v>97</v>
      </c>
    </row>
    <row r="950" spans="1:23" x14ac:dyDescent="0.25">
      <c r="A950">
        <v>949</v>
      </c>
      <c r="B950">
        <v>49</v>
      </c>
      <c r="C950" t="str" cm="1">
        <f t="array" ref="C950">_xlfn.IFS(
  AND(B950&gt;=18, B950&lt;=24), "18-24",
  AND(B950&gt;=25, B950&lt;=34), "25-34",
  AND(B950&gt;=35, B950&lt;=44), "35-44",
  AND(B950&gt;=45, B950&lt;=54), "45-54",
  B950&gt;=55, "55+"
)</f>
        <v>45-54</v>
      </c>
      <c r="D950" t="s">
        <v>19</v>
      </c>
      <c r="E950" t="s">
        <v>125</v>
      </c>
      <c r="F950" t="s">
        <v>69</v>
      </c>
      <c r="G950">
        <v>90</v>
      </c>
      <c r="H950" t="s">
        <v>90</v>
      </c>
      <c r="I950" t="s">
        <v>23</v>
      </c>
      <c r="J950" t="s">
        <v>79</v>
      </c>
      <c r="K950" t="s">
        <v>54</v>
      </c>
      <c r="L950">
        <v>4.9000000000000004</v>
      </c>
      <c r="M950" t="s">
        <v>26</v>
      </c>
      <c r="N950" t="s">
        <v>29</v>
      </c>
      <c r="O950" t="s">
        <v>28</v>
      </c>
      <c r="P950" t="s">
        <v>26</v>
      </c>
      <c r="Q950" t="s">
        <v>26</v>
      </c>
      <c r="R950">
        <v>11</v>
      </c>
      <c r="S950" t="s">
        <v>29</v>
      </c>
      <c r="T950" t="str">
        <f t="shared" si="28"/>
        <v>Quarterly</v>
      </c>
      <c r="U950">
        <f>VLOOKUP(T950,[1]tablescore!$B$3:$C$8, 2,FALSE)</f>
        <v>4</v>
      </c>
      <c r="V950" t="str">
        <f t="shared" si="29"/>
        <v>Low Loyalty</v>
      </c>
      <c r="W950" t="s">
        <v>97</v>
      </c>
    </row>
    <row r="951" spans="1:23" x14ac:dyDescent="0.25">
      <c r="A951">
        <v>950</v>
      </c>
      <c r="B951">
        <v>33</v>
      </c>
      <c r="C951" t="str" cm="1">
        <f t="array" ref="C951">_xlfn.IFS(
  AND(B951&gt;=18, B951&lt;=24), "18-24",
  AND(B951&gt;=25, B951&lt;=34), "25-34",
  AND(B951&gt;=35, B951&lt;=44), "35-44",
  AND(B951&gt;=45, B951&lt;=54), "45-54",
  B951&gt;=55, "55+"
)</f>
        <v>25-34</v>
      </c>
      <c r="D951" t="s">
        <v>19</v>
      </c>
      <c r="E951" t="s">
        <v>36</v>
      </c>
      <c r="F951" t="s">
        <v>21</v>
      </c>
      <c r="G951">
        <v>36</v>
      </c>
      <c r="H951" t="s">
        <v>57</v>
      </c>
      <c r="I951" t="s">
        <v>45</v>
      </c>
      <c r="J951" t="s">
        <v>79</v>
      </c>
      <c r="K951" t="s">
        <v>54</v>
      </c>
      <c r="L951">
        <v>3.4</v>
      </c>
      <c r="M951" t="s">
        <v>26</v>
      </c>
      <c r="N951" t="s">
        <v>35</v>
      </c>
      <c r="O951" t="s">
        <v>55</v>
      </c>
      <c r="P951" t="s">
        <v>26</v>
      </c>
      <c r="Q951" t="s">
        <v>26</v>
      </c>
      <c r="R951">
        <v>49</v>
      </c>
      <c r="S951" t="s">
        <v>29</v>
      </c>
      <c r="T951" t="str">
        <f t="shared" si="28"/>
        <v>Month</v>
      </c>
      <c r="U951">
        <f>VLOOKUP(T951,[1]tablescore!$B$3:$C$8, 2,FALSE)</f>
        <v>12</v>
      </c>
      <c r="V951" t="str">
        <f t="shared" si="29"/>
        <v>Moderate</v>
      </c>
      <c r="W951" t="s">
        <v>88</v>
      </c>
    </row>
    <row r="952" spans="1:23" x14ac:dyDescent="0.25">
      <c r="A952">
        <v>951</v>
      </c>
      <c r="B952">
        <v>54</v>
      </c>
      <c r="C952" t="str" cm="1">
        <f t="array" ref="C952">_xlfn.IFS(
  AND(B952&gt;=18, B952&lt;=24), "18-24",
  AND(B952&gt;=25, B952&lt;=34), "25-34",
  AND(B952&gt;=35, B952&lt;=44), "35-44",
  AND(B952&gt;=45, B952&lt;=54), "45-54",
  B952&gt;=55, "55+"
)</f>
        <v>45-54</v>
      </c>
      <c r="D952" t="s">
        <v>19</v>
      </c>
      <c r="E952" t="s">
        <v>133</v>
      </c>
      <c r="F952" t="s">
        <v>69</v>
      </c>
      <c r="G952">
        <v>37</v>
      </c>
      <c r="H952" t="s">
        <v>123</v>
      </c>
      <c r="I952" t="s">
        <v>92</v>
      </c>
      <c r="J952" t="s">
        <v>49</v>
      </c>
      <c r="K952" t="s">
        <v>25</v>
      </c>
      <c r="L952">
        <v>4.0999999999999996</v>
      </c>
      <c r="M952" t="s">
        <v>26</v>
      </c>
      <c r="N952" t="s">
        <v>35</v>
      </c>
      <c r="O952" t="s">
        <v>40</v>
      </c>
      <c r="P952" t="s">
        <v>26</v>
      </c>
      <c r="Q952" t="s">
        <v>26</v>
      </c>
      <c r="R952">
        <v>30</v>
      </c>
      <c r="S952" t="s">
        <v>46</v>
      </c>
      <c r="T952" t="str">
        <f t="shared" si="28"/>
        <v>Quarterly</v>
      </c>
      <c r="U952">
        <f>VLOOKUP(T952,[1]tablescore!$B$3:$C$8, 2,FALSE)</f>
        <v>4</v>
      </c>
      <c r="V952" t="str">
        <f t="shared" si="29"/>
        <v>Low Loyalty</v>
      </c>
      <c r="W952" t="s">
        <v>60</v>
      </c>
    </row>
    <row r="953" spans="1:23" x14ac:dyDescent="0.25">
      <c r="A953">
        <v>952</v>
      </c>
      <c r="B953">
        <v>47</v>
      </c>
      <c r="C953" t="str" cm="1">
        <f t="array" ref="C953">_xlfn.IFS(
  AND(B953&gt;=18, B953&lt;=24), "18-24",
  AND(B953&gt;=25, B953&lt;=34), "25-34",
  AND(B953&gt;=35, B953&lt;=44), "35-44",
  AND(B953&gt;=45, B953&lt;=54), "45-54",
  B953&gt;=55, "55+"
)</f>
        <v>45-54</v>
      </c>
      <c r="D953" t="s">
        <v>19</v>
      </c>
      <c r="E953" t="s">
        <v>82</v>
      </c>
      <c r="F953" t="s">
        <v>21</v>
      </c>
      <c r="G953">
        <v>51</v>
      </c>
      <c r="H953" t="s">
        <v>120</v>
      </c>
      <c r="I953" t="s">
        <v>45</v>
      </c>
      <c r="J953" t="s">
        <v>109</v>
      </c>
      <c r="K953" t="s">
        <v>54</v>
      </c>
      <c r="L953">
        <v>2.9</v>
      </c>
      <c r="M953" t="s">
        <v>26</v>
      </c>
      <c r="N953" t="s">
        <v>29</v>
      </c>
      <c r="O953" t="s">
        <v>28</v>
      </c>
      <c r="P953" t="s">
        <v>26</v>
      </c>
      <c r="Q953" t="s">
        <v>26</v>
      </c>
      <c r="R953">
        <v>34</v>
      </c>
      <c r="S953" t="s">
        <v>34</v>
      </c>
      <c r="T953" t="str">
        <f t="shared" si="28"/>
        <v>Month</v>
      </c>
      <c r="U953">
        <f>VLOOKUP(T953,[1]tablescore!$B$3:$C$8, 2,FALSE)</f>
        <v>12</v>
      </c>
      <c r="V953" t="str">
        <f t="shared" si="29"/>
        <v>Moderate</v>
      </c>
      <c r="W953" t="s">
        <v>88</v>
      </c>
    </row>
    <row r="954" spans="1:23" x14ac:dyDescent="0.25">
      <c r="A954">
        <v>953</v>
      </c>
      <c r="B954">
        <v>36</v>
      </c>
      <c r="C954" t="str" cm="1">
        <f t="array" ref="C954">_xlfn.IFS(
  AND(B954&gt;=18, B954&lt;=24), "18-24",
  AND(B954&gt;=25, B954&lt;=34), "25-34",
  AND(B954&gt;=35, B954&lt;=44), "35-44",
  AND(B954&gt;=45, B954&lt;=54), "45-54",
  B954&gt;=55, "55+"
)</f>
        <v>35-44</v>
      </c>
      <c r="D954" t="s">
        <v>19</v>
      </c>
      <c r="E954" t="s">
        <v>125</v>
      </c>
      <c r="F954" t="s">
        <v>69</v>
      </c>
      <c r="G954">
        <v>71</v>
      </c>
      <c r="H954" t="s">
        <v>144</v>
      </c>
      <c r="I954" t="s">
        <v>38</v>
      </c>
      <c r="J954" t="s">
        <v>108</v>
      </c>
      <c r="K954" t="s">
        <v>58</v>
      </c>
      <c r="L954">
        <v>3.1</v>
      </c>
      <c r="M954" t="s">
        <v>26</v>
      </c>
      <c r="N954" t="s">
        <v>34</v>
      </c>
      <c r="O954" t="s">
        <v>72</v>
      </c>
      <c r="P954" t="s">
        <v>26</v>
      </c>
      <c r="Q954" t="s">
        <v>26</v>
      </c>
      <c r="R954">
        <v>28</v>
      </c>
      <c r="S954" t="s">
        <v>46</v>
      </c>
      <c r="T954" t="str">
        <f t="shared" si="28"/>
        <v>Month</v>
      </c>
      <c r="U954">
        <f>VLOOKUP(T954,[1]tablescore!$B$3:$C$8, 2,FALSE)</f>
        <v>12</v>
      </c>
      <c r="V954" t="str">
        <f t="shared" si="29"/>
        <v>Moderate</v>
      </c>
      <c r="W954" t="s">
        <v>88</v>
      </c>
    </row>
    <row r="955" spans="1:23" x14ac:dyDescent="0.25">
      <c r="A955">
        <v>954</v>
      </c>
      <c r="B955">
        <v>68</v>
      </c>
      <c r="C955" t="str" cm="1">
        <f t="array" ref="C955">_xlfn.IFS(
  AND(B955&gt;=18, B955&lt;=24), "18-24",
  AND(B955&gt;=25, B955&lt;=34), "25-34",
  AND(B955&gt;=35, B955&lt;=44), "35-44",
  AND(B955&gt;=45, B955&lt;=54), "45-54",
  B955&gt;=55, "55+"
)</f>
        <v>55+</v>
      </c>
      <c r="D955" t="s">
        <v>19</v>
      </c>
      <c r="E955" t="s">
        <v>89</v>
      </c>
      <c r="F955" t="s">
        <v>69</v>
      </c>
      <c r="G955">
        <v>50</v>
      </c>
      <c r="H955" t="s">
        <v>149</v>
      </c>
      <c r="I955" t="s">
        <v>38</v>
      </c>
      <c r="J955" t="s">
        <v>109</v>
      </c>
      <c r="K955" t="s">
        <v>39</v>
      </c>
      <c r="L955">
        <v>3.6</v>
      </c>
      <c r="M955" t="s">
        <v>26</v>
      </c>
      <c r="N955" t="s">
        <v>27</v>
      </c>
      <c r="O955" t="s">
        <v>72</v>
      </c>
      <c r="P955" t="s">
        <v>26</v>
      </c>
      <c r="Q955" t="s">
        <v>26</v>
      </c>
      <c r="R955">
        <v>36</v>
      </c>
      <c r="S955" t="s">
        <v>29</v>
      </c>
      <c r="T955" t="str">
        <f t="shared" si="28"/>
        <v>Quarterly</v>
      </c>
      <c r="U955">
        <f>VLOOKUP(T955,[1]tablescore!$B$3:$C$8, 2,FALSE)</f>
        <v>4</v>
      </c>
      <c r="V955" t="str">
        <f t="shared" si="29"/>
        <v>Low Loyalty</v>
      </c>
      <c r="W955" t="s">
        <v>60</v>
      </c>
    </row>
    <row r="956" spans="1:23" x14ac:dyDescent="0.25">
      <c r="A956">
        <v>955</v>
      </c>
      <c r="B956">
        <v>60</v>
      </c>
      <c r="C956" t="str" cm="1">
        <f t="array" ref="C956">_xlfn.IFS(
  AND(B956&gt;=18, B956&lt;=24), "18-24",
  AND(B956&gt;=25, B956&lt;=34), "25-34",
  AND(B956&gt;=35, B956&lt;=44), "35-44",
  AND(B956&gt;=45, B956&lt;=54), "45-54",
  B956&gt;=55, "55+"
)</f>
        <v>55+</v>
      </c>
      <c r="D956" t="s">
        <v>19</v>
      </c>
      <c r="E956" t="s">
        <v>125</v>
      </c>
      <c r="F956" t="s">
        <v>69</v>
      </c>
      <c r="G956">
        <v>74</v>
      </c>
      <c r="H956" t="s">
        <v>62</v>
      </c>
      <c r="I956" t="s">
        <v>38</v>
      </c>
      <c r="J956" t="s">
        <v>49</v>
      </c>
      <c r="K956" t="s">
        <v>58</v>
      </c>
      <c r="L956">
        <v>3.5</v>
      </c>
      <c r="M956" t="s">
        <v>26</v>
      </c>
      <c r="N956" t="s">
        <v>29</v>
      </c>
      <c r="O956" t="s">
        <v>55</v>
      </c>
      <c r="P956" t="s">
        <v>26</v>
      </c>
      <c r="Q956" t="s">
        <v>26</v>
      </c>
      <c r="R956">
        <v>18</v>
      </c>
      <c r="S956" t="s">
        <v>27</v>
      </c>
      <c r="T956" t="str">
        <f t="shared" si="28"/>
        <v>Quarterly</v>
      </c>
      <c r="U956">
        <f>VLOOKUP(T956,[1]tablescore!$B$3:$C$8, 2,FALSE)</f>
        <v>4</v>
      </c>
      <c r="V956" t="str">
        <f t="shared" si="29"/>
        <v>Low Loyalty</v>
      </c>
      <c r="W956" t="s">
        <v>97</v>
      </c>
    </row>
    <row r="957" spans="1:23" x14ac:dyDescent="0.25">
      <c r="A957">
        <v>956</v>
      </c>
      <c r="B957">
        <v>55</v>
      </c>
      <c r="C957" t="str" cm="1">
        <f t="array" ref="C957">_xlfn.IFS(
  AND(B957&gt;=18, B957&lt;=24), "18-24",
  AND(B957&gt;=25, B957&lt;=34), "25-34",
  AND(B957&gt;=35, B957&lt;=44), "35-44",
  AND(B957&gt;=45, B957&lt;=54), "45-54",
  B957&gt;=55, "55+"
)</f>
        <v>55+</v>
      </c>
      <c r="D957" t="s">
        <v>19</v>
      </c>
      <c r="E957" t="s">
        <v>82</v>
      </c>
      <c r="F957" t="s">
        <v>21</v>
      </c>
      <c r="G957">
        <v>75</v>
      </c>
      <c r="H957" t="s">
        <v>91</v>
      </c>
      <c r="I957" t="s">
        <v>23</v>
      </c>
      <c r="J957" t="s">
        <v>93</v>
      </c>
      <c r="K957" t="s">
        <v>54</v>
      </c>
      <c r="L957">
        <v>3.4</v>
      </c>
      <c r="M957" t="s">
        <v>26</v>
      </c>
      <c r="N957" t="s">
        <v>29</v>
      </c>
      <c r="O957" t="s">
        <v>40</v>
      </c>
      <c r="P957" t="s">
        <v>26</v>
      </c>
      <c r="Q957" t="s">
        <v>26</v>
      </c>
      <c r="R957">
        <v>4</v>
      </c>
      <c r="S957" t="s">
        <v>46</v>
      </c>
      <c r="T957" t="str">
        <f t="shared" si="28"/>
        <v>Month</v>
      </c>
      <c r="U957">
        <f>VLOOKUP(T957,[1]tablescore!$B$3:$C$8, 2,FALSE)</f>
        <v>12</v>
      </c>
      <c r="V957" t="str">
        <f t="shared" si="29"/>
        <v>Moderate</v>
      </c>
      <c r="W957" t="s">
        <v>88</v>
      </c>
    </row>
    <row r="958" spans="1:23" x14ac:dyDescent="0.25">
      <c r="A958">
        <v>957</v>
      </c>
      <c r="B958">
        <v>29</v>
      </c>
      <c r="C958" t="str" cm="1">
        <f t="array" ref="C958">_xlfn.IFS(
  AND(B958&gt;=18, B958&lt;=24), "18-24",
  AND(B958&gt;=25, B958&lt;=34), "25-34",
  AND(B958&gt;=35, B958&lt;=44), "35-44",
  AND(B958&gt;=45, B958&lt;=54), "45-54",
  B958&gt;=55, "55+"
)</f>
        <v>25-34</v>
      </c>
      <c r="D958" t="s">
        <v>19</v>
      </c>
      <c r="E958" t="s">
        <v>56</v>
      </c>
      <c r="F958" t="s">
        <v>21</v>
      </c>
      <c r="G958">
        <v>99</v>
      </c>
      <c r="H958" t="s">
        <v>91</v>
      </c>
      <c r="I958" t="s">
        <v>92</v>
      </c>
      <c r="J958" t="s">
        <v>109</v>
      </c>
      <c r="K958" t="s">
        <v>39</v>
      </c>
      <c r="L958">
        <v>2.9</v>
      </c>
      <c r="M958" t="s">
        <v>26</v>
      </c>
      <c r="N958" t="s">
        <v>29</v>
      </c>
      <c r="O958" t="s">
        <v>72</v>
      </c>
      <c r="P958" t="s">
        <v>26</v>
      </c>
      <c r="Q958" t="s">
        <v>26</v>
      </c>
      <c r="R958">
        <v>42</v>
      </c>
      <c r="S958" t="s">
        <v>59</v>
      </c>
      <c r="T958" t="str">
        <f t="shared" si="28"/>
        <v>Quarterly</v>
      </c>
      <c r="U958">
        <f>VLOOKUP(T958,[1]tablescore!$B$3:$C$8, 2,FALSE)</f>
        <v>4</v>
      </c>
      <c r="V958" t="str">
        <f t="shared" si="29"/>
        <v>Low Loyalty</v>
      </c>
      <c r="W958" t="s">
        <v>60</v>
      </c>
    </row>
    <row r="959" spans="1:23" x14ac:dyDescent="0.25">
      <c r="A959">
        <v>958</v>
      </c>
      <c r="B959">
        <v>38</v>
      </c>
      <c r="C959" t="str" cm="1">
        <f t="array" ref="C959">_xlfn.IFS(
  AND(B959&gt;=18, B959&lt;=24), "18-24",
  AND(B959&gt;=25, B959&lt;=34), "25-34",
  AND(B959&gt;=35, B959&lt;=44), "35-44",
  AND(B959&gt;=45, B959&lt;=54), "45-54",
  B959&gt;=55, "55+"
)</f>
        <v>35-44</v>
      </c>
      <c r="D959" t="s">
        <v>19</v>
      </c>
      <c r="E959" t="s">
        <v>119</v>
      </c>
      <c r="F959" t="s">
        <v>69</v>
      </c>
      <c r="G959">
        <v>23</v>
      </c>
      <c r="H959" t="s">
        <v>116</v>
      </c>
      <c r="I959" t="s">
        <v>92</v>
      </c>
      <c r="J959" t="s">
        <v>84</v>
      </c>
      <c r="K959" t="s">
        <v>39</v>
      </c>
      <c r="L959">
        <v>4.7</v>
      </c>
      <c r="M959" t="s">
        <v>26</v>
      </c>
      <c r="N959" t="s">
        <v>34</v>
      </c>
      <c r="O959" t="s">
        <v>76</v>
      </c>
      <c r="P959" t="s">
        <v>26</v>
      </c>
      <c r="Q959" t="s">
        <v>26</v>
      </c>
      <c r="R959">
        <v>11</v>
      </c>
      <c r="S959" t="s">
        <v>35</v>
      </c>
      <c r="T959" t="str">
        <f t="shared" si="28"/>
        <v>Quarterly</v>
      </c>
      <c r="U959">
        <f>VLOOKUP(T959,[1]tablescore!$B$3:$C$8, 2,FALSE)</f>
        <v>4</v>
      </c>
      <c r="V959" t="str">
        <f t="shared" si="29"/>
        <v>Low Loyalty</v>
      </c>
      <c r="W959" t="s">
        <v>60</v>
      </c>
    </row>
    <row r="960" spans="1:23" x14ac:dyDescent="0.25">
      <c r="A960">
        <v>959</v>
      </c>
      <c r="B960">
        <v>70</v>
      </c>
      <c r="C960" t="str" cm="1">
        <f t="array" ref="C960">_xlfn.IFS(
  AND(B960&gt;=18, B960&lt;=24), "18-24",
  AND(B960&gt;=25, B960&lt;=34), "25-34",
  AND(B960&gt;=35, B960&lt;=44), "35-44",
  AND(B960&gt;=45, B960&lt;=54), "45-54",
  B960&gt;=55, "55+"
)</f>
        <v>55+</v>
      </c>
      <c r="D960" t="s">
        <v>19</v>
      </c>
      <c r="E960" t="s">
        <v>51</v>
      </c>
      <c r="F960" t="s">
        <v>43</v>
      </c>
      <c r="G960">
        <v>53</v>
      </c>
      <c r="H960" t="s">
        <v>140</v>
      </c>
      <c r="I960" t="s">
        <v>92</v>
      </c>
      <c r="J960" t="s">
        <v>118</v>
      </c>
      <c r="K960" t="s">
        <v>25</v>
      </c>
      <c r="L960">
        <v>4.4000000000000004</v>
      </c>
      <c r="M960" t="s">
        <v>26</v>
      </c>
      <c r="N960" t="s">
        <v>35</v>
      </c>
      <c r="O960" t="s">
        <v>40</v>
      </c>
      <c r="P960" t="s">
        <v>26</v>
      </c>
      <c r="Q960" t="s">
        <v>26</v>
      </c>
      <c r="R960">
        <v>31</v>
      </c>
      <c r="S960" t="s">
        <v>27</v>
      </c>
      <c r="T960" t="str">
        <f t="shared" si="28"/>
        <v>2-week</v>
      </c>
      <c r="U960">
        <f>VLOOKUP(T960,[1]tablescore!$B$3:$C$8, 2,FALSE)</f>
        <v>26</v>
      </c>
      <c r="V960" t="str">
        <f t="shared" si="29"/>
        <v>Loyal</v>
      </c>
      <c r="W960" t="s">
        <v>77</v>
      </c>
    </row>
    <row r="961" spans="1:23" x14ac:dyDescent="0.25">
      <c r="A961">
        <v>960</v>
      </c>
      <c r="B961">
        <v>36</v>
      </c>
      <c r="C961" t="str" cm="1">
        <f t="array" ref="C961">_xlfn.IFS(
  AND(B961&gt;=18, B961&lt;=24), "18-24",
  AND(B961&gt;=25, B961&lt;=34), "25-34",
  AND(B961&gt;=35, B961&lt;=44), "35-44",
  AND(B961&gt;=45, B961&lt;=54), "45-54",
  B961&gt;=55, "55+"
)</f>
        <v>35-44</v>
      </c>
      <c r="D961" t="s">
        <v>19</v>
      </c>
      <c r="E961" t="s">
        <v>87</v>
      </c>
      <c r="F961" t="s">
        <v>21</v>
      </c>
      <c r="G961">
        <v>99</v>
      </c>
      <c r="H961" t="s">
        <v>107</v>
      </c>
      <c r="I961" t="s">
        <v>45</v>
      </c>
      <c r="J961" t="s">
        <v>109</v>
      </c>
      <c r="K961" t="s">
        <v>39</v>
      </c>
      <c r="L961">
        <v>2.6</v>
      </c>
      <c r="M961" t="s">
        <v>26</v>
      </c>
      <c r="N961" t="s">
        <v>35</v>
      </c>
      <c r="O961" t="s">
        <v>55</v>
      </c>
      <c r="P961" t="s">
        <v>26</v>
      </c>
      <c r="Q961" t="s">
        <v>26</v>
      </c>
      <c r="R961">
        <v>12</v>
      </c>
      <c r="S961" t="s">
        <v>35</v>
      </c>
      <c r="T961" t="str">
        <f t="shared" si="28"/>
        <v>2-week</v>
      </c>
      <c r="U961">
        <f>VLOOKUP(T961,[1]tablescore!$B$3:$C$8, 2,FALSE)</f>
        <v>26</v>
      </c>
      <c r="V961" t="str">
        <f t="shared" si="29"/>
        <v>Loyal</v>
      </c>
      <c r="W961" t="s">
        <v>30</v>
      </c>
    </row>
    <row r="962" spans="1:23" x14ac:dyDescent="0.25">
      <c r="A962">
        <v>961</v>
      </c>
      <c r="B962">
        <v>18</v>
      </c>
      <c r="C962" t="str" cm="1">
        <f t="array" ref="C962">_xlfn.IFS(
  AND(B962&gt;=18, B962&lt;=24), "18-24",
  AND(B962&gt;=25, B962&lt;=34), "25-34",
  AND(B962&gt;=35, B962&lt;=44), "35-44",
  AND(B962&gt;=45, B962&lt;=54), "45-54",
  B962&gt;=55, "55+"
)</f>
        <v>18-24</v>
      </c>
      <c r="D962" t="s">
        <v>19</v>
      </c>
      <c r="E962" t="s">
        <v>106</v>
      </c>
      <c r="F962" t="s">
        <v>69</v>
      </c>
      <c r="G962">
        <v>48</v>
      </c>
      <c r="H962" t="s">
        <v>62</v>
      </c>
      <c r="I962" t="s">
        <v>92</v>
      </c>
      <c r="J962" t="s">
        <v>129</v>
      </c>
      <c r="K962" t="s">
        <v>39</v>
      </c>
      <c r="L962">
        <v>4.4000000000000004</v>
      </c>
      <c r="M962" t="s">
        <v>26</v>
      </c>
      <c r="N962" t="s">
        <v>59</v>
      </c>
      <c r="O962" t="s">
        <v>55</v>
      </c>
      <c r="P962" t="s">
        <v>26</v>
      </c>
      <c r="Q962" t="s">
        <v>26</v>
      </c>
      <c r="R962">
        <v>20</v>
      </c>
      <c r="S962" t="s">
        <v>29</v>
      </c>
      <c r="T962" t="str">
        <f t="shared" si="28"/>
        <v>Quarterly</v>
      </c>
      <c r="U962">
        <f>VLOOKUP(T962,[1]tablescore!$B$3:$C$8, 2,FALSE)</f>
        <v>4</v>
      </c>
      <c r="V962" t="str">
        <f t="shared" si="29"/>
        <v>Low Loyalty</v>
      </c>
      <c r="W962" t="s">
        <v>60</v>
      </c>
    </row>
    <row r="963" spans="1:23" x14ac:dyDescent="0.25">
      <c r="A963">
        <v>962</v>
      </c>
      <c r="B963">
        <v>62</v>
      </c>
      <c r="C963" t="str" cm="1">
        <f t="array" ref="C963">_xlfn.IFS(
  AND(B963&gt;=18, B963&lt;=24), "18-24",
  AND(B963&gt;=25, B963&lt;=34), "25-34",
  AND(B963&gt;=35, B963&lt;=44), "35-44",
  AND(B963&gt;=45, B963&lt;=54), "45-54",
  B963&gt;=55, "55+"
)</f>
        <v>55+</v>
      </c>
      <c r="D963" t="s">
        <v>19</v>
      </c>
      <c r="E963" t="s">
        <v>132</v>
      </c>
      <c r="F963" t="s">
        <v>43</v>
      </c>
      <c r="G963">
        <v>72</v>
      </c>
      <c r="H963" t="s">
        <v>141</v>
      </c>
      <c r="I963" t="s">
        <v>23</v>
      </c>
      <c r="J963" t="s">
        <v>79</v>
      </c>
      <c r="K963" t="s">
        <v>58</v>
      </c>
      <c r="L963">
        <v>3.7</v>
      </c>
      <c r="M963" t="s">
        <v>26</v>
      </c>
      <c r="N963" t="s">
        <v>29</v>
      </c>
      <c r="O963" t="s">
        <v>47</v>
      </c>
      <c r="P963" t="s">
        <v>26</v>
      </c>
      <c r="Q963" t="s">
        <v>26</v>
      </c>
      <c r="R963">
        <v>37</v>
      </c>
      <c r="S963" t="s">
        <v>59</v>
      </c>
      <c r="T963" t="str">
        <f t="shared" ref="T963:T1026" si="30">IF(TRIM(W963)="Every 3 months","Quarterly",IF(TRIM(W963)="Fortnightly","2-week",IF(TRIM(W963)="Bi-Weekly","2-week",IF(TRIM(W963)="Weekly","Daily",IF(TRIM(W963)="Monthly","Month",TRIM(W963))))))</f>
        <v>Quarterly</v>
      </c>
      <c r="U963">
        <f>VLOOKUP(T963,[1]tablescore!$B$3:$C$8, 2,FALSE)</f>
        <v>4</v>
      </c>
      <c r="V963" t="str">
        <f t="shared" ref="V963:V1026" si="31">_xlfn.IFS(U963&gt;=30, "Highly Loyal", U963&gt;=26, "Loyal", U963&gt;=12, "Moderate", U963&lt;5, "Low Loyalty")</f>
        <v>Low Loyalty</v>
      </c>
      <c r="W963" t="s">
        <v>60</v>
      </c>
    </row>
    <row r="964" spans="1:23" x14ac:dyDescent="0.25">
      <c r="A964">
        <v>963</v>
      </c>
      <c r="B964">
        <v>29</v>
      </c>
      <c r="C964" t="str" cm="1">
        <f t="array" ref="C964">_xlfn.IFS(
  AND(B964&gt;=18, B964&lt;=24), "18-24",
  AND(B964&gt;=25, B964&lt;=34), "25-34",
  AND(B964&gt;=35, B964&lt;=44), "35-44",
  AND(B964&gt;=45, B964&lt;=54), "45-54",
  B964&gt;=55, "55+"
)</f>
        <v>25-34</v>
      </c>
      <c r="D964" t="s">
        <v>19</v>
      </c>
      <c r="E964" t="s">
        <v>89</v>
      </c>
      <c r="F964" t="s">
        <v>69</v>
      </c>
      <c r="G964">
        <v>64</v>
      </c>
      <c r="H964" t="s">
        <v>151</v>
      </c>
      <c r="I964" t="s">
        <v>23</v>
      </c>
      <c r="J964" t="s">
        <v>96</v>
      </c>
      <c r="K964" t="s">
        <v>39</v>
      </c>
      <c r="L964">
        <v>4.4000000000000004</v>
      </c>
      <c r="M964" t="s">
        <v>26</v>
      </c>
      <c r="N964" t="s">
        <v>35</v>
      </c>
      <c r="O964" t="s">
        <v>55</v>
      </c>
      <c r="P964" t="s">
        <v>26</v>
      </c>
      <c r="Q964" t="s">
        <v>26</v>
      </c>
      <c r="R964">
        <v>26</v>
      </c>
      <c r="S964" t="s">
        <v>59</v>
      </c>
      <c r="T964" t="str">
        <f t="shared" si="30"/>
        <v>2-week</v>
      </c>
      <c r="U964">
        <f>VLOOKUP(T964,[1]tablescore!$B$3:$C$8, 2,FALSE)</f>
        <v>26</v>
      </c>
      <c r="V964" t="str">
        <f t="shared" si="31"/>
        <v>Loyal</v>
      </c>
      <c r="W964" t="s">
        <v>30</v>
      </c>
    </row>
    <row r="965" spans="1:23" x14ac:dyDescent="0.25">
      <c r="A965">
        <v>964</v>
      </c>
      <c r="B965">
        <v>21</v>
      </c>
      <c r="C965" t="str" cm="1">
        <f t="array" ref="C965">_xlfn.IFS(
  AND(B965&gt;=18, B965&lt;=24), "18-24",
  AND(B965&gt;=25, B965&lt;=34), "25-34",
  AND(B965&gt;=35, B965&lt;=44), "35-44",
  AND(B965&gt;=45, B965&lt;=54), "45-54",
  B965&gt;=55, "55+"
)</f>
        <v>18-24</v>
      </c>
      <c r="D965" t="s">
        <v>19</v>
      </c>
      <c r="E965" t="s">
        <v>132</v>
      </c>
      <c r="F965" t="s">
        <v>43</v>
      </c>
      <c r="G965">
        <v>63</v>
      </c>
      <c r="H965" t="s">
        <v>126</v>
      </c>
      <c r="I965" t="s">
        <v>23</v>
      </c>
      <c r="J965" t="s">
        <v>96</v>
      </c>
      <c r="K965" t="s">
        <v>39</v>
      </c>
      <c r="L965">
        <v>2.5</v>
      </c>
      <c r="M965" t="s">
        <v>26</v>
      </c>
      <c r="N965" t="s">
        <v>35</v>
      </c>
      <c r="O965" t="s">
        <v>72</v>
      </c>
      <c r="P965" t="s">
        <v>26</v>
      </c>
      <c r="Q965" t="s">
        <v>26</v>
      </c>
      <c r="R965">
        <v>14</v>
      </c>
      <c r="S965" t="s">
        <v>27</v>
      </c>
      <c r="T965" t="str">
        <f t="shared" si="30"/>
        <v>Daily</v>
      </c>
      <c r="U965">
        <f>VLOOKUP(T965,[1]tablescore!$B$3:$C$8, 2,FALSE)</f>
        <v>30</v>
      </c>
      <c r="V965" t="str">
        <f t="shared" si="31"/>
        <v>Highly Loyal</v>
      </c>
      <c r="W965" t="s">
        <v>41</v>
      </c>
    </row>
    <row r="966" spans="1:23" x14ac:dyDescent="0.25">
      <c r="A966">
        <v>965</v>
      </c>
      <c r="B966">
        <v>42</v>
      </c>
      <c r="C966" t="str" cm="1">
        <f t="array" ref="C966">_xlfn.IFS(
  AND(B966&gt;=18, B966&lt;=24), "18-24",
  AND(B966&gt;=25, B966&lt;=34), "25-34",
  AND(B966&gt;=35, B966&lt;=44), "35-44",
  AND(B966&gt;=45, B966&lt;=54), "45-54",
  B966&gt;=55, "55+"
)</f>
        <v>35-44</v>
      </c>
      <c r="D966" t="s">
        <v>19</v>
      </c>
      <c r="E966" t="s">
        <v>42</v>
      </c>
      <c r="F966" t="s">
        <v>43</v>
      </c>
      <c r="G966">
        <v>51</v>
      </c>
      <c r="H966" t="s">
        <v>117</v>
      </c>
      <c r="I966" t="s">
        <v>45</v>
      </c>
      <c r="J966" t="s">
        <v>118</v>
      </c>
      <c r="K966" t="s">
        <v>39</v>
      </c>
      <c r="L966">
        <v>2.6</v>
      </c>
      <c r="M966" t="s">
        <v>26</v>
      </c>
      <c r="N966" t="s">
        <v>34</v>
      </c>
      <c r="O966" t="s">
        <v>47</v>
      </c>
      <c r="P966" t="s">
        <v>26</v>
      </c>
      <c r="Q966" t="s">
        <v>26</v>
      </c>
      <c r="R966">
        <v>12</v>
      </c>
      <c r="S966" t="s">
        <v>29</v>
      </c>
      <c r="T966" t="str">
        <f t="shared" si="30"/>
        <v>2-week</v>
      </c>
      <c r="U966">
        <f>VLOOKUP(T966,[1]tablescore!$B$3:$C$8, 2,FALSE)</f>
        <v>26</v>
      </c>
      <c r="V966" t="str">
        <f t="shared" si="31"/>
        <v>Loyal</v>
      </c>
      <c r="W966" t="s">
        <v>77</v>
      </c>
    </row>
    <row r="967" spans="1:23" x14ac:dyDescent="0.25">
      <c r="A967">
        <v>966</v>
      </c>
      <c r="B967">
        <v>43</v>
      </c>
      <c r="C967" t="str" cm="1">
        <f t="array" ref="C967">_xlfn.IFS(
  AND(B967&gt;=18, B967&lt;=24), "18-24",
  AND(B967&gt;=25, B967&lt;=34), "25-34",
  AND(B967&gt;=35, B967&lt;=44), "35-44",
  AND(B967&gt;=45, B967&lt;=54), "45-54",
  B967&gt;=55, "55+"
)</f>
        <v>35-44</v>
      </c>
      <c r="D967" t="s">
        <v>19</v>
      </c>
      <c r="E967" t="s">
        <v>132</v>
      </c>
      <c r="F967" t="s">
        <v>43</v>
      </c>
      <c r="G967">
        <v>55</v>
      </c>
      <c r="H967" t="s">
        <v>80</v>
      </c>
      <c r="I967" t="s">
        <v>23</v>
      </c>
      <c r="J967" t="s">
        <v>94</v>
      </c>
      <c r="K967" t="s">
        <v>39</v>
      </c>
      <c r="L967">
        <v>5</v>
      </c>
      <c r="M967" t="s">
        <v>26</v>
      </c>
      <c r="N967" t="s">
        <v>59</v>
      </c>
      <c r="O967" t="s">
        <v>76</v>
      </c>
      <c r="P967" t="s">
        <v>26</v>
      </c>
      <c r="Q967" t="s">
        <v>26</v>
      </c>
      <c r="R967">
        <v>10</v>
      </c>
      <c r="S967" t="s">
        <v>27</v>
      </c>
      <c r="T967" t="str">
        <f t="shared" si="30"/>
        <v>Annually</v>
      </c>
      <c r="U967">
        <f>VLOOKUP(T967,[1]tablescore!$B$3:$C$8, 2,FALSE)</f>
        <v>1</v>
      </c>
      <c r="V967" t="str">
        <f t="shared" si="31"/>
        <v>Low Loyalty</v>
      </c>
      <c r="W967" t="s">
        <v>50</v>
      </c>
    </row>
    <row r="968" spans="1:23" x14ac:dyDescent="0.25">
      <c r="A968">
        <v>967</v>
      </c>
      <c r="B968">
        <v>58</v>
      </c>
      <c r="C968" t="str" cm="1">
        <f t="array" ref="C968">_xlfn.IFS(
  AND(B968&gt;=18, B968&lt;=24), "18-24",
  AND(B968&gt;=25, B968&lt;=34), "25-34",
  AND(B968&gt;=35, B968&lt;=44), "35-44",
  AND(B968&gt;=45, B968&lt;=54), "45-54",
  B968&gt;=55, "55+"
)</f>
        <v>55+</v>
      </c>
      <c r="D968" t="s">
        <v>19</v>
      </c>
      <c r="E968" t="s">
        <v>82</v>
      </c>
      <c r="F968" t="s">
        <v>21</v>
      </c>
      <c r="G968">
        <v>55</v>
      </c>
      <c r="H968" t="s">
        <v>22</v>
      </c>
      <c r="I968" t="s">
        <v>45</v>
      </c>
      <c r="J968" t="s">
        <v>110</v>
      </c>
      <c r="K968" t="s">
        <v>39</v>
      </c>
      <c r="L968">
        <v>4.9000000000000004</v>
      </c>
      <c r="M968" t="s">
        <v>26</v>
      </c>
      <c r="N968" t="s">
        <v>35</v>
      </c>
      <c r="O968" t="s">
        <v>28</v>
      </c>
      <c r="P968" t="s">
        <v>26</v>
      </c>
      <c r="Q968" t="s">
        <v>26</v>
      </c>
      <c r="R968">
        <v>19</v>
      </c>
      <c r="S968" t="s">
        <v>35</v>
      </c>
      <c r="T968" t="str">
        <f t="shared" si="30"/>
        <v>Annually</v>
      </c>
      <c r="U968">
        <f>VLOOKUP(T968,[1]tablescore!$B$3:$C$8, 2,FALSE)</f>
        <v>1</v>
      </c>
      <c r="V968" t="str">
        <f t="shared" si="31"/>
        <v>Low Loyalty</v>
      </c>
      <c r="W968" t="s">
        <v>50</v>
      </c>
    </row>
    <row r="969" spans="1:23" x14ac:dyDescent="0.25">
      <c r="A969">
        <v>968</v>
      </c>
      <c r="B969">
        <v>27</v>
      </c>
      <c r="C969" t="str" cm="1">
        <f t="array" ref="C969">_xlfn.IFS(
  AND(B969&gt;=18, B969&lt;=24), "18-24",
  AND(B969&gt;=25, B969&lt;=34), "25-34",
  AND(B969&gt;=35, B969&lt;=44), "35-44",
  AND(B969&gt;=45, B969&lt;=54), "45-54",
  B969&gt;=55, "55+"
)</f>
        <v>25-34</v>
      </c>
      <c r="D969" t="s">
        <v>19</v>
      </c>
      <c r="E969" t="s">
        <v>104</v>
      </c>
      <c r="F969" t="s">
        <v>21</v>
      </c>
      <c r="G969">
        <v>26</v>
      </c>
      <c r="H969" t="s">
        <v>142</v>
      </c>
      <c r="I969" t="s">
        <v>38</v>
      </c>
      <c r="J969" t="s">
        <v>67</v>
      </c>
      <c r="K969" t="s">
        <v>54</v>
      </c>
      <c r="L969">
        <v>3.7</v>
      </c>
      <c r="M969" t="s">
        <v>26</v>
      </c>
      <c r="N969" t="s">
        <v>59</v>
      </c>
      <c r="O969" t="s">
        <v>76</v>
      </c>
      <c r="P969" t="s">
        <v>26</v>
      </c>
      <c r="Q969" t="s">
        <v>26</v>
      </c>
      <c r="R969">
        <v>4</v>
      </c>
      <c r="S969" t="s">
        <v>35</v>
      </c>
      <c r="T969" t="str">
        <f t="shared" si="30"/>
        <v>Daily</v>
      </c>
      <c r="U969">
        <f>VLOOKUP(T969,[1]tablescore!$B$3:$C$8, 2,FALSE)</f>
        <v>30</v>
      </c>
      <c r="V969" t="str">
        <f t="shared" si="31"/>
        <v>Highly Loyal</v>
      </c>
      <c r="W969" t="s">
        <v>41</v>
      </c>
    </row>
    <row r="970" spans="1:23" x14ac:dyDescent="0.25">
      <c r="A970">
        <v>969</v>
      </c>
      <c r="B970">
        <v>57</v>
      </c>
      <c r="C970" t="str" cm="1">
        <f t="array" ref="C970">_xlfn.IFS(
  AND(B970&gt;=18, B970&lt;=24), "18-24",
  AND(B970&gt;=25, B970&lt;=34), "25-34",
  AND(B970&gt;=35, B970&lt;=44), "35-44",
  AND(B970&gt;=45, B970&lt;=54), "45-54",
  B970&gt;=55, "55+"
)</f>
        <v>55+</v>
      </c>
      <c r="D970" t="s">
        <v>19</v>
      </c>
      <c r="E970" t="s">
        <v>61</v>
      </c>
      <c r="F970" t="s">
        <v>21</v>
      </c>
      <c r="G970">
        <v>67</v>
      </c>
      <c r="H970" t="s">
        <v>98</v>
      </c>
      <c r="I970" t="s">
        <v>23</v>
      </c>
      <c r="J970" t="s">
        <v>24</v>
      </c>
      <c r="K970" t="s">
        <v>54</v>
      </c>
      <c r="L970">
        <v>3.1</v>
      </c>
      <c r="M970" t="s">
        <v>26</v>
      </c>
      <c r="N970" t="s">
        <v>59</v>
      </c>
      <c r="O970" t="s">
        <v>47</v>
      </c>
      <c r="P970" t="s">
        <v>26</v>
      </c>
      <c r="Q970" t="s">
        <v>26</v>
      </c>
      <c r="R970">
        <v>48</v>
      </c>
      <c r="S970" t="s">
        <v>34</v>
      </c>
      <c r="T970" t="str">
        <f t="shared" si="30"/>
        <v>Quarterly</v>
      </c>
      <c r="U970">
        <f>VLOOKUP(T970,[1]tablescore!$B$3:$C$8, 2,FALSE)</f>
        <v>4</v>
      </c>
      <c r="V970" t="str">
        <f t="shared" si="31"/>
        <v>Low Loyalty</v>
      </c>
      <c r="W970" t="s">
        <v>60</v>
      </c>
    </row>
    <row r="971" spans="1:23" x14ac:dyDescent="0.25">
      <c r="A971">
        <v>970</v>
      </c>
      <c r="B971">
        <v>40</v>
      </c>
      <c r="C971" t="str" cm="1">
        <f t="array" ref="C971">_xlfn.IFS(
  AND(B971&gt;=18, B971&lt;=24), "18-24",
  AND(B971&gt;=25, B971&lt;=34), "25-34",
  AND(B971&gt;=35, B971&lt;=44), "35-44",
  AND(B971&gt;=45, B971&lt;=54), "45-54",
  B971&gt;=55, "55+"
)</f>
        <v>35-44</v>
      </c>
      <c r="D971" t="s">
        <v>19</v>
      </c>
      <c r="E971" t="s">
        <v>64</v>
      </c>
      <c r="F971" t="s">
        <v>65</v>
      </c>
      <c r="G971">
        <v>31</v>
      </c>
      <c r="H971" t="s">
        <v>99</v>
      </c>
      <c r="I971" t="s">
        <v>38</v>
      </c>
      <c r="J971" t="s">
        <v>71</v>
      </c>
      <c r="K971" t="s">
        <v>58</v>
      </c>
      <c r="L971">
        <v>3.2</v>
      </c>
      <c r="M971" t="s">
        <v>26</v>
      </c>
      <c r="N971" t="s">
        <v>59</v>
      </c>
      <c r="O971" t="s">
        <v>28</v>
      </c>
      <c r="P971" t="s">
        <v>26</v>
      </c>
      <c r="Q971" t="s">
        <v>26</v>
      </c>
      <c r="R971">
        <v>37</v>
      </c>
      <c r="S971" t="s">
        <v>46</v>
      </c>
      <c r="T971" t="str">
        <f t="shared" si="30"/>
        <v>Month</v>
      </c>
      <c r="U971">
        <f>VLOOKUP(T971,[1]tablescore!$B$3:$C$8, 2,FALSE)</f>
        <v>12</v>
      </c>
      <c r="V971" t="str">
        <f t="shared" si="31"/>
        <v>Moderate</v>
      </c>
      <c r="W971" t="s">
        <v>88</v>
      </c>
    </row>
    <row r="972" spans="1:23" x14ac:dyDescent="0.25">
      <c r="A972">
        <v>971</v>
      </c>
      <c r="B972">
        <v>45</v>
      </c>
      <c r="C972" t="str" cm="1">
        <f t="array" ref="C972">_xlfn.IFS(
  AND(B972&gt;=18, B972&lt;=24), "18-24",
  AND(B972&gt;=25, B972&lt;=34), "25-34",
  AND(B972&gt;=35, B972&lt;=44), "35-44",
  AND(B972&gt;=45, B972&lt;=54), "45-54",
  B972&gt;=55, "55+"
)</f>
        <v>45-54</v>
      </c>
      <c r="D972" t="s">
        <v>19</v>
      </c>
      <c r="E972" t="s">
        <v>36</v>
      </c>
      <c r="F972" t="s">
        <v>21</v>
      </c>
      <c r="G972">
        <v>66</v>
      </c>
      <c r="H972" t="s">
        <v>99</v>
      </c>
      <c r="I972" t="s">
        <v>38</v>
      </c>
      <c r="J972" t="s">
        <v>33</v>
      </c>
      <c r="K972" t="s">
        <v>25</v>
      </c>
      <c r="L972">
        <v>4.4000000000000004</v>
      </c>
      <c r="M972" t="s">
        <v>26</v>
      </c>
      <c r="N972" t="s">
        <v>46</v>
      </c>
      <c r="O972" t="s">
        <v>40</v>
      </c>
      <c r="P972" t="s">
        <v>26</v>
      </c>
      <c r="Q972" t="s">
        <v>26</v>
      </c>
      <c r="R972">
        <v>4</v>
      </c>
      <c r="S972" t="s">
        <v>35</v>
      </c>
      <c r="T972" t="str">
        <f t="shared" si="30"/>
        <v>Month</v>
      </c>
      <c r="U972">
        <f>VLOOKUP(T972,[1]tablescore!$B$3:$C$8, 2,FALSE)</f>
        <v>12</v>
      </c>
      <c r="V972" t="str">
        <f t="shared" si="31"/>
        <v>Moderate</v>
      </c>
      <c r="W972" t="s">
        <v>88</v>
      </c>
    </row>
    <row r="973" spans="1:23" x14ac:dyDescent="0.25">
      <c r="A973">
        <v>972</v>
      </c>
      <c r="B973">
        <v>47</v>
      </c>
      <c r="C973" t="str" cm="1">
        <f t="array" ref="C973">_xlfn.IFS(
  AND(B973&gt;=18, B973&lt;=24), "18-24",
  AND(B973&gt;=25, B973&lt;=34), "25-34",
  AND(B973&gt;=35, B973&lt;=44), "35-44",
  AND(B973&gt;=45, B973&lt;=54), "45-54",
  B973&gt;=55, "55+"
)</f>
        <v>45-54</v>
      </c>
      <c r="D973" t="s">
        <v>19</v>
      </c>
      <c r="E973" t="s">
        <v>89</v>
      </c>
      <c r="F973" t="s">
        <v>69</v>
      </c>
      <c r="G973">
        <v>67</v>
      </c>
      <c r="H973" t="s">
        <v>116</v>
      </c>
      <c r="I973" t="s">
        <v>45</v>
      </c>
      <c r="J973" t="s">
        <v>109</v>
      </c>
      <c r="K973" t="s">
        <v>54</v>
      </c>
      <c r="L973">
        <v>4.3</v>
      </c>
      <c r="M973" t="s">
        <v>26</v>
      </c>
      <c r="N973" t="s">
        <v>34</v>
      </c>
      <c r="O973" t="s">
        <v>47</v>
      </c>
      <c r="P973" t="s">
        <v>26</v>
      </c>
      <c r="Q973" t="s">
        <v>26</v>
      </c>
      <c r="R973">
        <v>15</v>
      </c>
      <c r="S973" t="s">
        <v>27</v>
      </c>
      <c r="T973" t="str">
        <f t="shared" si="30"/>
        <v>Daily</v>
      </c>
      <c r="U973">
        <f>VLOOKUP(T973,[1]tablescore!$B$3:$C$8, 2,FALSE)</f>
        <v>30</v>
      </c>
      <c r="V973" t="str">
        <f t="shared" si="31"/>
        <v>Highly Loyal</v>
      </c>
      <c r="W973" t="s">
        <v>41</v>
      </c>
    </row>
    <row r="974" spans="1:23" x14ac:dyDescent="0.25">
      <c r="A974">
        <v>973</v>
      </c>
      <c r="B974">
        <v>61</v>
      </c>
      <c r="C974" t="str" cm="1">
        <f t="array" ref="C974">_xlfn.IFS(
  AND(B974&gt;=18, B974&lt;=24), "18-24",
  AND(B974&gt;=25, B974&lt;=34), "25-34",
  AND(B974&gt;=35, B974&lt;=44), "35-44",
  AND(B974&gt;=45, B974&lt;=54), "45-54",
  B974&gt;=55, "55+"
)</f>
        <v>55+</v>
      </c>
      <c r="D974" t="s">
        <v>19</v>
      </c>
      <c r="E974" t="s">
        <v>51</v>
      </c>
      <c r="F974" t="s">
        <v>43</v>
      </c>
      <c r="G974">
        <v>61</v>
      </c>
      <c r="H974" t="s">
        <v>112</v>
      </c>
      <c r="I974" t="s">
        <v>23</v>
      </c>
      <c r="J974" t="s">
        <v>81</v>
      </c>
      <c r="K974" t="s">
        <v>25</v>
      </c>
      <c r="L974">
        <v>3</v>
      </c>
      <c r="M974" t="s">
        <v>26</v>
      </c>
      <c r="N974" t="s">
        <v>29</v>
      </c>
      <c r="O974" t="s">
        <v>55</v>
      </c>
      <c r="P974" t="s">
        <v>26</v>
      </c>
      <c r="Q974" t="s">
        <v>26</v>
      </c>
      <c r="R974">
        <v>33</v>
      </c>
      <c r="S974" t="s">
        <v>27</v>
      </c>
      <c r="T974" t="str">
        <f t="shared" si="30"/>
        <v>Daily</v>
      </c>
      <c r="U974">
        <f>VLOOKUP(T974,[1]tablescore!$B$3:$C$8, 2,FALSE)</f>
        <v>30</v>
      </c>
      <c r="V974" t="str">
        <f t="shared" si="31"/>
        <v>Highly Loyal</v>
      </c>
      <c r="W974" t="s">
        <v>41</v>
      </c>
    </row>
    <row r="975" spans="1:23" x14ac:dyDescent="0.25">
      <c r="A975">
        <v>974</v>
      </c>
      <c r="B975">
        <v>60</v>
      </c>
      <c r="C975" t="str" cm="1">
        <f t="array" ref="C975">_xlfn.IFS(
  AND(B975&gt;=18, B975&lt;=24), "18-24",
  AND(B975&gt;=25, B975&lt;=34), "25-34",
  AND(B975&gt;=35, B975&lt;=44), "35-44",
  AND(B975&gt;=45, B975&lt;=54), "45-54",
  B975&gt;=55, "55+"
)</f>
        <v>55+</v>
      </c>
      <c r="D975" t="s">
        <v>19</v>
      </c>
      <c r="E975" t="s">
        <v>102</v>
      </c>
      <c r="F975" t="s">
        <v>65</v>
      </c>
      <c r="G975">
        <v>75</v>
      </c>
      <c r="H975" t="s">
        <v>112</v>
      </c>
      <c r="I975" t="s">
        <v>45</v>
      </c>
      <c r="J975" t="s">
        <v>86</v>
      </c>
      <c r="K975" t="s">
        <v>58</v>
      </c>
      <c r="L975">
        <v>3.5</v>
      </c>
      <c r="M975" t="s">
        <v>26</v>
      </c>
      <c r="N975" t="s">
        <v>29</v>
      </c>
      <c r="O975" t="s">
        <v>72</v>
      </c>
      <c r="P975" t="s">
        <v>26</v>
      </c>
      <c r="Q975" t="s">
        <v>26</v>
      </c>
      <c r="R975">
        <v>30</v>
      </c>
      <c r="S975" t="s">
        <v>34</v>
      </c>
      <c r="T975" t="str">
        <f t="shared" si="30"/>
        <v>Quarterly</v>
      </c>
      <c r="U975">
        <f>VLOOKUP(T975,[1]tablescore!$B$3:$C$8, 2,FALSE)</f>
        <v>4</v>
      </c>
      <c r="V975" t="str">
        <f t="shared" si="31"/>
        <v>Low Loyalty</v>
      </c>
      <c r="W975" t="s">
        <v>60</v>
      </c>
    </row>
    <row r="976" spans="1:23" x14ac:dyDescent="0.25">
      <c r="A976">
        <v>975</v>
      </c>
      <c r="B976">
        <v>69</v>
      </c>
      <c r="C976" t="str" cm="1">
        <f t="array" ref="C976">_xlfn.IFS(
  AND(B976&gt;=18, B976&lt;=24), "18-24",
  AND(B976&gt;=25, B976&lt;=34), "25-34",
  AND(B976&gt;=35, B976&lt;=44), "35-44",
  AND(B976&gt;=45, B976&lt;=54), "45-54",
  B976&gt;=55, "55+"
)</f>
        <v>55+</v>
      </c>
      <c r="D976" t="s">
        <v>19</v>
      </c>
      <c r="E976" t="s">
        <v>87</v>
      </c>
      <c r="F976" t="s">
        <v>21</v>
      </c>
      <c r="G976">
        <v>90</v>
      </c>
      <c r="H976" t="s">
        <v>98</v>
      </c>
      <c r="I976" t="s">
        <v>45</v>
      </c>
      <c r="J976" t="s">
        <v>118</v>
      </c>
      <c r="K976" t="s">
        <v>39</v>
      </c>
      <c r="L976">
        <v>3.6</v>
      </c>
      <c r="M976" t="s">
        <v>26</v>
      </c>
      <c r="N976" t="s">
        <v>27</v>
      </c>
      <c r="O976" t="s">
        <v>72</v>
      </c>
      <c r="P976" t="s">
        <v>26</v>
      </c>
      <c r="Q976" t="s">
        <v>26</v>
      </c>
      <c r="R976">
        <v>23</v>
      </c>
      <c r="S976" t="s">
        <v>34</v>
      </c>
      <c r="T976" t="str">
        <f t="shared" si="30"/>
        <v>Month</v>
      </c>
      <c r="U976">
        <f>VLOOKUP(T976,[1]tablescore!$B$3:$C$8, 2,FALSE)</f>
        <v>12</v>
      </c>
      <c r="V976" t="str">
        <f t="shared" si="31"/>
        <v>Moderate</v>
      </c>
      <c r="W976" t="s">
        <v>88</v>
      </c>
    </row>
    <row r="977" spans="1:23" x14ac:dyDescent="0.25">
      <c r="A977">
        <v>976</v>
      </c>
      <c r="B977">
        <v>58</v>
      </c>
      <c r="C977" t="str" cm="1">
        <f t="array" ref="C977">_xlfn.IFS(
  AND(B977&gt;=18, B977&lt;=24), "18-24",
  AND(B977&gt;=25, B977&lt;=34), "25-34",
  AND(B977&gt;=35, B977&lt;=44), "35-44",
  AND(B977&gt;=45, B977&lt;=54), "45-54",
  B977&gt;=55, "55+"
)</f>
        <v>55+</v>
      </c>
      <c r="D977" t="s">
        <v>19</v>
      </c>
      <c r="E977" t="s">
        <v>31</v>
      </c>
      <c r="F977" t="s">
        <v>21</v>
      </c>
      <c r="G977">
        <v>40</v>
      </c>
      <c r="H977" t="s">
        <v>140</v>
      </c>
      <c r="I977" t="s">
        <v>45</v>
      </c>
      <c r="J977" t="s">
        <v>79</v>
      </c>
      <c r="K977" t="s">
        <v>54</v>
      </c>
      <c r="L977">
        <v>3.8</v>
      </c>
      <c r="M977" t="s">
        <v>26</v>
      </c>
      <c r="N977" t="s">
        <v>34</v>
      </c>
      <c r="O977" t="s">
        <v>72</v>
      </c>
      <c r="P977" t="s">
        <v>26</v>
      </c>
      <c r="Q977" t="s">
        <v>26</v>
      </c>
      <c r="R977">
        <v>2</v>
      </c>
      <c r="S977" t="s">
        <v>34</v>
      </c>
      <c r="T977" t="str">
        <f t="shared" si="30"/>
        <v>Daily</v>
      </c>
      <c r="U977">
        <f>VLOOKUP(T977,[1]tablescore!$B$3:$C$8, 2,FALSE)</f>
        <v>30</v>
      </c>
      <c r="V977" t="str">
        <f t="shared" si="31"/>
        <v>Highly Loyal</v>
      </c>
      <c r="W977" t="s">
        <v>41</v>
      </c>
    </row>
    <row r="978" spans="1:23" x14ac:dyDescent="0.25">
      <c r="A978">
        <v>977</v>
      </c>
      <c r="B978">
        <v>34</v>
      </c>
      <c r="C978" t="str" cm="1">
        <f t="array" ref="C978">_xlfn.IFS(
  AND(B978&gt;=18, B978&lt;=24), "18-24",
  AND(B978&gt;=25, B978&lt;=34), "25-34",
  AND(B978&gt;=35, B978&lt;=44), "35-44",
  AND(B978&gt;=45, B978&lt;=54), "45-54",
  B978&gt;=55, "55+"
)</f>
        <v>25-34</v>
      </c>
      <c r="D978" t="s">
        <v>19</v>
      </c>
      <c r="E978" t="s">
        <v>113</v>
      </c>
      <c r="F978" t="s">
        <v>21</v>
      </c>
      <c r="G978">
        <v>90</v>
      </c>
      <c r="H978" t="s">
        <v>103</v>
      </c>
      <c r="I978" t="s">
        <v>45</v>
      </c>
      <c r="J978" t="s">
        <v>24</v>
      </c>
      <c r="K978" t="s">
        <v>58</v>
      </c>
      <c r="L978">
        <v>3.6</v>
      </c>
      <c r="M978" t="s">
        <v>26</v>
      </c>
      <c r="N978" t="s">
        <v>46</v>
      </c>
      <c r="O978" t="s">
        <v>28</v>
      </c>
      <c r="P978" t="s">
        <v>26</v>
      </c>
      <c r="Q978" t="s">
        <v>26</v>
      </c>
      <c r="R978">
        <v>50</v>
      </c>
      <c r="S978" t="s">
        <v>27</v>
      </c>
      <c r="T978" t="str">
        <f t="shared" si="30"/>
        <v>Quarterly</v>
      </c>
      <c r="U978">
        <f>VLOOKUP(T978,[1]tablescore!$B$3:$C$8, 2,FALSE)</f>
        <v>4</v>
      </c>
      <c r="V978" t="str">
        <f t="shared" si="31"/>
        <v>Low Loyalty</v>
      </c>
      <c r="W978" t="s">
        <v>97</v>
      </c>
    </row>
    <row r="979" spans="1:23" x14ac:dyDescent="0.25">
      <c r="A979">
        <v>978</v>
      </c>
      <c r="B979">
        <v>20</v>
      </c>
      <c r="C979" t="str" cm="1">
        <f t="array" ref="C979">_xlfn.IFS(
  AND(B979&gt;=18, B979&lt;=24), "18-24",
  AND(B979&gt;=25, B979&lt;=34), "25-34",
  AND(B979&gt;=35, B979&lt;=44), "35-44",
  AND(B979&gt;=45, B979&lt;=54), "45-54",
  B979&gt;=55, "55+"
)</f>
        <v>18-24</v>
      </c>
      <c r="D979" t="s">
        <v>19</v>
      </c>
      <c r="E979" t="s">
        <v>136</v>
      </c>
      <c r="F979" t="s">
        <v>69</v>
      </c>
      <c r="G979">
        <v>20</v>
      </c>
      <c r="H979" t="s">
        <v>140</v>
      </c>
      <c r="I979" t="s">
        <v>45</v>
      </c>
      <c r="J979" t="s">
        <v>94</v>
      </c>
      <c r="K979" t="s">
        <v>39</v>
      </c>
      <c r="L979">
        <v>4.5999999999999996</v>
      </c>
      <c r="M979" t="s">
        <v>26</v>
      </c>
      <c r="N979" t="s">
        <v>27</v>
      </c>
      <c r="O979" t="s">
        <v>28</v>
      </c>
      <c r="P979" t="s">
        <v>26</v>
      </c>
      <c r="Q979" t="s">
        <v>26</v>
      </c>
      <c r="R979">
        <v>34</v>
      </c>
      <c r="S979" t="s">
        <v>35</v>
      </c>
      <c r="T979" t="str">
        <f t="shared" si="30"/>
        <v>2-week</v>
      </c>
      <c r="U979">
        <f>VLOOKUP(T979,[1]tablescore!$B$3:$C$8, 2,FALSE)</f>
        <v>26</v>
      </c>
      <c r="V979" t="str">
        <f t="shared" si="31"/>
        <v>Loyal</v>
      </c>
      <c r="W979" t="s">
        <v>77</v>
      </c>
    </row>
    <row r="980" spans="1:23" x14ac:dyDescent="0.25">
      <c r="A980">
        <v>979</v>
      </c>
      <c r="B980">
        <v>56</v>
      </c>
      <c r="C980" t="str" cm="1">
        <f t="array" ref="C980">_xlfn.IFS(
  AND(B980&gt;=18, B980&lt;=24), "18-24",
  AND(B980&gt;=25, B980&lt;=34), "25-34",
  AND(B980&gt;=35, B980&lt;=44), "35-44",
  AND(B980&gt;=45, B980&lt;=54), "45-54",
  B980&gt;=55, "55+"
)</f>
        <v>55+</v>
      </c>
      <c r="D980" t="s">
        <v>19</v>
      </c>
      <c r="E980" t="s">
        <v>127</v>
      </c>
      <c r="F980" t="s">
        <v>69</v>
      </c>
      <c r="G980">
        <v>40</v>
      </c>
      <c r="H980" t="s">
        <v>112</v>
      </c>
      <c r="I980" t="s">
        <v>45</v>
      </c>
      <c r="J980" t="s">
        <v>49</v>
      </c>
      <c r="K980" t="s">
        <v>54</v>
      </c>
      <c r="L980">
        <v>2.5</v>
      </c>
      <c r="M980" t="s">
        <v>26</v>
      </c>
      <c r="N980" t="s">
        <v>35</v>
      </c>
      <c r="O980" t="s">
        <v>55</v>
      </c>
      <c r="P980" t="s">
        <v>26</v>
      </c>
      <c r="Q980" t="s">
        <v>26</v>
      </c>
      <c r="R980">
        <v>33</v>
      </c>
      <c r="S980" t="s">
        <v>27</v>
      </c>
      <c r="T980" t="str">
        <f t="shared" si="30"/>
        <v>Daily</v>
      </c>
      <c r="U980">
        <f>VLOOKUP(T980,[1]tablescore!$B$3:$C$8, 2,FALSE)</f>
        <v>30</v>
      </c>
      <c r="V980" t="str">
        <f t="shared" si="31"/>
        <v>Highly Loyal</v>
      </c>
      <c r="W980" t="s">
        <v>41</v>
      </c>
    </row>
    <row r="981" spans="1:23" x14ac:dyDescent="0.25">
      <c r="A981">
        <v>980</v>
      </c>
      <c r="B981">
        <v>64</v>
      </c>
      <c r="C981" t="str" cm="1">
        <f t="array" ref="C981">_xlfn.IFS(
  AND(B981&gt;=18, B981&lt;=24), "18-24",
  AND(B981&gt;=25, B981&lt;=34), "25-34",
  AND(B981&gt;=35, B981&lt;=44), "35-44",
  AND(B981&gt;=45, B981&lt;=54), "45-54",
  B981&gt;=55, "55+"
)</f>
        <v>55+</v>
      </c>
      <c r="D981" t="s">
        <v>19</v>
      </c>
      <c r="E981" t="s">
        <v>125</v>
      </c>
      <c r="F981" t="s">
        <v>69</v>
      </c>
      <c r="G981">
        <v>33</v>
      </c>
      <c r="H981" t="s">
        <v>83</v>
      </c>
      <c r="I981" t="s">
        <v>38</v>
      </c>
      <c r="J981" t="s">
        <v>110</v>
      </c>
      <c r="K981" t="s">
        <v>58</v>
      </c>
      <c r="L981">
        <v>3.5</v>
      </c>
      <c r="M981" t="s">
        <v>26</v>
      </c>
      <c r="N981" t="s">
        <v>29</v>
      </c>
      <c r="O981" t="s">
        <v>76</v>
      </c>
      <c r="P981" t="s">
        <v>26</v>
      </c>
      <c r="Q981" t="s">
        <v>26</v>
      </c>
      <c r="R981">
        <v>34</v>
      </c>
      <c r="S981" t="s">
        <v>59</v>
      </c>
      <c r="T981" t="str">
        <f t="shared" si="30"/>
        <v>Month</v>
      </c>
      <c r="U981">
        <f>VLOOKUP(T981,[1]tablescore!$B$3:$C$8, 2,FALSE)</f>
        <v>12</v>
      </c>
      <c r="V981" t="str">
        <f t="shared" si="31"/>
        <v>Moderate</v>
      </c>
      <c r="W981" t="s">
        <v>88</v>
      </c>
    </row>
    <row r="982" spans="1:23" x14ac:dyDescent="0.25">
      <c r="A982">
        <v>981</v>
      </c>
      <c r="B982">
        <v>56</v>
      </c>
      <c r="C982" t="str" cm="1">
        <f t="array" ref="C982">_xlfn.IFS(
  AND(B982&gt;=18, B982&lt;=24), "18-24",
  AND(B982&gt;=25, B982&lt;=34), "25-34",
  AND(B982&gt;=35, B982&lt;=44), "35-44",
  AND(B982&gt;=45, B982&lt;=54), "45-54",
  B982&gt;=55, "55+"
)</f>
        <v>55+</v>
      </c>
      <c r="D982" t="s">
        <v>19</v>
      </c>
      <c r="E982" t="s">
        <v>132</v>
      </c>
      <c r="F982" t="s">
        <v>43</v>
      </c>
      <c r="G982">
        <v>98</v>
      </c>
      <c r="H982" t="s">
        <v>135</v>
      </c>
      <c r="I982" t="s">
        <v>38</v>
      </c>
      <c r="J982" t="s">
        <v>147</v>
      </c>
      <c r="K982" t="s">
        <v>39</v>
      </c>
      <c r="L982">
        <v>4</v>
      </c>
      <c r="M982" t="s">
        <v>26</v>
      </c>
      <c r="N982" t="s">
        <v>34</v>
      </c>
      <c r="O982" t="s">
        <v>40</v>
      </c>
      <c r="P982" t="s">
        <v>26</v>
      </c>
      <c r="Q982" t="s">
        <v>26</v>
      </c>
      <c r="R982">
        <v>39</v>
      </c>
      <c r="S982" t="s">
        <v>46</v>
      </c>
      <c r="T982" t="str">
        <f t="shared" si="30"/>
        <v>Quarterly</v>
      </c>
      <c r="U982">
        <f>VLOOKUP(T982,[1]tablescore!$B$3:$C$8, 2,FALSE)</f>
        <v>4</v>
      </c>
      <c r="V982" t="str">
        <f t="shared" si="31"/>
        <v>Low Loyalty</v>
      </c>
      <c r="W982" t="s">
        <v>97</v>
      </c>
    </row>
    <row r="983" spans="1:23" x14ac:dyDescent="0.25">
      <c r="A983">
        <v>982</v>
      </c>
      <c r="B983">
        <v>27</v>
      </c>
      <c r="C983" t="str" cm="1">
        <f t="array" ref="C983">_xlfn.IFS(
  AND(B983&gt;=18, B983&lt;=24), "18-24",
  AND(B983&gt;=25, B983&lt;=34), "25-34",
  AND(B983&gt;=35, B983&lt;=44), "35-44",
  AND(B983&gt;=45, B983&lt;=54), "45-54",
  B983&gt;=55, "55+"
)</f>
        <v>25-34</v>
      </c>
      <c r="D983" t="s">
        <v>19</v>
      </c>
      <c r="E983" t="s">
        <v>136</v>
      </c>
      <c r="F983" t="s">
        <v>69</v>
      </c>
      <c r="G983">
        <v>42</v>
      </c>
      <c r="H983" t="s">
        <v>135</v>
      </c>
      <c r="I983" t="s">
        <v>45</v>
      </c>
      <c r="J983" t="s">
        <v>67</v>
      </c>
      <c r="K983" t="s">
        <v>39</v>
      </c>
      <c r="L983">
        <v>3.5</v>
      </c>
      <c r="M983" t="s">
        <v>26</v>
      </c>
      <c r="N983" t="s">
        <v>59</v>
      </c>
      <c r="O983" t="s">
        <v>47</v>
      </c>
      <c r="P983" t="s">
        <v>26</v>
      </c>
      <c r="Q983" t="s">
        <v>26</v>
      </c>
      <c r="R983">
        <v>47</v>
      </c>
      <c r="S983" t="s">
        <v>27</v>
      </c>
      <c r="T983" t="str">
        <f t="shared" si="30"/>
        <v>Quarterly</v>
      </c>
      <c r="U983">
        <f>VLOOKUP(T983,[1]tablescore!$B$3:$C$8, 2,FALSE)</f>
        <v>4</v>
      </c>
      <c r="V983" t="str">
        <f t="shared" si="31"/>
        <v>Low Loyalty</v>
      </c>
      <c r="W983" t="s">
        <v>60</v>
      </c>
    </row>
    <row r="984" spans="1:23" x14ac:dyDescent="0.25">
      <c r="A984">
        <v>983</v>
      </c>
      <c r="B984">
        <v>35</v>
      </c>
      <c r="C984" t="str" cm="1">
        <f t="array" ref="C984">_xlfn.IFS(
  AND(B984&gt;=18, B984&lt;=24), "18-24",
  AND(B984&gt;=25, B984&lt;=34), "25-34",
  AND(B984&gt;=35, B984&lt;=44), "35-44",
  AND(B984&gt;=45, B984&lt;=54), "45-54",
  B984&gt;=55, "55+"
)</f>
        <v>35-44</v>
      </c>
      <c r="D984" t="s">
        <v>19</v>
      </c>
      <c r="E984" t="s">
        <v>64</v>
      </c>
      <c r="F984" t="s">
        <v>65</v>
      </c>
      <c r="G984">
        <v>62</v>
      </c>
      <c r="H984" t="s">
        <v>105</v>
      </c>
      <c r="I984" t="s">
        <v>38</v>
      </c>
      <c r="J984" t="s">
        <v>108</v>
      </c>
      <c r="K984" t="s">
        <v>54</v>
      </c>
      <c r="L984">
        <v>3.2</v>
      </c>
      <c r="M984" t="s">
        <v>26</v>
      </c>
      <c r="N984" t="s">
        <v>29</v>
      </c>
      <c r="O984" t="s">
        <v>55</v>
      </c>
      <c r="P984" t="s">
        <v>26</v>
      </c>
      <c r="Q984" t="s">
        <v>26</v>
      </c>
      <c r="R984">
        <v>37</v>
      </c>
      <c r="S984" t="s">
        <v>46</v>
      </c>
      <c r="T984" t="str">
        <f t="shared" si="30"/>
        <v>Month</v>
      </c>
      <c r="U984">
        <f>VLOOKUP(T984,[1]tablescore!$B$3:$C$8, 2,FALSE)</f>
        <v>12</v>
      </c>
      <c r="V984" t="str">
        <f t="shared" si="31"/>
        <v>Moderate</v>
      </c>
      <c r="W984" t="s">
        <v>88</v>
      </c>
    </row>
    <row r="985" spans="1:23" x14ac:dyDescent="0.25">
      <c r="A985">
        <v>984</v>
      </c>
      <c r="B985">
        <v>24</v>
      </c>
      <c r="C985" t="str" cm="1">
        <f t="array" ref="C985">_xlfn.IFS(
  AND(B985&gt;=18, B985&lt;=24), "18-24",
  AND(B985&gt;=25, B985&lt;=34), "25-34",
  AND(B985&gt;=35, B985&lt;=44), "35-44",
  AND(B985&gt;=45, B985&lt;=54), "45-54",
  B985&gt;=55, "55+"
)</f>
        <v>18-24</v>
      </c>
      <c r="D985" t="s">
        <v>19</v>
      </c>
      <c r="E985" t="s">
        <v>125</v>
      </c>
      <c r="F985" t="s">
        <v>69</v>
      </c>
      <c r="G985">
        <v>45</v>
      </c>
      <c r="H985" t="s">
        <v>123</v>
      </c>
      <c r="I985" t="s">
        <v>23</v>
      </c>
      <c r="J985" t="s">
        <v>129</v>
      </c>
      <c r="K985" t="s">
        <v>25</v>
      </c>
      <c r="L985">
        <v>3.5</v>
      </c>
      <c r="M985" t="s">
        <v>26</v>
      </c>
      <c r="N985" t="s">
        <v>27</v>
      </c>
      <c r="O985" t="s">
        <v>40</v>
      </c>
      <c r="P985" t="s">
        <v>26</v>
      </c>
      <c r="Q985" t="s">
        <v>26</v>
      </c>
      <c r="R985">
        <v>40</v>
      </c>
      <c r="S985" t="s">
        <v>29</v>
      </c>
      <c r="T985" t="str">
        <f t="shared" si="30"/>
        <v>2-week</v>
      </c>
      <c r="U985">
        <f>VLOOKUP(T985,[1]tablescore!$B$3:$C$8, 2,FALSE)</f>
        <v>26</v>
      </c>
      <c r="V985" t="str">
        <f t="shared" si="31"/>
        <v>Loyal</v>
      </c>
      <c r="W985" t="s">
        <v>77</v>
      </c>
    </row>
    <row r="986" spans="1:23" x14ac:dyDescent="0.25">
      <c r="A986">
        <v>985</v>
      </c>
      <c r="B986">
        <v>26</v>
      </c>
      <c r="C986" t="str" cm="1">
        <f t="array" ref="C986">_xlfn.IFS(
  AND(B986&gt;=18, B986&lt;=24), "18-24",
  AND(B986&gt;=25, B986&lt;=34), "25-34",
  AND(B986&gt;=35, B986&lt;=44), "35-44",
  AND(B986&gt;=45, B986&lt;=54), "45-54",
  B986&gt;=55, "55+"
)</f>
        <v>25-34</v>
      </c>
      <c r="D986" t="s">
        <v>19</v>
      </c>
      <c r="E986" t="s">
        <v>73</v>
      </c>
      <c r="F986" t="s">
        <v>43</v>
      </c>
      <c r="G986">
        <v>78</v>
      </c>
      <c r="H986" t="s">
        <v>149</v>
      </c>
      <c r="I986" t="s">
        <v>45</v>
      </c>
      <c r="J986" t="s">
        <v>96</v>
      </c>
      <c r="K986" t="s">
        <v>54</v>
      </c>
      <c r="L986">
        <v>3.4</v>
      </c>
      <c r="M986" t="s">
        <v>26</v>
      </c>
      <c r="N986" t="s">
        <v>35</v>
      </c>
      <c r="O986" t="s">
        <v>40</v>
      </c>
      <c r="P986" t="s">
        <v>26</v>
      </c>
      <c r="Q986" t="s">
        <v>26</v>
      </c>
      <c r="R986">
        <v>8</v>
      </c>
      <c r="S986" t="s">
        <v>27</v>
      </c>
      <c r="T986" t="str">
        <f t="shared" si="30"/>
        <v>2-week</v>
      </c>
      <c r="U986">
        <f>VLOOKUP(T986,[1]tablescore!$B$3:$C$8, 2,FALSE)</f>
        <v>26</v>
      </c>
      <c r="V986" t="str">
        <f t="shared" si="31"/>
        <v>Loyal</v>
      </c>
      <c r="W986" t="s">
        <v>77</v>
      </c>
    </row>
    <row r="987" spans="1:23" x14ac:dyDescent="0.25">
      <c r="A987">
        <v>986</v>
      </c>
      <c r="B987">
        <v>32</v>
      </c>
      <c r="C987" t="str" cm="1">
        <f t="array" ref="C987">_xlfn.IFS(
  AND(B987&gt;=18, B987&lt;=24), "18-24",
  AND(B987&gt;=25, B987&lt;=34), "25-34",
  AND(B987&gt;=35, B987&lt;=44), "35-44",
  AND(B987&gt;=45, B987&lt;=54), "45-54",
  B987&gt;=55, "55+"
)</f>
        <v>25-34</v>
      </c>
      <c r="D987" t="s">
        <v>19</v>
      </c>
      <c r="E987" t="s">
        <v>68</v>
      </c>
      <c r="F987" t="s">
        <v>69</v>
      </c>
      <c r="G987">
        <v>80</v>
      </c>
      <c r="H987" t="s">
        <v>66</v>
      </c>
      <c r="I987" t="s">
        <v>45</v>
      </c>
      <c r="J987" t="s">
        <v>24</v>
      </c>
      <c r="K987" t="s">
        <v>58</v>
      </c>
      <c r="L987">
        <v>5</v>
      </c>
      <c r="M987" t="s">
        <v>26</v>
      </c>
      <c r="N987" t="s">
        <v>27</v>
      </c>
      <c r="O987" t="s">
        <v>28</v>
      </c>
      <c r="P987" t="s">
        <v>26</v>
      </c>
      <c r="Q987" t="s">
        <v>26</v>
      </c>
      <c r="R987">
        <v>12</v>
      </c>
      <c r="S987" t="s">
        <v>34</v>
      </c>
      <c r="T987" t="str">
        <f t="shared" si="30"/>
        <v>Annually</v>
      </c>
      <c r="U987">
        <f>VLOOKUP(T987,[1]tablescore!$B$3:$C$8, 2,FALSE)</f>
        <v>1</v>
      </c>
      <c r="V987" t="str">
        <f t="shared" si="31"/>
        <v>Low Loyalty</v>
      </c>
      <c r="W987" t="s">
        <v>50</v>
      </c>
    </row>
    <row r="988" spans="1:23" x14ac:dyDescent="0.25">
      <c r="A988">
        <v>987</v>
      </c>
      <c r="B988">
        <v>54</v>
      </c>
      <c r="C988" t="str" cm="1">
        <f t="array" ref="C988">_xlfn.IFS(
  AND(B988&gt;=18, B988&lt;=24), "18-24",
  AND(B988&gt;=25, B988&lt;=34), "25-34",
  AND(B988&gt;=35, B988&lt;=44), "35-44",
  AND(B988&gt;=45, B988&lt;=54), "45-54",
  B988&gt;=55, "55+"
)</f>
        <v>45-54</v>
      </c>
      <c r="D988" t="s">
        <v>19</v>
      </c>
      <c r="E988" t="s">
        <v>119</v>
      </c>
      <c r="F988" t="s">
        <v>69</v>
      </c>
      <c r="G988">
        <v>96</v>
      </c>
      <c r="H988" t="s">
        <v>146</v>
      </c>
      <c r="I988" t="s">
        <v>38</v>
      </c>
      <c r="J988" t="s">
        <v>100</v>
      </c>
      <c r="K988" t="s">
        <v>39</v>
      </c>
      <c r="L988">
        <v>4.5</v>
      </c>
      <c r="M988" t="s">
        <v>26</v>
      </c>
      <c r="N988" t="s">
        <v>27</v>
      </c>
      <c r="O988" t="s">
        <v>76</v>
      </c>
      <c r="P988" t="s">
        <v>26</v>
      </c>
      <c r="Q988" t="s">
        <v>26</v>
      </c>
      <c r="R988">
        <v>36</v>
      </c>
      <c r="S988" t="s">
        <v>34</v>
      </c>
      <c r="T988" t="str">
        <f t="shared" si="30"/>
        <v>Month</v>
      </c>
      <c r="U988">
        <f>VLOOKUP(T988,[1]tablescore!$B$3:$C$8, 2,FALSE)</f>
        <v>12</v>
      </c>
      <c r="V988" t="str">
        <f t="shared" si="31"/>
        <v>Moderate</v>
      </c>
      <c r="W988" t="s">
        <v>88</v>
      </c>
    </row>
    <row r="989" spans="1:23" x14ac:dyDescent="0.25">
      <c r="A989">
        <v>988</v>
      </c>
      <c r="B989">
        <v>62</v>
      </c>
      <c r="C989" t="str" cm="1">
        <f t="array" ref="C989">_xlfn.IFS(
  AND(B989&gt;=18, B989&lt;=24), "18-24",
  AND(B989&gt;=25, B989&lt;=34), "25-34",
  AND(B989&gt;=35, B989&lt;=44), "35-44",
  AND(B989&gt;=45, B989&lt;=54), "45-54",
  B989&gt;=55, "55+"
)</f>
        <v>55+</v>
      </c>
      <c r="D989" t="s">
        <v>19</v>
      </c>
      <c r="E989" t="s">
        <v>68</v>
      </c>
      <c r="F989" t="s">
        <v>69</v>
      </c>
      <c r="G989">
        <v>47</v>
      </c>
      <c r="H989" t="s">
        <v>66</v>
      </c>
      <c r="I989" t="s">
        <v>45</v>
      </c>
      <c r="J989" t="s">
        <v>63</v>
      </c>
      <c r="K989" t="s">
        <v>54</v>
      </c>
      <c r="L989">
        <v>2.8</v>
      </c>
      <c r="M989" t="s">
        <v>26</v>
      </c>
      <c r="N989" t="s">
        <v>46</v>
      </c>
      <c r="O989" t="s">
        <v>28</v>
      </c>
      <c r="P989" t="s">
        <v>26</v>
      </c>
      <c r="Q989" t="s">
        <v>26</v>
      </c>
      <c r="R989">
        <v>48</v>
      </c>
      <c r="S989" t="s">
        <v>46</v>
      </c>
      <c r="T989" t="str">
        <f t="shared" si="30"/>
        <v>Daily</v>
      </c>
      <c r="U989">
        <f>VLOOKUP(T989,[1]tablescore!$B$3:$C$8, 2,FALSE)</f>
        <v>30</v>
      </c>
      <c r="V989" t="str">
        <f t="shared" si="31"/>
        <v>Highly Loyal</v>
      </c>
      <c r="W989" t="s">
        <v>41</v>
      </c>
    </row>
    <row r="990" spans="1:23" x14ac:dyDescent="0.25">
      <c r="A990">
        <v>989</v>
      </c>
      <c r="B990">
        <v>50</v>
      </c>
      <c r="C990" t="str" cm="1">
        <f t="array" ref="C990">_xlfn.IFS(
  AND(B990&gt;=18, B990&lt;=24), "18-24",
  AND(B990&gt;=25, B990&lt;=34), "25-34",
  AND(B990&gt;=35, B990&lt;=44), "35-44",
  AND(B990&gt;=45, B990&lt;=54), "45-54",
  B990&gt;=55, "55+"
)</f>
        <v>45-54</v>
      </c>
      <c r="D990" t="s">
        <v>19</v>
      </c>
      <c r="E990" t="s">
        <v>95</v>
      </c>
      <c r="F990" t="s">
        <v>21</v>
      </c>
      <c r="G990">
        <v>84</v>
      </c>
      <c r="H990" t="s">
        <v>124</v>
      </c>
      <c r="I990" t="s">
        <v>45</v>
      </c>
      <c r="J990" t="s">
        <v>121</v>
      </c>
      <c r="K990" t="s">
        <v>25</v>
      </c>
      <c r="L990">
        <v>4.9000000000000004</v>
      </c>
      <c r="M990" t="s">
        <v>26</v>
      </c>
      <c r="N990" t="s">
        <v>29</v>
      </c>
      <c r="O990" t="s">
        <v>72</v>
      </c>
      <c r="P990" t="s">
        <v>26</v>
      </c>
      <c r="Q990" t="s">
        <v>26</v>
      </c>
      <c r="R990">
        <v>47</v>
      </c>
      <c r="S990" t="s">
        <v>46</v>
      </c>
      <c r="T990" t="str">
        <f t="shared" si="30"/>
        <v>2-week</v>
      </c>
      <c r="U990">
        <f>VLOOKUP(T990,[1]tablescore!$B$3:$C$8, 2,FALSE)</f>
        <v>26</v>
      </c>
      <c r="V990" t="str">
        <f t="shared" si="31"/>
        <v>Loyal</v>
      </c>
      <c r="W990" t="s">
        <v>30</v>
      </c>
    </row>
    <row r="991" spans="1:23" x14ac:dyDescent="0.25">
      <c r="A991">
        <v>990</v>
      </c>
      <c r="B991">
        <v>70</v>
      </c>
      <c r="C991" t="str" cm="1">
        <f t="array" ref="C991">_xlfn.IFS(
  AND(B991&gt;=18, B991&lt;=24), "18-24",
  AND(B991&gt;=25, B991&lt;=34), "25-34",
  AND(B991&gt;=35, B991&lt;=44), "35-44",
  AND(B991&gt;=45, B991&lt;=54), "45-54",
  B991&gt;=55, "55+"
)</f>
        <v>55+</v>
      </c>
      <c r="D991" t="s">
        <v>19</v>
      </c>
      <c r="E991" t="s">
        <v>73</v>
      </c>
      <c r="F991" t="s">
        <v>43</v>
      </c>
      <c r="G991">
        <v>31</v>
      </c>
      <c r="H991" t="s">
        <v>105</v>
      </c>
      <c r="I991" t="s">
        <v>45</v>
      </c>
      <c r="J991" t="s">
        <v>118</v>
      </c>
      <c r="K991" t="s">
        <v>39</v>
      </c>
      <c r="L991">
        <v>3.1</v>
      </c>
      <c r="M991" t="s">
        <v>26</v>
      </c>
      <c r="N991" t="s">
        <v>34</v>
      </c>
      <c r="O991" t="s">
        <v>76</v>
      </c>
      <c r="P991" t="s">
        <v>26</v>
      </c>
      <c r="Q991" t="s">
        <v>26</v>
      </c>
      <c r="R991">
        <v>2</v>
      </c>
      <c r="S991" t="s">
        <v>34</v>
      </c>
      <c r="T991" t="str">
        <f t="shared" si="30"/>
        <v>Month</v>
      </c>
      <c r="U991">
        <f>VLOOKUP(T991,[1]tablescore!$B$3:$C$8, 2,FALSE)</f>
        <v>12</v>
      </c>
      <c r="V991" t="str">
        <f t="shared" si="31"/>
        <v>Moderate</v>
      </c>
      <c r="W991" t="s">
        <v>88</v>
      </c>
    </row>
    <row r="992" spans="1:23" x14ac:dyDescent="0.25">
      <c r="A992">
        <v>991</v>
      </c>
      <c r="B992">
        <v>48</v>
      </c>
      <c r="C992" t="str" cm="1">
        <f t="array" ref="C992">_xlfn.IFS(
  AND(B992&gt;=18, B992&lt;=24), "18-24",
  AND(B992&gt;=25, B992&lt;=34), "25-34",
  AND(B992&gt;=35, B992&lt;=44), "35-44",
  AND(B992&gt;=45, B992&lt;=54), "45-54",
  B992&gt;=55, "55+"
)</f>
        <v>45-54</v>
      </c>
      <c r="D992" t="s">
        <v>19</v>
      </c>
      <c r="E992" t="s">
        <v>89</v>
      </c>
      <c r="F992" t="s">
        <v>69</v>
      </c>
      <c r="G992">
        <v>63</v>
      </c>
      <c r="H992" t="s">
        <v>140</v>
      </c>
      <c r="I992" t="s">
        <v>38</v>
      </c>
      <c r="J992" t="s">
        <v>139</v>
      </c>
      <c r="K992" t="s">
        <v>39</v>
      </c>
      <c r="L992">
        <v>4.8</v>
      </c>
      <c r="M992" t="s">
        <v>26</v>
      </c>
      <c r="N992" t="s">
        <v>46</v>
      </c>
      <c r="O992" t="s">
        <v>76</v>
      </c>
      <c r="P992" t="s">
        <v>26</v>
      </c>
      <c r="Q992" t="s">
        <v>26</v>
      </c>
      <c r="R992">
        <v>24</v>
      </c>
      <c r="S992" t="s">
        <v>35</v>
      </c>
      <c r="T992" t="str">
        <f t="shared" si="30"/>
        <v>Daily</v>
      </c>
      <c r="U992">
        <f>VLOOKUP(T992,[1]tablescore!$B$3:$C$8, 2,FALSE)</f>
        <v>30</v>
      </c>
      <c r="V992" t="str">
        <f t="shared" si="31"/>
        <v>Highly Loyal</v>
      </c>
      <c r="W992" t="s">
        <v>41</v>
      </c>
    </row>
    <row r="993" spans="1:23" x14ac:dyDescent="0.25">
      <c r="A993">
        <v>992</v>
      </c>
      <c r="B993">
        <v>20</v>
      </c>
      <c r="C993" t="str" cm="1">
        <f t="array" ref="C993">_xlfn.IFS(
  AND(B993&gt;=18, B993&lt;=24), "18-24",
  AND(B993&gt;=25, B993&lt;=34), "25-34",
  AND(B993&gt;=35, B993&lt;=44), "35-44",
  AND(B993&gt;=45, B993&lt;=54), "45-54",
  B993&gt;=55, "55+"
)</f>
        <v>18-24</v>
      </c>
      <c r="D993" t="s">
        <v>19</v>
      </c>
      <c r="E993" t="s">
        <v>61</v>
      </c>
      <c r="F993" t="s">
        <v>21</v>
      </c>
      <c r="G993">
        <v>97</v>
      </c>
      <c r="H993" t="s">
        <v>148</v>
      </c>
      <c r="I993" t="s">
        <v>92</v>
      </c>
      <c r="J993" t="s">
        <v>53</v>
      </c>
      <c r="K993" t="s">
        <v>39</v>
      </c>
      <c r="L993">
        <v>2.7</v>
      </c>
      <c r="M993" t="s">
        <v>26</v>
      </c>
      <c r="N993" t="s">
        <v>59</v>
      </c>
      <c r="O993" t="s">
        <v>55</v>
      </c>
      <c r="P993" t="s">
        <v>26</v>
      </c>
      <c r="Q993" t="s">
        <v>26</v>
      </c>
      <c r="R993">
        <v>40</v>
      </c>
      <c r="S993" t="s">
        <v>34</v>
      </c>
      <c r="T993" t="str">
        <f t="shared" si="30"/>
        <v>2-week</v>
      </c>
      <c r="U993">
        <f>VLOOKUP(T993,[1]tablescore!$B$3:$C$8, 2,FALSE)</f>
        <v>26</v>
      </c>
      <c r="V993" t="str">
        <f t="shared" si="31"/>
        <v>Loyal</v>
      </c>
      <c r="W993" t="s">
        <v>77</v>
      </c>
    </row>
    <row r="994" spans="1:23" x14ac:dyDescent="0.25">
      <c r="A994">
        <v>993</v>
      </c>
      <c r="B994">
        <v>46</v>
      </c>
      <c r="C994" t="str" cm="1">
        <f t="array" ref="C994">_xlfn.IFS(
  AND(B994&gt;=18, B994&lt;=24), "18-24",
  AND(B994&gt;=25, B994&lt;=34), "25-34",
  AND(B994&gt;=35, B994&lt;=44), "35-44",
  AND(B994&gt;=45, B994&lt;=54), "45-54",
  B994&gt;=55, "55+"
)</f>
        <v>45-54</v>
      </c>
      <c r="D994" t="s">
        <v>19</v>
      </c>
      <c r="E994" t="s">
        <v>102</v>
      </c>
      <c r="F994" t="s">
        <v>65</v>
      </c>
      <c r="G994">
        <v>99</v>
      </c>
      <c r="H994" t="s">
        <v>62</v>
      </c>
      <c r="I994" t="s">
        <v>45</v>
      </c>
      <c r="J994" t="s">
        <v>24</v>
      </c>
      <c r="K994" t="s">
        <v>25</v>
      </c>
      <c r="L994">
        <v>4.5999999999999996</v>
      </c>
      <c r="M994" t="s">
        <v>26</v>
      </c>
      <c r="N994" t="s">
        <v>27</v>
      </c>
      <c r="O994" t="s">
        <v>28</v>
      </c>
      <c r="P994" t="s">
        <v>26</v>
      </c>
      <c r="Q994" t="s">
        <v>26</v>
      </c>
      <c r="R994">
        <v>50</v>
      </c>
      <c r="S994" t="s">
        <v>59</v>
      </c>
      <c r="T994" t="str">
        <f t="shared" si="30"/>
        <v>Daily</v>
      </c>
      <c r="U994">
        <f>VLOOKUP(T994,[1]tablescore!$B$3:$C$8, 2,FALSE)</f>
        <v>30</v>
      </c>
      <c r="V994" t="str">
        <f t="shared" si="31"/>
        <v>Highly Loyal</v>
      </c>
      <c r="W994" t="s">
        <v>41</v>
      </c>
    </row>
    <row r="995" spans="1:23" x14ac:dyDescent="0.25">
      <c r="A995">
        <v>994</v>
      </c>
      <c r="B995">
        <v>51</v>
      </c>
      <c r="C995" t="str" cm="1">
        <f t="array" ref="C995">_xlfn.IFS(
  AND(B995&gt;=18, B995&lt;=24), "18-24",
  AND(B995&gt;=25, B995&lt;=34), "25-34",
  AND(B995&gt;=35, B995&lt;=44), "35-44",
  AND(B995&gt;=45, B995&lt;=54), "45-54",
  B995&gt;=55, "55+"
)</f>
        <v>45-54</v>
      </c>
      <c r="D995" t="s">
        <v>19</v>
      </c>
      <c r="E995" t="s">
        <v>42</v>
      </c>
      <c r="F995" t="s">
        <v>43</v>
      </c>
      <c r="G995">
        <v>90</v>
      </c>
      <c r="H995" t="s">
        <v>150</v>
      </c>
      <c r="I995" t="s">
        <v>45</v>
      </c>
      <c r="J995" t="s">
        <v>100</v>
      </c>
      <c r="K995" t="s">
        <v>25</v>
      </c>
      <c r="L995">
        <v>4.4000000000000004</v>
      </c>
      <c r="M995" t="s">
        <v>26</v>
      </c>
      <c r="N995" t="s">
        <v>35</v>
      </c>
      <c r="O995" t="s">
        <v>76</v>
      </c>
      <c r="P995" t="s">
        <v>26</v>
      </c>
      <c r="Q995" t="s">
        <v>26</v>
      </c>
      <c r="R995">
        <v>25</v>
      </c>
      <c r="S995" t="s">
        <v>35</v>
      </c>
      <c r="T995" t="str">
        <f t="shared" si="30"/>
        <v>Daily</v>
      </c>
      <c r="U995">
        <f>VLOOKUP(T995,[1]tablescore!$B$3:$C$8, 2,FALSE)</f>
        <v>30</v>
      </c>
      <c r="V995" t="str">
        <f t="shared" si="31"/>
        <v>Highly Loyal</v>
      </c>
      <c r="W995" t="s">
        <v>41</v>
      </c>
    </row>
    <row r="996" spans="1:23" x14ac:dyDescent="0.25">
      <c r="A996">
        <v>995</v>
      </c>
      <c r="B996">
        <v>53</v>
      </c>
      <c r="C996" t="str" cm="1">
        <f t="array" ref="C996">_xlfn.IFS(
  AND(B996&gt;=18, B996&lt;=24), "18-24",
  AND(B996&gt;=25, B996&lt;=34), "25-34",
  AND(B996&gt;=35, B996&lt;=44), "35-44",
  AND(B996&gt;=45, B996&lt;=54), "45-54",
  B996&gt;=55, "55+"
)</f>
        <v>45-54</v>
      </c>
      <c r="D996" t="s">
        <v>19</v>
      </c>
      <c r="E996" t="s">
        <v>73</v>
      </c>
      <c r="F996" t="s">
        <v>43</v>
      </c>
      <c r="G996">
        <v>68</v>
      </c>
      <c r="H996" t="s">
        <v>85</v>
      </c>
      <c r="I996" t="s">
        <v>23</v>
      </c>
      <c r="J996" t="s">
        <v>84</v>
      </c>
      <c r="K996" t="s">
        <v>58</v>
      </c>
      <c r="L996">
        <v>3.2</v>
      </c>
      <c r="M996" t="s">
        <v>26</v>
      </c>
      <c r="N996" t="s">
        <v>46</v>
      </c>
      <c r="O996" t="s">
        <v>28</v>
      </c>
      <c r="P996" t="s">
        <v>26</v>
      </c>
      <c r="Q996" t="s">
        <v>26</v>
      </c>
      <c r="R996">
        <v>20</v>
      </c>
      <c r="S996" t="s">
        <v>59</v>
      </c>
      <c r="T996" t="str">
        <f t="shared" si="30"/>
        <v>Month</v>
      </c>
      <c r="U996">
        <f>VLOOKUP(T996,[1]tablescore!$B$3:$C$8, 2,FALSE)</f>
        <v>12</v>
      </c>
      <c r="V996" t="str">
        <f t="shared" si="31"/>
        <v>Moderate</v>
      </c>
      <c r="W996" t="s">
        <v>88</v>
      </c>
    </row>
    <row r="997" spans="1:23" x14ac:dyDescent="0.25">
      <c r="A997">
        <v>996</v>
      </c>
      <c r="B997">
        <v>44</v>
      </c>
      <c r="C997" t="str" cm="1">
        <f t="array" ref="C997">_xlfn.IFS(
  AND(B997&gt;=18, B997&lt;=24), "18-24",
  AND(B997&gt;=25, B997&lt;=34), "25-34",
  AND(B997&gt;=35, B997&lt;=44), "35-44",
  AND(B997&gt;=45, B997&lt;=54), "45-54",
  B997&gt;=55, "55+"
)</f>
        <v>35-44</v>
      </c>
      <c r="D997" t="s">
        <v>19</v>
      </c>
      <c r="E997" t="s">
        <v>106</v>
      </c>
      <c r="F997" t="s">
        <v>69</v>
      </c>
      <c r="G997">
        <v>80</v>
      </c>
      <c r="H997" t="s">
        <v>144</v>
      </c>
      <c r="I997" t="s">
        <v>45</v>
      </c>
      <c r="J997" t="s">
        <v>147</v>
      </c>
      <c r="K997" t="s">
        <v>39</v>
      </c>
      <c r="L997">
        <v>3</v>
      </c>
      <c r="M997" t="s">
        <v>26</v>
      </c>
      <c r="N997" t="s">
        <v>29</v>
      </c>
      <c r="O997" t="s">
        <v>72</v>
      </c>
      <c r="P997" t="s">
        <v>26</v>
      </c>
      <c r="Q997" t="s">
        <v>26</v>
      </c>
      <c r="R997">
        <v>10</v>
      </c>
      <c r="S997" t="s">
        <v>29</v>
      </c>
      <c r="T997" t="str">
        <f t="shared" si="30"/>
        <v>Daily</v>
      </c>
      <c r="U997">
        <f>VLOOKUP(T997,[1]tablescore!$B$3:$C$8, 2,FALSE)</f>
        <v>30</v>
      </c>
      <c r="V997" t="str">
        <f t="shared" si="31"/>
        <v>Highly Loyal</v>
      </c>
      <c r="W997" t="s">
        <v>41</v>
      </c>
    </row>
    <row r="998" spans="1:23" x14ac:dyDescent="0.25">
      <c r="A998">
        <v>997</v>
      </c>
      <c r="B998">
        <v>29</v>
      </c>
      <c r="C998" t="str" cm="1">
        <f t="array" ref="C998">_xlfn.IFS(
  AND(B998&gt;=18, B998&lt;=24), "18-24",
  AND(B998&gt;=25, B998&lt;=34), "25-34",
  AND(B998&gt;=35, B998&lt;=44), "35-44",
  AND(B998&gt;=45, B998&lt;=54), "45-54",
  B998&gt;=55, "55+"
)</f>
        <v>25-34</v>
      </c>
      <c r="D998" t="s">
        <v>19</v>
      </c>
      <c r="E998" t="s">
        <v>42</v>
      </c>
      <c r="F998" t="s">
        <v>43</v>
      </c>
      <c r="G998">
        <v>91</v>
      </c>
      <c r="H998" t="s">
        <v>80</v>
      </c>
      <c r="I998" t="s">
        <v>23</v>
      </c>
      <c r="J998" t="s">
        <v>33</v>
      </c>
      <c r="K998" t="s">
        <v>54</v>
      </c>
      <c r="L998">
        <v>4.9000000000000004</v>
      </c>
      <c r="M998" t="s">
        <v>26</v>
      </c>
      <c r="N998" t="s">
        <v>34</v>
      </c>
      <c r="O998" t="s">
        <v>55</v>
      </c>
      <c r="P998" t="s">
        <v>26</v>
      </c>
      <c r="Q998" t="s">
        <v>26</v>
      </c>
      <c r="R998">
        <v>32</v>
      </c>
      <c r="S998" t="s">
        <v>34</v>
      </c>
      <c r="T998" t="str">
        <f t="shared" si="30"/>
        <v>Quarterly</v>
      </c>
      <c r="U998">
        <f>VLOOKUP(T998,[1]tablescore!$B$3:$C$8, 2,FALSE)</f>
        <v>4</v>
      </c>
      <c r="V998" t="str">
        <f t="shared" si="31"/>
        <v>Low Loyalty</v>
      </c>
      <c r="W998" t="s">
        <v>60</v>
      </c>
    </row>
    <row r="999" spans="1:23" x14ac:dyDescent="0.25">
      <c r="A999">
        <v>998</v>
      </c>
      <c r="B999">
        <v>64</v>
      </c>
      <c r="C999" t="str" cm="1">
        <f t="array" ref="C999">_xlfn.IFS(
  AND(B999&gt;=18, B999&lt;=24), "18-24",
  AND(B999&gt;=25, B999&lt;=34), "25-34",
  AND(B999&gt;=35, B999&lt;=44), "35-44",
  AND(B999&gt;=45, B999&lt;=54), "45-54",
  B999&gt;=55, "55+"
)</f>
        <v>55+</v>
      </c>
      <c r="D999" t="s">
        <v>19</v>
      </c>
      <c r="E999" t="s">
        <v>95</v>
      </c>
      <c r="F999" t="s">
        <v>21</v>
      </c>
      <c r="G999">
        <v>30</v>
      </c>
      <c r="H999" t="s">
        <v>22</v>
      </c>
      <c r="I999" t="s">
        <v>45</v>
      </c>
      <c r="J999" t="s">
        <v>109</v>
      </c>
      <c r="K999" t="s">
        <v>39</v>
      </c>
      <c r="L999">
        <v>3.6</v>
      </c>
      <c r="M999" t="s">
        <v>26</v>
      </c>
      <c r="N999" t="s">
        <v>59</v>
      </c>
      <c r="O999" t="s">
        <v>28</v>
      </c>
      <c r="P999" t="s">
        <v>26</v>
      </c>
      <c r="Q999" t="s">
        <v>26</v>
      </c>
      <c r="R999">
        <v>31</v>
      </c>
      <c r="S999" t="s">
        <v>35</v>
      </c>
      <c r="T999" t="str">
        <f t="shared" si="30"/>
        <v>2-week</v>
      </c>
      <c r="U999">
        <f>VLOOKUP(T999,[1]tablescore!$B$3:$C$8, 2,FALSE)</f>
        <v>26</v>
      </c>
      <c r="V999" t="str">
        <f t="shared" si="31"/>
        <v>Loyal</v>
      </c>
      <c r="W999" t="s">
        <v>30</v>
      </c>
    </row>
    <row r="1000" spans="1:23" x14ac:dyDescent="0.25">
      <c r="A1000">
        <v>999</v>
      </c>
      <c r="B1000">
        <v>51</v>
      </c>
      <c r="C1000" t="str" cm="1">
        <f t="array" ref="C1000">_xlfn.IFS(
  AND(B1000&gt;=18, B1000&lt;=24), "18-24",
  AND(B1000&gt;=25, B1000&lt;=34), "25-34",
  AND(B1000&gt;=35, B1000&lt;=44), "35-44",
  AND(B1000&gt;=45, B1000&lt;=54), "45-54",
  B1000&gt;=55, "55+"
)</f>
        <v>45-54</v>
      </c>
      <c r="D1000" t="s">
        <v>19</v>
      </c>
      <c r="E1000" t="s">
        <v>73</v>
      </c>
      <c r="F1000" t="s">
        <v>43</v>
      </c>
      <c r="G1000">
        <v>90</v>
      </c>
      <c r="H1000" t="s">
        <v>146</v>
      </c>
      <c r="I1000" t="s">
        <v>45</v>
      </c>
      <c r="J1000" t="s">
        <v>53</v>
      </c>
      <c r="K1000" t="s">
        <v>39</v>
      </c>
      <c r="L1000">
        <v>3.8</v>
      </c>
      <c r="M1000" t="s">
        <v>26</v>
      </c>
      <c r="N1000" t="s">
        <v>29</v>
      </c>
      <c r="O1000" t="s">
        <v>47</v>
      </c>
      <c r="P1000" t="s">
        <v>26</v>
      </c>
      <c r="Q1000" t="s">
        <v>26</v>
      </c>
      <c r="R1000">
        <v>48</v>
      </c>
      <c r="S1000" t="s">
        <v>34</v>
      </c>
      <c r="T1000" t="str">
        <f t="shared" si="30"/>
        <v>2-week</v>
      </c>
      <c r="U1000">
        <f>VLOOKUP(T1000,[1]tablescore!$B$3:$C$8, 2,FALSE)</f>
        <v>26</v>
      </c>
      <c r="V1000" t="str">
        <f t="shared" si="31"/>
        <v>Loyal</v>
      </c>
      <c r="W1000" t="s">
        <v>77</v>
      </c>
    </row>
    <row r="1001" spans="1:23" x14ac:dyDescent="0.25">
      <c r="A1001">
        <v>1000</v>
      </c>
      <c r="B1001">
        <v>50</v>
      </c>
      <c r="C1001" t="str" cm="1">
        <f t="array" ref="C1001">_xlfn.IFS(
  AND(B1001&gt;=18, B1001&lt;=24), "18-24",
  AND(B1001&gt;=25, B1001&lt;=34), "25-34",
  AND(B1001&gt;=35, B1001&lt;=44), "35-44",
  AND(B1001&gt;=45, B1001&lt;=54), "45-54",
  B1001&gt;=55, "55+"
)</f>
        <v>45-54</v>
      </c>
      <c r="D1001" t="s">
        <v>19</v>
      </c>
      <c r="E1001" t="s">
        <v>131</v>
      </c>
      <c r="F1001" t="s">
        <v>21</v>
      </c>
      <c r="G1001">
        <v>28</v>
      </c>
      <c r="H1001" t="s">
        <v>123</v>
      </c>
      <c r="I1001" t="s">
        <v>23</v>
      </c>
      <c r="J1001" t="s">
        <v>110</v>
      </c>
      <c r="K1001" t="s">
        <v>39</v>
      </c>
      <c r="L1001">
        <v>2.9</v>
      </c>
      <c r="M1001" t="s">
        <v>26</v>
      </c>
      <c r="N1001" t="s">
        <v>29</v>
      </c>
      <c r="O1001" t="s">
        <v>55</v>
      </c>
      <c r="P1001" t="s">
        <v>26</v>
      </c>
      <c r="Q1001" t="s">
        <v>26</v>
      </c>
      <c r="R1001">
        <v>23</v>
      </c>
      <c r="S1001" t="s">
        <v>59</v>
      </c>
      <c r="T1001" t="str">
        <f t="shared" si="30"/>
        <v>Month</v>
      </c>
      <c r="U1001">
        <f>VLOOKUP(T1001,[1]tablescore!$B$3:$C$8, 2,FALSE)</f>
        <v>12</v>
      </c>
      <c r="V1001" t="str">
        <f t="shared" si="31"/>
        <v>Moderate</v>
      </c>
      <c r="W1001" t="s">
        <v>88</v>
      </c>
    </row>
    <row r="1002" spans="1:23" x14ac:dyDescent="0.25">
      <c r="A1002">
        <v>1001</v>
      </c>
      <c r="B1002">
        <v>43</v>
      </c>
      <c r="C1002" t="str" cm="1">
        <f t="array" ref="C1002">_xlfn.IFS(
  AND(B1002&gt;=18, B1002&lt;=24), "18-24",
  AND(B1002&gt;=25, B1002&lt;=34), "25-34",
  AND(B1002&gt;=35, B1002&lt;=44), "35-44",
  AND(B1002&gt;=45, B1002&lt;=54), "45-54",
  B1002&gt;=55, "55+"
)</f>
        <v>35-44</v>
      </c>
      <c r="D1002" t="s">
        <v>19</v>
      </c>
      <c r="E1002" t="s">
        <v>131</v>
      </c>
      <c r="F1002" t="s">
        <v>21</v>
      </c>
      <c r="G1002">
        <v>46</v>
      </c>
      <c r="H1002" t="s">
        <v>142</v>
      </c>
      <c r="I1002" t="s">
        <v>45</v>
      </c>
      <c r="J1002" t="s">
        <v>108</v>
      </c>
      <c r="K1002" t="s">
        <v>25</v>
      </c>
      <c r="L1002">
        <v>3.9</v>
      </c>
      <c r="M1002" t="s">
        <v>26</v>
      </c>
      <c r="N1002" t="s">
        <v>27</v>
      </c>
      <c r="O1002" t="s">
        <v>28</v>
      </c>
      <c r="P1002" t="s">
        <v>26</v>
      </c>
      <c r="Q1002" t="s">
        <v>26</v>
      </c>
      <c r="R1002">
        <v>1</v>
      </c>
      <c r="S1002" t="s">
        <v>34</v>
      </c>
      <c r="T1002" t="str">
        <f t="shared" si="30"/>
        <v>2-week</v>
      </c>
      <c r="U1002">
        <f>VLOOKUP(T1002,[1]tablescore!$B$3:$C$8, 2,FALSE)</f>
        <v>26</v>
      </c>
      <c r="V1002" t="str">
        <f t="shared" si="31"/>
        <v>Loyal</v>
      </c>
      <c r="W1002" t="s">
        <v>77</v>
      </c>
    </row>
    <row r="1003" spans="1:23" x14ac:dyDescent="0.25">
      <c r="A1003">
        <v>1002</v>
      </c>
      <c r="B1003">
        <v>61</v>
      </c>
      <c r="C1003" t="str" cm="1">
        <f t="array" ref="C1003">_xlfn.IFS(
  AND(B1003&gt;=18, B1003&lt;=24), "18-24",
  AND(B1003&gt;=25, B1003&lt;=34), "25-34",
  AND(B1003&gt;=35, B1003&lt;=44), "35-44",
  AND(B1003&gt;=45, B1003&lt;=54), "45-54",
  B1003&gt;=55, "55+"
)</f>
        <v>55+</v>
      </c>
      <c r="D1003" t="s">
        <v>19</v>
      </c>
      <c r="E1003" t="s">
        <v>82</v>
      </c>
      <c r="F1003" t="s">
        <v>21</v>
      </c>
      <c r="G1003">
        <v>60</v>
      </c>
      <c r="H1003" t="s">
        <v>140</v>
      </c>
      <c r="I1003" t="s">
        <v>45</v>
      </c>
      <c r="J1003" t="s">
        <v>121</v>
      </c>
      <c r="K1003" t="s">
        <v>58</v>
      </c>
      <c r="L1003">
        <v>3.6</v>
      </c>
      <c r="M1003" t="s">
        <v>26</v>
      </c>
      <c r="N1003" t="s">
        <v>27</v>
      </c>
      <c r="O1003" t="s">
        <v>55</v>
      </c>
      <c r="P1003" t="s">
        <v>26</v>
      </c>
      <c r="Q1003" t="s">
        <v>26</v>
      </c>
      <c r="R1003">
        <v>4</v>
      </c>
      <c r="S1003" t="s">
        <v>59</v>
      </c>
      <c r="T1003" t="str">
        <f t="shared" si="30"/>
        <v>2-week</v>
      </c>
      <c r="U1003">
        <f>VLOOKUP(T1003,[1]tablescore!$B$3:$C$8, 2,FALSE)</f>
        <v>26</v>
      </c>
      <c r="V1003" t="str">
        <f t="shared" si="31"/>
        <v>Loyal</v>
      </c>
      <c r="W1003" t="s">
        <v>30</v>
      </c>
    </row>
    <row r="1004" spans="1:23" x14ac:dyDescent="0.25">
      <c r="A1004">
        <v>1003</v>
      </c>
      <c r="B1004">
        <v>55</v>
      </c>
      <c r="C1004" t="str" cm="1">
        <f t="array" ref="C1004">_xlfn.IFS(
  AND(B1004&gt;=18, B1004&lt;=24), "18-24",
  AND(B1004&gt;=25, B1004&lt;=34), "25-34",
  AND(B1004&gt;=35, B1004&lt;=44), "35-44",
  AND(B1004&gt;=45, B1004&lt;=54), "45-54",
  B1004&gt;=55, "55+"
)</f>
        <v>55+</v>
      </c>
      <c r="D1004" t="s">
        <v>19</v>
      </c>
      <c r="E1004" t="s">
        <v>73</v>
      </c>
      <c r="F1004" t="s">
        <v>43</v>
      </c>
      <c r="G1004">
        <v>59</v>
      </c>
      <c r="H1004" t="s">
        <v>114</v>
      </c>
      <c r="I1004" t="s">
        <v>45</v>
      </c>
      <c r="J1004" t="s">
        <v>53</v>
      </c>
      <c r="K1004" t="s">
        <v>39</v>
      </c>
      <c r="L1004">
        <v>3.5</v>
      </c>
      <c r="M1004" t="s">
        <v>26</v>
      </c>
      <c r="N1004" t="s">
        <v>27</v>
      </c>
      <c r="O1004" t="s">
        <v>76</v>
      </c>
      <c r="P1004" t="s">
        <v>26</v>
      </c>
      <c r="Q1004" t="s">
        <v>26</v>
      </c>
      <c r="R1004">
        <v>3</v>
      </c>
      <c r="S1004" t="s">
        <v>34</v>
      </c>
      <c r="T1004" t="str">
        <f t="shared" si="30"/>
        <v>2-week</v>
      </c>
      <c r="U1004">
        <f>VLOOKUP(T1004,[1]tablescore!$B$3:$C$8, 2,FALSE)</f>
        <v>26</v>
      </c>
      <c r="V1004" t="str">
        <f t="shared" si="31"/>
        <v>Loyal</v>
      </c>
      <c r="W1004" t="s">
        <v>77</v>
      </c>
    </row>
    <row r="1005" spans="1:23" x14ac:dyDescent="0.25">
      <c r="A1005">
        <v>1004</v>
      </c>
      <c r="B1005">
        <v>56</v>
      </c>
      <c r="C1005" t="str" cm="1">
        <f t="array" ref="C1005">_xlfn.IFS(
  AND(B1005&gt;=18, B1005&lt;=24), "18-24",
  AND(B1005&gt;=25, B1005&lt;=34), "25-34",
  AND(B1005&gt;=35, B1005&lt;=44), "35-44",
  AND(B1005&gt;=45, B1005&lt;=54), "45-54",
  B1005&gt;=55, "55+"
)</f>
        <v>55+</v>
      </c>
      <c r="D1005" t="s">
        <v>19</v>
      </c>
      <c r="E1005" t="s">
        <v>125</v>
      </c>
      <c r="F1005" t="s">
        <v>69</v>
      </c>
      <c r="G1005">
        <v>68</v>
      </c>
      <c r="H1005" t="s">
        <v>124</v>
      </c>
      <c r="I1005" t="s">
        <v>45</v>
      </c>
      <c r="J1005" t="s">
        <v>96</v>
      </c>
      <c r="K1005" t="s">
        <v>58</v>
      </c>
      <c r="L1005">
        <v>4</v>
      </c>
      <c r="M1005" t="s">
        <v>26</v>
      </c>
      <c r="N1005" t="s">
        <v>35</v>
      </c>
      <c r="O1005" t="s">
        <v>76</v>
      </c>
      <c r="P1005" t="s">
        <v>26</v>
      </c>
      <c r="Q1005" t="s">
        <v>26</v>
      </c>
      <c r="R1005">
        <v>3</v>
      </c>
      <c r="S1005" t="s">
        <v>35</v>
      </c>
      <c r="T1005" t="str">
        <f t="shared" si="30"/>
        <v>2-week</v>
      </c>
      <c r="U1005">
        <f>VLOOKUP(T1005,[1]tablescore!$B$3:$C$8, 2,FALSE)</f>
        <v>26</v>
      </c>
      <c r="V1005" t="str">
        <f t="shared" si="31"/>
        <v>Loyal</v>
      </c>
      <c r="W1005" t="s">
        <v>77</v>
      </c>
    </row>
    <row r="1006" spans="1:23" x14ac:dyDescent="0.25">
      <c r="A1006">
        <v>1005</v>
      </c>
      <c r="B1006">
        <v>33</v>
      </c>
      <c r="C1006" t="str" cm="1">
        <f t="array" ref="C1006">_xlfn.IFS(
  AND(B1006&gt;=18, B1006&lt;=24), "18-24",
  AND(B1006&gt;=25, B1006&lt;=34), "25-34",
  AND(B1006&gt;=35, B1006&lt;=44), "35-44",
  AND(B1006&gt;=45, B1006&lt;=54), "45-54",
  B1006&gt;=55, "55+"
)</f>
        <v>25-34</v>
      </c>
      <c r="D1006" t="s">
        <v>19</v>
      </c>
      <c r="E1006" t="s">
        <v>133</v>
      </c>
      <c r="F1006" t="s">
        <v>69</v>
      </c>
      <c r="G1006">
        <v>79</v>
      </c>
      <c r="H1006" t="s">
        <v>122</v>
      </c>
      <c r="I1006" t="s">
        <v>45</v>
      </c>
      <c r="J1006" t="s">
        <v>94</v>
      </c>
      <c r="K1006" t="s">
        <v>54</v>
      </c>
      <c r="L1006">
        <v>4.8</v>
      </c>
      <c r="M1006" t="s">
        <v>26</v>
      </c>
      <c r="N1006" t="s">
        <v>35</v>
      </c>
      <c r="O1006" t="s">
        <v>72</v>
      </c>
      <c r="P1006" t="s">
        <v>26</v>
      </c>
      <c r="Q1006" t="s">
        <v>26</v>
      </c>
      <c r="R1006">
        <v>44</v>
      </c>
      <c r="S1006" t="s">
        <v>35</v>
      </c>
      <c r="T1006" t="str">
        <f t="shared" si="30"/>
        <v>Annually</v>
      </c>
      <c r="U1006">
        <f>VLOOKUP(T1006,[1]tablescore!$B$3:$C$8, 2,FALSE)</f>
        <v>1</v>
      </c>
      <c r="V1006" t="str">
        <f t="shared" si="31"/>
        <v>Low Loyalty</v>
      </c>
      <c r="W1006" t="s">
        <v>50</v>
      </c>
    </row>
    <row r="1007" spans="1:23" x14ac:dyDescent="0.25">
      <c r="A1007">
        <v>1006</v>
      </c>
      <c r="B1007">
        <v>43</v>
      </c>
      <c r="C1007" t="str" cm="1">
        <f t="array" ref="C1007">_xlfn.IFS(
  AND(B1007&gt;=18, B1007&lt;=24), "18-24",
  AND(B1007&gt;=25, B1007&lt;=34), "25-34",
  AND(B1007&gt;=35, B1007&lt;=44), "35-44",
  AND(B1007&gt;=45, B1007&lt;=54), "45-54",
  B1007&gt;=55, "55+"
)</f>
        <v>35-44</v>
      </c>
      <c r="D1007" t="s">
        <v>19</v>
      </c>
      <c r="E1007" t="s">
        <v>133</v>
      </c>
      <c r="F1007" t="s">
        <v>69</v>
      </c>
      <c r="G1007">
        <v>94</v>
      </c>
      <c r="H1007" t="s">
        <v>85</v>
      </c>
      <c r="I1007" t="s">
        <v>45</v>
      </c>
      <c r="J1007" t="s">
        <v>81</v>
      </c>
      <c r="K1007" t="s">
        <v>25</v>
      </c>
      <c r="L1007">
        <v>3.9</v>
      </c>
      <c r="M1007" t="s">
        <v>26</v>
      </c>
      <c r="N1007" t="s">
        <v>27</v>
      </c>
      <c r="O1007" t="s">
        <v>76</v>
      </c>
      <c r="P1007" t="s">
        <v>26</v>
      </c>
      <c r="Q1007" t="s">
        <v>26</v>
      </c>
      <c r="R1007">
        <v>5</v>
      </c>
      <c r="S1007" t="s">
        <v>59</v>
      </c>
      <c r="T1007" t="str">
        <f t="shared" si="30"/>
        <v>2-week</v>
      </c>
      <c r="U1007">
        <f>VLOOKUP(T1007,[1]tablescore!$B$3:$C$8, 2,FALSE)</f>
        <v>26</v>
      </c>
      <c r="V1007" t="str">
        <f t="shared" si="31"/>
        <v>Loyal</v>
      </c>
      <c r="W1007" t="s">
        <v>77</v>
      </c>
    </row>
    <row r="1008" spans="1:23" x14ac:dyDescent="0.25">
      <c r="A1008">
        <v>1007</v>
      </c>
      <c r="B1008">
        <v>21</v>
      </c>
      <c r="C1008" t="str" cm="1">
        <f t="array" ref="C1008">_xlfn.IFS(
  AND(B1008&gt;=18, B1008&lt;=24), "18-24",
  AND(B1008&gt;=25, B1008&lt;=34), "25-34",
  AND(B1008&gt;=35, B1008&lt;=44), "35-44",
  AND(B1008&gt;=45, B1008&lt;=54), "45-54",
  B1008&gt;=55, "55+"
)</f>
        <v>18-24</v>
      </c>
      <c r="D1008" t="s">
        <v>19</v>
      </c>
      <c r="E1008" t="s">
        <v>95</v>
      </c>
      <c r="F1008" t="s">
        <v>21</v>
      </c>
      <c r="G1008">
        <v>83</v>
      </c>
      <c r="H1008" t="s">
        <v>151</v>
      </c>
      <c r="I1008" t="s">
        <v>38</v>
      </c>
      <c r="J1008" t="s">
        <v>93</v>
      </c>
      <c r="K1008" t="s">
        <v>54</v>
      </c>
      <c r="L1008">
        <v>4.5</v>
      </c>
      <c r="M1008" t="s">
        <v>26</v>
      </c>
      <c r="N1008" t="s">
        <v>27</v>
      </c>
      <c r="O1008" t="s">
        <v>47</v>
      </c>
      <c r="P1008" t="s">
        <v>26</v>
      </c>
      <c r="Q1008" t="s">
        <v>26</v>
      </c>
      <c r="R1008">
        <v>50</v>
      </c>
      <c r="S1008" t="s">
        <v>29</v>
      </c>
      <c r="T1008" t="str">
        <f t="shared" si="30"/>
        <v>Quarterly</v>
      </c>
      <c r="U1008">
        <f>VLOOKUP(T1008,[1]tablescore!$B$3:$C$8, 2,FALSE)</f>
        <v>4</v>
      </c>
      <c r="V1008" t="str">
        <f t="shared" si="31"/>
        <v>Low Loyalty</v>
      </c>
      <c r="W1008" t="s">
        <v>60</v>
      </c>
    </row>
    <row r="1009" spans="1:23" x14ac:dyDescent="0.25">
      <c r="A1009">
        <v>1008</v>
      </c>
      <c r="B1009">
        <v>58</v>
      </c>
      <c r="C1009" t="str" cm="1">
        <f t="array" ref="C1009">_xlfn.IFS(
  AND(B1009&gt;=18, B1009&lt;=24), "18-24",
  AND(B1009&gt;=25, B1009&lt;=34), "25-34",
  AND(B1009&gt;=35, B1009&lt;=44), "35-44",
  AND(B1009&gt;=45, B1009&lt;=54), "45-54",
  B1009&gt;=55, "55+"
)</f>
        <v>55+</v>
      </c>
      <c r="D1009" t="s">
        <v>19</v>
      </c>
      <c r="E1009" t="s">
        <v>127</v>
      </c>
      <c r="F1009" t="s">
        <v>69</v>
      </c>
      <c r="G1009">
        <v>62</v>
      </c>
      <c r="H1009" t="s">
        <v>142</v>
      </c>
      <c r="I1009" t="s">
        <v>92</v>
      </c>
      <c r="J1009" t="s">
        <v>49</v>
      </c>
      <c r="K1009" t="s">
        <v>39</v>
      </c>
      <c r="L1009">
        <v>4.8</v>
      </c>
      <c r="M1009" t="s">
        <v>26</v>
      </c>
      <c r="N1009" t="s">
        <v>29</v>
      </c>
      <c r="O1009" t="s">
        <v>55</v>
      </c>
      <c r="P1009" t="s">
        <v>26</v>
      </c>
      <c r="Q1009" t="s">
        <v>26</v>
      </c>
      <c r="R1009">
        <v>2</v>
      </c>
      <c r="S1009" t="s">
        <v>27</v>
      </c>
      <c r="T1009" t="str">
        <f t="shared" si="30"/>
        <v>Annually</v>
      </c>
      <c r="U1009">
        <f>VLOOKUP(T1009,[1]tablescore!$B$3:$C$8, 2,FALSE)</f>
        <v>1</v>
      </c>
      <c r="V1009" t="str">
        <f t="shared" si="31"/>
        <v>Low Loyalty</v>
      </c>
      <c r="W1009" t="s">
        <v>50</v>
      </c>
    </row>
    <row r="1010" spans="1:23" x14ac:dyDescent="0.25">
      <c r="A1010">
        <v>1009</v>
      </c>
      <c r="B1010">
        <v>41</v>
      </c>
      <c r="C1010" t="str" cm="1">
        <f t="array" ref="C1010">_xlfn.IFS(
  AND(B1010&gt;=18, B1010&lt;=24), "18-24",
  AND(B1010&gt;=25, B1010&lt;=34), "25-34",
  AND(B1010&gt;=35, B1010&lt;=44), "35-44",
  AND(B1010&gt;=45, B1010&lt;=54), "45-54",
  B1010&gt;=55, "55+"
)</f>
        <v>35-44</v>
      </c>
      <c r="D1010" t="s">
        <v>19</v>
      </c>
      <c r="E1010" t="s">
        <v>119</v>
      </c>
      <c r="F1010" t="s">
        <v>69</v>
      </c>
      <c r="G1010">
        <v>85</v>
      </c>
      <c r="H1010" t="s">
        <v>123</v>
      </c>
      <c r="I1010" t="s">
        <v>45</v>
      </c>
      <c r="J1010" t="s">
        <v>71</v>
      </c>
      <c r="K1010" t="s">
        <v>39</v>
      </c>
      <c r="L1010">
        <v>2.6</v>
      </c>
      <c r="M1010" t="s">
        <v>26</v>
      </c>
      <c r="N1010" t="s">
        <v>35</v>
      </c>
      <c r="O1010" t="s">
        <v>76</v>
      </c>
      <c r="P1010" t="s">
        <v>26</v>
      </c>
      <c r="Q1010" t="s">
        <v>26</v>
      </c>
      <c r="R1010">
        <v>29</v>
      </c>
      <c r="S1010" t="s">
        <v>46</v>
      </c>
      <c r="T1010" t="str">
        <f t="shared" si="30"/>
        <v>Annually</v>
      </c>
      <c r="U1010">
        <f>VLOOKUP(T1010,[1]tablescore!$B$3:$C$8, 2,FALSE)</f>
        <v>1</v>
      </c>
      <c r="V1010" t="str">
        <f t="shared" si="31"/>
        <v>Low Loyalty</v>
      </c>
      <c r="W1010" t="s">
        <v>50</v>
      </c>
    </row>
    <row r="1011" spans="1:23" x14ac:dyDescent="0.25">
      <c r="A1011">
        <v>1010</v>
      </c>
      <c r="B1011">
        <v>39</v>
      </c>
      <c r="C1011" t="str" cm="1">
        <f t="array" ref="C1011">_xlfn.IFS(
  AND(B1011&gt;=18, B1011&lt;=24), "18-24",
  AND(B1011&gt;=25, B1011&lt;=34), "25-34",
  AND(B1011&gt;=35, B1011&lt;=44), "35-44",
  AND(B1011&gt;=45, B1011&lt;=54), "45-54",
  B1011&gt;=55, "55+"
)</f>
        <v>35-44</v>
      </c>
      <c r="D1011" t="s">
        <v>19</v>
      </c>
      <c r="E1011" t="s">
        <v>104</v>
      </c>
      <c r="F1011" t="s">
        <v>21</v>
      </c>
      <c r="G1011">
        <v>30</v>
      </c>
      <c r="H1011" t="s">
        <v>62</v>
      </c>
      <c r="I1011" t="s">
        <v>45</v>
      </c>
      <c r="J1011" t="s">
        <v>67</v>
      </c>
      <c r="K1011" t="s">
        <v>54</v>
      </c>
      <c r="L1011">
        <v>3.1</v>
      </c>
      <c r="M1011" t="s">
        <v>26</v>
      </c>
      <c r="N1011" t="s">
        <v>34</v>
      </c>
      <c r="O1011" t="s">
        <v>28</v>
      </c>
      <c r="P1011" t="s">
        <v>26</v>
      </c>
      <c r="Q1011" t="s">
        <v>26</v>
      </c>
      <c r="R1011">
        <v>11</v>
      </c>
      <c r="S1011" t="s">
        <v>29</v>
      </c>
      <c r="T1011" t="str">
        <f t="shared" si="30"/>
        <v>Annually</v>
      </c>
      <c r="U1011">
        <f>VLOOKUP(T1011,[1]tablescore!$B$3:$C$8, 2,FALSE)</f>
        <v>1</v>
      </c>
      <c r="V1011" t="str">
        <f t="shared" si="31"/>
        <v>Low Loyalty</v>
      </c>
      <c r="W1011" t="s">
        <v>50</v>
      </c>
    </row>
    <row r="1012" spans="1:23" x14ac:dyDescent="0.25">
      <c r="A1012">
        <v>1011</v>
      </c>
      <c r="B1012">
        <v>54</v>
      </c>
      <c r="C1012" t="str" cm="1">
        <f t="array" ref="C1012">_xlfn.IFS(
  AND(B1012&gt;=18, B1012&lt;=24), "18-24",
  AND(B1012&gt;=25, B1012&lt;=34), "25-34",
  AND(B1012&gt;=35, B1012&lt;=44), "35-44",
  AND(B1012&gt;=45, B1012&lt;=54), "45-54",
  B1012&gt;=55, "55+"
)</f>
        <v>45-54</v>
      </c>
      <c r="D1012" t="s">
        <v>19</v>
      </c>
      <c r="E1012" t="s">
        <v>36</v>
      </c>
      <c r="F1012" t="s">
        <v>21</v>
      </c>
      <c r="G1012">
        <v>24</v>
      </c>
      <c r="H1012" t="s">
        <v>130</v>
      </c>
      <c r="I1012" t="s">
        <v>92</v>
      </c>
      <c r="J1012" t="s">
        <v>24</v>
      </c>
      <c r="K1012" t="s">
        <v>39</v>
      </c>
      <c r="L1012">
        <v>4.7</v>
      </c>
      <c r="M1012" t="s">
        <v>26</v>
      </c>
      <c r="N1012" t="s">
        <v>46</v>
      </c>
      <c r="O1012" t="s">
        <v>72</v>
      </c>
      <c r="P1012" t="s">
        <v>26</v>
      </c>
      <c r="Q1012" t="s">
        <v>26</v>
      </c>
      <c r="R1012">
        <v>37</v>
      </c>
      <c r="S1012" t="s">
        <v>27</v>
      </c>
      <c r="T1012" t="str">
        <f t="shared" si="30"/>
        <v>2-week</v>
      </c>
      <c r="U1012">
        <f>VLOOKUP(T1012,[1]tablescore!$B$3:$C$8, 2,FALSE)</f>
        <v>26</v>
      </c>
      <c r="V1012" t="str">
        <f t="shared" si="31"/>
        <v>Loyal</v>
      </c>
      <c r="W1012" t="s">
        <v>30</v>
      </c>
    </row>
    <row r="1013" spans="1:23" x14ac:dyDescent="0.25">
      <c r="A1013">
        <v>1012</v>
      </c>
      <c r="B1013">
        <v>43</v>
      </c>
      <c r="C1013" t="str" cm="1">
        <f t="array" ref="C1013">_xlfn.IFS(
  AND(B1013&gt;=18, B1013&lt;=24), "18-24",
  AND(B1013&gt;=25, B1013&lt;=34), "25-34",
  AND(B1013&gt;=35, B1013&lt;=44), "35-44",
  AND(B1013&gt;=45, B1013&lt;=54), "45-54",
  B1013&gt;=55, "55+"
)</f>
        <v>35-44</v>
      </c>
      <c r="D1013" t="s">
        <v>19</v>
      </c>
      <c r="E1013" t="s">
        <v>133</v>
      </c>
      <c r="F1013" t="s">
        <v>69</v>
      </c>
      <c r="G1013">
        <v>25</v>
      </c>
      <c r="H1013" t="s">
        <v>57</v>
      </c>
      <c r="I1013" t="s">
        <v>23</v>
      </c>
      <c r="J1013" t="s">
        <v>129</v>
      </c>
      <c r="K1013" t="s">
        <v>39</v>
      </c>
      <c r="L1013">
        <v>2.9</v>
      </c>
      <c r="M1013" t="s">
        <v>26</v>
      </c>
      <c r="N1013" t="s">
        <v>46</v>
      </c>
      <c r="O1013" t="s">
        <v>47</v>
      </c>
      <c r="P1013" t="s">
        <v>26</v>
      </c>
      <c r="Q1013" t="s">
        <v>26</v>
      </c>
      <c r="R1013">
        <v>32</v>
      </c>
      <c r="S1013" t="s">
        <v>59</v>
      </c>
      <c r="T1013" t="str">
        <f t="shared" si="30"/>
        <v>2-week</v>
      </c>
      <c r="U1013">
        <f>VLOOKUP(T1013,[1]tablescore!$B$3:$C$8, 2,FALSE)</f>
        <v>26</v>
      </c>
      <c r="V1013" t="str">
        <f t="shared" si="31"/>
        <v>Loyal</v>
      </c>
      <c r="W1013" t="s">
        <v>30</v>
      </c>
    </row>
    <row r="1014" spans="1:23" x14ac:dyDescent="0.25">
      <c r="A1014">
        <v>1013</v>
      </c>
      <c r="B1014">
        <v>28</v>
      </c>
      <c r="C1014" t="str" cm="1">
        <f t="array" ref="C1014">_xlfn.IFS(
  AND(B1014&gt;=18, B1014&lt;=24), "18-24",
  AND(B1014&gt;=25, B1014&lt;=34), "25-34",
  AND(B1014&gt;=35, B1014&lt;=44), "35-44",
  AND(B1014&gt;=45, B1014&lt;=54), "45-54",
  B1014&gt;=55, "55+"
)</f>
        <v>25-34</v>
      </c>
      <c r="D1014" t="s">
        <v>19</v>
      </c>
      <c r="E1014" t="s">
        <v>42</v>
      </c>
      <c r="F1014" t="s">
        <v>43</v>
      </c>
      <c r="G1014">
        <v>37</v>
      </c>
      <c r="H1014" t="s">
        <v>123</v>
      </c>
      <c r="I1014" t="s">
        <v>23</v>
      </c>
      <c r="J1014" t="s">
        <v>86</v>
      </c>
      <c r="K1014" t="s">
        <v>54</v>
      </c>
      <c r="L1014">
        <v>3.8</v>
      </c>
      <c r="M1014" t="s">
        <v>26</v>
      </c>
      <c r="N1014" t="s">
        <v>35</v>
      </c>
      <c r="O1014" t="s">
        <v>28</v>
      </c>
      <c r="P1014" t="s">
        <v>26</v>
      </c>
      <c r="Q1014" t="s">
        <v>26</v>
      </c>
      <c r="R1014">
        <v>27</v>
      </c>
      <c r="S1014" t="s">
        <v>27</v>
      </c>
      <c r="T1014" t="str">
        <f t="shared" si="30"/>
        <v>Annually</v>
      </c>
      <c r="U1014">
        <f>VLOOKUP(T1014,[1]tablescore!$B$3:$C$8, 2,FALSE)</f>
        <v>1</v>
      </c>
      <c r="V1014" t="str">
        <f t="shared" si="31"/>
        <v>Low Loyalty</v>
      </c>
      <c r="W1014" t="s">
        <v>50</v>
      </c>
    </row>
    <row r="1015" spans="1:23" x14ac:dyDescent="0.25">
      <c r="A1015">
        <v>1014</v>
      </c>
      <c r="B1015">
        <v>59</v>
      </c>
      <c r="C1015" t="str" cm="1">
        <f t="array" ref="C1015">_xlfn.IFS(
  AND(B1015&gt;=18, B1015&lt;=24), "18-24",
  AND(B1015&gt;=25, B1015&lt;=34), "25-34",
  AND(B1015&gt;=35, B1015&lt;=44), "35-44",
  AND(B1015&gt;=45, B1015&lt;=54), "45-54",
  B1015&gt;=55, "55+"
)</f>
        <v>55+</v>
      </c>
      <c r="D1015" t="s">
        <v>19</v>
      </c>
      <c r="E1015" t="s">
        <v>136</v>
      </c>
      <c r="F1015" t="s">
        <v>69</v>
      </c>
      <c r="G1015">
        <v>69</v>
      </c>
      <c r="H1015" t="s">
        <v>126</v>
      </c>
      <c r="I1015" t="s">
        <v>92</v>
      </c>
      <c r="J1015" t="s">
        <v>96</v>
      </c>
      <c r="K1015" t="s">
        <v>54</v>
      </c>
      <c r="L1015">
        <v>3.8</v>
      </c>
      <c r="M1015" t="s">
        <v>26</v>
      </c>
      <c r="N1015" t="s">
        <v>34</v>
      </c>
      <c r="O1015" t="s">
        <v>72</v>
      </c>
      <c r="P1015" t="s">
        <v>26</v>
      </c>
      <c r="Q1015" t="s">
        <v>26</v>
      </c>
      <c r="R1015">
        <v>31</v>
      </c>
      <c r="S1015" t="s">
        <v>29</v>
      </c>
      <c r="T1015" t="str">
        <f t="shared" si="30"/>
        <v>2-week</v>
      </c>
      <c r="U1015">
        <f>VLOOKUP(T1015,[1]tablescore!$B$3:$C$8, 2,FALSE)</f>
        <v>26</v>
      </c>
      <c r="V1015" t="str">
        <f t="shared" si="31"/>
        <v>Loyal</v>
      </c>
      <c r="W1015" t="s">
        <v>77</v>
      </c>
    </row>
    <row r="1016" spans="1:23" x14ac:dyDescent="0.25">
      <c r="A1016">
        <v>1015</v>
      </c>
      <c r="B1016">
        <v>28</v>
      </c>
      <c r="C1016" t="str" cm="1">
        <f t="array" ref="C1016">_xlfn.IFS(
  AND(B1016&gt;=18, B1016&lt;=24), "18-24",
  AND(B1016&gt;=25, B1016&lt;=34), "25-34",
  AND(B1016&gt;=35, B1016&lt;=44), "35-44",
  AND(B1016&gt;=45, B1016&lt;=54), "45-54",
  B1016&gt;=55, "55+"
)</f>
        <v>25-34</v>
      </c>
      <c r="D1016" t="s">
        <v>19</v>
      </c>
      <c r="E1016" t="s">
        <v>73</v>
      </c>
      <c r="F1016" t="s">
        <v>43</v>
      </c>
      <c r="G1016">
        <v>97</v>
      </c>
      <c r="H1016" t="s">
        <v>124</v>
      </c>
      <c r="I1016" t="s">
        <v>45</v>
      </c>
      <c r="J1016" t="s">
        <v>84</v>
      </c>
      <c r="K1016" t="s">
        <v>54</v>
      </c>
      <c r="L1016">
        <v>3</v>
      </c>
      <c r="M1016" t="s">
        <v>26</v>
      </c>
      <c r="N1016" t="s">
        <v>34</v>
      </c>
      <c r="O1016" t="s">
        <v>55</v>
      </c>
      <c r="P1016" t="s">
        <v>26</v>
      </c>
      <c r="Q1016" t="s">
        <v>26</v>
      </c>
      <c r="R1016">
        <v>36</v>
      </c>
      <c r="S1016" t="s">
        <v>59</v>
      </c>
      <c r="T1016" t="str">
        <f t="shared" si="30"/>
        <v>2-week</v>
      </c>
      <c r="U1016">
        <f>VLOOKUP(T1016,[1]tablescore!$B$3:$C$8, 2,FALSE)</f>
        <v>26</v>
      </c>
      <c r="V1016" t="str">
        <f t="shared" si="31"/>
        <v>Loyal</v>
      </c>
      <c r="W1016" t="s">
        <v>30</v>
      </c>
    </row>
    <row r="1017" spans="1:23" x14ac:dyDescent="0.25">
      <c r="A1017">
        <v>1016</v>
      </c>
      <c r="B1017">
        <v>68</v>
      </c>
      <c r="C1017" t="str" cm="1">
        <f t="array" ref="C1017">_xlfn.IFS(
  AND(B1017&gt;=18, B1017&lt;=24), "18-24",
  AND(B1017&gt;=25, B1017&lt;=34), "25-34",
  AND(B1017&gt;=35, B1017&lt;=44), "35-44",
  AND(B1017&gt;=45, B1017&lt;=54), "45-54",
  B1017&gt;=55, "55+"
)</f>
        <v>55+</v>
      </c>
      <c r="D1017" t="s">
        <v>19</v>
      </c>
      <c r="E1017" t="s">
        <v>127</v>
      </c>
      <c r="F1017" t="s">
        <v>69</v>
      </c>
      <c r="G1017">
        <v>24</v>
      </c>
      <c r="H1017" t="s">
        <v>98</v>
      </c>
      <c r="I1017" t="s">
        <v>45</v>
      </c>
      <c r="J1017" t="s">
        <v>109</v>
      </c>
      <c r="K1017" t="s">
        <v>54</v>
      </c>
      <c r="L1017">
        <v>4.0999999999999996</v>
      </c>
      <c r="M1017" t="s">
        <v>26</v>
      </c>
      <c r="N1017" t="s">
        <v>59</v>
      </c>
      <c r="O1017" t="s">
        <v>55</v>
      </c>
      <c r="P1017" t="s">
        <v>26</v>
      </c>
      <c r="Q1017" t="s">
        <v>26</v>
      </c>
      <c r="R1017">
        <v>34</v>
      </c>
      <c r="S1017" t="s">
        <v>35</v>
      </c>
      <c r="T1017" t="str">
        <f t="shared" si="30"/>
        <v>Daily</v>
      </c>
      <c r="U1017">
        <f>VLOOKUP(T1017,[1]tablescore!$B$3:$C$8, 2,FALSE)</f>
        <v>30</v>
      </c>
      <c r="V1017" t="str">
        <f t="shared" si="31"/>
        <v>Highly Loyal</v>
      </c>
      <c r="W1017" t="s">
        <v>41</v>
      </c>
    </row>
    <row r="1018" spans="1:23" x14ac:dyDescent="0.25">
      <c r="A1018">
        <v>1017</v>
      </c>
      <c r="B1018">
        <v>20</v>
      </c>
      <c r="C1018" t="str" cm="1">
        <f t="array" ref="C1018">_xlfn.IFS(
  AND(B1018&gt;=18, B1018&lt;=24), "18-24",
  AND(B1018&gt;=25, B1018&lt;=34), "25-34",
  AND(B1018&gt;=35, B1018&lt;=44), "35-44",
  AND(B1018&gt;=45, B1018&lt;=54), "45-54",
  B1018&gt;=55, "55+"
)</f>
        <v>18-24</v>
      </c>
      <c r="D1018" t="s">
        <v>19</v>
      </c>
      <c r="E1018" t="s">
        <v>136</v>
      </c>
      <c r="F1018" t="s">
        <v>69</v>
      </c>
      <c r="G1018">
        <v>30</v>
      </c>
      <c r="H1018" t="s">
        <v>144</v>
      </c>
      <c r="I1018" t="s">
        <v>92</v>
      </c>
      <c r="J1018" t="s">
        <v>138</v>
      </c>
      <c r="K1018" t="s">
        <v>54</v>
      </c>
      <c r="L1018">
        <v>3.4</v>
      </c>
      <c r="M1018" t="s">
        <v>26</v>
      </c>
      <c r="N1018" t="s">
        <v>35</v>
      </c>
      <c r="O1018" t="s">
        <v>28</v>
      </c>
      <c r="P1018" t="s">
        <v>26</v>
      </c>
      <c r="Q1018" t="s">
        <v>26</v>
      </c>
      <c r="R1018">
        <v>15</v>
      </c>
      <c r="S1018" t="s">
        <v>34</v>
      </c>
      <c r="T1018" t="str">
        <f t="shared" si="30"/>
        <v>Quarterly</v>
      </c>
      <c r="U1018">
        <f>VLOOKUP(T1018,[1]tablescore!$B$3:$C$8, 2,FALSE)</f>
        <v>4</v>
      </c>
      <c r="V1018" t="str">
        <f t="shared" si="31"/>
        <v>Low Loyalty</v>
      </c>
      <c r="W1018" t="s">
        <v>97</v>
      </c>
    </row>
    <row r="1019" spans="1:23" x14ac:dyDescent="0.25">
      <c r="A1019">
        <v>1018</v>
      </c>
      <c r="B1019">
        <v>21</v>
      </c>
      <c r="C1019" t="str" cm="1">
        <f t="array" ref="C1019">_xlfn.IFS(
  AND(B1019&gt;=18, B1019&lt;=24), "18-24",
  AND(B1019&gt;=25, B1019&lt;=34), "25-34",
  AND(B1019&gt;=35, B1019&lt;=44), "35-44",
  AND(B1019&gt;=45, B1019&lt;=54), "45-54",
  B1019&gt;=55, "55+"
)</f>
        <v>18-24</v>
      </c>
      <c r="D1019" t="s">
        <v>19</v>
      </c>
      <c r="E1019" t="s">
        <v>102</v>
      </c>
      <c r="F1019" t="s">
        <v>65</v>
      </c>
      <c r="G1019">
        <v>53</v>
      </c>
      <c r="H1019" t="s">
        <v>101</v>
      </c>
      <c r="I1019" t="s">
        <v>23</v>
      </c>
      <c r="J1019" t="s">
        <v>121</v>
      </c>
      <c r="K1019" t="s">
        <v>58</v>
      </c>
      <c r="L1019">
        <v>2.5</v>
      </c>
      <c r="M1019" t="s">
        <v>26</v>
      </c>
      <c r="N1019" t="s">
        <v>35</v>
      </c>
      <c r="O1019" t="s">
        <v>28</v>
      </c>
      <c r="P1019" t="s">
        <v>26</v>
      </c>
      <c r="Q1019" t="s">
        <v>26</v>
      </c>
      <c r="R1019">
        <v>14</v>
      </c>
      <c r="S1019" t="s">
        <v>27</v>
      </c>
      <c r="T1019" t="str">
        <f t="shared" si="30"/>
        <v>Annually</v>
      </c>
      <c r="U1019">
        <f>VLOOKUP(T1019,[1]tablescore!$B$3:$C$8, 2,FALSE)</f>
        <v>1</v>
      </c>
      <c r="V1019" t="str">
        <f t="shared" si="31"/>
        <v>Low Loyalty</v>
      </c>
      <c r="W1019" t="s">
        <v>50</v>
      </c>
    </row>
    <row r="1020" spans="1:23" x14ac:dyDescent="0.25">
      <c r="A1020">
        <v>1019</v>
      </c>
      <c r="B1020">
        <v>50</v>
      </c>
      <c r="C1020" t="str" cm="1">
        <f t="array" ref="C1020">_xlfn.IFS(
  AND(B1020&gt;=18, B1020&lt;=24), "18-24",
  AND(B1020&gt;=25, B1020&lt;=34), "25-34",
  AND(B1020&gt;=35, B1020&lt;=44), "35-44",
  AND(B1020&gt;=45, B1020&lt;=54), "45-54",
  B1020&gt;=55, "55+"
)</f>
        <v>45-54</v>
      </c>
      <c r="D1020" t="s">
        <v>19</v>
      </c>
      <c r="E1020" t="s">
        <v>82</v>
      </c>
      <c r="F1020" t="s">
        <v>21</v>
      </c>
      <c r="G1020">
        <v>70</v>
      </c>
      <c r="H1020" t="s">
        <v>142</v>
      </c>
      <c r="I1020" t="s">
        <v>92</v>
      </c>
      <c r="J1020" t="s">
        <v>63</v>
      </c>
      <c r="K1020" t="s">
        <v>39</v>
      </c>
      <c r="L1020">
        <v>4.9000000000000004</v>
      </c>
      <c r="M1020" t="s">
        <v>26</v>
      </c>
      <c r="N1020" t="s">
        <v>27</v>
      </c>
      <c r="O1020" t="s">
        <v>47</v>
      </c>
      <c r="P1020" t="s">
        <v>26</v>
      </c>
      <c r="Q1020" t="s">
        <v>26</v>
      </c>
      <c r="R1020">
        <v>46</v>
      </c>
      <c r="S1020" t="s">
        <v>35</v>
      </c>
      <c r="T1020" t="str">
        <f t="shared" si="30"/>
        <v>Daily</v>
      </c>
      <c r="U1020">
        <f>VLOOKUP(T1020,[1]tablescore!$B$3:$C$8, 2,FALSE)</f>
        <v>30</v>
      </c>
      <c r="V1020" t="str">
        <f t="shared" si="31"/>
        <v>Highly Loyal</v>
      </c>
      <c r="W1020" t="s">
        <v>41</v>
      </c>
    </row>
    <row r="1021" spans="1:23" x14ac:dyDescent="0.25">
      <c r="A1021">
        <v>1020</v>
      </c>
      <c r="B1021">
        <v>32</v>
      </c>
      <c r="C1021" t="str" cm="1">
        <f t="array" ref="C1021">_xlfn.IFS(
  AND(B1021&gt;=18, B1021&lt;=24), "18-24",
  AND(B1021&gt;=25, B1021&lt;=34), "25-34",
  AND(B1021&gt;=35, B1021&lt;=44), "35-44",
  AND(B1021&gt;=45, B1021&lt;=54), "45-54",
  B1021&gt;=55, "55+"
)</f>
        <v>25-34</v>
      </c>
      <c r="D1021" t="s">
        <v>19</v>
      </c>
      <c r="E1021" t="s">
        <v>56</v>
      </c>
      <c r="F1021" t="s">
        <v>21</v>
      </c>
      <c r="G1021">
        <v>76</v>
      </c>
      <c r="H1021" t="s">
        <v>22</v>
      </c>
      <c r="I1021" t="s">
        <v>38</v>
      </c>
      <c r="J1021" t="s">
        <v>118</v>
      </c>
      <c r="K1021" t="s">
        <v>25</v>
      </c>
      <c r="L1021">
        <v>2.8</v>
      </c>
      <c r="M1021" t="s">
        <v>26</v>
      </c>
      <c r="N1021" t="s">
        <v>59</v>
      </c>
      <c r="O1021" t="s">
        <v>55</v>
      </c>
      <c r="P1021" t="s">
        <v>26</v>
      </c>
      <c r="Q1021" t="s">
        <v>26</v>
      </c>
      <c r="R1021">
        <v>33</v>
      </c>
      <c r="S1021" t="s">
        <v>29</v>
      </c>
      <c r="T1021" t="str">
        <f t="shared" si="30"/>
        <v>2-week</v>
      </c>
      <c r="U1021">
        <f>VLOOKUP(T1021,[1]tablescore!$B$3:$C$8, 2,FALSE)</f>
        <v>26</v>
      </c>
      <c r="V1021" t="str">
        <f t="shared" si="31"/>
        <v>Loyal</v>
      </c>
      <c r="W1021" t="s">
        <v>77</v>
      </c>
    </row>
    <row r="1022" spans="1:23" x14ac:dyDescent="0.25">
      <c r="A1022">
        <v>1021</v>
      </c>
      <c r="B1022">
        <v>24</v>
      </c>
      <c r="C1022" t="str" cm="1">
        <f t="array" ref="C1022">_xlfn.IFS(
  AND(B1022&gt;=18, B1022&lt;=24), "18-24",
  AND(B1022&gt;=25, B1022&lt;=34), "25-34",
  AND(B1022&gt;=35, B1022&lt;=44), "35-44",
  AND(B1022&gt;=45, B1022&lt;=54), "45-54",
  B1022&gt;=55, "55+"
)</f>
        <v>18-24</v>
      </c>
      <c r="D1022" t="s">
        <v>19</v>
      </c>
      <c r="E1022" t="s">
        <v>119</v>
      </c>
      <c r="F1022" t="s">
        <v>69</v>
      </c>
      <c r="G1022">
        <v>95</v>
      </c>
      <c r="H1022" t="s">
        <v>80</v>
      </c>
      <c r="I1022" t="s">
        <v>45</v>
      </c>
      <c r="J1022" t="s">
        <v>94</v>
      </c>
      <c r="K1022" t="s">
        <v>58</v>
      </c>
      <c r="L1022">
        <v>4.5</v>
      </c>
      <c r="M1022" t="s">
        <v>26</v>
      </c>
      <c r="N1022" t="s">
        <v>34</v>
      </c>
      <c r="O1022" t="s">
        <v>28</v>
      </c>
      <c r="P1022" t="s">
        <v>26</v>
      </c>
      <c r="Q1022" t="s">
        <v>26</v>
      </c>
      <c r="R1022">
        <v>41</v>
      </c>
      <c r="S1022" t="s">
        <v>59</v>
      </c>
      <c r="T1022" t="str">
        <f t="shared" si="30"/>
        <v>Annually</v>
      </c>
      <c r="U1022">
        <f>VLOOKUP(T1022,[1]tablescore!$B$3:$C$8, 2,FALSE)</f>
        <v>1</v>
      </c>
      <c r="V1022" t="str">
        <f t="shared" si="31"/>
        <v>Low Loyalty</v>
      </c>
      <c r="W1022" t="s">
        <v>50</v>
      </c>
    </row>
    <row r="1023" spans="1:23" x14ac:dyDescent="0.25">
      <c r="A1023">
        <v>1022</v>
      </c>
      <c r="B1023">
        <v>55</v>
      </c>
      <c r="C1023" t="str" cm="1">
        <f t="array" ref="C1023">_xlfn.IFS(
  AND(B1023&gt;=18, B1023&lt;=24), "18-24",
  AND(B1023&gt;=25, B1023&lt;=34), "25-34",
  AND(B1023&gt;=35, B1023&lt;=44), "35-44",
  AND(B1023&gt;=45, B1023&lt;=54), "45-54",
  B1023&gt;=55, "55+"
)</f>
        <v>55+</v>
      </c>
      <c r="D1023" t="s">
        <v>19</v>
      </c>
      <c r="E1023" t="s">
        <v>64</v>
      </c>
      <c r="F1023" t="s">
        <v>65</v>
      </c>
      <c r="G1023">
        <v>51</v>
      </c>
      <c r="H1023" t="s">
        <v>37</v>
      </c>
      <c r="I1023" t="s">
        <v>38</v>
      </c>
      <c r="J1023" t="s">
        <v>93</v>
      </c>
      <c r="K1023" t="s">
        <v>25</v>
      </c>
      <c r="L1023">
        <v>4.9000000000000004</v>
      </c>
      <c r="M1023" t="s">
        <v>26</v>
      </c>
      <c r="N1023" t="s">
        <v>27</v>
      </c>
      <c r="O1023" t="s">
        <v>72</v>
      </c>
      <c r="P1023" t="s">
        <v>26</v>
      </c>
      <c r="Q1023" t="s">
        <v>26</v>
      </c>
      <c r="R1023">
        <v>39</v>
      </c>
      <c r="S1023" t="s">
        <v>46</v>
      </c>
      <c r="T1023" t="str">
        <f t="shared" si="30"/>
        <v>Daily</v>
      </c>
      <c r="U1023">
        <f>VLOOKUP(T1023,[1]tablescore!$B$3:$C$8, 2,FALSE)</f>
        <v>30</v>
      </c>
      <c r="V1023" t="str">
        <f t="shared" si="31"/>
        <v>Highly Loyal</v>
      </c>
      <c r="W1023" t="s">
        <v>41</v>
      </c>
    </row>
    <row r="1024" spans="1:23" x14ac:dyDescent="0.25">
      <c r="A1024">
        <v>1023</v>
      </c>
      <c r="B1024">
        <v>61</v>
      </c>
      <c r="C1024" t="str" cm="1">
        <f t="array" ref="C1024">_xlfn.IFS(
  AND(B1024&gt;=18, B1024&lt;=24), "18-24",
  AND(B1024&gt;=25, B1024&lt;=34), "25-34",
  AND(B1024&gt;=35, B1024&lt;=44), "35-44",
  AND(B1024&gt;=45, B1024&lt;=54), "45-54",
  B1024&gt;=55, "55+"
)</f>
        <v>55+</v>
      </c>
      <c r="D1024" t="s">
        <v>19</v>
      </c>
      <c r="E1024" t="s">
        <v>68</v>
      </c>
      <c r="F1024" t="s">
        <v>69</v>
      </c>
      <c r="G1024">
        <v>41</v>
      </c>
      <c r="H1024" t="s">
        <v>143</v>
      </c>
      <c r="I1024" t="s">
        <v>45</v>
      </c>
      <c r="J1024" t="s">
        <v>93</v>
      </c>
      <c r="K1024" t="s">
        <v>25</v>
      </c>
      <c r="L1024">
        <v>4.9000000000000004</v>
      </c>
      <c r="M1024" t="s">
        <v>26</v>
      </c>
      <c r="N1024" t="s">
        <v>35</v>
      </c>
      <c r="O1024" t="s">
        <v>76</v>
      </c>
      <c r="P1024" t="s">
        <v>26</v>
      </c>
      <c r="Q1024" t="s">
        <v>26</v>
      </c>
      <c r="R1024">
        <v>7</v>
      </c>
      <c r="S1024" t="s">
        <v>35</v>
      </c>
      <c r="T1024" t="str">
        <f t="shared" si="30"/>
        <v>Annually</v>
      </c>
      <c r="U1024">
        <f>VLOOKUP(T1024,[1]tablescore!$B$3:$C$8, 2,FALSE)</f>
        <v>1</v>
      </c>
      <c r="V1024" t="str">
        <f t="shared" si="31"/>
        <v>Low Loyalty</v>
      </c>
      <c r="W1024" t="s">
        <v>50</v>
      </c>
    </row>
    <row r="1025" spans="1:23" x14ac:dyDescent="0.25">
      <c r="A1025">
        <v>1024</v>
      </c>
      <c r="B1025">
        <v>61</v>
      </c>
      <c r="C1025" t="str" cm="1">
        <f t="array" ref="C1025">_xlfn.IFS(
  AND(B1025&gt;=18, B1025&lt;=24), "18-24",
  AND(B1025&gt;=25, B1025&lt;=34), "25-34",
  AND(B1025&gt;=35, B1025&lt;=44), "35-44",
  AND(B1025&gt;=45, B1025&lt;=54), "45-54",
  B1025&gt;=55, "55+"
)</f>
        <v>55+</v>
      </c>
      <c r="D1025" t="s">
        <v>19</v>
      </c>
      <c r="E1025" t="s">
        <v>89</v>
      </c>
      <c r="F1025" t="s">
        <v>69</v>
      </c>
      <c r="G1025">
        <v>71</v>
      </c>
      <c r="H1025" t="s">
        <v>32</v>
      </c>
      <c r="I1025" t="s">
        <v>38</v>
      </c>
      <c r="J1025" t="s">
        <v>49</v>
      </c>
      <c r="K1025" t="s">
        <v>25</v>
      </c>
      <c r="L1025">
        <v>3.5</v>
      </c>
      <c r="M1025" t="s">
        <v>26</v>
      </c>
      <c r="N1025" t="s">
        <v>34</v>
      </c>
      <c r="O1025" t="s">
        <v>40</v>
      </c>
      <c r="P1025" t="s">
        <v>26</v>
      </c>
      <c r="Q1025" t="s">
        <v>26</v>
      </c>
      <c r="R1025">
        <v>29</v>
      </c>
      <c r="S1025" t="s">
        <v>34</v>
      </c>
      <c r="T1025" t="str">
        <f t="shared" si="30"/>
        <v>Quarterly</v>
      </c>
      <c r="U1025">
        <f>VLOOKUP(T1025,[1]tablescore!$B$3:$C$8, 2,FALSE)</f>
        <v>4</v>
      </c>
      <c r="V1025" t="str">
        <f t="shared" si="31"/>
        <v>Low Loyalty</v>
      </c>
      <c r="W1025" t="s">
        <v>97</v>
      </c>
    </row>
    <row r="1026" spans="1:23" x14ac:dyDescent="0.25">
      <c r="A1026">
        <v>1025</v>
      </c>
      <c r="B1026">
        <v>28</v>
      </c>
      <c r="C1026" t="str" cm="1">
        <f t="array" ref="C1026">_xlfn.IFS(
  AND(B1026&gt;=18, B1026&lt;=24), "18-24",
  AND(B1026&gt;=25, B1026&lt;=34), "25-34",
  AND(B1026&gt;=35, B1026&lt;=44), "35-44",
  AND(B1026&gt;=45, B1026&lt;=54), "45-54",
  B1026&gt;=55, "55+"
)</f>
        <v>25-34</v>
      </c>
      <c r="D1026" t="s">
        <v>19</v>
      </c>
      <c r="E1026" t="s">
        <v>113</v>
      </c>
      <c r="F1026" t="s">
        <v>21</v>
      </c>
      <c r="G1026">
        <v>66</v>
      </c>
      <c r="H1026" t="s">
        <v>141</v>
      </c>
      <c r="I1026" t="s">
        <v>45</v>
      </c>
      <c r="J1026" t="s">
        <v>75</v>
      </c>
      <c r="K1026" t="s">
        <v>54</v>
      </c>
      <c r="L1026">
        <v>3.5</v>
      </c>
      <c r="M1026" t="s">
        <v>26</v>
      </c>
      <c r="N1026" t="s">
        <v>59</v>
      </c>
      <c r="O1026" t="s">
        <v>40</v>
      </c>
      <c r="P1026" t="s">
        <v>26</v>
      </c>
      <c r="Q1026" t="s">
        <v>26</v>
      </c>
      <c r="R1026">
        <v>18</v>
      </c>
      <c r="S1026" t="s">
        <v>29</v>
      </c>
      <c r="T1026" t="str">
        <f t="shared" si="30"/>
        <v>Quarterly</v>
      </c>
      <c r="U1026">
        <f>VLOOKUP(T1026,[1]tablescore!$B$3:$C$8, 2,FALSE)</f>
        <v>4</v>
      </c>
      <c r="V1026" t="str">
        <f t="shared" si="31"/>
        <v>Low Loyalty</v>
      </c>
      <c r="W1026" t="s">
        <v>60</v>
      </c>
    </row>
    <row r="1027" spans="1:23" x14ac:dyDescent="0.25">
      <c r="A1027">
        <v>1026</v>
      </c>
      <c r="B1027">
        <v>60</v>
      </c>
      <c r="C1027" t="str" cm="1">
        <f t="array" ref="C1027">_xlfn.IFS(
  AND(B1027&gt;=18, B1027&lt;=24), "18-24",
  AND(B1027&gt;=25, B1027&lt;=34), "25-34",
  AND(B1027&gt;=35, B1027&lt;=44), "35-44",
  AND(B1027&gt;=45, B1027&lt;=54), "45-54",
  B1027&gt;=55, "55+"
)</f>
        <v>55+</v>
      </c>
      <c r="D1027" t="s">
        <v>19</v>
      </c>
      <c r="E1027" t="s">
        <v>56</v>
      </c>
      <c r="F1027" t="s">
        <v>21</v>
      </c>
      <c r="G1027">
        <v>84</v>
      </c>
      <c r="H1027" t="s">
        <v>143</v>
      </c>
      <c r="I1027" t="s">
        <v>45</v>
      </c>
      <c r="J1027" t="s">
        <v>79</v>
      </c>
      <c r="K1027" t="s">
        <v>25</v>
      </c>
      <c r="L1027">
        <v>4.9000000000000004</v>
      </c>
      <c r="M1027" t="s">
        <v>26</v>
      </c>
      <c r="N1027" t="s">
        <v>34</v>
      </c>
      <c r="O1027" t="s">
        <v>40</v>
      </c>
      <c r="P1027" t="s">
        <v>26</v>
      </c>
      <c r="Q1027" t="s">
        <v>26</v>
      </c>
      <c r="R1027">
        <v>15</v>
      </c>
      <c r="S1027" t="s">
        <v>27</v>
      </c>
      <c r="T1027" t="str">
        <f t="shared" ref="T1027:T1090" si="32">IF(TRIM(W1027)="Every 3 months","Quarterly",IF(TRIM(W1027)="Fortnightly","2-week",IF(TRIM(W1027)="Bi-Weekly","2-week",IF(TRIM(W1027)="Weekly","Daily",IF(TRIM(W1027)="Monthly","Month",TRIM(W1027))))))</f>
        <v>Annually</v>
      </c>
      <c r="U1027">
        <f>VLOOKUP(T1027,[1]tablescore!$B$3:$C$8, 2,FALSE)</f>
        <v>1</v>
      </c>
      <c r="V1027" t="str">
        <f t="shared" ref="V1027:V1090" si="33">_xlfn.IFS(U1027&gt;=30, "Highly Loyal", U1027&gt;=26, "Loyal", U1027&gt;=12, "Moderate", U1027&lt;5, "Low Loyalty")</f>
        <v>Low Loyalty</v>
      </c>
      <c r="W1027" t="s">
        <v>50</v>
      </c>
    </row>
    <row r="1028" spans="1:23" x14ac:dyDescent="0.25">
      <c r="A1028">
        <v>1027</v>
      </c>
      <c r="B1028">
        <v>49</v>
      </c>
      <c r="C1028" t="str" cm="1">
        <f t="array" ref="C1028">_xlfn.IFS(
  AND(B1028&gt;=18, B1028&lt;=24), "18-24",
  AND(B1028&gt;=25, B1028&lt;=34), "25-34",
  AND(B1028&gt;=35, B1028&lt;=44), "35-44",
  AND(B1028&gt;=45, B1028&lt;=54), "45-54",
  B1028&gt;=55, "55+"
)</f>
        <v>45-54</v>
      </c>
      <c r="D1028" t="s">
        <v>19</v>
      </c>
      <c r="E1028" t="s">
        <v>68</v>
      </c>
      <c r="F1028" t="s">
        <v>69</v>
      </c>
      <c r="G1028">
        <v>95</v>
      </c>
      <c r="H1028" t="s">
        <v>128</v>
      </c>
      <c r="I1028" t="s">
        <v>23</v>
      </c>
      <c r="J1028" t="s">
        <v>49</v>
      </c>
      <c r="K1028" t="s">
        <v>25</v>
      </c>
      <c r="L1028">
        <v>3</v>
      </c>
      <c r="M1028" t="s">
        <v>26</v>
      </c>
      <c r="N1028" t="s">
        <v>29</v>
      </c>
      <c r="O1028" t="s">
        <v>28</v>
      </c>
      <c r="P1028" t="s">
        <v>26</v>
      </c>
      <c r="Q1028" t="s">
        <v>26</v>
      </c>
      <c r="R1028">
        <v>39</v>
      </c>
      <c r="S1028" t="s">
        <v>46</v>
      </c>
      <c r="T1028" t="str">
        <f t="shared" si="32"/>
        <v>2-week</v>
      </c>
      <c r="U1028">
        <f>VLOOKUP(T1028,[1]tablescore!$B$3:$C$8, 2,FALSE)</f>
        <v>26</v>
      </c>
      <c r="V1028" t="str">
        <f t="shared" si="33"/>
        <v>Loyal</v>
      </c>
      <c r="W1028" t="s">
        <v>77</v>
      </c>
    </row>
    <row r="1029" spans="1:23" x14ac:dyDescent="0.25">
      <c r="A1029">
        <v>1028</v>
      </c>
      <c r="B1029">
        <v>33</v>
      </c>
      <c r="C1029" t="str" cm="1">
        <f t="array" ref="C1029">_xlfn.IFS(
  AND(B1029&gt;=18, B1029&lt;=24), "18-24",
  AND(B1029&gt;=25, B1029&lt;=34), "25-34",
  AND(B1029&gt;=35, B1029&lt;=44), "35-44",
  AND(B1029&gt;=45, B1029&lt;=54), "45-54",
  B1029&gt;=55, "55+"
)</f>
        <v>25-34</v>
      </c>
      <c r="D1029" t="s">
        <v>19</v>
      </c>
      <c r="E1029" t="s">
        <v>106</v>
      </c>
      <c r="F1029" t="s">
        <v>69</v>
      </c>
      <c r="G1029">
        <v>90</v>
      </c>
      <c r="H1029" t="s">
        <v>124</v>
      </c>
      <c r="I1029" t="s">
        <v>23</v>
      </c>
      <c r="J1029" t="s">
        <v>86</v>
      </c>
      <c r="K1029" t="s">
        <v>54</v>
      </c>
      <c r="L1029">
        <v>2.8</v>
      </c>
      <c r="M1029" t="s">
        <v>26</v>
      </c>
      <c r="N1029" t="s">
        <v>35</v>
      </c>
      <c r="O1029" t="s">
        <v>47</v>
      </c>
      <c r="P1029" t="s">
        <v>26</v>
      </c>
      <c r="Q1029" t="s">
        <v>26</v>
      </c>
      <c r="R1029">
        <v>11</v>
      </c>
      <c r="S1029" t="s">
        <v>35</v>
      </c>
      <c r="T1029" t="str">
        <f t="shared" si="32"/>
        <v>Month</v>
      </c>
      <c r="U1029">
        <f>VLOOKUP(T1029,[1]tablescore!$B$3:$C$8, 2,FALSE)</f>
        <v>12</v>
      </c>
      <c r="V1029" t="str">
        <f t="shared" si="33"/>
        <v>Moderate</v>
      </c>
      <c r="W1029" t="s">
        <v>88</v>
      </c>
    </row>
    <row r="1030" spans="1:23" x14ac:dyDescent="0.25">
      <c r="A1030">
        <v>1029</v>
      </c>
      <c r="B1030">
        <v>45</v>
      </c>
      <c r="C1030" t="str" cm="1">
        <f t="array" ref="C1030">_xlfn.IFS(
  AND(B1030&gt;=18, B1030&lt;=24), "18-24",
  AND(B1030&gt;=25, B1030&lt;=34), "25-34",
  AND(B1030&gt;=35, B1030&lt;=44), "35-44",
  AND(B1030&gt;=45, B1030&lt;=54), "45-54",
  B1030&gt;=55, "55+"
)</f>
        <v>45-54</v>
      </c>
      <c r="D1030" t="s">
        <v>19</v>
      </c>
      <c r="E1030" t="s">
        <v>104</v>
      </c>
      <c r="F1030" t="s">
        <v>21</v>
      </c>
      <c r="G1030">
        <v>36</v>
      </c>
      <c r="H1030" t="s">
        <v>143</v>
      </c>
      <c r="I1030" t="s">
        <v>38</v>
      </c>
      <c r="J1030" t="s">
        <v>93</v>
      </c>
      <c r="K1030" t="s">
        <v>54</v>
      </c>
      <c r="L1030">
        <v>3.7</v>
      </c>
      <c r="M1030" t="s">
        <v>26</v>
      </c>
      <c r="N1030" t="s">
        <v>29</v>
      </c>
      <c r="O1030" t="s">
        <v>55</v>
      </c>
      <c r="P1030" t="s">
        <v>26</v>
      </c>
      <c r="Q1030" t="s">
        <v>26</v>
      </c>
      <c r="R1030">
        <v>4</v>
      </c>
      <c r="S1030" t="s">
        <v>35</v>
      </c>
      <c r="T1030" t="str">
        <f t="shared" si="32"/>
        <v>2-week</v>
      </c>
      <c r="U1030">
        <f>VLOOKUP(T1030,[1]tablescore!$B$3:$C$8, 2,FALSE)</f>
        <v>26</v>
      </c>
      <c r="V1030" t="str">
        <f t="shared" si="33"/>
        <v>Loyal</v>
      </c>
      <c r="W1030" t="s">
        <v>30</v>
      </c>
    </row>
    <row r="1031" spans="1:23" x14ac:dyDescent="0.25">
      <c r="A1031">
        <v>1030</v>
      </c>
      <c r="B1031">
        <v>29</v>
      </c>
      <c r="C1031" t="str" cm="1">
        <f t="array" ref="C1031">_xlfn.IFS(
  AND(B1031&gt;=18, B1031&lt;=24), "18-24",
  AND(B1031&gt;=25, B1031&lt;=34), "25-34",
  AND(B1031&gt;=35, B1031&lt;=44), "35-44",
  AND(B1031&gt;=45, B1031&lt;=54), "45-54",
  B1031&gt;=55, "55+"
)</f>
        <v>25-34</v>
      </c>
      <c r="D1031" t="s">
        <v>19</v>
      </c>
      <c r="E1031" t="s">
        <v>127</v>
      </c>
      <c r="F1031" t="s">
        <v>69</v>
      </c>
      <c r="G1031">
        <v>22</v>
      </c>
      <c r="H1031" t="s">
        <v>124</v>
      </c>
      <c r="I1031" t="s">
        <v>45</v>
      </c>
      <c r="J1031" t="s">
        <v>75</v>
      </c>
      <c r="K1031" t="s">
        <v>39</v>
      </c>
      <c r="L1031">
        <v>3.6</v>
      </c>
      <c r="M1031" t="s">
        <v>26</v>
      </c>
      <c r="N1031" t="s">
        <v>27</v>
      </c>
      <c r="O1031" t="s">
        <v>72</v>
      </c>
      <c r="P1031" t="s">
        <v>26</v>
      </c>
      <c r="Q1031" t="s">
        <v>26</v>
      </c>
      <c r="R1031">
        <v>33</v>
      </c>
      <c r="S1031" t="s">
        <v>29</v>
      </c>
      <c r="T1031" t="str">
        <f t="shared" si="32"/>
        <v>2-week</v>
      </c>
      <c r="U1031">
        <f>VLOOKUP(T1031,[1]tablescore!$B$3:$C$8, 2,FALSE)</f>
        <v>26</v>
      </c>
      <c r="V1031" t="str">
        <f t="shared" si="33"/>
        <v>Loyal</v>
      </c>
      <c r="W1031" t="s">
        <v>77</v>
      </c>
    </row>
    <row r="1032" spans="1:23" x14ac:dyDescent="0.25">
      <c r="A1032">
        <v>1031</v>
      </c>
      <c r="B1032">
        <v>58</v>
      </c>
      <c r="C1032" t="str" cm="1">
        <f t="array" ref="C1032">_xlfn.IFS(
  AND(B1032&gt;=18, B1032&lt;=24), "18-24",
  AND(B1032&gt;=25, B1032&lt;=34), "25-34",
  AND(B1032&gt;=35, B1032&lt;=44), "35-44",
  AND(B1032&gt;=45, B1032&lt;=54), "45-54",
  B1032&gt;=55, "55+"
)</f>
        <v>55+</v>
      </c>
      <c r="D1032" t="s">
        <v>19</v>
      </c>
      <c r="E1032" t="s">
        <v>64</v>
      </c>
      <c r="F1032" t="s">
        <v>65</v>
      </c>
      <c r="G1032">
        <v>89</v>
      </c>
      <c r="H1032" t="s">
        <v>22</v>
      </c>
      <c r="I1032" t="s">
        <v>23</v>
      </c>
      <c r="J1032" t="s">
        <v>138</v>
      </c>
      <c r="K1032" t="s">
        <v>25</v>
      </c>
      <c r="L1032">
        <v>3.3</v>
      </c>
      <c r="M1032" t="s">
        <v>26</v>
      </c>
      <c r="N1032" t="s">
        <v>27</v>
      </c>
      <c r="O1032" t="s">
        <v>47</v>
      </c>
      <c r="P1032" t="s">
        <v>26</v>
      </c>
      <c r="Q1032" t="s">
        <v>26</v>
      </c>
      <c r="R1032">
        <v>37</v>
      </c>
      <c r="S1032" t="s">
        <v>59</v>
      </c>
      <c r="T1032" t="str">
        <f t="shared" si="32"/>
        <v>Quarterly</v>
      </c>
      <c r="U1032">
        <f>VLOOKUP(T1032,[1]tablescore!$B$3:$C$8, 2,FALSE)</f>
        <v>4</v>
      </c>
      <c r="V1032" t="str">
        <f t="shared" si="33"/>
        <v>Low Loyalty</v>
      </c>
      <c r="W1032" t="s">
        <v>60</v>
      </c>
    </row>
    <row r="1033" spans="1:23" x14ac:dyDescent="0.25">
      <c r="A1033">
        <v>1032</v>
      </c>
      <c r="B1033">
        <v>22</v>
      </c>
      <c r="C1033" t="str" cm="1">
        <f t="array" ref="C1033">_xlfn.IFS(
  AND(B1033&gt;=18, B1033&lt;=24), "18-24",
  AND(B1033&gt;=25, B1033&lt;=34), "25-34",
  AND(B1033&gt;=35, B1033&lt;=44), "35-44",
  AND(B1033&gt;=45, B1033&lt;=54), "45-54",
  B1033&gt;=55, "55+"
)</f>
        <v>18-24</v>
      </c>
      <c r="D1033" t="s">
        <v>19</v>
      </c>
      <c r="E1033" t="s">
        <v>42</v>
      </c>
      <c r="F1033" t="s">
        <v>43</v>
      </c>
      <c r="G1033">
        <v>50</v>
      </c>
      <c r="H1033" t="s">
        <v>122</v>
      </c>
      <c r="I1033" t="s">
        <v>45</v>
      </c>
      <c r="J1033" t="s">
        <v>86</v>
      </c>
      <c r="K1033" t="s">
        <v>39</v>
      </c>
      <c r="L1033">
        <v>3.4</v>
      </c>
      <c r="M1033" t="s">
        <v>26</v>
      </c>
      <c r="N1033" t="s">
        <v>35</v>
      </c>
      <c r="O1033" t="s">
        <v>40</v>
      </c>
      <c r="P1033" t="s">
        <v>26</v>
      </c>
      <c r="Q1033" t="s">
        <v>26</v>
      </c>
      <c r="R1033">
        <v>32</v>
      </c>
      <c r="S1033" t="s">
        <v>35</v>
      </c>
      <c r="T1033" t="str">
        <f t="shared" si="32"/>
        <v>Quarterly</v>
      </c>
      <c r="U1033">
        <f>VLOOKUP(T1033,[1]tablescore!$B$3:$C$8, 2,FALSE)</f>
        <v>4</v>
      </c>
      <c r="V1033" t="str">
        <f t="shared" si="33"/>
        <v>Low Loyalty</v>
      </c>
      <c r="W1033" t="s">
        <v>60</v>
      </c>
    </row>
    <row r="1034" spans="1:23" x14ac:dyDescent="0.25">
      <c r="A1034">
        <v>1033</v>
      </c>
      <c r="B1034">
        <v>55</v>
      </c>
      <c r="C1034" t="str" cm="1">
        <f t="array" ref="C1034">_xlfn.IFS(
  AND(B1034&gt;=18, B1034&lt;=24), "18-24",
  AND(B1034&gt;=25, B1034&lt;=34), "25-34",
  AND(B1034&gt;=35, B1034&lt;=44), "35-44",
  AND(B1034&gt;=45, B1034&lt;=54), "45-54",
  B1034&gt;=55, "55+"
)</f>
        <v>55+</v>
      </c>
      <c r="D1034" t="s">
        <v>19</v>
      </c>
      <c r="E1034" t="s">
        <v>132</v>
      </c>
      <c r="F1034" t="s">
        <v>43</v>
      </c>
      <c r="G1034">
        <v>36</v>
      </c>
      <c r="H1034" t="s">
        <v>32</v>
      </c>
      <c r="I1034" t="s">
        <v>45</v>
      </c>
      <c r="J1034" t="s">
        <v>93</v>
      </c>
      <c r="K1034" t="s">
        <v>58</v>
      </c>
      <c r="L1034">
        <v>4</v>
      </c>
      <c r="M1034" t="s">
        <v>26</v>
      </c>
      <c r="N1034" t="s">
        <v>34</v>
      </c>
      <c r="O1034" t="s">
        <v>40</v>
      </c>
      <c r="P1034" t="s">
        <v>26</v>
      </c>
      <c r="Q1034" t="s">
        <v>26</v>
      </c>
      <c r="R1034">
        <v>44</v>
      </c>
      <c r="S1034" t="s">
        <v>27</v>
      </c>
      <c r="T1034" t="str">
        <f t="shared" si="32"/>
        <v>Quarterly</v>
      </c>
      <c r="U1034">
        <f>VLOOKUP(T1034,[1]tablescore!$B$3:$C$8, 2,FALSE)</f>
        <v>4</v>
      </c>
      <c r="V1034" t="str">
        <f t="shared" si="33"/>
        <v>Low Loyalty</v>
      </c>
      <c r="W1034" t="s">
        <v>60</v>
      </c>
    </row>
    <row r="1035" spans="1:23" x14ac:dyDescent="0.25">
      <c r="A1035">
        <v>1034</v>
      </c>
      <c r="B1035">
        <v>19</v>
      </c>
      <c r="C1035" t="str" cm="1">
        <f t="array" ref="C1035">_xlfn.IFS(
  AND(B1035&gt;=18, B1035&lt;=24), "18-24",
  AND(B1035&gt;=25, B1035&lt;=34), "25-34",
  AND(B1035&gt;=35, B1035&lt;=44), "35-44",
  AND(B1035&gt;=45, B1035&lt;=54), "45-54",
  B1035&gt;=55, "55+"
)</f>
        <v>18-24</v>
      </c>
      <c r="D1035" t="s">
        <v>19</v>
      </c>
      <c r="E1035" t="s">
        <v>95</v>
      </c>
      <c r="F1035" t="s">
        <v>21</v>
      </c>
      <c r="G1035">
        <v>52</v>
      </c>
      <c r="H1035" t="s">
        <v>57</v>
      </c>
      <c r="I1035" t="s">
        <v>38</v>
      </c>
      <c r="J1035" t="s">
        <v>67</v>
      </c>
      <c r="K1035" t="s">
        <v>39</v>
      </c>
      <c r="L1035">
        <v>4.5999999999999996</v>
      </c>
      <c r="M1035" t="s">
        <v>26</v>
      </c>
      <c r="N1035" t="s">
        <v>27</v>
      </c>
      <c r="O1035" t="s">
        <v>40</v>
      </c>
      <c r="P1035" t="s">
        <v>26</v>
      </c>
      <c r="Q1035" t="s">
        <v>26</v>
      </c>
      <c r="R1035">
        <v>41</v>
      </c>
      <c r="S1035" t="s">
        <v>34</v>
      </c>
      <c r="T1035" t="str">
        <f t="shared" si="32"/>
        <v>Quarterly</v>
      </c>
      <c r="U1035">
        <f>VLOOKUP(T1035,[1]tablescore!$B$3:$C$8, 2,FALSE)</f>
        <v>4</v>
      </c>
      <c r="V1035" t="str">
        <f t="shared" si="33"/>
        <v>Low Loyalty</v>
      </c>
      <c r="W1035" t="s">
        <v>60</v>
      </c>
    </row>
    <row r="1036" spans="1:23" x14ac:dyDescent="0.25">
      <c r="A1036">
        <v>1035</v>
      </c>
      <c r="B1036">
        <v>68</v>
      </c>
      <c r="C1036" t="str" cm="1">
        <f t="array" ref="C1036">_xlfn.IFS(
  AND(B1036&gt;=18, B1036&lt;=24), "18-24",
  AND(B1036&gt;=25, B1036&lt;=34), "25-34",
  AND(B1036&gt;=35, B1036&lt;=44), "35-44",
  AND(B1036&gt;=45, B1036&lt;=54), "45-54",
  B1036&gt;=55, "55+"
)</f>
        <v>55+</v>
      </c>
      <c r="D1036" t="s">
        <v>19</v>
      </c>
      <c r="E1036" t="s">
        <v>131</v>
      </c>
      <c r="F1036" t="s">
        <v>21</v>
      </c>
      <c r="G1036">
        <v>29</v>
      </c>
      <c r="H1036" t="s">
        <v>135</v>
      </c>
      <c r="I1036" t="s">
        <v>45</v>
      </c>
      <c r="J1036" t="s">
        <v>79</v>
      </c>
      <c r="K1036" t="s">
        <v>58</v>
      </c>
      <c r="L1036">
        <v>4.2</v>
      </c>
      <c r="M1036" t="s">
        <v>26</v>
      </c>
      <c r="N1036" t="s">
        <v>29</v>
      </c>
      <c r="O1036" t="s">
        <v>47</v>
      </c>
      <c r="P1036" t="s">
        <v>26</v>
      </c>
      <c r="Q1036" t="s">
        <v>26</v>
      </c>
      <c r="R1036">
        <v>44</v>
      </c>
      <c r="S1036" t="s">
        <v>34</v>
      </c>
      <c r="T1036" t="str">
        <f t="shared" si="32"/>
        <v>Daily</v>
      </c>
      <c r="U1036">
        <f>VLOOKUP(T1036,[1]tablescore!$B$3:$C$8, 2,FALSE)</f>
        <v>30</v>
      </c>
      <c r="V1036" t="str">
        <f t="shared" si="33"/>
        <v>Highly Loyal</v>
      </c>
      <c r="W1036" t="s">
        <v>41</v>
      </c>
    </row>
    <row r="1037" spans="1:23" x14ac:dyDescent="0.25">
      <c r="A1037">
        <v>1036</v>
      </c>
      <c r="B1037">
        <v>61</v>
      </c>
      <c r="C1037" t="str" cm="1">
        <f t="array" ref="C1037">_xlfn.IFS(
  AND(B1037&gt;=18, B1037&lt;=24), "18-24",
  AND(B1037&gt;=25, B1037&lt;=34), "25-34",
  AND(B1037&gt;=35, B1037&lt;=44), "35-44",
  AND(B1037&gt;=45, B1037&lt;=54), "45-54",
  B1037&gt;=55, "55+"
)</f>
        <v>55+</v>
      </c>
      <c r="D1037" t="s">
        <v>19</v>
      </c>
      <c r="E1037" t="s">
        <v>20</v>
      </c>
      <c r="F1037" t="s">
        <v>21</v>
      </c>
      <c r="G1037">
        <v>89</v>
      </c>
      <c r="H1037" t="s">
        <v>142</v>
      </c>
      <c r="I1037" t="s">
        <v>45</v>
      </c>
      <c r="J1037" t="s">
        <v>110</v>
      </c>
      <c r="K1037" t="s">
        <v>58</v>
      </c>
      <c r="L1037">
        <v>2.8</v>
      </c>
      <c r="M1037" t="s">
        <v>26</v>
      </c>
      <c r="N1037" t="s">
        <v>29</v>
      </c>
      <c r="O1037" t="s">
        <v>28</v>
      </c>
      <c r="P1037" t="s">
        <v>26</v>
      </c>
      <c r="Q1037" t="s">
        <v>26</v>
      </c>
      <c r="R1037">
        <v>32</v>
      </c>
      <c r="S1037" t="s">
        <v>29</v>
      </c>
      <c r="T1037" t="str">
        <f t="shared" si="32"/>
        <v>Annually</v>
      </c>
      <c r="U1037">
        <f>VLOOKUP(T1037,[1]tablescore!$B$3:$C$8, 2,FALSE)</f>
        <v>1</v>
      </c>
      <c r="V1037" t="str">
        <f t="shared" si="33"/>
        <v>Low Loyalty</v>
      </c>
      <c r="W1037" t="s">
        <v>50</v>
      </c>
    </row>
    <row r="1038" spans="1:23" x14ac:dyDescent="0.25">
      <c r="A1038">
        <v>1037</v>
      </c>
      <c r="B1038">
        <v>68</v>
      </c>
      <c r="C1038" t="str" cm="1">
        <f t="array" ref="C1038">_xlfn.IFS(
  AND(B1038&gt;=18, B1038&lt;=24), "18-24",
  AND(B1038&gt;=25, B1038&lt;=34), "25-34",
  AND(B1038&gt;=35, B1038&lt;=44), "35-44",
  AND(B1038&gt;=45, B1038&lt;=54), "45-54",
  B1038&gt;=55, "55+"
)</f>
        <v>55+</v>
      </c>
      <c r="D1038" t="s">
        <v>19</v>
      </c>
      <c r="E1038" t="s">
        <v>68</v>
      </c>
      <c r="F1038" t="s">
        <v>69</v>
      </c>
      <c r="G1038">
        <v>47</v>
      </c>
      <c r="H1038" t="s">
        <v>78</v>
      </c>
      <c r="I1038" t="s">
        <v>45</v>
      </c>
      <c r="J1038" t="s">
        <v>139</v>
      </c>
      <c r="K1038" t="s">
        <v>58</v>
      </c>
      <c r="L1038">
        <v>3.7</v>
      </c>
      <c r="M1038" t="s">
        <v>26</v>
      </c>
      <c r="N1038" t="s">
        <v>27</v>
      </c>
      <c r="O1038" t="s">
        <v>72</v>
      </c>
      <c r="P1038" t="s">
        <v>26</v>
      </c>
      <c r="Q1038" t="s">
        <v>26</v>
      </c>
      <c r="R1038">
        <v>13</v>
      </c>
      <c r="S1038" t="s">
        <v>34</v>
      </c>
      <c r="T1038" t="str">
        <f t="shared" si="32"/>
        <v>Month</v>
      </c>
      <c r="U1038">
        <f>VLOOKUP(T1038,[1]tablescore!$B$3:$C$8, 2,FALSE)</f>
        <v>12</v>
      </c>
      <c r="V1038" t="str">
        <f t="shared" si="33"/>
        <v>Moderate</v>
      </c>
      <c r="W1038" t="s">
        <v>88</v>
      </c>
    </row>
    <row r="1039" spans="1:23" x14ac:dyDescent="0.25">
      <c r="A1039">
        <v>1038</v>
      </c>
      <c r="B1039">
        <v>52</v>
      </c>
      <c r="C1039" t="str" cm="1">
        <f t="array" ref="C1039">_xlfn.IFS(
  AND(B1039&gt;=18, B1039&lt;=24), "18-24",
  AND(B1039&gt;=25, B1039&lt;=34), "25-34",
  AND(B1039&gt;=35, B1039&lt;=44), "35-44",
  AND(B1039&gt;=45, B1039&lt;=54), "45-54",
  B1039&gt;=55, "55+"
)</f>
        <v>45-54</v>
      </c>
      <c r="D1039" t="s">
        <v>19</v>
      </c>
      <c r="E1039" t="s">
        <v>106</v>
      </c>
      <c r="F1039" t="s">
        <v>69</v>
      </c>
      <c r="G1039">
        <v>25</v>
      </c>
      <c r="H1039" t="s">
        <v>44</v>
      </c>
      <c r="I1039" t="s">
        <v>92</v>
      </c>
      <c r="J1039" t="s">
        <v>110</v>
      </c>
      <c r="K1039" t="s">
        <v>39</v>
      </c>
      <c r="L1039">
        <v>3.4</v>
      </c>
      <c r="M1039" t="s">
        <v>26</v>
      </c>
      <c r="N1039" t="s">
        <v>34</v>
      </c>
      <c r="O1039" t="s">
        <v>55</v>
      </c>
      <c r="P1039" t="s">
        <v>26</v>
      </c>
      <c r="Q1039" t="s">
        <v>26</v>
      </c>
      <c r="R1039">
        <v>48</v>
      </c>
      <c r="S1039" t="s">
        <v>59</v>
      </c>
      <c r="T1039" t="str">
        <f t="shared" si="32"/>
        <v>Quarterly</v>
      </c>
      <c r="U1039">
        <f>VLOOKUP(T1039,[1]tablescore!$B$3:$C$8, 2,FALSE)</f>
        <v>4</v>
      </c>
      <c r="V1039" t="str">
        <f t="shared" si="33"/>
        <v>Low Loyalty</v>
      </c>
      <c r="W1039" t="s">
        <v>60</v>
      </c>
    </row>
    <row r="1040" spans="1:23" x14ac:dyDescent="0.25">
      <c r="A1040">
        <v>1039</v>
      </c>
      <c r="B1040">
        <v>41</v>
      </c>
      <c r="C1040" t="str" cm="1">
        <f t="array" ref="C1040">_xlfn.IFS(
  AND(B1040&gt;=18, B1040&lt;=24), "18-24",
  AND(B1040&gt;=25, B1040&lt;=34), "25-34",
  AND(B1040&gt;=35, B1040&lt;=44), "35-44",
  AND(B1040&gt;=45, B1040&lt;=54), "45-54",
  B1040&gt;=55, "55+"
)</f>
        <v>35-44</v>
      </c>
      <c r="D1040" t="s">
        <v>19</v>
      </c>
      <c r="E1040" t="s">
        <v>95</v>
      </c>
      <c r="F1040" t="s">
        <v>21</v>
      </c>
      <c r="G1040">
        <v>74</v>
      </c>
      <c r="H1040" t="s">
        <v>143</v>
      </c>
      <c r="I1040" t="s">
        <v>92</v>
      </c>
      <c r="J1040" t="s">
        <v>109</v>
      </c>
      <c r="K1040" t="s">
        <v>58</v>
      </c>
      <c r="L1040">
        <v>3</v>
      </c>
      <c r="M1040" t="s">
        <v>26</v>
      </c>
      <c r="N1040" t="s">
        <v>34</v>
      </c>
      <c r="O1040" t="s">
        <v>28</v>
      </c>
      <c r="P1040" t="s">
        <v>26</v>
      </c>
      <c r="Q1040" t="s">
        <v>26</v>
      </c>
      <c r="R1040">
        <v>3</v>
      </c>
      <c r="S1040" t="s">
        <v>34</v>
      </c>
      <c r="T1040" t="str">
        <f t="shared" si="32"/>
        <v>Daily</v>
      </c>
      <c r="U1040">
        <f>VLOOKUP(T1040,[1]tablescore!$B$3:$C$8, 2,FALSE)</f>
        <v>30</v>
      </c>
      <c r="V1040" t="str">
        <f t="shared" si="33"/>
        <v>Highly Loyal</v>
      </c>
      <c r="W1040" t="s">
        <v>41</v>
      </c>
    </row>
    <row r="1041" spans="1:23" x14ac:dyDescent="0.25">
      <c r="A1041">
        <v>1040</v>
      </c>
      <c r="B1041">
        <v>29</v>
      </c>
      <c r="C1041" t="str" cm="1">
        <f t="array" ref="C1041">_xlfn.IFS(
  AND(B1041&gt;=18, B1041&lt;=24), "18-24",
  AND(B1041&gt;=25, B1041&lt;=34), "25-34",
  AND(B1041&gt;=35, B1041&lt;=44), "35-44",
  AND(B1041&gt;=45, B1041&lt;=54), "45-54",
  B1041&gt;=55, "55+"
)</f>
        <v>25-34</v>
      </c>
      <c r="D1041" t="s">
        <v>19</v>
      </c>
      <c r="E1041" t="s">
        <v>136</v>
      </c>
      <c r="F1041" t="s">
        <v>69</v>
      </c>
      <c r="G1041">
        <v>46</v>
      </c>
      <c r="H1041" t="s">
        <v>151</v>
      </c>
      <c r="I1041" t="s">
        <v>45</v>
      </c>
      <c r="J1041" t="s">
        <v>147</v>
      </c>
      <c r="K1041" t="s">
        <v>58</v>
      </c>
      <c r="L1041">
        <v>4.8</v>
      </c>
      <c r="M1041" t="s">
        <v>26</v>
      </c>
      <c r="N1041" t="s">
        <v>46</v>
      </c>
      <c r="O1041" t="s">
        <v>55</v>
      </c>
      <c r="P1041" t="s">
        <v>26</v>
      </c>
      <c r="Q1041" t="s">
        <v>26</v>
      </c>
      <c r="R1041">
        <v>39</v>
      </c>
      <c r="S1041" t="s">
        <v>29</v>
      </c>
      <c r="T1041" t="str">
        <f t="shared" si="32"/>
        <v>Month</v>
      </c>
      <c r="U1041">
        <f>VLOOKUP(T1041,[1]tablescore!$B$3:$C$8, 2,FALSE)</f>
        <v>12</v>
      </c>
      <c r="V1041" t="str">
        <f t="shared" si="33"/>
        <v>Moderate</v>
      </c>
      <c r="W1041" t="s">
        <v>88</v>
      </c>
    </row>
    <row r="1042" spans="1:23" x14ac:dyDescent="0.25">
      <c r="A1042">
        <v>1041</v>
      </c>
      <c r="B1042">
        <v>68</v>
      </c>
      <c r="C1042" t="str" cm="1">
        <f t="array" ref="C1042">_xlfn.IFS(
  AND(B1042&gt;=18, B1042&lt;=24), "18-24",
  AND(B1042&gt;=25, B1042&lt;=34), "25-34",
  AND(B1042&gt;=35, B1042&lt;=44), "35-44",
  AND(B1042&gt;=45, B1042&lt;=54), "45-54",
  B1042&gt;=55, "55+"
)</f>
        <v>55+</v>
      </c>
      <c r="D1042" t="s">
        <v>19</v>
      </c>
      <c r="E1042" t="s">
        <v>36</v>
      </c>
      <c r="F1042" t="s">
        <v>21</v>
      </c>
      <c r="G1042">
        <v>22</v>
      </c>
      <c r="H1042" t="s">
        <v>98</v>
      </c>
      <c r="I1042" t="s">
        <v>38</v>
      </c>
      <c r="J1042" t="s">
        <v>147</v>
      </c>
      <c r="K1042" t="s">
        <v>58</v>
      </c>
      <c r="L1042">
        <v>4</v>
      </c>
      <c r="M1042" t="s">
        <v>26</v>
      </c>
      <c r="N1042" t="s">
        <v>29</v>
      </c>
      <c r="O1042" t="s">
        <v>47</v>
      </c>
      <c r="P1042" t="s">
        <v>26</v>
      </c>
      <c r="Q1042" t="s">
        <v>26</v>
      </c>
      <c r="R1042">
        <v>7</v>
      </c>
      <c r="S1042" t="s">
        <v>35</v>
      </c>
      <c r="T1042" t="str">
        <f t="shared" si="32"/>
        <v>2-week</v>
      </c>
      <c r="U1042">
        <f>VLOOKUP(T1042,[1]tablescore!$B$3:$C$8, 2,FALSE)</f>
        <v>26</v>
      </c>
      <c r="V1042" t="str">
        <f t="shared" si="33"/>
        <v>Loyal</v>
      </c>
      <c r="W1042" t="s">
        <v>30</v>
      </c>
    </row>
    <row r="1043" spans="1:23" x14ac:dyDescent="0.25">
      <c r="A1043">
        <v>1042</v>
      </c>
      <c r="B1043">
        <v>36</v>
      </c>
      <c r="C1043" t="str" cm="1">
        <f t="array" ref="C1043">_xlfn.IFS(
  AND(B1043&gt;=18, B1043&lt;=24), "18-24",
  AND(B1043&gt;=25, B1043&lt;=34), "25-34",
  AND(B1043&gt;=35, B1043&lt;=44), "35-44",
  AND(B1043&gt;=45, B1043&lt;=54), "45-54",
  B1043&gt;=55, "55+"
)</f>
        <v>35-44</v>
      </c>
      <c r="D1043" t="s">
        <v>19</v>
      </c>
      <c r="E1043" t="s">
        <v>56</v>
      </c>
      <c r="F1043" t="s">
        <v>21</v>
      </c>
      <c r="G1043">
        <v>25</v>
      </c>
      <c r="H1043" t="s">
        <v>134</v>
      </c>
      <c r="I1043" t="s">
        <v>45</v>
      </c>
      <c r="J1043" t="s">
        <v>121</v>
      </c>
      <c r="K1043" t="s">
        <v>54</v>
      </c>
      <c r="L1043">
        <v>4.9000000000000004</v>
      </c>
      <c r="M1043" t="s">
        <v>26</v>
      </c>
      <c r="N1043" t="s">
        <v>29</v>
      </c>
      <c r="O1043" t="s">
        <v>47</v>
      </c>
      <c r="P1043" t="s">
        <v>26</v>
      </c>
      <c r="Q1043" t="s">
        <v>26</v>
      </c>
      <c r="R1043">
        <v>11</v>
      </c>
      <c r="S1043" t="s">
        <v>35</v>
      </c>
      <c r="T1043" t="str">
        <f t="shared" si="32"/>
        <v>2-week</v>
      </c>
      <c r="U1043">
        <f>VLOOKUP(T1043,[1]tablescore!$B$3:$C$8, 2,FALSE)</f>
        <v>26</v>
      </c>
      <c r="V1043" t="str">
        <f t="shared" si="33"/>
        <v>Loyal</v>
      </c>
      <c r="W1043" t="s">
        <v>30</v>
      </c>
    </row>
    <row r="1044" spans="1:23" x14ac:dyDescent="0.25">
      <c r="A1044">
        <v>1043</v>
      </c>
      <c r="B1044">
        <v>55</v>
      </c>
      <c r="C1044" t="str" cm="1">
        <f t="array" ref="C1044">_xlfn.IFS(
  AND(B1044&gt;=18, B1044&lt;=24), "18-24",
  AND(B1044&gt;=25, B1044&lt;=34), "25-34",
  AND(B1044&gt;=35, B1044&lt;=44), "35-44",
  AND(B1044&gt;=45, B1044&lt;=54), "45-54",
  B1044&gt;=55, "55+"
)</f>
        <v>55+</v>
      </c>
      <c r="D1044" t="s">
        <v>19</v>
      </c>
      <c r="E1044" t="s">
        <v>136</v>
      </c>
      <c r="F1044" t="s">
        <v>69</v>
      </c>
      <c r="G1044">
        <v>80</v>
      </c>
      <c r="H1044" t="s">
        <v>135</v>
      </c>
      <c r="I1044" t="s">
        <v>45</v>
      </c>
      <c r="J1044" t="s">
        <v>33</v>
      </c>
      <c r="K1044" t="s">
        <v>39</v>
      </c>
      <c r="L1044">
        <v>4.9000000000000004</v>
      </c>
      <c r="M1044" t="s">
        <v>26</v>
      </c>
      <c r="N1044" t="s">
        <v>29</v>
      </c>
      <c r="O1044" t="s">
        <v>47</v>
      </c>
      <c r="P1044" t="s">
        <v>26</v>
      </c>
      <c r="Q1044" t="s">
        <v>26</v>
      </c>
      <c r="R1044">
        <v>47</v>
      </c>
      <c r="S1044" t="s">
        <v>27</v>
      </c>
      <c r="T1044" t="str">
        <f t="shared" si="32"/>
        <v>Daily</v>
      </c>
      <c r="U1044">
        <f>VLOOKUP(T1044,[1]tablescore!$B$3:$C$8, 2,FALSE)</f>
        <v>30</v>
      </c>
      <c r="V1044" t="str">
        <f t="shared" si="33"/>
        <v>Highly Loyal</v>
      </c>
      <c r="W1044" t="s">
        <v>41</v>
      </c>
    </row>
    <row r="1045" spans="1:23" x14ac:dyDescent="0.25">
      <c r="A1045">
        <v>1044</v>
      </c>
      <c r="B1045">
        <v>28</v>
      </c>
      <c r="C1045" t="str" cm="1">
        <f t="array" ref="C1045">_xlfn.IFS(
  AND(B1045&gt;=18, B1045&lt;=24), "18-24",
  AND(B1045&gt;=25, B1045&lt;=34), "25-34",
  AND(B1045&gt;=35, B1045&lt;=44), "35-44",
  AND(B1045&gt;=45, B1045&lt;=54), "45-54",
  B1045&gt;=55, "55+"
)</f>
        <v>25-34</v>
      </c>
      <c r="D1045" t="s">
        <v>19</v>
      </c>
      <c r="E1045" t="s">
        <v>36</v>
      </c>
      <c r="F1045" t="s">
        <v>21</v>
      </c>
      <c r="G1045">
        <v>76</v>
      </c>
      <c r="H1045" t="s">
        <v>78</v>
      </c>
      <c r="I1045" t="s">
        <v>45</v>
      </c>
      <c r="J1045" t="s">
        <v>96</v>
      </c>
      <c r="K1045" t="s">
        <v>39</v>
      </c>
      <c r="L1045">
        <v>3.3</v>
      </c>
      <c r="M1045" t="s">
        <v>26</v>
      </c>
      <c r="N1045" t="s">
        <v>34</v>
      </c>
      <c r="O1045" t="s">
        <v>72</v>
      </c>
      <c r="P1045" t="s">
        <v>26</v>
      </c>
      <c r="Q1045" t="s">
        <v>26</v>
      </c>
      <c r="R1045">
        <v>28</v>
      </c>
      <c r="S1045" t="s">
        <v>59</v>
      </c>
      <c r="T1045" t="str">
        <f t="shared" si="32"/>
        <v>2-week</v>
      </c>
      <c r="U1045">
        <f>VLOOKUP(T1045,[1]tablescore!$B$3:$C$8, 2,FALSE)</f>
        <v>26</v>
      </c>
      <c r="V1045" t="str">
        <f t="shared" si="33"/>
        <v>Loyal</v>
      </c>
      <c r="W1045" t="s">
        <v>30</v>
      </c>
    </row>
    <row r="1046" spans="1:23" x14ac:dyDescent="0.25">
      <c r="A1046">
        <v>1045</v>
      </c>
      <c r="B1046">
        <v>39</v>
      </c>
      <c r="C1046" t="str" cm="1">
        <f t="array" ref="C1046">_xlfn.IFS(
  AND(B1046&gt;=18, B1046&lt;=24), "18-24",
  AND(B1046&gt;=25, B1046&lt;=34), "25-34",
  AND(B1046&gt;=35, B1046&lt;=44), "35-44",
  AND(B1046&gt;=45, B1046&lt;=54), "45-54",
  B1046&gt;=55, "55+"
)</f>
        <v>35-44</v>
      </c>
      <c r="D1046" t="s">
        <v>19</v>
      </c>
      <c r="E1046" t="s">
        <v>36</v>
      </c>
      <c r="F1046" t="s">
        <v>21</v>
      </c>
      <c r="G1046">
        <v>30</v>
      </c>
      <c r="H1046" t="s">
        <v>48</v>
      </c>
      <c r="I1046" t="s">
        <v>23</v>
      </c>
      <c r="J1046" t="s">
        <v>86</v>
      </c>
      <c r="K1046" t="s">
        <v>54</v>
      </c>
      <c r="L1046">
        <v>4.4000000000000004</v>
      </c>
      <c r="M1046" t="s">
        <v>26</v>
      </c>
      <c r="N1046" t="s">
        <v>27</v>
      </c>
      <c r="O1046" t="s">
        <v>47</v>
      </c>
      <c r="P1046" t="s">
        <v>26</v>
      </c>
      <c r="Q1046" t="s">
        <v>26</v>
      </c>
      <c r="R1046">
        <v>17</v>
      </c>
      <c r="S1046" t="s">
        <v>34</v>
      </c>
      <c r="T1046" t="str">
        <f t="shared" si="32"/>
        <v>Quarterly</v>
      </c>
      <c r="U1046">
        <f>VLOOKUP(T1046,[1]tablescore!$B$3:$C$8, 2,FALSE)</f>
        <v>4</v>
      </c>
      <c r="V1046" t="str">
        <f t="shared" si="33"/>
        <v>Low Loyalty</v>
      </c>
      <c r="W1046" t="s">
        <v>97</v>
      </c>
    </row>
    <row r="1047" spans="1:23" x14ac:dyDescent="0.25">
      <c r="A1047">
        <v>1046</v>
      </c>
      <c r="B1047">
        <v>54</v>
      </c>
      <c r="C1047" t="str" cm="1">
        <f t="array" ref="C1047">_xlfn.IFS(
  AND(B1047&gt;=18, B1047&lt;=24), "18-24",
  AND(B1047&gt;=25, B1047&lt;=34), "25-34",
  AND(B1047&gt;=35, B1047&lt;=44), "35-44",
  AND(B1047&gt;=45, B1047&lt;=54), "45-54",
  B1047&gt;=55, "55+"
)</f>
        <v>45-54</v>
      </c>
      <c r="D1047" t="s">
        <v>19</v>
      </c>
      <c r="E1047" t="s">
        <v>31</v>
      </c>
      <c r="F1047" t="s">
        <v>21</v>
      </c>
      <c r="G1047">
        <v>79</v>
      </c>
      <c r="H1047" t="s">
        <v>123</v>
      </c>
      <c r="I1047" t="s">
        <v>23</v>
      </c>
      <c r="J1047" t="s">
        <v>94</v>
      </c>
      <c r="K1047" t="s">
        <v>58</v>
      </c>
      <c r="L1047">
        <v>3.5</v>
      </c>
      <c r="M1047" t="s">
        <v>26</v>
      </c>
      <c r="N1047" t="s">
        <v>35</v>
      </c>
      <c r="O1047" t="s">
        <v>72</v>
      </c>
      <c r="P1047" t="s">
        <v>26</v>
      </c>
      <c r="Q1047" t="s">
        <v>26</v>
      </c>
      <c r="R1047">
        <v>11</v>
      </c>
      <c r="S1047" t="s">
        <v>46</v>
      </c>
      <c r="T1047" t="str">
        <f t="shared" si="32"/>
        <v>2-week</v>
      </c>
      <c r="U1047">
        <f>VLOOKUP(T1047,[1]tablescore!$B$3:$C$8, 2,FALSE)</f>
        <v>26</v>
      </c>
      <c r="V1047" t="str">
        <f t="shared" si="33"/>
        <v>Loyal</v>
      </c>
      <c r="W1047" t="s">
        <v>77</v>
      </c>
    </row>
    <row r="1048" spans="1:23" x14ac:dyDescent="0.25">
      <c r="A1048">
        <v>1047</v>
      </c>
      <c r="B1048">
        <v>40</v>
      </c>
      <c r="C1048" t="str" cm="1">
        <f t="array" ref="C1048">_xlfn.IFS(
  AND(B1048&gt;=18, B1048&lt;=24), "18-24",
  AND(B1048&gt;=25, B1048&lt;=34), "25-34",
  AND(B1048&gt;=35, B1048&lt;=44), "35-44",
  AND(B1048&gt;=45, B1048&lt;=54), "45-54",
  B1048&gt;=55, "55+"
)</f>
        <v>35-44</v>
      </c>
      <c r="D1048" t="s">
        <v>19</v>
      </c>
      <c r="E1048" t="s">
        <v>51</v>
      </c>
      <c r="F1048" t="s">
        <v>43</v>
      </c>
      <c r="G1048">
        <v>22</v>
      </c>
      <c r="H1048" t="s">
        <v>115</v>
      </c>
      <c r="I1048" t="s">
        <v>45</v>
      </c>
      <c r="J1048" t="s">
        <v>147</v>
      </c>
      <c r="K1048" t="s">
        <v>25</v>
      </c>
      <c r="L1048">
        <v>4.2</v>
      </c>
      <c r="M1048" t="s">
        <v>26</v>
      </c>
      <c r="N1048" t="s">
        <v>27</v>
      </c>
      <c r="O1048" t="s">
        <v>55</v>
      </c>
      <c r="P1048" t="s">
        <v>26</v>
      </c>
      <c r="Q1048" t="s">
        <v>26</v>
      </c>
      <c r="R1048">
        <v>12</v>
      </c>
      <c r="S1048" t="s">
        <v>29</v>
      </c>
      <c r="T1048" t="str">
        <f t="shared" si="32"/>
        <v>Annually</v>
      </c>
      <c r="U1048">
        <f>VLOOKUP(T1048,[1]tablescore!$B$3:$C$8, 2,FALSE)</f>
        <v>1</v>
      </c>
      <c r="V1048" t="str">
        <f t="shared" si="33"/>
        <v>Low Loyalty</v>
      </c>
      <c r="W1048" t="s">
        <v>50</v>
      </c>
    </row>
    <row r="1049" spans="1:23" x14ac:dyDescent="0.25">
      <c r="A1049">
        <v>1048</v>
      </c>
      <c r="B1049">
        <v>31</v>
      </c>
      <c r="C1049" t="str" cm="1">
        <f t="array" ref="C1049">_xlfn.IFS(
  AND(B1049&gt;=18, B1049&lt;=24), "18-24",
  AND(B1049&gt;=25, B1049&lt;=34), "25-34",
  AND(B1049&gt;=35, B1049&lt;=44), "35-44",
  AND(B1049&gt;=45, B1049&lt;=54), "45-54",
  B1049&gt;=55, "55+"
)</f>
        <v>25-34</v>
      </c>
      <c r="D1049" t="s">
        <v>19</v>
      </c>
      <c r="E1049" t="s">
        <v>131</v>
      </c>
      <c r="F1049" t="s">
        <v>21</v>
      </c>
      <c r="G1049">
        <v>36</v>
      </c>
      <c r="H1049" t="s">
        <v>149</v>
      </c>
      <c r="I1049" t="s">
        <v>38</v>
      </c>
      <c r="J1049" t="s">
        <v>79</v>
      </c>
      <c r="K1049" t="s">
        <v>58</v>
      </c>
      <c r="L1049">
        <v>4.2</v>
      </c>
      <c r="M1049" t="s">
        <v>26</v>
      </c>
      <c r="N1049" t="s">
        <v>59</v>
      </c>
      <c r="O1049" t="s">
        <v>55</v>
      </c>
      <c r="P1049" t="s">
        <v>26</v>
      </c>
      <c r="Q1049" t="s">
        <v>26</v>
      </c>
      <c r="R1049">
        <v>7</v>
      </c>
      <c r="S1049" t="s">
        <v>27</v>
      </c>
      <c r="T1049" t="str">
        <f t="shared" si="32"/>
        <v>2-week</v>
      </c>
      <c r="U1049">
        <f>VLOOKUP(T1049,[1]tablescore!$B$3:$C$8, 2,FALSE)</f>
        <v>26</v>
      </c>
      <c r="V1049" t="str">
        <f t="shared" si="33"/>
        <v>Loyal</v>
      </c>
      <c r="W1049" t="s">
        <v>30</v>
      </c>
    </row>
    <row r="1050" spans="1:23" x14ac:dyDescent="0.25">
      <c r="A1050">
        <v>1049</v>
      </c>
      <c r="B1050">
        <v>30</v>
      </c>
      <c r="C1050" t="str" cm="1">
        <f t="array" ref="C1050">_xlfn.IFS(
  AND(B1050&gt;=18, B1050&lt;=24), "18-24",
  AND(B1050&gt;=25, B1050&lt;=34), "25-34",
  AND(B1050&gt;=35, B1050&lt;=44), "35-44",
  AND(B1050&gt;=45, B1050&lt;=54), "45-54",
  B1050&gt;=55, "55+"
)</f>
        <v>25-34</v>
      </c>
      <c r="D1050" t="s">
        <v>19</v>
      </c>
      <c r="E1050" t="s">
        <v>131</v>
      </c>
      <c r="F1050" t="s">
        <v>21</v>
      </c>
      <c r="G1050">
        <v>77</v>
      </c>
      <c r="H1050" t="s">
        <v>32</v>
      </c>
      <c r="I1050" t="s">
        <v>23</v>
      </c>
      <c r="J1050" t="s">
        <v>139</v>
      </c>
      <c r="K1050" t="s">
        <v>58</v>
      </c>
      <c r="L1050">
        <v>2.7</v>
      </c>
      <c r="M1050" t="s">
        <v>26</v>
      </c>
      <c r="N1050" t="s">
        <v>35</v>
      </c>
      <c r="O1050" t="s">
        <v>55</v>
      </c>
      <c r="P1050" t="s">
        <v>26</v>
      </c>
      <c r="Q1050" t="s">
        <v>26</v>
      </c>
      <c r="R1050">
        <v>19</v>
      </c>
      <c r="S1050" t="s">
        <v>29</v>
      </c>
      <c r="T1050" t="str">
        <f t="shared" si="32"/>
        <v>2-week</v>
      </c>
      <c r="U1050">
        <f>VLOOKUP(T1050,[1]tablescore!$B$3:$C$8, 2,FALSE)</f>
        <v>26</v>
      </c>
      <c r="V1050" t="str">
        <f t="shared" si="33"/>
        <v>Loyal</v>
      </c>
      <c r="W1050" t="s">
        <v>30</v>
      </c>
    </row>
    <row r="1051" spans="1:23" x14ac:dyDescent="0.25">
      <c r="A1051">
        <v>1050</v>
      </c>
      <c r="B1051">
        <v>45</v>
      </c>
      <c r="C1051" t="str" cm="1">
        <f t="array" ref="C1051">_xlfn.IFS(
  AND(B1051&gt;=18, B1051&lt;=24), "18-24",
  AND(B1051&gt;=25, B1051&lt;=34), "25-34",
  AND(B1051&gt;=35, B1051&lt;=44), "35-44",
  AND(B1051&gt;=45, B1051&lt;=54), "45-54",
  B1051&gt;=55, "55+"
)</f>
        <v>45-54</v>
      </c>
      <c r="D1051" t="s">
        <v>19</v>
      </c>
      <c r="E1051" t="s">
        <v>89</v>
      </c>
      <c r="F1051" t="s">
        <v>69</v>
      </c>
      <c r="G1051">
        <v>33</v>
      </c>
      <c r="H1051" t="s">
        <v>128</v>
      </c>
      <c r="I1051" t="s">
        <v>38</v>
      </c>
      <c r="J1051" t="s">
        <v>75</v>
      </c>
      <c r="K1051" t="s">
        <v>58</v>
      </c>
      <c r="L1051">
        <v>2.8</v>
      </c>
      <c r="M1051" t="s">
        <v>26</v>
      </c>
      <c r="N1051" t="s">
        <v>27</v>
      </c>
      <c r="O1051" t="s">
        <v>76</v>
      </c>
      <c r="P1051" t="s">
        <v>26</v>
      </c>
      <c r="Q1051" t="s">
        <v>26</v>
      </c>
      <c r="R1051">
        <v>24</v>
      </c>
      <c r="S1051" t="s">
        <v>35</v>
      </c>
      <c r="T1051" t="str">
        <f t="shared" si="32"/>
        <v>Quarterly</v>
      </c>
      <c r="U1051">
        <f>VLOOKUP(T1051,[1]tablescore!$B$3:$C$8, 2,FALSE)</f>
        <v>4</v>
      </c>
      <c r="V1051" t="str">
        <f t="shared" si="33"/>
        <v>Low Loyalty</v>
      </c>
      <c r="W1051" t="s">
        <v>60</v>
      </c>
    </row>
    <row r="1052" spans="1:23" x14ac:dyDescent="0.25">
      <c r="A1052">
        <v>1051</v>
      </c>
      <c r="B1052">
        <v>48</v>
      </c>
      <c r="C1052" t="str" cm="1">
        <f t="array" ref="C1052">_xlfn.IFS(
  AND(B1052&gt;=18, B1052&lt;=24), "18-24",
  AND(B1052&gt;=25, B1052&lt;=34), "25-34",
  AND(B1052&gt;=35, B1052&lt;=44), "35-44",
  AND(B1052&gt;=45, B1052&lt;=54), "45-54",
  B1052&gt;=55, "55+"
)</f>
        <v>45-54</v>
      </c>
      <c r="D1052" t="s">
        <v>19</v>
      </c>
      <c r="E1052" t="s">
        <v>51</v>
      </c>
      <c r="F1052" t="s">
        <v>43</v>
      </c>
      <c r="G1052">
        <v>64</v>
      </c>
      <c r="H1052" t="s">
        <v>103</v>
      </c>
      <c r="I1052" t="s">
        <v>45</v>
      </c>
      <c r="J1052" t="s">
        <v>118</v>
      </c>
      <c r="K1052" t="s">
        <v>25</v>
      </c>
      <c r="L1052">
        <v>3.8</v>
      </c>
      <c r="M1052" t="s">
        <v>26</v>
      </c>
      <c r="N1052" t="s">
        <v>27</v>
      </c>
      <c r="O1052" t="s">
        <v>47</v>
      </c>
      <c r="P1052" t="s">
        <v>26</v>
      </c>
      <c r="Q1052" t="s">
        <v>26</v>
      </c>
      <c r="R1052">
        <v>19</v>
      </c>
      <c r="S1052" t="s">
        <v>29</v>
      </c>
      <c r="T1052" t="str">
        <f t="shared" si="32"/>
        <v>Month</v>
      </c>
      <c r="U1052">
        <f>VLOOKUP(T1052,[1]tablescore!$B$3:$C$8, 2,FALSE)</f>
        <v>12</v>
      </c>
      <c r="V1052" t="str">
        <f t="shared" si="33"/>
        <v>Moderate</v>
      </c>
      <c r="W1052" t="s">
        <v>88</v>
      </c>
    </row>
    <row r="1053" spans="1:23" x14ac:dyDescent="0.25">
      <c r="A1053">
        <v>1052</v>
      </c>
      <c r="B1053">
        <v>45</v>
      </c>
      <c r="C1053" t="str" cm="1">
        <f t="array" ref="C1053">_xlfn.IFS(
  AND(B1053&gt;=18, B1053&lt;=24), "18-24",
  AND(B1053&gt;=25, B1053&lt;=34), "25-34",
  AND(B1053&gt;=35, B1053&lt;=44), "35-44",
  AND(B1053&gt;=45, B1053&lt;=54), "45-54",
  B1053&gt;=55, "55+"
)</f>
        <v>45-54</v>
      </c>
      <c r="D1053" t="s">
        <v>19</v>
      </c>
      <c r="E1053" t="s">
        <v>131</v>
      </c>
      <c r="F1053" t="s">
        <v>21</v>
      </c>
      <c r="G1053">
        <v>53</v>
      </c>
      <c r="H1053" t="s">
        <v>124</v>
      </c>
      <c r="I1053" t="s">
        <v>45</v>
      </c>
      <c r="J1053" t="s">
        <v>129</v>
      </c>
      <c r="K1053" t="s">
        <v>58</v>
      </c>
      <c r="L1053">
        <v>2.6</v>
      </c>
      <c r="M1053" t="s">
        <v>26</v>
      </c>
      <c r="N1053" t="s">
        <v>46</v>
      </c>
      <c r="O1053" t="s">
        <v>40</v>
      </c>
      <c r="P1053" t="s">
        <v>26</v>
      </c>
      <c r="Q1053" t="s">
        <v>26</v>
      </c>
      <c r="R1053">
        <v>39</v>
      </c>
      <c r="S1053" t="s">
        <v>46</v>
      </c>
      <c r="T1053" t="str">
        <f t="shared" si="32"/>
        <v>Annually</v>
      </c>
      <c r="U1053">
        <f>VLOOKUP(T1053,[1]tablescore!$B$3:$C$8, 2,FALSE)</f>
        <v>1</v>
      </c>
      <c r="V1053" t="str">
        <f t="shared" si="33"/>
        <v>Low Loyalty</v>
      </c>
      <c r="W1053" t="s">
        <v>50</v>
      </c>
    </row>
    <row r="1054" spans="1:23" x14ac:dyDescent="0.25">
      <c r="A1054">
        <v>1053</v>
      </c>
      <c r="B1054">
        <v>60</v>
      </c>
      <c r="C1054" t="str" cm="1">
        <f t="array" ref="C1054">_xlfn.IFS(
  AND(B1054&gt;=18, B1054&lt;=24), "18-24",
  AND(B1054&gt;=25, B1054&lt;=34), "25-34",
  AND(B1054&gt;=35, B1054&lt;=44), "35-44",
  AND(B1054&gt;=45, B1054&lt;=54), "45-54",
  B1054&gt;=55, "55+"
)</f>
        <v>55+</v>
      </c>
      <c r="D1054" t="s">
        <v>19</v>
      </c>
      <c r="E1054" t="s">
        <v>73</v>
      </c>
      <c r="F1054" t="s">
        <v>43</v>
      </c>
      <c r="G1054">
        <v>36</v>
      </c>
      <c r="H1054" t="s">
        <v>128</v>
      </c>
      <c r="I1054" t="s">
        <v>92</v>
      </c>
      <c r="J1054" t="s">
        <v>71</v>
      </c>
      <c r="K1054" t="s">
        <v>58</v>
      </c>
      <c r="L1054">
        <v>3</v>
      </c>
      <c r="M1054" t="s">
        <v>26</v>
      </c>
      <c r="N1054" t="s">
        <v>29</v>
      </c>
      <c r="O1054" t="s">
        <v>72</v>
      </c>
      <c r="P1054" t="s">
        <v>26</v>
      </c>
      <c r="Q1054" t="s">
        <v>26</v>
      </c>
      <c r="R1054">
        <v>1</v>
      </c>
      <c r="S1054" t="s">
        <v>27</v>
      </c>
      <c r="T1054" t="str">
        <f t="shared" si="32"/>
        <v>2-week</v>
      </c>
      <c r="U1054">
        <f>VLOOKUP(T1054,[1]tablescore!$B$3:$C$8, 2,FALSE)</f>
        <v>26</v>
      </c>
      <c r="V1054" t="str">
        <f t="shared" si="33"/>
        <v>Loyal</v>
      </c>
      <c r="W1054" t="s">
        <v>30</v>
      </c>
    </row>
    <row r="1055" spans="1:23" x14ac:dyDescent="0.25">
      <c r="A1055">
        <v>1054</v>
      </c>
      <c r="B1055">
        <v>59</v>
      </c>
      <c r="C1055" t="str" cm="1">
        <f t="array" ref="C1055">_xlfn.IFS(
  AND(B1055&gt;=18, B1055&lt;=24), "18-24",
  AND(B1055&gt;=25, B1055&lt;=34), "25-34",
  AND(B1055&gt;=35, B1055&lt;=44), "35-44",
  AND(B1055&gt;=45, B1055&lt;=54), "45-54",
  B1055&gt;=55, "55+"
)</f>
        <v>55+</v>
      </c>
      <c r="D1055" t="s">
        <v>19</v>
      </c>
      <c r="E1055" t="s">
        <v>20</v>
      </c>
      <c r="F1055" t="s">
        <v>21</v>
      </c>
      <c r="G1055">
        <v>70</v>
      </c>
      <c r="H1055" t="s">
        <v>111</v>
      </c>
      <c r="I1055" t="s">
        <v>45</v>
      </c>
      <c r="J1055" t="s">
        <v>138</v>
      </c>
      <c r="K1055" t="s">
        <v>39</v>
      </c>
      <c r="L1055">
        <v>3.3</v>
      </c>
      <c r="M1055" t="s">
        <v>152</v>
      </c>
      <c r="N1055" t="s">
        <v>35</v>
      </c>
      <c r="O1055" t="s">
        <v>72</v>
      </c>
      <c r="P1055" t="s">
        <v>26</v>
      </c>
      <c r="Q1055" t="s">
        <v>26</v>
      </c>
      <c r="R1055">
        <v>10</v>
      </c>
      <c r="S1055" t="s">
        <v>59</v>
      </c>
      <c r="T1055" t="str">
        <f t="shared" si="32"/>
        <v>2-week</v>
      </c>
      <c r="U1055">
        <f>VLOOKUP(T1055,[1]tablescore!$B$3:$C$8, 2,FALSE)</f>
        <v>26</v>
      </c>
      <c r="V1055" t="str">
        <f t="shared" si="33"/>
        <v>Loyal</v>
      </c>
      <c r="W1055" t="s">
        <v>77</v>
      </c>
    </row>
    <row r="1056" spans="1:23" x14ac:dyDescent="0.25">
      <c r="A1056">
        <v>1055</v>
      </c>
      <c r="B1056">
        <v>18</v>
      </c>
      <c r="C1056" t="str" cm="1">
        <f t="array" ref="C1056">_xlfn.IFS(
  AND(B1056&gt;=18, B1056&lt;=24), "18-24",
  AND(B1056&gt;=25, B1056&lt;=34), "25-34",
  AND(B1056&gt;=35, B1056&lt;=44), "35-44",
  AND(B1056&gt;=45, B1056&lt;=54), "45-54",
  B1056&gt;=55, "55+"
)</f>
        <v>18-24</v>
      </c>
      <c r="D1056" t="s">
        <v>19</v>
      </c>
      <c r="E1056" t="s">
        <v>61</v>
      </c>
      <c r="F1056" t="s">
        <v>21</v>
      </c>
      <c r="G1056">
        <v>96</v>
      </c>
      <c r="H1056" t="s">
        <v>74</v>
      </c>
      <c r="I1056" t="s">
        <v>23</v>
      </c>
      <c r="J1056" t="s">
        <v>109</v>
      </c>
      <c r="K1056" t="s">
        <v>25</v>
      </c>
      <c r="L1056">
        <v>4.9000000000000004</v>
      </c>
      <c r="M1056" t="s">
        <v>152</v>
      </c>
      <c r="N1056" t="s">
        <v>59</v>
      </c>
      <c r="O1056" t="s">
        <v>28</v>
      </c>
      <c r="P1056" t="s">
        <v>26</v>
      </c>
      <c r="Q1056" t="s">
        <v>26</v>
      </c>
      <c r="R1056">
        <v>48</v>
      </c>
      <c r="S1056" t="s">
        <v>46</v>
      </c>
      <c r="T1056" t="str">
        <f t="shared" si="32"/>
        <v>Quarterly</v>
      </c>
      <c r="U1056">
        <f>VLOOKUP(T1056,[1]tablescore!$B$3:$C$8, 2,FALSE)</f>
        <v>4</v>
      </c>
      <c r="V1056" t="str">
        <f t="shared" si="33"/>
        <v>Low Loyalty</v>
      </c>
      <c r="W1056" t="s">
        <v>60</v>
      </c>
    </row>
    <row r="1057" spans="1:23" x14ac:dyDescent="0.25">
      <c r="A1057">
        <v>1056</v>
      </c>
      <c r="B1057">
        <v>70</v>
      </c>
      <c r="C1057" t="str" cm="1">
        <f t="array" ref="C1057">_xlfn.IFS(
  AND(B1057&gt;=18, B1057&lt;=24), "18-24",
  AND(B1057&gt;=25, B1057&lt;=34), "25-34",
  AND(B1057&gt;=35, B1057&lt;=44), "35-44",
  AND(B1057&gt;=45, B1057&lt;=54), "45-54",
  B1057&gt;=55, "55+"
)</f>
        <v>55+</v>
      </c>
      <c r="D1057" t="s">
        <v>19</v>
      </c>
      <c r="E1057" t="s">
        <v>102</v>
      </c>
      <c r="F1057" t="s">
        <v>65</v>
      </c>
      <c r="G1057">
        <v>27</v>
      </c>
      <c r="H1057" t="s">
        <v>37</v>
      </c>
      <c r="I1057" t="s">
        <v>45</v>
      </c>
      <c r="J1057" t="s">
        <v>121</v>
      </c>
      <c r="K1057" t="s">
        <v>39</v>
      </c>
      <c r="L1057">
        <v>3.3</v>
      </c>
      <c r="M1057" t="s">
        <v>152</v>
      </c>
      <c r="N1057" t="s">
        <v>46</v>
      </c>
      <c r="O1057" t="s">
        <v>47</v>
      </c>
      <c r="P1057" t="s">
        <v>26</v>
      </c>
      <c r="Q1057" t="s">
        <v>26</v>
      </c>
      <c r="R1057">
        <v>24</v>
      </c>
      <c r="S1057" t="s">
        <v>59</v>
      </c>
      <c r="T1057" t="str">
        <f t="shared" si="32"/>
        <v>Annually</v>
      </c>
      <c r="U1057">
        <f>VLOOKUP(T1057,[1]tablescore!$B$3:$C$8, 2,FALSE)</f>
        <v>1</v>
      </c>
      <c r="V1057" t="str">
        <f t="shared" si="33"/>
        <v>Low Loyalty</v>
      </c>
      <c r="W1057" t="s">
        <v>50</v>
      </c>
    </row>
    <row r="1058" spans="1:23" x14ac:dyDescent="0.25">
      <c r="A1058">
        <v>1057</v>
      </c>
      <c r="B1058">
        <v>20</v>
      </c>
      <c r="C1058" t="str" cm="1">
        <f t="array" ref="C1058">_xlfn.IFS(
  AND(B1058&gt;=18, B1058&lt;=24), "18-24",
  AND(B1058&gt;=25, B1058&lt;=34), "25-34",
  AND(B1058&gt;=35, B1058&lt;=44), "35-44",
  AND(B1058&gt;=45, B1058&lt;=54), "45-54",
  B1058&gt;=55, "55+"
)</f>
        <v>18-24</v>
      </c>
      <c r="D1058" t="s">
        <v>19</v>
      </c>
      <c r="E1058" t="s">
        <v>31</v>
      </c>
      <c r="F1058" t="s">
        <v>21</v>
      </c>
      <c r="G1058">
        <v>64</v>
      </c>
      <c r="H1058" t="s">
        <v>144</v>
      </c>
      <c r="I1058" t="s">
        <v>23</v>
      </c>
      <c r="J1058" t="s">
        <v>94</v>
      </c>
      <c r="K1058" t="s">
        <v>25</v>
      </c>
      <c r="L1058">
        <v>2.9</v>
      </c>
      <c r="M1058" t="s">
        <v>152</v>
      </c>
      <c r="N1058" t="s">
        <v>59</v>
      </c>
      <c r="O1058" t="s">
        <v>72</v>
      </c>
      <c r="P1058" t="s">
        <v>26</v>
      </c>
      <c r="Q1058" t="s">
        <v>26</v>
      </c>
      <c r="R1058">
        <v>42</v>
      </c>
      <c r="S1058" t="s">
        <v>29</v>
      </c>
      <c r="T1058" t="str">
        <f t="shared" si="32"/>
        <v>2-week</v>
      </c>
      <c r="U1058">
        <f>VLOOKUP(T1058,[1]tablescore!$B$3:$C$8, 2,FALSE)</f>
        <v>26</v>
      </c>
      <c r="V1058" t="str">
        <f t="shared" si="33"/>
        <v>Loyal</v>
      </c>
      <c r="W1058" t="s">
        <v>30</v>
      </c>
    </row>
    <row r="1059" spans="1:23" x14ac:dyDescent="0.25">
      <c r="A1059">
        <v>1058</v>
      </c>
      <c r="B1059">
        <v>65</v>
      </c>
      <c r="C1059" t="str" cm="1">
        <f t="array" ref="C1059">_xlfn.IFS(
  AND(B1059&gt;=18, B1059&lt;=24), "18-24",
  AND(B1059&gt;=25, B1059&lt;=34), "25-34",
  AND(B1059&gt;=35, B1059&lt;=44), "35-44",
  AND(B1059&gt;=45, B1059&lt;=54), "45-54",
  B1059&gt;=55, "55+"
)</f>
        <v>55+</v>
      </c>
      <c r="D1059" t="s">
        <v>19</v>
      </c>
      <c r="E1059" t="s">
        <v>102</v>
      </c>
      <c r="F1059" t="s">
        <v>65</v>
      </c>
      <c r="G1059">
        <v>23</v>
      </c>
      <c r="H1059" t="s">
        <v>148</v>
      </c>
      <c r="I1059" t="s">
        <v>38</v>
      </c>
      <c r="J1059" t="s">
        <v>33</v>
      </c>
      <c r="K1059" t="s">
        <v>39</v>
      </c>
      <c r="L1059">
        <v>4.4000000000000004</v>
      </c>
      <c r="M1059" t="s">
        <v>152</v>
      </c>
      <c r="N1059" t="s">
        <v>34</v>
      </c>
      <c r="O1059" t="s">
        <v>72</v>
      </c>
      <c r="P1059" t="s">
        <v>26</v>
      </c>
      <c r="Q1059" t="s">
        <v>26</v>
      </c>
      <c r="R1059">
        <v>20</v>
      </c>
      <c r="S1059" t="s">
        <v>27</v>
      </c>
      <c r="T1059" t="str">
        <f t="shared" si="32"/>
        <v>Daily</v>
      </c>
      <c r="U1059">
        <f>VLOOKUP(T1059,[1]tablescore!$B$3:$C$8, 2,FALSE)</f>
        <v>30</v>
      </c>
      <c r="V1059" t="str">
        <f t="shared" si="33"/>
        <v>Highly Loyal</v>
      </c>
      <c r="W1059" t="s">
        <v>41</v>
      </c>
    </row>
    <row r="1060" spans="1:23" x14ac:dyDescent="0.25">
      <c r="A1060">
        <v>1059</v>
      </c>
      <c r="B1060">
        <v>29</v>
      </c>
      <c r="C1060" t="str" cm="1">
        <f t="array" ref="C1060">_xlfn.IFS(
  AND(B1060&gt;=18, B1060&lt;=24), "18-24",
  AND(B1060&gt;=25, B1060&lt;=34), "25-34",
  AND(B1060&gt;=35, B1060&lt;=44), "35-44",
  AND(B1060&gt;=45, B1060&lt;=54), "45-54",
  B1060&gt;=55, "55+"
)</f>
        <v>25-34</v>
      </c>
      <c r="D1060" t="s">
        <v>19</v>
      </c>
      <c r="E1060" t="s">
        <v>119</v>
      </c>
      <c r="F1060" t="s">
        <v>69</v>
      </c>
      <c r="G1060">
        <v>33</v>
      </c>
      <c r="H1060" t="s">
        <v>123</v>
      </c>
      <c r="I1060" t="s">
        <v>23</v>
      </c>
      <c r="J1060" t="s">
        <v>84</v>
      </c>
      <c r="K1060" t="s">
        <v>54</v>
      </c>
      <c r="L1060">
        <v>3.1</v>
      </c>
      <c r="M1060" t="s">
        <v>152</v>
      </c>
      <c r="N1060" t="s">
        <v>27</v>
      </c>
      <c r="O1060" t="s">
        <v>47</v>
      </c>
      <c r="P1060" t="s">
        <v>26</v>
      </c>
      <c r="Q1060" t="s">
        <v>26</v>
      </c>
      <c r="R1060">
        <v>49</v>
      </c>
      <c r="S1060" t="s">
        <v>34</v>
      </c>
      <c r="T1060" t="str">
        <f t="shared" si="32"/>
        <v>Quarterly</v>
      </c>
      <c r="U1060">
        <f>VLOOKUP(T1060,[1]tablescore!$B$3:$C$8, 2,FALSE)</f>
        <v>4</v>
      </c>
      <c r="V1060" t="str">
        <f t="shared" si="33"/>
        <v>Low Loyalty</v>
      </c>
      <c r="W1060" t="s">
        <v>97</v>
      </c>
    </row>
    <row r="1061" spans="1:23" x14ac:dyDescent="0.25">
      <c r="A1061">
        <v>1060</v>
      </c>
      <c r="B1061">
        <v>22</v>
      </c>
      <c r="C1061" t="str" cm="1">
        <f t="array" ref="C1061">_xlfn.IFS(
  AND(B1061&gt;=18, B1061&lt;=24), "18-24",
  AND(B1061&gt;=25, B1061&lt;=34), "25-34",
  AND(B1061&gt;=35, B1061&lt;=44), "35-44",
  AND(B1061&gt;=45, B1061&lt;=54), "45-54",
  B1061&gt;=55, "55+"
)</f>
        <v>18-24</v>
      </c>
      <c r="D1061" t="s">
        <v>19</v>
      </c>
      <c r="E1061" t="s">
        <v>102</v>
      </c>
      <c r="F1061" t="s">
        <v>65</v>
      </c>
      <c r="G1061">
        <v>34</v>
      </c>
      <c r="H1061" t="s">
        <v>98</v>
      </c>
      <c r="I1061" t="s">
        <v>45</v>
      </c>
      <c r="J1061" t="s">
        <v>118</v>
      </c>
      <c r="K1061" t="s">
        <v>25</v>
      </c>
      <c r="L1061">
        <v>2.5</v>
      </c>
      <c r="M1061" t="s">
        <v>152</v>
      </c>
      <c r="N1061" t="s">
        <v>29</v>
      </c>
      <c r="O1061" t="s">
        <v>55</v>
      </c>
      <c r="P1061" t="s">
        <v>26</v>
      </c>
      <c r="Q1061" t="s">
        <v>26</v>
      </c>
      <c r="R1061">
        <v>25</v>
      </c>
      <c r="S1061" t="s">
        <v>59</v>
      </c>
      <c r="T1061" t="str">
        <f t="shared" si="32"/>
        <v>Month</v>
      </c>
      <c r="U1061">
        <f>VLOOKUP(T1061,[1]tablescore!$B$3:$C$8, 2,FALSE)</f>
        <v>12</v>
      </c>
      <c r="V1061" t="str">
        <f t="shared" si="33"/>
        <v>Moderate</v>
      </c>
      <c r="W1061" t="s">
        <v>88</v>
      </c>
    </row>
    <row r="1062" spans="1:23" x14ac:dyDescent="0.25">
      <c r="A1062">
        <v>1061</v>
      </c>
      <c r="B1062">
        <v>27</v>
      </c>
      <c r="C1062" t="str" cm="1">
        <f t="array" ref="C1062">_xlfn.IFS(
  AND(B1062&gt;=18, B1062&lt;=24), "18-24",
  AND(B1062&gt;=25, B1062&lt;=34), "25-34",
  AND(B1062&gt;=35, B1062&lt;=44), "35-44",
  AND(B1062&gt;=45, B1062&lt;=54), "45-54",
  B1062&gt;=55, "55+"
)</f>
        <v>25-34</v>
      </c>
      <c r="D1062" t="s">
        <v>19</v>
      </c>
      <c r="E1062" t="s">
        <v>31</v>
      </c>
      <c r="F1062" t="s">
        <v>21</v>
      </c>
      <c r="G1062">
        <v>35</v>
      </c>
      <c r="H1062" t="s">
        <v>150</v>
      </c>
      <c r="I1062" t="s">
        <v>38</v>
      </c>
      <c r="J1062" t="s">
        <v>24</v>
      </c>
      <c r="K1062" t="s">
        <v>54</v>
      </c>
      <c r="L1062">
        <v>2.6</v>
      </c>
      <c r="M1062" t="s">
        <v>152</v>
      </c>
      <c r="N1062" t="s">
        <v>46</v>
      </c>
      <c r="O1062" t="s">
        <v>47</v>
      </c>
      <c r="P1062" t="s">
        <v>26</v>
      </c>
      <c r="Q1062" t="s">
        <v>26</v>
      </c>
      <c r="R1062">
        <v>21</v>
      </c>
      <c r="S1062" t="s">
        <v>59</v>
      </c>
      <c r="T1062" t="str">
        <f t="shared" si="32"/>
        <v>Quarterly</v>
      </c>
      <c r="U1062">
        <f>VLOOKUP(T1062,[1]tablescore!$B$3:$C$8, 2,FALSE)</f>
        <v>4</v>
      </c>
      <c r="V1062" t="str">
        <f t="shared" si="33"/>
        <v>Low Loyalty</v>
      </c>
      <c r="W1062" t="s">
        <v>97</v>
      </c>
    </row>
    <row r="1063" spans="1:23" x14ac:dyDescent="0.25">
      <c r="A1063">
        <v>1062</v>
      </c>
      <c r="B1063">
        <v>36</v>
      </c>
      <c r="C1063" t="str" cm="1">
        <f t="array" ref="C1063">_xlfn.IFS(
  AND(B1063&gt;=18, B1063&lt;=24), "18-24",
  AND(B1063&gt;=25, B1063&lt;=34), "25-34",
  AND(B1063&gt;=35, B1063&lt;=44), "35-44",
  AND(B1063&gt;=45, B1063&lt;=54), "45-54",
  B1063&gt;=55, "55+"
)</f>
        <v>35-44</v>
      </c>
      <c r="D1063" t="s">
        <v>19</v>
      </c>
      <c r="E1063" t="s">
        <v>64</v>
      </c>
      <c r="F1063" t="s">
        <v>65</v>
      </c>
      <c r="G1063">
        <v>62</v>
      </c>
      <c r="H1063" t="s">
        <v>144</v>
      </c>
      <c r="I1063" t="s">
        <v>45</v>
      </c>
      <c r="J1063" t="s">
        <v>24</v>
      </c>
      <c r="K1063" t="s">
        <v>54</v>
      </c>
      <c r="L1063">
        <v>4.4000000000000004</v>
      </c>
      <c r="M1063" t="s">
        <v>152</v>
      </c>
      <c r="N1063" t="s">
        <v>59</v>
      </c>
      <c r="O1063" t="s">
        <v>40</v>
      </c>
      <c r="P1063" t="s">
        <v>26</v>
      </c>
      <c r="Q1063" t="s">
        <v>26</v>
      </c>
      <c r="R1063">
        <v>12</v>
      </c>
      <c r="S1063" t="s">
        <v>29</v>
      </c>
      <c r="T1063" t="str">
        <f t="shared" si="32"/>
        <v>Quarterly</v>
      </c>
      <c r="U1063">
        <f>VLOOKUP(T1063,[1]tablescore!$B$3:$C$8, 2,FALSE)</f>
        <v>4</v>
      </c>
      <c r="V1063" t="str">
        <f t="shared" si="33"/>
        <v>Low Loyalty</v>
      </c>
      <c r="W1063" t="s">
        <v>97</v>
      </c>
    </row>
    <row r="1064" spans="1:23" x14ac:dyDescent="0.25">
      <c r="A1064">
        <v>1063</v>
      </c>
      <c r="B1064">
        <v>59</v>
      </c>
      <c r="C1064" t="str" cm="1">
        <f t="array" ref="C1064">_xlfn.IFS(
  AND(B1064&gt;=18, B1064&lt;=24), "18-24",
  AND(B1064&gt;=25, B1064&lt;=34), "25-34",
  AND(B1064&gt;=35, B1064&lt;=44), "35-44",
  AND(B1064&gt;=45, B1064&lt;=54), "45-54",
  B1064&gt;=55, "55+"
)</f>
        <v>55+</v>
      </c>
      <c r="D1064" t="s">
        <v>19</v>
      </c>
      <c r="E1064" t="s">
        <v>132</v>
      </c>
      <c r="F1064" t="s">
        <v>43</v>
      </c>
      <c r="G1064">
        <v>75</v>
      </c>
      <c r="H1064" t="s">
        <v>124</v>
      </c>
      <c r="I1064" t="s">
        <v>45</v>
      </c>
      <c r="J1064" t="s">
        <v>110</v>
      </c>
      <c r="K1064" t="s">
        <v>58</v>
      </c>
      <c r="L1064">
        <v>2.6</v>
      </c>
      <c r="M1064" t="s">
        <v>152</v>
      </c>
      <c r="N1064" t="s">
        <v>29</v>
      </c>
      <c r="O1064" t="s">
        <v>47</v>
      </c>
      <c r="P1064" t="s">
        <v>26</v>
      </c>
      <c r="Q1064" t="s">
        <v>26</v>
      </c>
      <c r="R1064">
        <v>21</v>
      </c>
      <c r="S1064" t="s">
        <v>59</v>
      </c>
      <c r="T1064" t="str">
        <f t="shared" si="32"/>
        <v>Quarterly</v>
      </c>
      <c r="U1064">
        <f>VLOOKUP(T1064,[1]tablescore!$B$3:$C$8, 2,FALSE)</f>
        <v>4</v>
      </c>
      <c r="V1064" t="str">
        <f t="shared" si="33"/>
        <v>Low Loyalty</v>
      </c>
      <c r="W1064" t="s">
        <v>97</v>
      </c>
    </row>
    <row r="1065" spans="1:23" x14ac:dyDescent="0.25">
      <c r="A1065">
        <v>1064</v>
      </c>
      <c r="B1065">
        <v>62</v>
      </c>
      <c r="C1065" t="str" cm="1">
        <f t="array" ref="C1065">_xlfn.IFS(
  AND(B1065&gt;=18, B1065&lt;=24), "18-24",
  AND(B1065&gt;=25, B1065&lt;=34), "25-34",
  AND(B1065&gt;=35, B1065&lt;=44), "35-44",
  AND(B1065&gt;=45, B1065&lt;=54), "45-54",
  B1065&gt;=55, "55+"
)</f>
        <v>55+</v>
      </c>
      <c r="D1065" t="s">
        <v>19</v>
      </c>
      <c r="E1065" t="s">
        <v>104</v>
      </c>
      <c r="F1065" t="s">
        <v>21</v>
      </c>
      <c r="G1065">
        <v>29</v>
      </c>
      <c r="H1065" t="s">
        <v>90</v>
      </c>
      <c r="I1065" t="s">
        <v>38</v>
      </c>
      <c r="J1065" t="s">
        <v>129</v>
      </c>
      <c r="K1065" t="s">
        <v>54</v>
      </c>
      <c r="L1065">
        <v>3.3</v>
      </c>
      <c r="M1065" t="s">
        <v>152</v>
      </c>
      <c r="N1065" t="s">
        <v>34</v>
      </c>
      <c r="O1065" t="s">
        <v>40</v>
      </c>
      <c r="P1065" t="s">
        <v>26</v>
      </c>
      <c r="Q1065" t="s">
        <v>26</v>
      </c>
      <c r="R1065">
        <v>35</v>
      </c>
      <c r="S1065" t="s">
        <v>35</v>
      </c>
      <c r="T1065" t="str">
        <f t="shared" si="32"/>
        <v>Month</v>
      </c>
      <c r="U1065">
        <f>VLOOKUP(T1065,[1]tablescore!$B$3:$C$8, 2,FALSE)</f>
        <v>12</v>
      </c>
      <c r="V1065" t="str">
        <f t="shared" si="33"/>
        <v>Moderate</v>
      </c>
      <c r="W1065" t="s">
        <v>88</v>
      </c>
    </row>
    <row r="1066" spans="1:23" x14ac:dyDescent="0.25">
      <c r="A1066">
        <v>1065</v>
      </c>
      <c r="B1066">
        <v>34</v>
      </c>
      <c r="C1066" t="str" cm="1">
        <f t="array" ref="C1066">_xlfn.IFS(
  AND(B1066&gt;=18, B1066&lt;=24), "18-24",
  AND(B1066&gt;=25, B1066&lt;=34), "25-34",
  AND(B1066&gt;=35, B1066&lt;=44), "35-44",
  AND(B1066&gt;=45, B1066&lt;=54), "45-54",
  B1066&gt;=55, "55+"
)</f>
        <v>25-34</v>
      </c>
      <c r="D1066" t="s">
        <v>19</v>
      </c>
      <c r="E1066" t="s">
        <v>125</v>
      </c>
      <c r="F1066" t="s">
        <v>69</v>
      </c>
      <c r="G1066">
        <v>28</v>
      </c>
      <c r="H1066" t="s">
        <v>52</v>
      </c>
      <c r="I1066" t="s">
        <v>45</v>
      </c>
      <c r="J1066" t="s">
        <v>84</v>
      </c>
      <c r="K1066" t="s">
        <v>39</v>
      </c>
      <c r="L1066">
        <v>3.5</v>
      </c>
      <c r="M1066" t="s">
        <v>152</v>
      </c>
      <c r="N1066" t="s">
        <v>59</v>
      </c>
      <c r="O1066" t="s">
        <v>28</v>
      </c>
      <c r="P1066" t="s">
        <v>26</v>
      </c>
      <c r="Q1066" t="s">
        <v>26</v>
      </c>
      <c r="R1066">
        <v>42</v>
      </c>
      <c r="S1066" t="s">
        <v>27</v>
      </c>
      <c r="T1066" t="str">
        <f t="shared" si="32"/>
        <v>Quarterly</v>
      </c>
      <c r="U1066">
        <f>VLOOKUP(T1066,[1]tablescore!$B$3:$C$8, 2,FALSE)</f>
        <v>4</v>
      </c>
      <c r="V1066" t="str">
        <f t="shared" si="33"/>
        <v>Low Loyalty</v>
      </c>
      <c r="W1066" t="s">
        <v>97</v>
      </c>
    </row>
    <row r="1067" spans="1:23" x14ac:dyDescent="0.25">
      <c r="A1067">
        <v>1066</v>
      </c>
      <c r="B1067">
        <v>59</v>
      </c>
      <c r="C1067" t="str" cm="1">
        <f t="array" ref="C1067">_xlfn.IFS(
  AND(B1067&gt;=18, B1067&lt;=24), "18-24",
  AND(B1067&gt;=25, B1067&lt;=34), "25-34",
  AND(B1067&gt;=35, B1067&lt;=44), "35-44",
  AND(B1067&gt;=45, B1067&lt;=54), "45-54",
  B1067&gt;=55, "55+"
)</f>
        <v>55+</v>
      </c>
      <c r="D1067" t="s">
        <v>19</v>
      </c>
      <c r="E1067" t="s">
        <v>113</v>
      </c>
      <c r="F1067" t="s">
        <v>21</v>
      </c>
      <c r="G1067">
        <v>20</v>
      </c>
      <c r="H1067" t="s">
        <v>90</v>
      </c>
      <c r="I1067" t="s">
        <v>92</v>
      </c>
      <c r="J1067" t="s">
        <v>138</v>
      </c>
      <c r="K1067" t="s">
        <v>39</v>
      </c>
      <c r="L1067">
        <v>4.0999999999999996</v>
      </c>
      <c r="M1067" t="s">
        <v>152</v>
      </c>
      <c r="N1067" t="s">
        <v>35</v>
      </c>
      <c r="O1067" t="s">
        <v>76</v>
      </c>
      <c r="P1067" t="s">
        <v>26</v>
      </c>
      <c r="Q1067" t="s">
        <v>26</v>
      </c>
      <c r="R1067">
        <v>3</v>
      </c>
      <c r="S1067" t="s">
        <v>46</v>
      </c>
      <c r="T1067" t="str">
        <f t="shared" si="32"/>
        <v>Quarterly</v>
      </c>
      <c r="U1067">
        <f>VLOOKUP(T1067,[1]tablescore!$B$3:$C$8, 2,FALSE)</f>
        <v>4</v>
      </c>
      <c r="V1067" t="str">
        <f t="shared" si="33"/>
        <v>Low Loyalty</v>
      </c>
      <c r="W1067" t="s">
        <v>97</v>
      </c>
    </row>
    <row r="1068" spans="1:23" x14ac:dyDescent="0.25">
      <c r="A1068">
        <v>1067</v>
      </c>
      <c r="B1068">
        <v>49</v>
      </c>
      <c r="C1068" t="str" cm="1">
        <f t="array" ref="C1068">_xlfn.IFS(
  AND(B1068&gt;=18, B1068&lt;=24), "18-24",
  AND(B1068&gt;=25, B1068&lt;=34), "25-34",
  AND(B1068&gt;=35, B1068&lt;=44), "35-44",
  AND(B1068&gt;=45, B1068&lt;=54), "45-54",
  B1068&gt;=55, "55+"
)</f>
        <v>45-54</v>
      </c>
      <c r="D1068" t="s">
        <v>19</v>
      </c>
      <c r="E1068" t="s">
        <v>64</v>
      </c>
      <c r="F1068" t="s">
        <v>65</v>
      </c>
      <c r="G1068">
        <v>96</v>
      </c>
      <c r="H1068" t="s">
        <v>91</v>
      </c>
      <c r="I1068" t="s">
        <v>45</v>
      </c>
      <c r="J1068" t="s">
        <v>108</v>
      </c>
      <c r="K1068" t="s">
        <v>25</v>
      </c>
      <c r="L1068">
        <v>4</v>
      </c>
      <c r="M1068" t="s">
        <v>152</v>
      </c>
      <c r="N1068" t="s">
        <v>27</v>
      </c>
      <c r="O1068" t="s">
        <v>76</v>
      </c>
      <c r="P1068" t="s">
        <v>26</v>
      </c>
      <c r="Q1068" t="s">
        <v>26</v>
      </c>
      <c r="R1068">
        <v>11</v>
      </c>
      <c r="S1068" t="s">
        <v>46</v>
      </c>
      <c r="T1068" t="str">
        <f t="shared" si="32"/>
        <v>2-week</v>
      </c>
      <c r="U1068">
        <f>VLOOKUP(T1068,[1]tablescore!$B$3:$C$8, 2,FALSE)</f>
        <v>26</v>
      </c>
      <c r="V1068" t="str">
        <f t="shared" si="33"/>
        <v>Loyal</v>
      </c>
      <c r="W1068" t="s">
        <v>77</v>
      </c>
    </row>
    <row r="1069" spans="1:23" x14ac:dyDescent="0.25">
      <c r="A1069">
        <v>1068</v>
      </c>
      <c r="B1069">
        <v>18</v>
      </c>
      <c r="C1069" t="str" cm="1">
        <f t="array" ref="C1069">_xlfn.IFS(
  AND(B1069&gt;=18, B1069&lt;=24), "18-24",
  AND(B1069&gt;=25, B1069&lt;=34), "25-34",
  AND(B1069&gt;=35, B1069&lt;=44), "35-44",
  AND(B1069&gt;=45, B1069&lt;=54), "45-54",
  B1069&gt;=55, "55+"
)</f>
        <v>18-24</v>
      </c>
      <c r="D1069" t="s">
        <v>19</v>
      </c>
      <c r="E1069" t="s">
        <v>82</v>
      </c>
      <c r="F1069" t="s">
        <v>21</v>
      </c>
      <c r="G1069">
        <v>43</v>
      </c>
      <c r="H1069" t="s">
        <v>141</v>
      </c>
      <c r="I1069" t="s">
        <v>38</v>
      </c>
      <c r="J1069" t="s">
        <v>100</v>
      </c>
      <c r="K1069" t="s">
        <v>54</v>
      </c>
      <c r="L1069">
        <v>2.7</v>
      </c>
      <c r="M1069" t="s">
        <v>152</v>
      </c>
      <c r="N1069" t="s">
        <v>29</v>
      </c>
      <c r="O1069" t="s">
        <v>72</v>
      </c>
      <c r="P1069" t="s">
        <v>26</v>
      </c>
      <c r="Q1069" t="s">
        <v>26</v>
      </c>
      <c r="R1069">
        <v>22</v>
      </c>
      <c r="S1069" t="s">
        <v>46</v>
      </c>
      <c r="T1069" t="str">
        <f t="shared" si="32"/>
        <v>Quarterly</v>
      </c>
      <c r="U1069">
        <f>VLOOKUP(T1069,[1]tablescore!$B$3:$C$8, 2,FALSE)</f>
        <v>4</v>
      </c>
      <c r="V1069" t="str">
        <f t="shared" si="33"/>
        <v>Low Loyalty</v>
      </c>
      <c r="W1069" t="s">
        <v>60</v>
      </c>
    </row>
    <row r="1070" spans="1:23" x14ac:dyDescent="0.25">
      <c r="A1070">
        <v>1069</v>
      </c>
      <c r="B1070">
        <v>55</v>
      </c>
      <c r="C1070" t="str" cm="1">
        <f t="array" ref="C1070">_xlfn.IFS(
  AND(B1070&gt;=18, B1070&lt;=24), "18-24",
  AND(B1070&gt;=25, B1070&lt;=34), "25-34",
  AND(B1070&gt;=35, B1070&lt;=44), "35-44",
  AND(B1070&gt;=45, B1070&lt;=54), "45-54",
  B1070&gt;=55, "55+"
)</f>
        <v>55+</v>
      </c>
      <c r="D1070" t="s">
        <v>19</v>
      </c>
      <c r="E1070" t="s">
        <v>56</v>
      </c>
      <c r="F1070" t="s">
        <v>21</v>
      </c>
      <c r="G1070">
        <v>94</v>
      </c>
      <c r="H1070" t="s">
        <v>52</v>
      </c>
      <c r="I1070" t="s">
        <v>45</v>
      </c>
      <c r="J1070" t="s">
        <v>79</v>
      </c>
      <c r="K1070" t="s">
        <v>58</v>
      </c>
      <c r="L1070">
        <v>2.5</v>
      </c>
      <c r="M1070" t="s">
        <v>152</v>
      </c>
      <c r="N1070" t="s">
        <v>34</v>
      </c>
      <c r="O1070" t="s">
        <v>55</v>
      </c>
      <c r="P1070" t="s">
        <v>26</v>
      </c>
      <c r="Q1070" t="s">
        <v>26</v>
      </c>
      <c r="R1070">
        <v>47</v>
      </c>
      <c r="S1070" t="s">
        <v>27</v>
      </c>
      <c r="T1070" t="str">
        <f t="shared" si="32"/>
        <v>Daily</v>
      </c>
      <c r="U1070">
        <f>VLOOKUP(T1070,[1]tablescore!$B$3:$C$8, 2,FALSE)</f>
        <v>30</v>
      </c>
      <c r="V1070" t="str">
        <f t="shared" si="33"/>
        <v>Highly Loyal</v>
      </c>
      <c r="W1070" t="s">
        <v>41</v>
      </c>
    </row>
    <row r="1071" spans="1:23" x14ac:dyDescent="0.25">
      <c r="A1071">
        <v>1070</v>
      </c>
      <c r="B1071">
        <v>38</v>
      </c>
      <c r="C1071" t="str" cm="1">
        <f t="array" ref="C1071">_xlfn.IFS(
  AND(B1071&gt;=18, B1071&lt;=24), "18-24",
  AND(B1071&gt;=25, B1071&lt;=34), "25-34",
  AND(B1071&gt;=35, B1071&lt;=44), "35-44",
  AND(B1071&gt;=45, B1071&lt;=54), "45-54",
  B1071&gt;=55, "55+"
)</f>
        <v>35-44</v>
      </c>
      <c r="D1071" t="s">
        <v>19</v>
      </c>
      <c r="E1071" t="s">
        <v>87</v>
      </c>
      <c r="F1071" t="s">
        <v>21</v>
      </c>
      <c r="G1071">
        <v>81</v>
      </c>
      <c r="H1071" t="s">
        <v>135</v>
      </c>
      <c r="I1071" t="s">
        <v>92</v>
      </c>
      <c r="J1071" t="s">
        <v>53</v>
      </c>
      <c r="K1071" t="s">
        <v>58</v>
      </c>
      <c r="L1071">
        <v>4.3</v>
      </c>
      <c r="M1071" t="s">
        <v>152</v>
      </c>
      <c r="N1071" t="s">
        <v>27</v>
      </c>
      <c r="O1071" t="s">
        <v>47</v>
      </c>
      <c r="P1071" t="s">
        <v>26</v>
      </c>
      <c r="Q1071" t="s">
        <v>26</v>
      </c>
      <c r="R1071">
        <v>33</v>
      </c>
      <c r="S1071" t="s">
        <v>29</v>
      </c>
      <c r="T1071" t="str">
        <f t="shared" si="32"/>
        <v>Quarterly</v>
      </c>
      <c r="U1071">
        <f>VLOOKUP(T1071,[1]tablescore!$B$3:$C$8, 2,FALSE)</f>
        <v>4</v>
      </c>
      <c r="V1071" t="str">
        <f t="shared" si="33"/>
        <v>Low Loyalty</v>
      </c>
      <c r="W1071" t="s">
        <v>97</v>
      </c>
    </row>
    <row r="1072" spans="1:23" x14ac:dyDescent="0.25">
      <c r="A1072">
        <v>1071</v>
      </c>
      <c r="B1072">
        <v>50</v>
      </c>
      <c r="C1072" t="str" cm="1">
        <f t="array" ref="C1072">_xlfn.IFS(
  AND(B1072&gt;=18, B1072&lt;=24), "18-24",
  AND(B1072&gt;=25, B1072&lt;=34), "25-34",
  AND(B1072&gt;=35, B1072&lt;=44), "35-44",
  AND(B1072&gt;=45, B1072&lt;=54), "45-54",
  B1072&gt;=55, "55+"
)</f>
        <v>45-54</v>
      </c>
      <c r="D1072" t="s">
        <v>19</v>
      </c>
      <c r="E1072" t="s">
        <v>106</v>
      </c>
      <c r="F1072" t="s">
        <v>69</v>
      </c>
      <c r="G1072">
        <v>75</v>
      </c>
      <c r="H1072" t="s">
        <v>98</v>
      </c>
      <c r="I1072" t="s">
        <v>45</v>
      </c>
      <c r="J1072" t="s">
        <v>147</v>
      </c>
      <c r="K1072" t="s">
        <v>54</v>
      </c>
      <c r="L1072">
        <v>3.3</v>
      </c>
      <c r="M1072" t="s">
        <v>152</v>
      </c>
      <c r="N1072" t="s">
        <v>29</v>
      </c>
      <c r="O1072" t="s">
        <v>40</v>
      </c>
      <c r="P1072" t="s">
        <v>26</v>
      </c>
      <c r="Q1072" t="s">
        <v>26</v>
      </c>
      <c r="R1072">
        <v>50</v>
      </c>
      <c r="S1072" t="s">
        <v>59</v>
      </c>
      <c r="T1072" t="str">
        <f t="shared" si="32"/>
        <v>Daily</v>
      </c>
      <c r="U1072">
        <f>VLOOKUP(T1072,[1]tablescore!$B$3:$C$8, 2,FALSE)</f>
        <v>30</v>
      </c>
      <c r="V1072" t="str">
        <f t="shared" si="33"/>
        <v>Highly Loyal</v>
      </c>
      <c r="W1072" t="s">
        <v>41</v>
      </c>
    </row>
    <row r="1073" spans="1:23" x14ac:dyDescent="0.25">
      <c r="A1073">
        <v>1072</v>
      </c>
      <c r="B1073">
        <v>61</v>
      </c>
      <c r="C1073" t="str" cm="1">
        <f t="array" ref="C1073">_xlfn.IFS(
  AND(B1073&gt;=18, B1073&lt;=24), "18-24",
  AND(B1073&gt;=25, B1073&lt;=34), "25-34",
  AND(B1073&gt;=35, B1073&lt;=44), "35-44",
  AND(B1073&gt;=45, B1073&lt;=54), "45-54",
  B1073&gt;=55, "55+"
)</f>
        <v>55+</v>
      </c>
      <c r="D1073" t="s">
        <v>19</v>
      </c>
      <c r="E1073" t="s">
        <v>125</v>
      </c>
      <c r="F1073" t="s">
        <v>69</v>
      </c>
      <c r="G1073">
        <v>81</v>
      </c>
      <c r="H1073" t="s">
        <v>141</v>
      </c>
      <c r="I1073" t="s">
        <v>45</v>
      </c>
      <c r="J1073" t="s">
        <v>118</v>
      </c>
      <c r="K1073" t="s">
        <v>54</v>
      </c>
      <c r="L1073">
        <v>2.6</v>
      </c>
      <c r="M1073" t="s">
        <v>152</v>
      </c>
      <c r="N1073" t="s">
        <v>35</v>
      </c>
      <c r="O1073" t="s">
        <v>28</v>
      </c>
      <c r="P1073" t="s">
        <v>26</v>
      </c>
      <c r="Q1073" t="s">
        <v>26</v>
      </c>
      <c r="R1073">
        <v>46</v>
      </c>
      <c r="S1073" t="s">
        <v>27</v>
      </c>
      <c r="T1073" t="str">
        <f t="shared" si="32"/>
        <v>Month</v>
      </c>
      <c r="U1073">
        <f>VLOOKUP(T1073,[1]tablescore!$B$3:$C$8, 2,FALSE)</f>
        <v>12</v>
      </c>
      <c r="V1073" t="str">
        <f t="shared" si="33"/>
        <v>Moderate</v>
      </c>
      <c r="W1073" t="s">
        <v>88</v>
      </c>
    </row>
    <row r="1074" spans="1:23" x14ac:dyDescent="0.25">
      <c r="A1074">
        <v>1073</v>
      </c>
      <c r="B1074">
        <v>48</v>
      </c>
      <c r="C1074" t="str" cm="1">
        <f t="array" ref="C1074">_xlfn.IFS(
  AND(B1074&gt;=18, B1074&lt;=24), "18-24",
  AND(B1074&gt;=25, B1074&lt;=34), "25-34",
  AND(B1074&gt;=35, B1074&lt;=44), "35-44",
  AND(B1074&gt;=45, B1074&lt;=54), "45-54",
  B1074&gt;=55, "55+"
)</f>
        <v>45-54</v>
      </c>
      <c r="D1074" t="s">
        <v>19</v>
      </c>
      <c r="E1074" t="s">
        <v>61</v>
      </c>
      <c r="F1074" t="s">
        <v>21</v>
      </c>
      <c r="G1074">
        <v>92</v>
      </c>
      <c r="H1074" t="s">
        <v>144</v>
      </c>
      <c r="I1074" t="s">
        <v>23</v>
      </c>
      <c r="J1074" t="s">
        <v>81</v>
      </c>
      <c r="K1074" t="s">
        <v>58</v>
      </c>
      <c r="L1074">
        <v>3.5</v>
      </c>
      <c r="M1074" t="s">
        <v>152</v>
      </c>
      <c r="N1074" t="s">
        <v>34</v>
      </c>
      <c r="O1074" t="s">
        <v>28</v>
      </c>
      <c r="P1074" t="s">
        <v>26</v>
      </c>
      <c r="Q1074" t="s">
        <v>26</v>
      </c>
      <c r="R1074">
        <v>34</v>
      </c>
      <c r="S1074" t="s">
        <v>59</v>
      </c>
      <c r="T1074" t="str">
        <f t="shared" si="32"/>
        <v>2-week</v>
      </c>
      <c r="U1074">
        <f>VLOOKUP(T1074,[1]tablescore!$B$3:$C$8, 2,FALSE)</f>
        <v>26</v>
      </c>
      <c r="V1074" t="str">
        <f t="shared" si="33"/>
        <v>Loyal</v>
      </c>
      <c r="W1074" t="s">
        <v>30</v>
      </c>
    </row>
    <row r="1075" spans="1:23" x14ac:dyDescent="0.25">
      <c r="A1075">
        <v>1074</v>
      </c>
      <c r="B1075">
        <v>22</v>
      </c>
      <c r="C1075" t="str" cm="1">
        <f t="array" ref="C1075">_xlfn.IFS(
  AND(B1075&gt;=18, B1075&lt;=24), "18-24",
  AND(B1075&gt;=25, B1075&lt;=34), "25-34",
  AND(B1075&gt;=35, B1075&lt;=44), "35-44",
  AND(B1075&gt;=45, B1075&lt;=54), "45-54",
  B1075&gt;=55, "55+"
)</f>
        <v>18-24</v>
      </c>
      <c r="D1075" t="s">
        <v>19</v>
      </c>
      <c r="E1075" t="s">
        <v>119</v>
      </c>
      <c r="F1075" t="s">
        <v>69</v>
      </c>
      <c r="G1075">
        <v>96</v>
      </c>
      <c r="H1075" t="s">
        <v>99</v>
      </c>
      <c r="I1075" t="s">
        <v>92</v>
      </c>
      <c r="J1075" t="s">
        <v>75</v>
      </c>
      <c r="K1075" t="s">
        <v>39</v>
      </c>
      <c r="L1075">
        <v>4</v>
      </c>
      <c r="M1075" t="s">
        <v>152</v>
      </c>
      <c r="N1075" t="s">
        <v>35</v>
      </c>
      <c r="O1075" t="s">
        <v>76</v>
      </c>
      <c r="P1075" t="s">
        <v>26</v>
      </c>
      <c r="Q1075" t="s">
        <v>26</v>
      </c>
      <c r="R1075">
        <v>33</v>
      </c>
      <c r="S1075" t="s">
        <v>27</v>
      </c>
      <c r="T1075" t="str">
        <f t="shared" si="32"/>
        <v>Month</v>
      </c>
      <c r="U1075">
        <f>VLOOKUP(T1075,[1]tablescore!$B$3:$C$8, 2,FALSE)</f>
        <v>12</v>
      </c>
      <c r="V1075" t="str">
        <f t="shared" si="33"/>
        <v>Moderate</v>
      </c>
      <c r="W1075" t="s">
        <v>88</v>
      </c>
    </row>
    <row r="1076" spans="1:23" x14ac:dyDescent="0.25">
      <c r="A1076">
        <v>1075</v>
      </c>
      <c r="B1076">
        <v>48</v>
      </c>
      <c r="C1076" t="str" cm="1">
        <f t="array" ref="C1076">_xlfn.IFS(
  AND(B1076&gt;=18, B1076&lt;=24), "18-24",
  AND(B1076&gt;=25, B1076&lt;=34), "25-34",
  AND(B1076&gt;=35, B1076&lt;=44), "35-44",
  AND(B1076&gt;=45, B1076&lt;=54), "45-54",
  B1076&gt;=55, "55+"
)</f>
        <v>45-54</v>
      </c>
      <c r="D1076" t="s">
        <v>19</v>
      </c>
      <c r="E1076" t="s">
        <v>106</v>
      </c>
      <c r="F1076" t="s">
        <v>69</v>
      </c>
      <c r="G1076">
        <v>71</v>
      </c>
      <c r="H1076" t="s">
        <v>122</v>
      </c>
      <c r="I1076" t="s">
        <v>38</v>
      </c>
      <c r="J1076" t="s">
        <v>53</v>
      </c>
      <c r="K1076" t="s">
        <v>58</v>
      </c>
      <c r="L1076">
        <v>2.6</v>
      </c>
      <c r="M1076" t="s">
        <v>152</v>
      </c>
      <c r="N1076" t="s">
        <v>46</v>
      </c>
      <c r="O1076" t="s">
        <v>55</v>
      </c>
      <c r="P1076" t="s">
        <v>26</v>
      </c>
      <c r="Q1076" t="s">
        <v>26</v>
      </c>
      <c r="R1076">
        <v>45</v>
      </c>
      <c r="S1076" t="s">
        <v>34</v>
      </c>
      <c r="T1076" t="str">
        <f t="shared" si="32"/>
        <v>2-week</v>
      </c>
      <c r="U1076">
        <f>VLOOKUP(T1076,[1]tablescore!$B$3:$C$8, 2,FALSE)</f>
        <v>26</v>
      </c>
      <c r="V1076" t="str">
        <f t="shared" si="33"/>
        <v>Loyal</v>
      </c>
      <c r="W1076" t="s">
        <v>30</v>
      </c>
    </row>
    <row r="1077" spans="1:23" x14ac:dyDescent="0.25">
      <c r="A1077">
        <v>1076</v>
      </c>
      <c r="B1077">
        <v>57</v>
      </c>
      <c r="C1077" t="str" cm="1">
        <f t="array" ref="C1077">_xlfn.IFS(
  AND(B1077&gt;=18, B1077&lt;=24), "18-24",
  AND(B1077&gt;=25, B1077&lt;=34), "25-34",
  AND(B1077&gt;=35, B1077&lt;=44), "35-44",
  AND(B1077&gt;=45, B1077&lt;=54), "45-54",
  B1077&gt;=55, "55+"
)</f>
        <v>55+</v>
      </c>
      <c r="D1077" t="s">
        <v>19</v>
      </c>
      <c r="E1077" t="s">
        <v>89</v>
      </c>
      <c r="F1077" t="s">
        <v>69</v>
      </c>
      <c r="G1077">
        <v>50</v>
      </c>
      <c r="H1077" t="s">
        <v>70</v>
      </c>
      <c r="I1077" t="s">
        <v>23</v>
      </c>
      <c r="J1077" t="s">
        <v>129</v>
      </c>
      <c r="K1077" t="s">
        <v>54</v>
      </c>
      <c r="L1077">
        <v>4.9000000000000004</v>
      </c>
      <c r="M1077" t="s">
        <v>152</v>
      </c>
      <c r="N1077" t="s">
        <v>59</v>
      </c>
      <c r="O1077" t="s">
        <v>47</v>
      </c>
      <c r="P1077" t="s">
        <v>26</v>
      </c>
      <c r="Q1077" t="s">
        <v>26</v>
      </c>
      <c r="R1077">
        <v>32</v>
      </c>
      <c r="S1077" t="s">
        <v>59</v>
      </c>
      <c r="T1077" t="str">
        <f t="shared" si="32"/>
        <v>2-week</v>
      </c>
      <c r="U1077">
        <f>VLOOKUP(T1077,[1]tablescore!$B$3:$C$8, 2,FALSE)</f>
        <v>26</v>
      </c>
      <c r="V1077" t="str">
        <f t="shared" si="33"/>
        <v>Loyal</v>
      </c>
      <c r="W1077" t="s">
        <v>77</v>
      </c>
    </row>
    <row r="1078" spans="1:23" x14ac:dyDescent="0.25">
      <c r="A1078">
        <v>1077</v>
      </c>
      <c r="B1078">
        <v>33</v>
      </c>
      <c r="C1078" t="str" cm="1">
        <f t="array" ref="C1078">_xlfn.IFS(
  AND(B1078&gt;=18, B1078&lt;=24), "18-24",
  AND(B1078&gt;=25, B1078&lt;=34), "25-34",
  AND(B1078&gt;=35, B1078&lt;=44), "35-44",
  AND(B1078&gt;=45, B1078&lt;=54), "45-54",
  B1078&gt;=55, "55+"
)</f>
        <v>25-34</v>
      </c>
      <c r="D1078" t="s">
        <v>19</v>
      </c>
      <c r="E1078" t="s">
        <v>64</v>
      </c>
      <c r="F1078" t="s">
        <v>65</v>
      </c>
      <c r="G1078">
        <v>72</v>
      </c>
      <c r="H1078" t="s">
        <v>114</v>
      </c>
      <c r="I1078" t="s">
        <v>23</v>
      </c>
      <c r="J1078" t="s">
        <v>63</v>
      </c>
      <c r="K1078" t="s">
        <v>39</v>
      </c>
      <c r="L1078">
        <v>2.9</v>
      </c>
      <c r="M1078" t="s">
        <v>152</v>
      </c>
      <c r="N1078" t="s">
        <v>34</v>
      </c>
      <c r="O1078" t="s">
        <v>55</v>
      </c>
      <c r="P1078" t="s">
        <v>26</v>
      </c>
      <c r="Q1078" t="s">
        <v>26</v>
      </c>
      <c r="R1078">
        <v>47</v>
      </c>
      <c r="S1078" t="s">
        <v>29</v>
      </c>
      <c r="T1078" t="str">
        <f t="shared" si="32"/>
        <v>2-week</v>
      </c>
      <c r="U1078">
        <f>VLOOKUP(T1078,[1]tablescore!$B$3:$C$8, 2,FALSE)</f>
        <v>26</v>
      </c>
      <c r="V1078" t="str">
        <f t="shared" si="33"/>
        <v>Loyal</v>
      </c>
      <c r="W1078" t="s">
        <v>77</v>
      </c>
    </row>
    <row r="1079" spans="1:23" x14ac:dyDescent="0.25">
      <c r="A1079">
        <v>1078</v>
      </c>
      <c r="B1079">
        <v>58</v>
      </c>
      <c r="C1079" t="str" cm="1">
        <f t="array" ref="C1079">_xlfn.IFS(
  AND(B1079&gt;=18, B1079&lt;=24), "18-24",
  AND(B1079&gt;=25, B1079&lt;=34), "25-34",
  AND(B1079&gt;=35, B1079&lt;=44), "35-44",
  AND(B1079&gt;=45, B1079&lt;=54), "45-54",
  B1079&gt;=55, "55+"
)</f>
        <v>55+</v>
      </c>
      <c r="D1079" t="s">
        <v>19</v>
      </c>
      <c r="E1079" t="s">
        <v>102</v>
      </c>
      <c r="F1079" t="s">
        <v>65</v>
      </c>
      <c r="G1079">
        <v>28</v>
      </c>
      <c r="H1079" t="s">
        <v>66</v>
      </c>
      <c r="I1079" t="s">
        <v>45</v>
      </c>
      <c r="J1079" t="s">
        <v>71</v>
      </c>
      <c r="K1079" t="s">
        <v>25</v>
      </c>
      <c r="L1079">
        <v>3.7</v>
      </c>
      <c r="M1079" t="s">
        <v>152</v>
      </c>
      <c r="N1079" t="s">
        <v>35</v>
      </c>
      <c r="O1079" t="s">
        <v>55</v>
      </c>
      <c r="P1079" t="s">
        <v>26</v>
      </c>
      <c r="Q1079" t="s">
        <v>26</v>
      </c>
      <c r="R1079">
        <v>5</v>
      </c>
      <c r="S1079" t="s">
        <v>46</v>
      </c>
      <c r="T1079" t="str">
        <f t="shared" si="32"/>
        <v>Quarterly</v>
      </c>
      <c r="U1079">
        <f>VLOOKUP(T1079,[1]tablescore!$B$3:$C$8, 2,FALSE)</f>
        <v>4</v>
      </c>
      <c r="V1079" t="str">
        <f t="shared" si="33"/>
        <v>Low Loyalty</v>
      </c>
      <c r="W1079" t="s">
        <v>60</v>
      </c>
    </row>
    <row r="1080" spans="1:23" x14ac:dyDescent="0.25">
      <c r="A1080">
        <v>1079</v>
      </c>
      <c r="B1080">
        <v>37</v>
      </c>
      <c r="C1080" t="str" cm="1">
        <f t="array" ref="C1080">_xlfn.IFS(
  AND(B1080&gt;=18, B1080&lt;=24), "18-24",
  AND(B1080&gt;=25, B1080&lt;=34), "25-34",
  AND(B1080&gt;=35, B1080&lt;=44), "35-44",
  AND(B1080&gt;=45, B1080&lt;=54), "45-54",
  B1080&gt;=55, "55+"
)</f>
        <v>35-44</v>
      </c>
      <c r="D1080" t="s">
        <v>19</v>
      </c>
      <c r="E1080" t="s">
        <v>31</v>
      </c>
      <c r="F1080" t="s">
        <v>21</v>
      </c>
      <c r="G1080">
        <v>59</v>
      </c>
      <c r="H1080" t="s">
        <v>117</v>
      </c>
      <c r="I1080" t="s">
        <v>45</v>
      </c>
      <c r="J1080" t="s">
        <v>67</v>
      </c>
      <c r="K1080" t="s">
        <v>58</v>
      </c>
      <c r="L1080">
        <v>4.4000000000000004</v>
      </c>
      <c r="M1080" t="s">
        <v>152</v>
      </c>
      <c r="N1080" t="s">
        <v>35</v>
      </c>
      <c r="O1080" t="s">
        <v>28</v>
      </c>
      <c r="P1080" t="s">
        <v>26</v>
      </c>
      <c r="Q1080" t="s">
        <v>26</v>
      </c>
      <c r="R1080">
        <v>49</v>
      </c>
      <c r="S1080" t="s">
        <v>27</v>
      </c>
      <c r="T1080" t="str">
        <f t="shared" si="32"/>
        <v>2-week</v>
      </c>
      <c r="U1080">
        <f>VLOOKUP(T1080,[1]tablescore!$B$3:$C$8, 2,FALSE)</f>
        <v>26</v>
      </c>
      <c r="V1080" t="str">
        <f t="shared" si="33"/>
        <v>Loyal</v>
      </c>
      <c r="W1080" t="s">
        <v>30</v>
      </c>
    </row>
    <row r="1081" spans="1:23" x14ac:dyDescent="0.25">
      <c r="A1081">
        <v>1080</v>
      </c>
      <c r="B1081">
        <v>18</v>
      </c>
      <c r="C1081" t="str" cm="1">
        <f t="array" ref="C1081">_xlfn.IFS(
  AND(B1081&gt;=18, B1081&lt;=24), "18-24",
  AND(B1081&gt;=25, B1081&lt;=34), "25-34",
  AND(B1081&gt;=35, B1081&lt;=44), "35-44",
  AND(B1081&gt;=45, B1081&lt;=54), "45-54",
  B1081&gt;=55, "55+"
)</f>
        <v>18-24</v>
      </c>
      <c r="D1081" t="s">
        <v>19</v>
      </c>
      <c r="E1081" t="s">
        <v>64</v>
      </c>
      <c r="F1081" t="s">
        <v>65</v>
      </c>
      <c r="G1081">
        <v>33</v>
      </c>
      <c r="H1081" t="s">
        <v>101</v>
      </c>
      <c r="I1081" t="s">
        <v>38</v>
      </c>
      <c r="J1081" t="s">
        <v>138</v>
      </c>
      <c r="K1081" t="s">
        <v>54</v>
      </c>
      <c r="L1081">
        <v>4.4000000000000004</v>
      </c>
      <c r="M1081" t="s">
        <v>152</v>
      </c>
      <c r="N1081" t="s">
        <v>34</v>
      </c>
      <c r="O1081" t="s">
        <v>40</v>
      </c>
      <c r="P1081" t="s">
        <v>26</v>
      </c>
      <c r="Q1081" t="s">
        <v>26</v>
      </c>
      <c r="R1081">
        <v>48</v>
      </c>
      <c r="S1081" t="s">
        <v>34</v>
      </c>
      <c r="T1081" t="str">
        <f t="shared" si="32"/>
        <v>Month</v>
      </c>
      <c r="U1081">
        <f>VLOOKUP(T1081,[1]tablescore!$B$3:$C$8, 2,FALSE)</f>
        <v>12</v>
      </c>
      <c r="V1081" t="str">
        <f t="shared" si="33"/>
        <v>Moderate</v>
      </c>
      <c r="W1081" t="s">
        <v>88</v>
      </c>
    </row>
    <row r="1082" spans="1:23" x14ac:dyDescent="0.25">
      <c r="A1082">
        <v>1081</v>
      </c>
      <c r="B1082">
        <v>65</v>
      </c>
      <c r="C1082" t="str" cm="1">
        <f t="array" ref="C1082">_xlfn.IFS(
  AND(B1082&gt;=18, B1082&lt;=24), "18-24",
  AND(B1082&gt;=25, B1082&lt;=34), "25-34",
  AND(B1082&gt;=35, B1082&lt;=44), "35-44",
  AND(B1082&gt;=45, B1082&lt;=54), "45-54",
  B1082&gt;=55, "55+"
)</f>
        <v>55+</v>
      </c>
      <c r="D1082" t="s">
        <v>19</v>
      </c>
      <c r="E1082" t="s">
        <v>119</v>
      </c>
      <c r="F1082" t="s">
        <v>69</v>
      </c>
      <c r="G1082">
        <v>59</v>
      </c>
      <c r="H1082" t="s">
        <v>141</v>
      </c>
      <c r="I1082" t="s">
        <v>23</v>
      </c>
      <c r="J1082" t="s">
        <v>138</v>
      </c>
      <c r="K1082" t="s">
        <v>58</v>
      </c>
      <c r="L1082">
        <v>3.8</v>
      </c>
      <c r="M1082" t="s">
        <v>152</v>
      </c>
      <c r="N1082" t="s">
        <v>34</v>
      </c>
      <c r="O1082" t="s">
        <v>28</v>
      </c>
      <c r="P1082" t="s">
        <v>26</v>
      </c>
      <c r="Q1082" t="s">
        <v>26</v>
      </c>
      <c r="R1082">
        <v>22</v>
      </c>
      <c r="S1082" t="s">
        <v>35</v>
      </c>
      <c r="T1082" t="str">
        <f t="shared" si="32"/>
        <v>Quarterly</v>
      </c>
      <c r="U1082">
        <f>VLOOKUP(T1082,[1]tablescore!$B$3:$C$8, 2,FALSE)</f>
        <v>4</v>
      </c>
      <c r="V1082" t="str">
        <f t="shared" si="33"/>
        <v>Low Loyalty</v>
      </c>
      <c r="W1082" t="s">
        <v>97</v>
      </c>
    </row>
    <row r="1083" spans="1:23" x14ac:dyDescent="0.25">
      <c r="A1083">
        <v>1082</v>
      </c>
      <c r="B1083">
        <v>62</v>
      </c>
      <c r="C1083" t="str" cm="1">
        <f t="array" ref="C1083">_xlfn.IFS(
  AND(B1083&gt;=18, B1083&lt;=24), "18-24",
  AND(B1083&gt;=25, B1083&lt;=34), "25-34",
  AND(B1083&gt;=35, B1083&lt;=44), "35-44",
  AND(B1083&gt;=45, B1083&lt;=54), "45-54",
  B1083&gt;=55, "55+"
)</f>
        <v>55+</v>
      </c>
      <c r="D1083" t="s">
        <v>19</v>
      </c>
      <c r="E1083" t="s">
        <v>136</v>
      </c>
      <c r="F1083" t="s">
        <v>69</v>
      </c>
      <c r="G1083">
        <v>30</v>
      </c>
      <c r="H1083" t="s">
        <v>144</v>
      </c>
      <c r="I1083" t="s">
        <v>92</v>
      </c>
      <c r="J1083" t="s">
        <v>110</v>
      </c>
      <c r="K1083" t="s">
        <v>39</v>
      </c>
      <c r="L1083">
        <v>4.5</v>
      </c>
      <c r="M1083" t="s">
        <v>152</v>
      </c>
      <c r="N1083" t="s">
        <v>35</v>
      </c>
      <c r="O1083" t="s">
        <v>55</v>
      </c>
      <c r="P1083" t="s">
        <v>26</v>
      </c>
      <c r="Q1083" t="s">
        <v>26</v>
      </c>
      <c r="R1083">
        <v>45</v>
      </c>
      <c r="S1083" t="s">
        <v>27</v>
      </c>
      <c r="T1083" t="str">
        <f t="shared" si="32"/>
        <v>Annually</v>
      </c>
      <c r="U1083">
        <f>VLOOKUP(T1083,[1]tablescore!$B$3:$C$8, 2,FALSE)</f>
        <v>1</v>
      </c>
      <c r="V1083" t="str">
        <f t="shared" si="33"/>
        <v>Low Loyalty</v>
      </c>
      <c r="W1083" t="s">
        <v>50</v>
      </c>
    </row>
    <row r="1084" spans="1:23" x14ac:dyDescent="0.25">
      <c r="A1084">
        <v>1083</v>
      </c>
      <c r="B1084">
        <v>54</v>
      </c>
      <c r="C1084" t="str" cm="1">
        <f t="array" ref="C1084">_xlfn.IFS(
  AND(B1084&gt;=18, B1084&lt;=24), "18-24",
  AND(B1084&gt;=25, B1084&lt;=34), "25-34",
  AND(B1084&gt;=35, B1084&lt;=44), "35-44",
  AND(B1084&gt;=45, B1084&lt;=54), "45-54",
  B1084&gt;=55, "55+"
)</f>
        <v>45-54</v>
      </c>
      <c r="D1084" t="s">
        <v>19</v>
      </c>
      <c r="E1084" t="s">
        <v>125</v>
      </c>
      <c r="F1084" t="s">
        <v>69</v>
      </c>
      <c r="G1084">
        <v>85</v>
      </c>
      <c r="H1084" t="s">
        <v>126</v>
      </c>
      <c r="I1084" t="s">
        <v>92</v>
      </c>
      <c r="J1084" t="s">
        <v>109</v>
      </c>
      <c r="K1084" t="s">
        <v>25</v>
      </c>
      <c r="L1084">
        <v>2.6</v>
      </c>
      <c r="M1084" t="s">
        <v>152</v>
      </c>
      <c r="N1084" t="s">
        <v>46</v>
      </c>
      <c r="O1084" t="s">
        <v>47</v>
      </c>
      <c r="P1084" t="s">
        <v>26</v>
      </c>
      <c r="Q1084" t="s">
        <v>26</v>
      </c>
      <c r="R1084">
        <v>30</v>
      </c>
      <c r="S1084" t="s">
        <v>29</v>
      </c>
      <c r="T1084" t="str">
        <f t="shared" si="32"/>
        <v>Quarterly</v>
      </c>
      <c r="U1084">
        <f>VLOOKUP(T1084,[1]tablescore!$B$3:$C$8, 2,FALSE)</f>
        <v>4</v>
      </c>
      <c r="V1084" t="str">
        <f t="shared" si="33"/>
        <v>Low Loyalty</v>
      </c>
      <c r="W1084" t="s">
        <v>60</v>
      </c>
    </row>
    <row r="1085" spans="1:23" x14ac:dyDescent="0.25">
      <c r="A1085">
        <v>1084</v>
      </c>
      <c r="B1085">
        <v>35</v>
      </c>
      <c r="C1085" t="str" cm="1">
        <f t="array" ref="C1085">_xlfn.IFS(
  AND(B1085&gt;=18, B1085&lt;=24), "18-24",
  AND(B1085&gt;=25, B1085&lt;=34), "25-34",
  AND(B1085&gt;=35, B1085&lt;=44), "35-44",
  AND(B1085&gt;=45, B1085&lt;=54), "45-54",
  B1085&gt;=55, "55+"
)</f>
        <v>35-44</v>
      </c>
      <c r="D1085" t="s">
        <v>19</v>
      </c>
      <c r="E1085" t="s">
        <v>133</v>
      </c>
      <c r="F1085" t="s">
        <v>69</v>
      </c>
      <c r="G1085">
        <v>97</v>
      </c>
      <c r="H1085" t="s">
        <v>140</v>
      </c>
      <c r="I1085" t="s">
        <v>23</v>
      </c>
      <c r="J1085" t="s">
        <v>86</v>
      </c>
      <c r="K1085" t="s">
        <v>54</v>
      </c>
      <c r="L1085">
        <v>3.3</v>
      </c>
      <c r="M1085" t="s">
        <v>152</v>
      </c>
      <c r="N1085" t="s">
        <v>27</v>
      </c>
      <c r="O1085" t="s">
        <v>76</v>
      </c>
      <c r="P1085" t="s">
        <v>26</v>
      </c>
      <c r="Q1085" t="s">
        <v>26</v>
      </c>
      <c r="R1085">
        <v>43</v>
      </c>
      <c r="S1085" t="s">
        <v>35</v>
      </c>
      <c r="T1085" t="str">
        <f t="shared" si="32"/>
        <v>Daily</v>
      </c>
      <c r="U1085">
        <f>VLOOKUP(T1085,[1]tablescore!$B$3:$C$8, 2,FALSE)</f>
        <v>30</v>
      </c>
      <c r="V1085" t="str">
        <f t="shared" si="33"/>
        <v>Highly Loyal</v>
      </c>
      <c r="W1085" t="s">
        <v>41</v>
      </c>
    </row>
    <row r="1086" spans="1:23" x14ac:dyDescent="0.25">
      <c r="A1086">
        <v>1085</v>
      </c>
      <c r="B1086">
        <v>34</v>
      </c>
      <c r="C1086" t="str" cm="1">
        <f t="array" ref="C1086">_xlfn.IFS(
  AND(B1086&gt;=18, B1086&lt;=24), "18-24",
  AND(B1086&gt;=25, B1086&lt;=34), "25-34",
  AND(B1086&gt;=35, B1086&lt;=44), "35-44",
  AND(B1086&gt;=45, B1086&lt;=54), "45-54",
  B1086&gt;=55, "55+"
)</f>
        <v>25-34</v>
      </c>
      <c r="D1086" t="s">
        <v>19</v>
      </c>
      <c r="E1086" t="s">
        <v>113</v>
      </c>
      <c r="F1086" t="s">
        <v>21</v>
      </c>
      <c r="G1086">
        <v>36</v>
      </c>
      <c r="H1086" t="s">
        <v>74</v>
      </c>
      <c r="I1086" t="s">
        <v>38</v>
      </c>
      <c r="J1086" t="s">
        <v>75</v>
      </c>
      <c r="K1086" t="s">
        <v>58</v>
      </c>
      <c r="L1086">
        <v>4.0999999999999996</v>
      </c>
      <c r="M1086" t="s">
        <v>152</v>
      </c>
      <c r="N1086" t="s">
        <v>27</v>
      </c>
      <c r="O1086" t="s">
        <v>47</v>
      </c>
      <c r="P1086" t="s">
        <v>26</v>
      </c>
      <c r="Q1086" t="s">
        <v>26</v>
      </c>
      <c r="R1086">
        <v>48</v>
      </c>
      <c r="S1086" t="s">
        <v>35</v>
      </c>
      <c r="T1086" t="str">
        <f t="shared" si="32"/>
        <v>Quarterly</v>
      </c>
      <c r="U1086">
        <f>VLOOKUP(T1086,[1]tablescore!$B$3:$C$8, 2,FALSE)</f>
        <v>4</v>
      </c>
      <c r="V1086" t="str">
        <f t="shared" si="33"/>
        <v>Low Loyalty</v>
      </c>
      <c r="W1086" t="s">
        <v>60</v>
      </c>
    </row>
    <row r="1087" spans="1:23" x14ac:dyDescent="0.25">
      <c r="A1087">
        <v>1086</v>
      </c>
      <c r="B1087">
        <v>25</v>
      </c>
      <c r="C1087" t="str" cm="1">
        <f t="array" ref="C1087">_xlfn.IFS(
  AND(B1087&gt;=18, B1087&lt;=24), "18-24",
  AND(B1087&gt;=25, B1087&lt;=34), "25-34",
  AND(B1087&gt;=35, B1087&lt;=44), "35-44",
  AND(B1087&gt;=45, B1087&lt;=54), "45-54",
  B1087&gt;=55, "55+"
)</f>
        <v>25-34</v>
      </c>
      <c r="D1087" t="s">
        <v>19</v>
      </c>
      <c r="E1087" t="s">
        <v>106</v>
      </c>
      <c r="F1087" t="s">
        <v>69</v>
      </c>
      <c r="G1087">
        <v>85</v>
      </c>
      <c r="H1087" t="s">
        <v>149</v>
      </c>
      <c r="I1087" t="s">
        <v>45</v>
      </c>
      <c r="J1087" t="s">
        <v>49</v>
      </c>
      <c r="K1087" t="s">
        <v>25</v>
      </c>
      <c r="L1087">
        <v>3</v>
      </c>
      <c r="M1087" t="s">
        <v>152</v>
      </c>
      <c r="N1087" t="s">
        <v>46</v>
      </c>
      <c r="O1087" t="s">
        <v>76</v>
      </c>
      <c r="P1087" t="s">
        <v>26</v>
      </c>
      <c r="Q1087" t="s">
        <v>26</v>
      </c>
      <c r="R1087">
        <v>23</v>
      </c>
      <c r="S1087" t="s">
        <v>29</v>
      </c>
      <c r="T1087" t="str">
        <f t="shared" si="32"/>
        <v>2-week</v>
      </c>
      <c r="U1087">
        <f>VLOOKUP(T1087,[1]tablescore!$B$3:$C$8, 2,FALSE)</f>
        <v>26</v>
      </c>
      <c r="V1087" t="str">
        <f t="shared" si="33"/>
        <v>Loyal</v>
      </c>
      <c r="W1087" t="s">
        <v>30</v>
      </c>
    </row>
    <row r="1088" spans="1:23" x14ac:dyDescent="0.25">
      <c r="A1088">
        <v>1087</v>
      </c>
      <c r="B1088">
        <v>53</v>
      </c>
      <c r="C1088" t="str" cm="1">
        <f t="array" ref="C1088">_xlfn.IFS(
  AND(B1088&gt;=18, B1088&lt;=24), "18-24",
  AND(B1088&gt;=25, B1088&lt;=34), "25-34",
  AND(B1088&gt;=35, B1088&lt;=44), "35-44",
  AND(B1088&gt;=45, B1088&lt;=54), "45-54",
  B1088&gt;=55, "55+"
)</f>
        <v>45-54</v>
      </c>
      <c r="D1088" t="s">
        <v>19</v>
      </c>
      <c r="E1088" t="s">
        <v>89</v>
      </c>
      <c r="F1088" t="s">
        <v>69</v>
      </c>
      <c r="G1088">
        <v>62</v>
      </c>
      <c r="H1088" t="s">
        <v>120</v>
      </c>
      <c r="I1088" t="s">
        <v>45</v>
      </c>
      <c r="J1088" t="s">
        <v>79</v>
      </c>
      <c r="K1088" t="s">
        <v>25</v>
      </c>
      <c r="L1088">
        <v>3</v>
      </c>
      <c r="M1088" t="s">
        <v>152</v>
      </c>
      <c r="N1088" t="s">
        <v>46</v>
      </c>
      <c r="O1088" t="s">
        <v>40</v>
      </c>
      <c r="P1088" t="s">
        <v>26</v>
      </c>
      <c r="Q1088" t="s">
        <v>26</v>
      </c>
      <c r="R1088">
        <v>27</v>
      </c>
      <c r="S1088" t="s">
        <v>46</v>
      </c>
      <c r="T1088" t="str">
        <f t="shared" si="32"/>
        <v>2-week</v>
      </c>
      <c r="U1088">
        <f>VLOOKUP(T1088,[1]tablescore!$B$3:$C$8, 2,FALSE)</f>
        <v>26</v>
      </c>
      <c r="V1088" t="str">
        <f t="shared" si="33"/>
        <v>Loyal</v>
      </c>
      <c r="W1088" t="s">
        <v>77</v>
      </c>
    </row>
    <row r="1089" spans="1:23" x14ac:dyDescent="0.25">
      <c r="A1089">
        <v>1088</v>
      </c>
      <c r="B1089">
        <v>45</v>
      </c>
      <c r="C1089" t="str" cm="1">
        <f t="array" ref="C1089">_xlfn.IFS(
  AND(B1089&gt;=18, B1089&lt;=24), "18-24",
  AND(B1089&gt;=25, B1089&lt;=34), "25-34",
  AND(B1089&gt;=35, B1089&lt;=44), "35-44",
  AND(B1089&gt;=45, B1089&lt;=54), "45-54",
  B1089&gt;=55, "55+"
)</f>
        <v>45-54</v>
      </c>
      <c r="D1089" t="s">
        <v>19</v>
      </c>
      <c r="E1089" t="s">
        <v>36</v>
      </c>
      <c r="F1089" t="s">
        <v>21</v>
      </c>
      <c r="G1089">
        <v>71</v>
      </c>
      <c r="H1089" t="s">
        <v>66</v>
      </c>
      <c r="I1089" t="s">
        <v>38</v>
      </c>
      <c r="J1089" t="s">
        <v>53</v>
      </c>
      <c r="K1089" t="s">
        <v>25</v>
      </c>
      <c r="L1089">
        <v>3.4</v>
      </c>
      <c r="M1089" t="s">
        <v>152</v>
      </c>
      <c r="N1089" t="s">
        <v>46</v>
      </c>
      <c r="O1089" t="s">
        <v>47</v>
      </c>
      <c r="P1089" t="s">
        <v>26</v>
      </c>
      <c r="Q1089" t="s">
        <v>26</v>
      </c>
      <c r="R1089">
        <v>7</v>
      </c>
      <c r="S1089" t="s">
        <v>34</v>
      </c>
      <c r="T1089" t="str">
        <f t="shared" si="32"/>
        <v>Month</v>
      </c>
      <c r="U1089">
        <f>VLOOKUP(T1089,[1]tablescore!$B$3:$C$8, 2,FALSE)</f>
        <v>12</v>
      </c>
      <c r="V1089" t="str">
        <f t="shared" si="33"/>
        <v>Moderate</v>
      </c>
      <c r="W1089" t="s">
        <v>88</v>
      </c>
    </row>
    <row r="1090" spans="1:23" x14ac:dyDescent="0.25">
      <c r="A1090">
        <v>1089</v>
      </c>
      <c r="B1090">
        <v>49</v>
      </c>
      <c r="C1090" t="str" cm="1">
        <f t="array" ref="C1090">_xlfn.IFS(
  AND(B1090&gt;=18, B1090&lt;=24), "18-24",
  AND(B1090&gt;=25, B1090&lt;=34), "25-34",
  AND(B1090&gt;=35, B1090&lt;=44), "35-44",
  AND(B1090&gt;=45, B1090&lt;=54), "45-54",
  B1090&gt;=55, "55+"
)</f>
        <v>45-54</v>
      </c>
      <c r="D1090" t="s">
        <v>19</v>
      </c>
      <c r="E1090" t="s">
        <v>95</v>
      </c>
      <c r="F1090" t="s">
        <v>21</v>
      </c>
      <c r="G1090">
        <v>21</v>
      </c>
      <c r="H1090" t="s">
        <v>62</v>
      </c>
      <c r="I1090" t="s">
        <v>45</v>
      </c>
      <c r="J1090" t="s">
        <v>49</v>
      </c>
      <c r="K1090" t="s">
        <v>25</v>
      </c>
      <c r="L1090">
        <v>2.7</v>
      </c>
      <c r="M1090" t="s">
        <v>152</v>
      </c>
      <c r="N1090" t="s">
        <v>34</v>
      </c>
      <c r="O1090" t="s">
        <v>40</v>
      </c>
      <c r="P1090" t="s">
        <v>26</v>
      </c>
      <c r="Q1090" t="s">
        <v>26</v>
      </c>
      <c r="R1090">
        <v>2</v>
      </c>
      <c r="S1090" t="s">
        <v>46</v>
      </c>
      <c r="T1090" t="str">
        <f t="shared" si="32"/>
        <v>Daily</v>
      </c>
      <c r="U1090">
        <f>VLOOKUP(T1090,[1]tablescore!$B$3:$C$8, 2,FALSE)</f>
        <v>30</v>
      </c>
      <c r="V1090" t="str">
        <f t="shared" si="33"/>
        <v>Highly Loyal</v>
      </c>
      <c r="W1090" t="s">
        <v>41</v>
      </c>
    </row>
    <row r="1091" spans="1:23" x14ac:dyDescent="0.25">
      <c r="A1091">
        <v>1090</v>
      </c>
      <c r="B1091">
        <v>40</v>
      </c>
      <c r="C1091" t="str" cm="1">
        <f t="array" ref="C1091">_xlfn.IFS(
  AND(B1091&gt;=18, B1091&lt;=24), "18-24",
  AND(B1091&gt;=25, B1091&lt;=34), "25-34",
  AND(B1091&gt;=35, B1091&lt;=44), "35-44",
  AND(B1091&gt;=45, B1091&lt;=54), "45-54",
  B1091&gt;=55, "55+"
)</f>
        <v>35-44</v>
      </c>
      <c r="D1091" t="s">
        <v>19</v>
      </c>
      <c r="E1091" t="s">
        <v>133</v>
      </c>
      <c r="F1091" t="s">
        <v>69</v>
      </c>
      <c r="G1091">
        <v>61</v>
      </c>
      <c r="H1091" t="s">
        <v>117</v>
      </c>
      <c r="I1091" t="s">
        <v>45</v>
      </c>
      <c r="J1091" t="s">
        <v>67</v>
      </c>
      <c r="K1091" t="s">
        <v>39</v>
      </c>
      <c r="L1091">
        <v>3.8</v>
      </c>
      <c r="M1091" t="s">
        <v>152</v>
      </c>
      <c r="N1091" t="s">
        <v>59</v>
      </c>
      <c r="O1091" t="s">
        <v>47</v>
      </c>
      <c r="P1091" t="s">
        <v>26</v>
      </c>
      <c r="Q1091" t="s">
        <v>26</v>
      </c>
      <c r="R1091">
        <v>33</v>
      </c>
      <c r="S1091" t="s">
        <v>46</v>
      </c>
      <c r="T1091" t="str">
        <f t="shared" ref="T1091:T1154" si="34">IF(TRIM(W1091)="Every 3 months","Quarterly",IF(TRIM(W1091)="Fortnightly","2-week",IF(TRIM(W1091)="Bi-Weekly","2-week",IF(TRIM(W1091)="Weekly","Daily",IF(TRIM(W1091)="Monthly","Month",TRIM(W1091))))))</f>
        <v>2-week</v>
      </c>
      <c r="U1091">
        <f>VLOOKUP(T1091,[1]tablescore!$B$3:$C$8, 2,FALSE)</f>
        <v>26</v>
      </c>
      <c r="V1091" t="str">
        <f t="shared" ref="V1091:V1154" si="35">_xlfn.IFS(U1091&gt;=30, "Highly Loyal", U1091&gt;=26, "Loyal", U1091&gt;=12, "Moderate", U1091&lt;5, "Low Loyalty")</f>
        <v>Loyal</v>
      </c>
      <c r="W1091" t="s">
        <v>77</v>
      </c>
    </row>
    <row r="1092" spans="1:23" x14ac:dyDescent="0.25">
      <c r="A1092">
        <v>1091</v>
      </c>
      <c r="B1092">
        <v>38</v>
      </c>
      <c r="C1092" t="str" cm="1">
        <f t="array" ref="C1092">_xlfn.IFS(
  AND(B1092&gt;=18, B1092&lt;=24), "18-24",
  AND(B1092&gt;=25, B1092&lt;=34), "25-34",
  AND(B1092&gt;=35, B1092&lt;=44), "35-44",
  AND(B1092&gt;=45, B1092&lt;=54), "45-54",
  B1092&gt;=55, "55+"
)</f>
        <v>35-44</v>
      </c>
      <c r="D1092" t="s">
        <v>19</v>
      </c>
      <c r="E1092" t="s">
        <v>119</v>
      </c>
      <c r="F1092" t="s">
        <v>69</v>
      </c>
      <c r="G1092">
        <v>58</v>
      </c>
      <c r="H1092" t="s">
        <v>146</v>
      </c>
      <c r="I1092" t="s">
        <v>45</v>
      </c>
      <c r="J1092" t="s">
        <v>84</v>
      </c>
      <c r="K1092" t="s">
        <v>39</v>
      </c>
      <c r="L1092">
        <v>4.2</v>
      </c>
      <c r="M1092" t="s">
        <v>152</v>
      </c>
      <c r="N1092" t="s">
        <v>34</v>
      </c>
      <c r="O1092" t="s">
        <v>76</v>
      </c>
      <c r="P1092" t="s">
        <v>26</v>
      </c>
      <c r="Q1092" t="s">
        <v>26</v>
      </c>
      <c r="R1092">
        <v>27</v>
      </c>
      <c r="S1092" t="s">
        <v>35</v>
      </c>
      <c r="T1092" t="str">
        <f t="shared" si="34"/>
        <v>2-week</v>
      </c>
      <c r="U1092">
        <f>VLOOKUP(T1092,[1]tablescore!$B$3:$C$8, 2,FALSE)</f>
        <v>26</v>
      </c>
      <c r="V1092" t="str">
        <f t="shared" si="35"/>
        <v>Loyal</v>
      </c>
      <c r="W1092" t="s">
        <v>30</v>
      </c>
    </row>
    <row r="1093" spans="1:23" x14ac:dyDescent="0.25">
      <c r="A1093">
        <v>1092</v>
      </c>
      <c r="B1093">
        <v>44</v>
      </c>
      <c r="C1093" t="str" cm="1">
        <f t="array" ref="C1093">_xlfn.IFS(
  AND(B1093&gt;=18, B1093&lt;=24), "18-24",
  AND(B1093&gt;=25, B1093&lt;=34), "25-34",
  AND(B1093&gt;=35, B1093&lt;=44), "35-44",
  AND(B1093&gt;=45, B1093&lt;=54), "45-54",
  B1093&gt;=55, "55+"
)</f>
        <v>35-44</v>
      </c>
      <c r="D1093" t="s">
        <v>19</v>
      </c>
      <c r="E1093" t="s">
        <v>31</v>
      </c>
      <c r="F1093" t="s">
        <v>21</v>
      </c>
      <c r="G1093">
        <v>80</v>
      </c>
      <c r="H1093" t="s">
        <v>98</v>
      </c>
      <c r="I1093" t="s">
        <v>23</v>
      </c>
      <c r="J1093" t="s">
        <v>93</v>
      </c>
      <c r="K1093" t="s">
        <v>39</v>
      </c>
      <c r="L1093">
        <v>4.7</v>
      </c>
      <c r="M1093" t="s">
        <v>152</v>
      </c>
      <c r="N1093" t="s">
        <v>35</v>
      </c>
      <c r="O1093" t="s">
        <v>76</v>
      </c>
      <c r="P1093" t="s">
        <v>26</v>
      </c>
      <c r="Q1093" t="s">
        <v>26</v>
      </c>
      <c r="R1093">
        <v>6</v>
      </c>
      <c r="S1093" t="s">
        <v>27</v>
      </c>
      <c r="T1093" t="str">
        <f t="shared" si="34"/>
        <v>2-week</v>
      </c>
      <c r="U1093">
        <f>VLOOKUP(T1093,[1]tablescore!$B$3:$C$8, 2,FALSE)</f>
        <v>26</v>
      </c>
      <c r="V1093" t="str">
        <f t="shared" si="35"/>
        <v>Loyal</v>
      </c>
      <c r="W1093" t="s">
        <v>30</v>
      </c>
    </row>
    <row r="1094" spans="1:23" x14ac:dyDescent="0.25">
      <c r="A1094">
        <v>1093</v>
      </c>
      <c r="B1094">
        <v>68</v>
      </c>
      <c r="C1094" t="str" cm="1">
        <f t="array" ref="C1094">_xlfn.IFS(
  AND(B1094&gt;=18, B1094&lt;=24), "18-24",
  AND(B1094&gt;=25, B1094&lt;=34), "25-34",
  AND(B1094&gt;=35, B1094&lt;=44), "35-44",
  AND(B1094&gt;=45, B1094&lt;=54), "45-54",
  B1094&gt;=55, "55+"
)</f>
        <v>55+</v>
      </c>
      <c r="D1094" t="s">
        <v>19</v>
      </c>
      <c r="E1094" t="s">
        <v>106</v>
      </c>
      <c r="F1094" t="s">
        <v>69</v>
      </c>
      <c r="G1094">
        <v>50</v>
      </c>
      <c r="H1094" t="s">
        <v>130</v>
      </c>
      <c r="I1094" t="s">
        <v>23</v>
      </c>
      <c r="J1094" t="s">
        <v>147</v>
      </c>
      <c r="K1094" t="s">
        <v>39</v>
      </c>
      <c r="L1094">
        <v>4.0999999999999996</v>
      </c>
      <c r="M1094" t="s">
        <v>152</v>
      </c>
      <c r="N1094" t="s">
        <v>27</v>
      </c>
      <c r="O1094" t="s">
        <v>72</v>
      </c>
      <c r="P1094" t="s">
        <v>26</v>
      </c>
      <c r="Q1094" t="s">
        <v>26</v>
      </c>
      <c r="R1094">
        <v>20</v>
      </c>
      <c r="S1094" t="s">
        <v>29</v>
      </c>
      <c r="T1094" t="str">
        <f t="shared" si="34"/>
        <v>Quarterly</v>
      </c>
      <c r="U1094">
        <f>VLOOKUP(T1094,[1]tablescore!$B$3:$C$8, 2,FALSE)</f>
        <v>4</v>
      </c>
      <c r="V1094" t="str">
        <f t="shared" si="35"/>
        <v>Low Loyalty</v>
      </c>
      <c r="W1094" t="s">
        <v>60</v>
      </c>
    </row>
    <row r="1095" spans="1:23" x14ac:dyDescent="0.25">
      <c r="A1095">
        <v>1094</v>
      </c>
      <c r="B1095">
        <v>60</v>
      </c>
      <c r="C1095" t="str" cm="1">
        <f t="array" ref="C1095">_xlfn.IFS(
  AND(B1095&gt;=18, B1095&lt;=24), "18-24",
  AND(B1095&gt;=25, B1095&lt;=34), "25-34",
  AND(B1095&gt;=35, B1095&lt;=44), "35-44",
  AND(B1095&gt;=45, B1095&lt;=54), "45-54",
  B1095&gt;=55, "55+"
)</f>
        <v>55+</v>
      </c>
      <c r="D1095" t="s">
        <v>19</v>
      </c>
      <c r="E1095" t="s">
        <v>51</v>
      </c>
      <c r="F1095" t="s">
        <v>43</v>
      </c>
      <c r="G1095">
        <v>48</v>
      </c>
      <c r="H1095" t="s">
        <v>80</v>
      </c>
      <c r="I1095" t="s">
        <v>38</v>
      </c>
      <c r="J1095" t="s">
        <v>129</v>
      </c>
      <c r="K1095" t="s">
        <v>25</v>
      </c>
      <c r="L1095">
        <v>4.2</v>
      </c>
      <c r="M1095" t="s">
        <v>152</v>
      </c>
      <c r="N1095" t="s">
        <v>46</v>
      </c>
      <c r="O1095" t="s">
        <v>72</v>
      </c>
      <c r="P1095" t="s">
        <v>26</v>
      </c>
      <c r="Q1095" t="s">
        <v>26</v>
      </c>
      <c r="R1095">
        <v>46</v>
      </c>
      <c r="S1095" t="s">
        <v>29</v>
      </c>
      <c r="T1095" t="str">
        <f t="shared" si="34"/>
        <v>Quarterly</v>
      </c>
      <c r="U1095">
        <f>VLOOKUP(T1095,[1]tablescore!$B$3:$C$8, 2,FALSE)</f>
        <v>4</v>
      </c>
      <c r="V1095" t="str">
        <f t="shared" si="35"/>
        <v>Low Loyalty</v>
      </c>
      <c r="W1095" t="s">
        <v>97</v>
      </c>
    </row>
    <row r="1096" spans="1:23" x14ac:dyDescent="0.25">
      <c r="A1096">
        <v>1095</v>
      </c>
      <c r="B1096">
        <v>25</v>
      </c>
      <c r="C1096" t="str" cm="1">
        <f t="array" ref="C1096">_xlfn.IFS(
  AND(B1096&gt;=18, B1096&lt;=24), "18-24",
  AND(B1096&gt;=25, B1096&lt;=34), "25-34",
  AND(B1096&gt;=35, B1096&lt;=44), "35-44",
  AND(B1096&gt;=45, B1096&lt;=54), "45-54",
  B1096&gt;=55, "55+"
)</f>
        <v>25-34</v>
      </c>
      <c r="D1096" t="s">
        <v>19</v>
      </c>
      <c r="E1096" t="s">
        <v>106</v>
      </c>
      <c r="F1096" t="s">
        <v>69</v>
      </c>
      <c r="G1096">
        <v>40</v>
      </c>
      <c r="H1096" t="s">
        <v>146</v>
      </c>
      <c r="I1096" t="s">
        <v>45</v>
      </c>
      <c r="J1096" t="s">
        <v>94</v>
      </c>
      <c r="K1096" t="s">
        <v>25</v>
      </c>
      <c r="L1096">
        <v>4.8</v>
      </c>
      <c r="M1096" t="s">
        <v>152</v>
      </c>
      <c r="N1096" t="s">
        <v>27</v>
      </c>
      <c r="O1096" t="s">
        <v>47</v>
      </c>
      <c r="P1096" t="s">
        <v>26</v>
      </c>
      <c r="Q1096" t="s">
        <v>26</v>
      </c>
      <c r="R1096">
        <v>25</v>
      </c>
      <c r="S1096" t="s">
        <v>35</v>
      </c>
      <c r="T1096" t="str">
        <f t="shared" si="34"/>
        <v>Quarterly</v>
      </c>
      <c r="U1096">
        <f>VLOOKUP(T1096,[1]tablescore!$B$3:$C$8, 2,FALSE)</f>
        <v>4</v>
      </c>
      <c r="V1096" t="str">
        <f t="shared" si="35"/>
        <v>Low Loyalty</v>
      </c>
      <c r="W1096" t="s">
        <v>60</v>
      </c>
    </row>
    <row r="1097" spans="1:23" x14ac:dyDescent="0.25">
      <c r="A1097">
        <v>1096</v>
      </c>
      <c r="B1097">
        <v>19</v>
      </c>
      <c r="C1097" t="str" cm="1">
        <f t="array" ref="C1097">_xlfn.IFS(
  AND(B1097&gt;=18, B1097&lt;=24), "18-24",
  AND(B1097&gt;=25, B1097&lt;=34), "25-34",
  AND(B1097&gt;=35, B1097&lt;=44), "35-44",
  AND(B1097&gt;=45, B1097&lt;=54), "45-54",
  B1097&gt;=55, "55+"
)</f>
        <v>18-24</v>
      </c>
      <c r="D1097" t="s">
        <v>19</v>
      </c>
      <c r="E1097" t="s">
        <v>64</v>
      </c>
      <c r="F1097" t="s">
        <v>65</v>
      </c>
      <c r="G1097">
        <v>34</v>
      </c>
      <c r="H1097" t="s">
        <v>122</v>
      </c>
      <c r="I1097" t="s">
        <v>38</v>
      </c>
      <c r="J1097" t="s">
        <v>100</v>
      </c>
      <c r="K1097" t="s">
        <v>54</v>
      </c>
      <c r="L1097">
        <v>3</v>
      </c>
      <c r="M1097" t="s">
        <v>152</v>
      </c>
      <c r="N1097" t="s">
        <v>59</v>
      </c>
      <c r="O1097" t="s">
        <v>40</v>
      </c>
      <c r="P1097" t="s">
        <v>26</v>
      </c>
      <c r="Q1097" t="s">
        <v>26</v>
      </c>
      <c r="R1097">
        <v>30</v>
      </c>
      <c r="S1097" t="s">
        <v>34</v>
      </c>
      <c r="T1097" t="str">
        <f t="shared" si="34"/>
        <v>Quarterly</v>
      </c>
      <c r="U1097">
        <f>VLOOKUP(T1097,[1]tablescore!$B$3:$C$8, 2,FALSE)</f>
        <v>4</v>
      </c>
      <c r="V1097" t="str">
        <f t="shared" si="35"/>
        <v>Low Loyalty</v>
      </c>
      <c r="W1097" t="s">
        <v>60</v>
      </c>
    </row>
    <row r="1098" spans="1:23" x14ac:dyDescent="0.25">
      <c r="A1098">
        <v>1097</v>
      </c>
      <c r="B1098">
        <v>57</v>
      </c>
      <c r="C1098" t="str" cm="1">
        <f t="array" ref="C1098">_xlfn.IFS(
  AND(B1098&gt;=18, B1098&lt;=24), "18-24",
  AND(B1098&gt;=25, B1098&lt;=34), "25-34",
  AND(B1098&gt;=35, B1098&lt;=44), "35-44",
  AND(B1098&gt;=45, B1098&lt;=54), "45-54",
  B1098&gt;=55, "55+"
)</f>
        <v>55+</v>
      </c>
      <c r="D1098" t="s">
        <v>19</v>
      </c>
      <c r="E1098" t="s">
        <v>64</v>
      </c>
      <c r="F1098" t="s">
        <v>65</v>
      </c>
      <c r="G1098">
        <v>46</v>
      </c>
      <c r="H1098" t="s">
        <v>83</v>
      </c>
      <c r="I1098" t="s">
        <v>38</v>
      </c>
      <c r="J1098" t="s">
        <v>118</v>
      </c>
      <c r="K1098" t="s">
        <v>58</v>
      </c>
      <c r="L1098">
        <v>2.6</v>
      </c>
      <c r="M1098" t="s">
        <v>152</v>
      </c>
      <c r="N1098" t="s">
        <v>27</v>
      </c>
      <c r="O1098" t="s">
        <v>55</v>
      </c>
      <c r="P1098" t="s">
        <v>26</v>
      </c>
      <c r="Q1098" t="s">
        <v>26</v>
      </c>
      <c r="R1098">
        <v>48</v>
      </c>
      <c r="S1098" t="s">
        <v>27</v>
      </c>
      <c r="T1098" t="str">
        <f t="shared" si="34"/>
        <v>Annually</v>
      </c>
      <c r="U1098">
        <f>VLOOKUP(T1098,[1]tablescore!$B$3:$C$8, 2,FALSE)</f>
        <v>1</v>
      </c>
      <c r="V1098" t="str">
        <f t="shared" si="35"/>
        <v>Low Loyalty</v>
      </c>
      <c r="W1098" t="s">
        <v>50</v>
      </c>
    </row>
    <row r="1099" spans="1:23" x14ac:dyDescent="0.25">
      <c r="A1099">
        <v>1098</v>
      </c>
      <c r="B1099">
        <v>58</v>
      </c>
      <c r="C1099" t="str" cm="1">
        <f t="array" ref="C1099">_xlfn.IFS(
  AND(B1099&gt;=18, B1099&lt;=24), "18-24",
  AND(B1099&gt;=25, B1099&lt;=34), "25-34",
  AND(B1099&gt;=35, B1099&lt;=44), "35-44",
  AND(B1099&gt;=45, B1099&lt;=54), "45-54",
  B1099&gt;=55, "55+"
)</f>
        <v>55+</v>
      </c>
      <c r="D1099" t="s">
        <v>19</v>
      </c>
      <c r="E1099" t="s">
        <v>89</v>
      </c>
      <c r="F1099" t="s">
        <v>69</v>
      </c>
      <c r="G1099">
        <v>27</v>
      </c>
      <c r="H1099" t="s">
        <v>145</v>
      </c>
      <c r="I1099" t="s">
        <v>45</v>
      </c>
      <c r="J1099" t="s">
        <v>94</v>
      </c>
      <c r="K1099" t="s">
        <v>54</v>
      </c>
      <c r="L1099">
        <v>3.2</v>
      </c>
      <c r="M1099" t="s">
        <v>152</v>
      </c>
      <c r="N1099" t="s">
        <v>29</v>
      </c>
      <c r="O1099" t="s">
        <v>76</v>
      </c>
      <c r="P1099" t="s">
        <v>26</v>
      </c>
      <c r="Q1099" t="s">
        <v>26</v>
      </c>
      <c r="R1099">
        <v>47</v>
      </c>
      <c r="S1099" t="s">
        <v>34</v>
      </c>
      <c r="T1099" t="str">
        <f t="shared" si="34"/>
        <v>Daily</v>
      </c>
      <c r="U1099">
        <f>VLOOKUP(T1099,[1]tablescore!$B$3:$C$8, 2,FALSE)</f>
        <v>30</v>
      </c>
      <c r="V1099" t="str">
        <f t="shared" si="35"/>
        <v>Highly Loyal</v>
      </c>
      <c r="W1099" t="s">
        <v>41</v>
      </c>
    </row>
    <row r="1100" spans="1:23" x14ac:dyDescent="0.25">
      <c r="A1100">
        <v>1099</v>
      </c>
      <c r="B1100">
        <v>49</v>
      </c>
      <c r="C1100" t="str" cm="1">
        <f t="array" ref="C1100">_xlfn.IFS(
  AND(B1100&gt;=18, B1100&lt;=24), "18-24",
  AND(B1100&gt;=25, B1100&lt;=34), "25-34",
  AND(B1100&gt;=35, B1100&lt;=44), "35-44",
  AND(B1100&gt;=45, B1100&lt;=54), "45-54",
  B1100&gt;=55, "55+"
)</f>
        <v>45-54</v>
      </c>
      <c r="D1100" t="s">
        <v>19</v>
      </c>
      <c r="E1100" t="s">
        <v>68</v>
      </c>
      <c r="F1100" t="s">
        <v>69</v>
      </c>
      <c r="G1100">
        <v>98</v>
      </c>
      <c r="H1100" t="s">
        <v>144</v>
      </c>
      <c r="I1100" t="s">
        <v>38</v>
      </c>
      <c r="J1100" t="s">
        <v>49</v>
      </c>
      <c r="K1100" t="s">
        <v>39</v>
      </c>
      <c r="L1100">
        <v>3.6</v>
      </c>
      <c r="M1100" t="s">
        <v>152</v>
      </c>
      <c r="N1100" t="s">
        <v>46</v>
      </c>
      <c r="O1100" t="s">
        <v>47</v>
      </c>
      <c r="P1100" t="s">
        <v>26</v>
      </c>
      <c r="Q1100" t="s">
        <v>26</v>
      </c>
      <c r="R1100">
        <v>27</v>
      </c>
      <c r="S1100" t="s">
        <v>27</v>
      </c>
      <c r="T1100" t="str">
        <f t="shared" si="34"/>
        <v>Daily</v>
      </c>
      <c r="U1100">
        <f>VLOOKUP(T1100,[1]tablescore!$B$3:$C$8, 2,FALSE)</f>
        <v>30</v>
      </c>
      <c r="V1100" t="str">
        <f t="shared" si="35"/>
        <v>Highly Loyal</v>
      </c>
      <c r="W1100" t="s">
        <v>41</v>
      </c>
    </row>
    <row r="1101" spans="1:23" x14ac:dyDescent="0.25">
      <c r="A1101">
        <v>1100</v>
      </c>
      <c r="B1101">
        <v>19</v>
      </c>
      <c r="C1101" t="str" cm="1">
        <f t="array" ref="C1101">_xlfn.IFS(
  AND(B1101&gt;=18, B1101&lt;=24), "18-24",
  AND(B1101&gt;=25, B1101&lt;=34), "25-34",
  AND(B1101&gt;=35, B1101&lt;=44), "35-44",
  AND(B1101&gt;=45, B1101&lt;=54), "45-54",
  B1101&gt;=55, "55+"
)</f>
        <v>18-24</v>
      </c>
      <c r="D1101" t="s">
        <v>19</v>
      </c>
      <c r="E1101" t="s">
        <v>31</v>
      </c>
      <c r="F1101" t="s">
        <v>21</v>
      </c>
      <c r="G1101">
        <v>73</v>
      </c>
      <c r="H1101" t="s">
        <v>98</v>
      </c>
      <c r="I1101" t="s">
        <v>45</v>
      </c>
      <c r="J1101" t="s">
        <v>100</v>
      </c>
      <c r="K1101" t="s">
        <v>58</v>
      </c>
      <c r="L1101">
        <v>2.6</v>
      </c>
      <c r="M1101" t="s">
        <v>152</v>
      </c>
      <c r="N1101" t="s">
        <v>35</v>
      </c>
      <c r="O1101" t="s">
        <v>47</v>
      </c>
      <c r="P1101" t="s">
        <v>26</v>
      </c>
      <c r="Q1101" t="s">
        <v>26</v>
      </c>
      <c r="R1101">
        <v>45</v>
      </c>
      <c r="S1101" t="s">
        <v>34</v>
      </c>
      <c r="T1101" t="str">
        <f t="shared" si="34"/>
        <v>2-week</v>
      </c>
      <c r="U1101">
        <f>VLOOKUP(T1101,[1]tablescore!$B$3:$C$8, 2,FALSE)</f>
        <v>26</v>
      </c>
      <c r="V1101" t="str">
        <f t="shared" si="35"/>
        <v>Loyal</v>
      </c>
      <c r="W1101" t="s">
        <v>30</v>
      </c>
    </row>
    <row r="1102" spans="1:23" x14ac:dyDescent="0.25">
      <c r="A1102">
        <v>1101</v>
      </c>
      <c r="B1102">
        <v>50</v>
      </c>
      <c r="C1102" t="str" cm="1">
        <f t="array" ref="C1102">_xlfn.IFS(
  AND(B1102&gt;=18, B1102&lt;=24), "18-24",
  AND(B1102&gt;=25, B1102&lt;=34), "25-34",
  AND(B1102&gt;=35, B1102&lt;=44), "35-44",
  AND(B1102&gt;=45, B1102&lt;=54), "45-54",
  B1102&gt;=55, "55+"
)</f>
        <v>45-54</v>
      </c>
      <c r="D1102" t="s">
        <v>19</v>
      </c>
      <c r="E1102" t="s">
        <v>95</v>
      </c>
      <c r="F1102" t="s">
        <v>21</v>
      </c>
      <c r="G1102">
        <v>28</v>
      </c>
      <c r="H1102" t="s">
        <v>107</v>
      </c>
      <c r="I1102" t="s">
        <v>23</v>
      </c>
      <c r="J1102" t="s">
        <v>81</v>
      </c>
      <c r="K1102" t="s">
        <v>39</v>
      </c>
      <c r="L1102">
        <v>4.4000000000000004</v>
      </c>
      <c r="M1102" t="s">
        <v>152</v>
      </c>
      <c r="N1102" t="s">
        <v>59</v>
      </c>
      <c r="O1102" t="s">
        <v>28</v>
      </c>
      <c r="P1102" t="s">
        <v>26</v>
      </c>
      <c r="Q1102" t="s">
        <v>26</v>
      </c>
      <c r="R1102">
        <v>2</v>
      </c>
      <c r="S1102" t="s">
        <v>27</v>
      </c>
      <c r="T1102" t="str">
        <f t="shared" si="34"/>
        <v>Daily</v>
      </c>
      <c r="U1102">
        <f>VLOOKUP(T1102,[1]tablescore!$B$3:$C$8, 2,FALSE)</f>
        <v>30</v>
      </c>
      <c r="V1102" t="str">
        <f t="shared" si="35"/>
        <v>Highly Loyal</v>
      </c>
      <c r="W1102" t="s">
        <v>41</v>
      </c>
    </row>
    <row r="1103" spans="1:23" x14ac:dyDescent="0.25">
      <c r="A1103">
        <v>1102</v>
      </c>
      <c r="B1103">
        <v>30</v>
      </c>
      <c r="C1103" t="str" cm="1">
        <f t="array" ref="C1103">_xlfn.IFS(
  AND(B1103&gt;=18, B1103&lt;=24), "18-24",
  AND(B1103&gt;=25, B1103&lt;=34), "25-34",
  AND(B1103&gt;=35, B1103&lt;=44), "35-44",
  AND(B1103&gt;=45, B1103&lt;=54), "45-54",
  B1103&gt;=55, "55+"
)</f>
        <v>25-34</v>
      </c>
      <c r="D1103" t="s">
        <v>19</v>
      </c>
      <c r="E1103" t="s">
        <v>127</v>
      </c>
      <c r="F1103" t="s">
        <v>69</v>
      </c>
      <c r="G1103">
        <v>76</v>
      </c>
      <c r="H1103" t="s">
        <v>80</v>
      </c>
      <c r="I1103" t="s">
        <v>92</v>
      </c>
      <c r="J1103" t="s">
        <v>67</v>
      </c>
      <c r="K1103" t="s">
        <v>58</v>
      </c>
      <c r="L1103">
        <v>3</v>
      </c>
      <c r="M1103" t="s">
        <v>152</v>
      </c>
      <c r="N1103" t="s">
        <v>35</v>
      </c>
      <c r="O1103" t="s">
        <v>40</v>
      </c>
      <c r="P1103" t="s">
        <v>26</v>
      </c>
      <c r="Q1103" t="s">
        <v>26</v>
      </c>
      <c r="R1103">
        <v>39</v>
      </c>
      <c r="S1103" t="s">
        <v>35</v>
      </c>
      <c r="T1103" t="str">
        <f t="shared" si="34"/>
        <v>2-week</v>
      </c>
      <c r="U1103">
        <f>VLOOKUP(T1103,[1]tablescore!$B$3:$C$8, 2,FALSE)</f>
        <v>26</v>
      </c>
      <c r="V1103" t="str">
        <f t="shared" si="35"/>
        <v>Loyal</v>
      </c>
      <c r="W1103" t="s">
        <v>30</v>
      </c>
    </row>
    <row r="1104" spans="1:23" x14ac:dyDescent="0.25">
      <c r="A1104">
        <v>1103</v>
      </c>
      <c r="B1104">
        <v>52</v>
      </c>
      <c r="C1104" t="str" cm="1">
        <f t="array" ref="C1104">_xlfn.IFS(
  AND(B1104&gt;=18, B1104&lt;=24), "18-24",
  AND(B1104&gt;=25, B1104&lt;=34), "25-34",
  AND(B1104&gt;=35, B1104&lt;=44), "35-44",
  AND(B1104&gt;=45, B1104&lt;=54), "45-54",
  B1104&gt;=55, "55+"
)</f>
        <v>45-54</v>
      </c>
      <c r="D1104" t="s">
        <v>19</v>
      </c>
      <c r="E1104" t="s">
        <v>31</v>
      </c>
      <c r="F1104" t="s">
        <v>21</v>
      </c>
      <c r="G1104">
        <v>83</v>
      </c>
      <c r="H1104" t="s">
        <v>105</v>
      </c>
      <c r="I1104" t="s">
        <v>45</v>
      </c>
      <c r="J1104" t="s">
        <v>100</v>
      </c>
      <c r="K1104" t="s">
        <v>58</v>
      </c>
      <c r="L1104">
        <v>2.9</v>
      </c>
      <c r="M1104" t="s">
        <v>152</v>
      </c>
      <c r="N1104" t="s">
        <v>27</v>
      </c>
      <c r="O1104" t="s">
        <v>28</v>
      </c>
      <c r="P1104" t="s">
        <v>26</v>
      </c>
      <c r="Q1104" t="s">
        <v>26</v>
      </c>
      <c r="R1104">
        <v>24</v>
      </c>
      <c r="S1104" t="s">
        <v>35</v>
      </c>
      <c r="T1104" t="str">
        <f t="shared" si="34"/>
        <v>2-week</v>
      </c>
      <c r="U1104">
        <f>VLOOKUP(T1104,[1]tablescore!$B$3:$C$8, 2,FALSE)</f>
        <v>26</v>
      </c>
      <c r="V1104" t="str">
        <f t="shared" si="35"/>
        <v>Loyal</v>
      </c>
      <c r="W1104" t="s">
        <v>30</v>
      </c>
    </row>
    <row r="1105" spans="1:23" x14ac:dyDescent="0.25">
      <c r="A1105">
        <v>1104</v>
      </c>
      <c r="B1105">
        <v>35</v>
      </c>
      <c r="C1105" t="str" cm="1">
        <f t="array" ref="C1105">_xlfn.IFS(
  AND(B1105&gt;=18, B1105&lt;=24), "18-24",
  AND(B1105&gt;=25, B1105&lt;=34), "25-34",
  AND(B1105&gt;=35, B1105&lt;=44), "35-44",
  AND(B1105&gt;=45, B1105&lt;=54), "45-54",
  B1105&gt;=55, "55+"
)</f>
        <v>35-44</v>
      </c>
      <c r="D1105" t="s">
        <v>19</v>
      </c>
      <c r="E1105" t="s">
        <v>104</v>
      </c>
      <c r="F1105" t="s">
        <v>21</v>
      </c>
      <c r="G1105">
        <v>23</v>
      </c>
      <c r="H1105" t="s">
        <v>122</v>
      </c>
      <c r="I1105" t="s">
        <v>38</v>
      </c>
      <c r="J1105" t="s">
        <v>63</v>
      </c>
      <c r="K1105" t="s">
        <v>39</v>
      </c>
      <c r="L1105">
        <v>4.3</v>
      </c>
      <c r="M1105" t="s">
        <v>152</v>
      </c>
      <c r="N1105" t="s">
        <v>59</v>
      </c>
      <c r="O1105" t="s">
        <v>40</v>
      </c>
      <c r="P1105" t="s">
        <v>26</v>
      </c>
      <c r="Q1105" t="s">
        <v>26</v>
      </c>
      <c r="R1105">
        <v>8</v>
      </c>
      <c r="S1105" t="s">
        <v>59</v>
      </c>
      <c r="T1105" t="str">
        <f t="shared" si="34"/>
        <v>2-week</v>
      </c>
      <c r="U1105">
        <f>VLOOKUP(T1105,[1]tablescore!$B$3:$C$8, 2,FALSE)</f>
        <v>26</v>
      </c>
      <c r="V1105" t="str">
        <f t="shared" si="35"/>
        <v>Loyal</v>
      </c>
      <c r="W1105" t="s">
        <v>77</v>
      </c>
    </row>
    <row r="1106" spans="1:23" x14ac:dyDescent="0.25">
      <c r="A1106">
        <v>1105</v>
      </c>
      <c r="B1106">
        <v>35</v>
      </c>
      <c r="C1106" t="str" cm="1">
        <f t="array" ref="C1106">_xlfn.IFS(
  AND(B1106&gt;=18, B1106&lt;=24), "18-24",
  AND(B1106&gt;=25, B1106&lt;=34), "25-34",
  AND(B1106&gt;=35, B1106&lt;=44), "35-44",
  AND(B1106&gt;=45, B1106&lt;=54), "45-54",
  B1106&gt;=55, "55+"
)</f>
        <v>35-44</v>
      </c>
      <c r="D1106" t="s">
        <v>19</v>
      </c>
      <c r="E1106" t="s">
        <v>125</v>
      </c>
      <c r="F1106" t="s">
        <v>69</v>
      </c>
      <c r="G1106">
        <v>28</v>
      </c>
      <c r="H1106" t="s">
        <v>80</v>
      </c>
      <c r="I1106" t="s">
        <v>45</v>
      </c>
      <c r="J1106" t="s">
        <v>118</v>
      </c>
      <c r="K1106" t="s">
        <v>58</v>
      </c>
      <c r="L1106">
        <v>3.1</v>
      </c>
      <c r="M1106" t="s">
        <v>152</v>
      </c>
      <c r="N1106" t="s">
        <v>34</v>
      </c>
      <c r="O1106" t="s">
        <v>28</v>
      </c>
      <c r="P1106" t="s">
        <v>26</v>
      </c>
      <c r="Q1106" t="s">
        <v>26</v>
      </c>
      <c r="R1106">
        <v>8</v>
      </c>
      <c r="S1106" t="s">
        <v>34</v>
      </c>
      <c r="T1106" t="str">
        <f t="shared" si="34"/>
        <v>Quarterly</v>
      </c>
      <c r="U1106">
        <f>VLOOKUP(T1106,[1]tablescore!$B$3:$C$8, 2,FALSE)</f>
        <v>4</v>
      </c>
      <c r="V1106" t="str">
        <f t="shared" si="35"/>
        <v>Low Loyalty</v>
      </c>
      <c r="W1106" t="s">
        <v>60</v>
      </c>
    </row>
    <row r="1107" spans="1:23" x14ac:dyDescent="0.25">
      <c r="A1107">
        <v>1106</v>
      </c>
      <c r="B1107">
        <v>33</v>
      </c>
      <c r="C1107" t="str" cm="1">
        <f t="array" ref="C1107">_xlfn.IFS(
  AND(B1107&gt;=18, B1107&lt;=24), "18-24",
  AND(B1107&gt;=25, B1107&lt;=34), "25-34",
  AND(B1107&gt;=35, B1107&lt;=44), "35-44",
  AND(B1107&gt;=45, B1107&lt;=54), "45-54",
  B1107&gt;=55, "55+"
)</f>
        <v>25-34</v>
      </c>
      <c r="D1107" t="s">
        <v>19</v>
      </c>
      <c r="E1107" t="s">
        <v>113</v>
      </c>
      <c r="F1107" t="s">
        <v>21</v>
      </c>
      <c r="G1107">
        <v>83</v>
      </c>
      <c r="H1107" t="s">
        <v>37</v>
      </c>
      <c r="I1107" t="s">
        <v>38</v>
      </c>
      <c r="J1107" t="s">
        <v>79</v>
      </c>
      <c r="K1107" t="s">
        <v>39</v>
      </c>
      <c r="L1107">
        <v>3</v>
      </c>
      <c r="M1107" t="s">
        <v>152</v>
      </c>
      <c r="N1107" t="s">
        <v>27</v>
      </c>
      <c r="O1107" t="s">
        <v>47</v>
      </c>
      <c r="P1107" t="s">
        <v>26</v>
      </c>
      <c r="Q1107" t="s">
        <v>26</v>
      </c>
      <c r="R1107">
        <v>6</v>
      </c>
      <c r="S1107" t="s">
        <v>29</v>
      </c>
      <c r="T1107" t="str">
        <f t="shared" si="34"/>
        <v>Quarterly</v>
      </c>
      <c r="U1107">
        <f>VLOOKUP(T1107,[1]tablescore!$B$3:$C$8, 2,FALSE)</f>
        <v>4</v>
      </c>
      <c r="V1107" t="str">
        <f t="shared" si="35"/>
        <v>Low Loyalty</v>
      </c>
      <c r="W1107" t="s">
        <v>97</v>
      </c>
    </row>
    <row r="1108" spans="1:23" x14ac:dyDescent="0.25">
      <c r="A1108">
        <v>1107</v>
      </c>
      <c r="B1108">
        <v>52</v>
      </c>
      <c r="C1108" t="str" cm="1">
        <f t="array" ref="C1108">_xlfn.IFS(
  AND(B1108&gt;=18, B1108&lt;=24), "18-24",
  AND(B1108&gt;=25, B1108&lt;=34), "25-34",
  AND(B1108&gt;=35, B1108&lt;=44), "35-44",
  AND(B1108&gt;=45, B1108&lt;=54), "45-54",
  B1108&gt;=55, "55+"
)</f>
        <v>45-54</v>
      </c>
      <c r="D1108" t="s">
        <v>19</v>
      </c>
      <c r="E1108" t="s">
        <v>87</v>
      </c>
      <c r="F1108" t="s">
        <v>21</v>
      </c>
      <c r="G1108">
        <v>96</v>
      </c>
      <c r="H1108" t="s">
        <v>134</v>
      </c>
      <c r="I1108" t="s">
        <v>23</v>
      </c>
      <c r="J1108" t="s">
        <v>84</v>
      </c>
      <c r="K1108" t="s">
        <v>25</v>
      </c>
      <c r="L1108">
        <v>3.6</v>
      </c>
      <c r="M1108" t="s">
        <v>152</v>
      </c>
      <c r="N1108" t="s">
        <v>27</v>
      </c>
      <c r="O1108" t="s">
        <v>76</v>
      </c>
      <c r="P1108" t="s">
        <v>26</v>
      </c>
      <c r="Q1108" t="s">
        <v>26</v>
      </c>
      <c r="R1108">
        <v>12</v>
      </c>
      <c r="S1108" t="s">
        <v>29</v>
      </c>
      <c r="T1108" t="str">
        <f t="shared" si="34"/>
        <v>2-week</v>
      </c>
      <c r="U1108">
        <f>VLOOKUP(T1108,[1]tablescore!$B$3:$C$8, 2,FALSE)</f>
        <v>26</v>
      </c>
      <c r="V1108" t="str">
        <f t="shared" si="35"/>
        <v>Loyal</v>
      </c>
      <c r="W1108" t="s">
        <v>30</v>
      </c>
    </row>
    <row r="1109" spans="1:23" x14ac:dyDescent="0.25">
      <c r="A1109">
        <v>1108</v>
      </c>
      <c r="B1109">
        <v>69</v>
      </c>
      <c r="C1109" t="str" cm="1">
        <f t="array" ref="C1109">_xlfn.IFS(
  AND(B1109&gt;=18, B1109&lt;=24), "18-24",
  AND(B1109&gt;=25, B1109&lt;=34), "25-34",
  AND(B1109&gt;=35, B1109&lt;=44), "35-44",
  AND(B1109&gt;=45, B1109&lt;=54), "45-54",
  B1109&gt;=55, "55+"
)</f>
        <v>55+</v>
      </c>
      <c r="D1109" t="s">
        <v>19</v>
      </c>
      <c r="E1109" t="s">
        <v>51</v>
      </c>
      <c r="F1109" t="s">
        <v>43</v>
      </c>
      <c r="G1109">
        <v>62</v>
      </c>
      <c r="H1109" t="s">
        <v>105</v>
      </c>
      <c r="I1109" t="s">
        <v>45</v>
      </c>
      <c r="J1109" t="s">
        <v>100</v>
      </c>
      <c r="K1109" t="s">
        <v>58</v>
      </c>
      <c r="L1109">
        <v>2.8</v>
      </c>
      <c r="M1109" t="s">
        <v>152</v>
      </c>
      <c r="N1109" t="s">
        <v>29</v>
      </c>
      <c r="O1109" t="s">
        <v>76</v>
      </c>
      <c r="P1109" t="s">
        <v>26</v>
      </c>
      <c r="Q1109" t="s">
        <v>26</v>
      </c>
      <c r="R1109">
        <v>26</v>
      </c>
      <c r="S1109" t="s">
        <v>34</v>
      </c>
      <c r="T1109" t="str">
        <f t="shared" si="34"/>
        <v>Daily</v>
      </c>
      <c r="U1109">
        <f>VLOOKUP(T1109,[1]tablescore!$B$3:$C$8, 2,FALSE)</f>
        <v>30</v>
      </c>
      <c r="V1109" t="str">
        <f t="shared" si="35"/>
        <v>Highly Loyal</v>
      </c>
      <c r="W1109" t="s">
        <v>41</v>
      </c>
    </row>
    <row r="1110" spans="1:23" x14ac:dyDescent="0.25">
      <c r="A1110">
        <v>1109</v>
      </c>
      <c r="B1110">
        <v>27</v>
      </c>
      <c r="C1110" t="str" cm="1">
        <f t="array" ref="C1110">_xlfn.IFS(
  AND(B1110&gt;=18, B1110&lt;=24), "18-24",
  AND(B1110&gt;=25, B1110&lt;=34), "25-34",
  AND(B1110&gt;=35, B1110&lt;=44), "35-44",
  AND(B1110&gt;=45, B1110&lt;=54), "45-54",
  B1110&gt;=55, "55+"
)</f>
        <v>25-34</v>
      </c>
      <c r="D1110" t="s">
        <v>19</v>
      </c>
      <c r="E1110" t="s">
        <v>61</v>
      </c>
      <c r="F1110" t="s">
        <v>21</v>
      </c>
      <c r="G1110">
        <v>25</v>
      </c>
      <c r="H1110" t="s">
        <v>143</v>
      </c>
      <c r="I1110" t="s">
        <v>45</v>
      </c>
      <c r="J1110" t="s">
        <v>86</v>
      </c>
      <c r="K1110" t="s">
        <v>58</v>
      </c>
      <c r="L1110">
        <v>2.8</v>
      </c>
      <c r="M1110" t="s">
        <v>152</v>
      </c>
      <c r="N1110" t="s">
        <v>29</v>
      </c>
      <c r="O1110" t="s">
        <v>55</v>
      </c>
      <c r="P1110" t="s">
        <v>26</v>
      </c>
      <c r="Q1110" t="s">
        <v>26</v>
      </c>
      <c r="R1110">
        <v>50</v>
      </c>
      <c r="S1110" t="s">
        <v>35</v>
      </c>
      <c r="T1110" t="str">
        <f t="shared" si="34"/>
        <v>2-week</v>
      </c>
      <c r="U1110">
        <f>VLOOKUP(T1110,[1]tablescore!$B$3:$C$8, 2,FALSE)</f>
        <v>26</v>
      </c>
      <c r="V1110" t="str">
        <f t="shared" si="35"/>
        <v>Loyal</v>
      </c>
      <c r="W1110" t="s">
        <v>30</v>
      </c>
    </row>
    <row r="1111" spans="1:23" x14ac:dyDescent="0.25">
      <c r="A1111">
        <v>1110</v>
      </c>
      <c r="B1111">
        <v>66</v>
      </c>
      <c r="C1111" t="str" cm="1">
        <f t="array" ref="C1111">_xlfn.IFS(
  AND(B1111&gt;=18, B1111&lt;=24), "18-24",
  AND(B1111&gt;=25, B1111&lt;=34), "25-34",
  AND(B1111&gt;=35, B1111&lt;=44), "35-44",
  AND(B1111&gt;=45, B1111&lt;=54), "45-54",
  B1111&gt;=55, "55+"
)</f>
        <v>55+</v>
      </c>
      <c r="D1111" t="s">
        <v>19</v>
      </c>
      <c r="E1111" t="s">
        <v>104</v>
      </c>
      <c r="F1111" t="s">
        <v>21</v>
      </c>
      <c r="G1111">
        <v>97</v>
      </c>
      <c r="H1111" t="s">
        <v>101</v>
      </c>
      <c r="I1111" t="s">
        <v>23</v>
      </c>
      <c r="J1111" t="s">
        <v>84</v>
      </c>
      <c r="K1111" t="s">
        <v>25</v>
      </c>
      <c r="L1111">
        <v>4.9000000000000004</v>
      </c>
      <c r="M1111" t="s">
        <v>152</v>
      </c>
      <c r="N1111" t="s">
        <v>59</v>
      </c>
      <c r="O1111" t="s">
        <v>47</v>
      </c>
      <c r="P1111" t="s">
        <v>26</v>
      </c>
      <c r="Q1111" t="s">
        <v>26</v>
      </c>
      <c r="R1111">
        <v>2</v>
      </c>
      <c r="S1111" t="s">
        <v>29</v>
      </c>
      <c r="T1111" t="str">
        <f t="shared" si="34"/>
        <v>Daily</v>
      </c>
      <c r="U1111">
        <f>VLOOKUP(T1111,[1]tablescore!$B$3:$C$8, 2,FALSE)</f>
        <v>30</v>
      </c>
      <c r="V1111" t="str">
        <f t="shared" si="35"/>
        <v>Highly Loyal</v>
      </c>
      <c r="W1111" t="s">
        <v>41</v>
      </c>
    </row>
    <row r="1112" spans="1:23" x14ac:dyDescent="0.25">
      <c r="A1112">
        <v>1111</v>
      </c>
      <c r="B1112">
        <v>28</v>
      </c>
      <c r="C1112" t="str" cm="1">
        <f t="array" ref="C1112">_xlfn.IFS(
  AND(B1112&gt;=18, B1112&lt;=24), "18-24",
  AND(B1112&gt;=25, B1112&lt;=34), "25-34",
  AND(B1112&gt;=35, B1112&lt;=44), "35-44",
  AND(B1112&gt;=45, B1112&lt;=54), "45-54",
  B1112&gt;=55, "55+"
)</f>
        <v>25-34</v>
      </c>
      <c r="D1112" t="s">
        <v>19</v>
      </c>
      <c r="E1112" t="s">
        <v>104</v>
      </c>
      <c r="F1112" t="s">
        <v>21</v>
      </c>
      <c r="G1112">
        <v>61</v>
      </c>
      <c r="H1112" t="s">
        <v>105</v>
      </c>
      <c r="I1112" t="s">
        <v>23</v>
      </c>
      <c r="J1112" t="s">
        <v>109</v>
      </c>
      <c r="K1112" t="s">
        <v>58</v>
      </c>
      <c r="L1112">
        <v>3</v>
      </c>
      <c r="M1112" t="s">
        <v>152</v>
      </c>
      <c r="N1112" t="s">
        <v>59</v>
      </c>
      <c r="O1112" t="s">
        <v>55</v>
      </c>
      <c r="P1112" t="s">
        <v>26</v>
      </c>
      <c r="Q1112" t="s">
        <v>26</v>
      </c>
      <c r="R1112">
        <v>31</v>
      </c>
      <c r="S1112" t="s">
        <v>35</v>
      </c>
      <c r="T1112" t="str">
        <f t="shared" si="34"/>
        <v>2-week</v>
      </c>
      <c r="U1112">
        <f>VLOOKUP(T1112,[1]tablescore!$B$3:$C$8, 2,FALSE)</f>
        <v>26</v>
      </c>
      <c r="V1112" t="str">
        <f t="shared" si="35"/>
        <v>Loyal</v>
      </c>
      <c r="W1112" t="s">
        <v>77</v>
      </c>
    </row>
    <row r="1113" spans="1:23" x14ac:dyDescent="0.25">
      <c r="A1113">
        <v>1112</v>
      </c>
      <c r="B1113">
        <v>22</v>
      </c>
      <c r="C1113" t="str" cm="1">
        <f t="array" ref="C1113">_xlfn.IFS(
  AND(B1113&gt;=18, B1113&lt;=24), "18-24",
  AND(B1113&gt;=25, B1113&lt;=34), "25-34",
  AND(B1113&gt;=35, B1113&lt;=44), "35-44",
  AND(B1113&gt;=45, B1113&lt;=54), "45-54",
  B1113&gt;=55, "55+"
)</f>
        <v>18-24</v>
      </c>
      <c r="D1113" t="s">
        <v>19</v>
      </c>
      <c r="E1113" t="s">
        <v>73</v>
      </c>
      <c r="F1113" t="s">
        <v>43</v>
      </c>
      <c r="G1113">
        <v>66</v>
      </c>
      <c r="H1113" t="s">
        <v>85</v>
      </c>
      <c r="I1113" t="s">
        <v>38</v>
      </c>
      <c r="J1113" t="s">
        <v>79</v>
      </c>
      <c r="K1113" t="s">
        <v>54</v>
      </c>
      <c r="L1113">
        <v>4.0999999999999996</v>
      </c>
      <c r="M1113" t="s">
        <v>152</v>
      </c>
      <c r="N1113" t="s">
        <v>34</v>
      </c>
      <c r="O1113" t="s">
        <v>47</v>
      </c>
      <c r="P1113" t="s">
        <v>26</v>
      </c>
      <c r="Q1113" t="s">
        <v>26</v>
      </c>
      <c r="R1113">
        <v>4</v>
      </c>
      <c r="S1113" t="s">
        <v>27</v>
      </c>
      <c r="T1113" t="str">
        <f t="shared" si="34"/>
        <v>2-week</v>
      </c>
      <c r="U1113">
        <f>VLOOKUP(T1113,[1]tablescore!$B$3:$C$8, 2,FALSE)</f>
        <v>26</v>
      </c>
      <c r="V1113" t="str">
        <f t="shared" si="35"/>
        <v>Loyal</v>
      </c>
      <c r="W1113" t="s">
        <v>77</v>
      </c>
    </row>
    <row r="1114" spans="1:23" x14ac:dyDescent="0.25">
      <c r="A1114">
        <v>1113</v>
      </c>
      <c r="B1114">
        <v>69</v>
      </c>
      <c r="C1114" t="str" cm="1">
        <f t="array" ref="C1114">_xlfn.IFS(
  AND(B1114&gt;=18, B1114&lt;=24), "18-24",
  AND(B1114&gt;=25, B1114&lt;=34), "25-34",
  AND(B1114&gt;=35, B1114&lt;=44), "35-44",
  AND(B1114&gt;=45, B1114&lt;=54), "45-54",
  B1114&gt;=55, "55+"
)</f>
        <v>55+</v>
      </c>
      <c r="D1114" t="s">
        <v>19</v>
      </c>
      <c r="E1114" t="s">
        <v>104</v>
      </c>
      <c r="F1114" t="s">
        <v>21</v>
      </c>
      <c r="G1114">
        <v>67</v>
      </c>
      <c r="H1114" t="s">
        <v>140</v>
      </c>
      <c r="I1114" t="s">
        <v>92</v>
      </c>
      <c r="J1114" t="s">
        <v>71</v>
      </c>
      <c r="K1114" t="s">
        <v>39</v>
      </c>
      <c r="L1114">
        <v>4.5999999999999996</v>
      </c>
      <c r="M1114" t="s">
        <v>152</v>
      </c>
      <c r="N1114" t="s">
        <v>27</v>
      </c>
      <c r="O1114" t="s">
        <v>40</v>
      </c>
      <c r="P1114" t="s">
        <v>26</v>
      </c>
      <c r="Q1114" t="s">
        <v>26</v>
      </c>
      <c r="R1114">
        <v>32</v>
      </c>
      <c r="S1114" t="s">
        <v>46</v>
      </c>
      <c r="T1114" t="str">
        <f t="shared" si="34"/>
        <v>Quarterly</v>
      </c>
      <c r="U1114">
        <f>VLOOKUP(T1114,[1]tablescore!$B$3:$C$8, 2,FALSE)</f>
        <v>4</v>
      </c>
      <c r="V1114" t="str">
        <f t="shared" si="35"/>
        <v>Low Loyalty</v>
      </c>
      <c r="W1114" t="s">
        <v>60</v>
      </c>
    </row>
    <row r="1115" spans="1:23" x14ac:dyDescent="0.25">
      <c r="A1115">
        <v>1114</v>
      </c>
      <c r="B1115">
        <v>28</v>
      </c>
      <c r="C1115" t="str" cm="1">
        <f t="array" ref="C1115">_xlfn.IFS(
  AND(B1115&gt;=18, B1115&lt;=24), "18-24",
  AND(B1115&gt;=25, B1115&lt;=34), "25-34",
  AND(B1115&gt;=35, B1115&lt;=44), "35-44",
  AND(B1115&gt;=45, B1115&lt;=54), "45-54",
  B1115&gt;=55, "55+"
)</f>
        <v>25-34</v>
      </c>
      <c r="D1115" t="s">
        <v>19</v>
      </c>
      <c r="E1115" t="s">
        <v>89</v>
      </c>
      <c r="F1115" t="s">
        <v>69</v>
      </c>
      <c r="G1115">
        <v>80</v>
      </c>
      <c r="H1115" t="s">
        <v>135</v>
      </c>
      <c r="I1115" t="s">
        <v>45</v>
      </c>
      <c r="J1115" t="s">
        <v>75</v>
      </c>
      <c r="K1115" t="s">
        <v>54</v>
      </c>
      <c r="L1115">
        <v>4.8</v>
      </c>
      <c r="M1115" t="s">
        <v>152</v>
      </c>
      <c r="N1115" t="s">
        <v>35</v>
      </c>
      <c r="O1115" t="s">
        <v>47</v>
      </c>
      <c r="P1115" t="s">
        <v>26</v>
      </c>
      <c r="Q1115" t="s">
        <v>26</v>
      </c>
      <c r="R1115">
        <v>11</v>
      </c>
      <c r="S1115" t="s">
        <v>46</v>
      </c>
      <c r="T1115" t="str">
        <f t="shared" si="34"/>
        <v>2-week</v>
      </c>
      <c r="U1115">
        <f>VLOOKUP(T1115,[1]tablescore!$B$3:$C$8, 2,FALSE)</f>
        <v>26</v>
      </c>
      <c r="V1115" t="str">
        <f t="shared" si="35"/>
        <v>Loyal</v>
      </c>
      <c r="W1115" t="s">
        <v>77</v>
      </c>
    </row>
    <row r="1116" spans="1:23" x14ac:dyDescent="0.25">
      <c r="A1116">
        <v>1115</v>
      </c>
      <c r="B1116">
        <v>55</v>
      </c>
      <c r="C1116" t="str" cm="1">
        <f t="array" ref="C1116">_xlfn.IFS(
  AND(B1116&gt;=18, B1116&lt;=24), "18-24",
  AND(B1116&gt;=25, B1116&lt;=34), "25-34",
  AND(B1116&gt;=35, B1116&lt;=44), "35-44",
  AND(B1116&gt;=45, B1116&lt;=54), "45-54",
  B1116&gt;=55, "55+"
)</f>
        <v>55+</v>
      </c>
      <c r="D1116" t="s">
        <v>19</v>
      </c>
      <c r="E1116" t="s">
        <v>87</v>
      </c>
      <c r="F1116" t="s">
        <v>21</v>
      </c>
      <c r="G1116">
        <v>25</v>
      </c>
      <c r="H1116" t="s">
        <v>83</v>
      </c>
      <c r="I1116" t="s">
        <v>23</v>
      </c>
      <c r="J1116" t="s">
        <v>84</v>
      </c>
      <c r="K1116" t="s">
        <v>58</v>
      </c>
      <c r="L1116">
        <v>2.6</v>
      </c>
      <c r="M1116" t="s">
        <v>152</v>
      </c>
      <c r="N1116" t="s">
        <v>35</v>
      </c>
      <c r="O1116" t="s">
        <v>47</v>
      </c>
      <c r="P1116" t="s">
        <v>26</v>
      </c>
      <c r="Q1116" t="s">
        <v>26</v>
      </c>
      <c r="R1116">
        <v>47</v>
      </c>
      <c r="S1116" t="s">
        <v>34</v>
      </c>
      <c r="T1116" t="str">
        <f t="shared" si="34"/>
        <v>Quarterly</v>
      </c>
      <c r="U1116">
        <f>VLOOKUP(T1116,[1]tablescore!$B$3:$C$8, 2,FALSE)</f>
        <v>4</v>
      </c>
      <c r="V1116" t="str">
        <f t="shared" si="35"/>
        <v>Low Loyalty</v>
      </c>
      <c r="W1116" t="s">
        <v>97</v>
      </c>
    </row>
    <row r="1117" spans="1:23" x14ac:dyDescent="0.25">
      <c r="A1117">
        <v>1116</v>
      </c>
      <c r="B1117">
        <v>30</v>
      </c>
      <c r="C1117" t="str" cm="1">
        <f t="array" ref="C1117">_xlfn.IFS(
  AND(B1117&gt;=18, B1117&lt;=24), "18-24",
  AND(B1117&gt;=25, B1117&lt;=34), "25-34",
  AND(B1117&gt;=35, B1117&lt;=44), "35-44",
  AND(B1117&gt;=45, B1117&lt;=54), "45-54",
  B1117&gt;=55, "55+"
)</f>
        <v>25-34</v>
      </c>
      <c r="D1117" t="s">
        <v>19</v>
      </c>
      <c r="E1117" t="s">
        <v>125</v>
      </c>
      <c r="F1117" t="s">
        <v>69</v>
      </c>
      <c r="G1117">
        <v>58</v>
      </c>
      <c r="H1117" t="s">
        <v>85</v>
      </c>
      <c r="I1117" t="s">
        <v>38</v>
      </c>
      <c r="J1117" t="s">
        <v>100</v>
      </c>
      <c r="K1117" t="s">
        <v>58</v>
      </c>
      <c r="L1117">
        <v>4</v>
      </c>
      <c r="M1117" t="s">
        <v>152</v>
      </c>
      <c r="N1117" t="s">
        <v>34</v>
      </c>
      <c r="O1117" t="s">
        <v>72</v>
      </c>
      <c r="P1117" t="s">
        <v>26</v>
      </c>
      <c r="Q1117" t="s">
        <v>26</v>
      </c>
      <c r="R1117">
        <v>37</v>
      </c>
      <c r="S1117" t="s">
        <v>35</v>
      </c>
      <c r="T1117" t="str">
        <f t="shared" si="34"/>
        <v>Daily</v>
      </c>
      <c r="U1117">
        <f>VLOOKUP(T1117,[1]tablescore!$B$3:$C$8, 2,FALSE)</f>
        <v>30</v>
      </c>
      <c r="V1117" t="str">
        <f t="shared" si="35"/>
        <v>Highly Loyal</v>
      </c>
      <c r="W1117" t="s">
        <v>41</v>
      </c>
    </row>
    <row r="1118" spans="1:23" x14ac:dyDescent="0.25">
      <c r="A1118">
        <v>1117</v>
      </c>
      <c r="B1118">
        <v>67</v>
      </c>
      <c r="C1118" t="str" cm="1">
        <f t="array" ref="C1118">_xlfn.IFS(
  AND(B1118&gt;=18, B1118&lt;=24), "18-24",
  AND(B1118&gt;=25, B1118&lt;=34), "25-34",
  AND(B1118&gt;=35, B1118&lt;=44), "35-44",
  AND(B1118&gt;=45, B1118&lt;=54), "45-54",
  B1118&gt;=55, "55+"
)</f>
        <v>55+</v>
      </c>
      <c r="D1118" t="s">
        <v>19</v>
      </c>
      <c r="E1118" t="s">
        <v>133</v>
      </c>
      <c r="F1118" t="s">
        <v>69</v>
      </c>
      <c r="G1118">
        <v>96</v>
      </c>
      <c r="H1118" t="s">
        <v>78</v>
      </c>
      <c r="I1118" t="s">
        <v>45</v>
      </c>
      <c r="J1118" t="s">
        <v>63</v>
      </c>
      <c r="K1118" t="s">
        <v>25</v>
      </c>
      <c r="L1118">
        <v>4.2</v>
      </c>
      <c r="M1118" t="s">
        <v>152</v>
      </c>
      <c r="N1118" t="s">
        <v>29</v>
      </c>
      <c r="O1118" t="s">
        <v>28</v>
      </c>
      <c r="P1118" t="s">
        <v>26</v>
      </c>
      <c r="Q1118" t="s">
        <v>26</v>
      </c>
      <c r="R1118">
        <v>39</v>
      </c>
      <c r="S1118" t="s">
        <v>46</v>
      </c>
      <c r="T1118" t="str">
        <f t="shared" si="34"/>
        <v>2-week</v>
      </c>
      <c r="U1118">
        <f>VLOOKUP(T1118,[1]tablescore!$B$3:$C$8, 2,FALSE)</f>
        <v>26</v>
      </c>
      <c r="V1118" t="str">
        <f t="shared" si="35"/>
        <v>Loyal</v>
      </c>
      <c r="W1118" t="s">
        <v>30</v>
      </c>
    </row>
    <row r="1119" spans="1:23" x14ac:dyDescent="0.25">
      <c r="A1119">
        <v>1118</v>
      </c>
      <c r="B1119">
        <v>25</v>
      </c>
      <c r="C1119" t="str" cm="1">
        <f t="array" ref="C1119">_xlfn.IFS(
  AND(B1119&gt;=18, B1119&lt;=24), "18-24",
  AND(B1119&gt;=25, B1119&lt;=34), "25-34",
  AND(B1119&gt;=35, B1119&lt;=44), "35-44",
  AND(B1119&gt;=45, B1119&lt;=54), "45-54",
  B1119&gt;=55, "55+"
)</f>
        <v>25-34</v>
      </c>
      <c r="D1119" t="s">
        <v>19</v>
      </c>
      <c r="E1119" t="s">
        <v>89</v>
      </c>
      <c r="F1119" t="s">
        <v>69</v>
      </c>
      <c r="G1119">
        <v>77</v>
      </c>
      <c r="H1119" t="s">
        <v>99</v>
      </c>
      <c r="I1119" t="s">
        <v>23</v>
      </c>
      <c r="J1119" t="s">
        <v>93</v>
      </c>
      <c r="K1119" t="s">
        <v>39</v>
      </c>
      <c r="L1119">
        <v>4.5</v>
      </c>
      <c r="M1119" t="s">
        <v>152</v>
      </c>
      <c r="N1119" t="s">
        <v>46</v>
      </c>
      <c r="O1119" t="s">
        <v>76</v>
      </c>
      <c r="P1119" t="s">
        <v>26</v>
      </c>
      <c r="Q1119" t="s">
        <v>26</v>
      </c>
      <c r="R1119">
        <v>24</v>
      </c>
      <c r="S1119" t="s">
        <v>27</v>
      </c>
      <c r="T1119" t="str">
        <f t="shared" si="34"/>
        <v>Month</v>
      </c>
      <c r="U1119">
        <f>VLOOKUP(T1119,[1]tablescore!$B$3:$C$8, 2,FALSE)</f>
        <v>12</v>
      </c>
      <c r="V1119" t="str">
        <f t="shared" si="35"/>
        <v>Moderate</v>
      </c>
      <c r="W1119" t="s">
        <v>88</v>
      </c>
    </row>
    <row r="1120" spans="1:23" x14ac:dyDescent="0.25">
      <c r="A1120">
        <v>1119</v>
      </c>
      <c r="B1120">
        <v>49</v>
      </c>
      <c r="C1120" t="str" cm="1">
        <f t="array" ref="C1120">_xlfn.IFS(
  AND(B1120&gt;=18, B1120&lt;=24), "18-24",
  AND(B1120&gt;=25, B1120&lt;=34), "25-34",
  AND(B1120&gt;=35, B1120&lt;=44), "35-44",
  AND(B1120&gt;=45, B1120&lt;=54), "45-54",
  B1120&gt;=55, "55+"
)</f>
        <v>45-54</v>
      </c>
      <c r="D1120" t="s">
        <v>19</v>
      </c>
      <c r="E1120" t="s">
        <v>136</v>
      </c>
      <c r="F1120" t="s">
        <v>69</v>
      </c>
      <c r="G1120">
        <v>65</v>
      </c>
      <c r="H1120" t="s">
        <v>116</v>
      </c>
      <c r="I1120" t="s">
        <v>45</v>
      </c>
      <c r="J1120" t="s">
        <v>75</v>
      </c>
      <c r="K1120" t="s">
        <v>54</v>
      </c>
      <c r="L1120">
        <v>4.9000000000000004</v>
      </c>
      <c r="M1120" t="s">
        <v>152</v>
      </c>
      <c r="N1120" t="s">
        <v>59</v>
      </c>
      <c r="O1120" t="s">
        <v>55</v>
      </c>
      <c r="P1120" t="s">
        <v>26</v>
      </c>
      <c r="Q1120" t="s">
        <v>26</v>
      </c>
      <c r="R1120">
        <v>11</v>
      </c>
      <c r="S1120" t="s">
        <v>46</v>
      </c>
      <c r="T1120" t="str">
        <f t="shared" si="34"/>
        <v>Quarterly</v>
      </c>
      <c r="U1120">
        <f>VLOOKUP(T1120,[1]tablescore!$B$3:$C$8, 2,FALSE)</f>
        <v>4</v>
      </c>
      <c r="V1120" t="str">
        <f t="shared" si="35"/>
        <v>Low Loyalty</v>
      </c>
      <c r="W1120" t="s">
        <v>97</v>
      </c>
    </row>
    <row r="1121" spans="1:23" x14ac:dyDescent="0.25">
      <c r="A1121">
        <v>1120</v>
      </c>
      <c r="B1121">
        <v>34</v>
      </c>
      <c r="C1121" t="str" cm="1">
        <f t="array" ref="C1121">_xlfn.IFS(
  AND(B1121&gt;=18, B1121&lt;=24), "18-24",
  AND(B1121&gt;=25, B1121&lt;=34), "25-34",
  AND(B1121&gt;=35, B1121&lt;=44), "35-44",
  AND(B1121&gt;=45, B1121&lt;=54), "45-54",
  B1121&gt;=55, "55+"
)</f>
        <v>25-34</v>
      </c>
      <c r="D1121" t="s">
        <v>19</v>
      </c>
      <c r="E1121" t="s">
        <v>106</v>
      </c>
      <c r="F1121" t="s">
        <v>69</v>
      </c>
      <c r="G1121">
        <v>36</v>
      </c>
      <c r="H1121" t="s">
        <v>62</v>
      </c>
      <c r="I1121" t="s">
        <v>45</v>
      </c>
      <c r="J1121" t="s">
        <v>129</v>
      </c>
      <c r="K1121" t="s">
        <v>39</v>
      </c>
      <c r="L1121">
        <v>3.1</v>
      </c>
      <c r="M1121" t="s">
        <v>152</v>
      </c>
      <c r="N1121" t="s">
        <v>29</v>
      </c>
      <c r="O1121" t="s">
        <v>55</v>
      </c>
      <c r="P1121" t="s">
        <v>26</v>
      </c>
      <c r="Q1121" t="s">
        <v>26</v>
      </c>
      <c r="R1121">
        <v>36</v>
      </c>
      <c r="S1121" t="s">
        <v>27</v>
      </c>
      <c r="T1121" t="str">
        <f t="shared" si="34"/>
        <v>Daily</v>
      </c>
      <c r="U1121">
        <f>VLOOKUP(T1121,[1]tablescore!$B$3:$C$8, 2,FALSE)</f>
        <v>30</v>
      </c>
      <c r="V1121" t="str">
        <f t="shared" si="35"/>
        <v>Highly Loyal</v>
      </c>
      <c r="W1121" t="s">
        <v>41</v>
      </c>
    </row>
    <row r="1122" spans="1:23" x14ac:dyDescent="0.25">
      <c r="A1122">
        <v>1121</v>
      </c>
      <c r="B1122">
        <v>22</v>
      </c>
      <c r="C1122" t="str" cm="1">
        <f t="array" ref="C1122">_xlfn.IFS(
  AND(B1122&gt;=18, B1122&lt;=24), "18-24",
  AND(B1122&gt;=25, B1122&lt;=34), "25-34",
  AND(B1122&gt;=35, B1122&lt;=44), "35-44",
  AND(B1122&gt;=45, B1122&lt;=54), "45-54",
  B1122&gt;=55, "55+"
)</f>
        <v>18-24</v>
      </c>
      <c r="D1122" t="s">
        <v>19</v>
      </c>
      <c r="E1122" t="s">
        <v>51</v>
      </c>
      <c r="F1122" t="s">
        <v>43</v>
      </c>
      <c r="G1122">
        <v>84</v>
      </c>
      <c r="H1122" t="s">
        <v>141</v>
      </c>
      <c r="I1122" t="s">
        <v>45</v>
      </c>
      <c r="J1122" t="s">
        <v>147</v>
      </c>
      <c r="K1122" t="s">
        <v>25</v>
      </c>
      <c r="L1122">
        <v>4</v>
      </c>
      <c r="M1122" t="s">
        <v>152</v>
      </c>
      <c r="N1122" t="s">
        <v>29</v>
      </c>
      <c r="O1122" t="s">
        <v>47</v>
      </c>
      <c r="P1122" t="s">
        <v>26</v>
      </c>
      <c r="Q1122" t="s">
        <v>26</v>
      </c>
      <c r="R1122">
        <v>40</v>
      </c>
      <c r="S1122" t="s">
        <v>59</v>
      </c>
      <c r="T1122" t="str">
        <f t="shared" si="34"/>
        <v>Month</v>
      </c>
      <c r="U1122">
        <f>VLOOKUP(T1122,[1]tablescore!$B$3:$C$8, 2,FALSE)</f>
        <v>12</v>
      </c>
      <c r="V1122" t="str">
        <f t="shared" si="35"/>
        <v>Moderate</v>
      </c>
      <c r="W1122" t="s">
        <v>88</v>
      </c>
    </row>
    <row r="1123" spans="1:23" x14ac:dyDescent="0.25">
      <c r="A1123">
        <v>1122</v>
      </c>
      <c r="B1123">
        <v>63</v>
      </c>
      <c r="C1123" t="str" cm="1">
        <f t="array" ref="C1123">_xlfn.IFS(
  AND(B1123&gt;=18, B1123&lt;=24), "18-24",
  AND(B1123&gt;=25, B1123&lt;=34), "25-34",
  AND(B1123&gt;=35, B1123&lt;=44), "35-44",
  AND(B1123&gt;=45, B1123&lt;=54), "45-54",
  B1123&gt;=55, "55+"
)</f>
        <v>55+</v>
      </c>
      <c r="D1123" t="s">
        <v>19</v>
      </c>
      <c r="E1123" t="s">
        <v>113</v>
      </c>
      <c r="F1123" t="s">
        <v>21</v>
      </c>
      <c r="G1123">
        <v>58</v>
      </c>
      <c r="H1123" t="s">
        <v>103</v>
      </c>
      <c r="I1123" t="s">
        <v>92</v>
      </c>
      <c r="J1123" t="s">
        <v>100</v>
      </c>
      <c r="K1123" t="s">
        <v>58</v>
      </c>
      <c r="L1123">
        <v>3.2</v>
      </c>
      <c r="M1123" t="s">
        <v>152</v>
      </c>
      <c r="N1123" t="s">
        <v>35</v>
      </c>
      <c r="O1123" t="s">
        <v>28</v>
      </c>
      <c r="P1123" t="s">
        <v>26</v>
      </c>
      <c r="Q1123" t="s">
        <v>26</v>
      </c>
      <c r="R1123">
        <v>25</v>
      </c>
      <c r="S1123" t="s">
        <v>35</v>
      </c>
      <c r="T1123" t="str">
        <f t="shared" si="34"/>
        <v>Quarterly</v>
      </c>
      <c r="U1123">
        <f>VLOOKUP(T1123,[1]tablescore!$B$3:$C$8, 2,FALSE)</f>
        <v>4</v>
      </c>
      <c r="V1123" t="str">
        <f t="shared" si="35"/>
        <v>Low Loyalty</v>
      </c>
      <c r="W1123" t="s">
        <v>60</v>
      </c>
    </row>
    <row r="1124" spans="1:23" x14ac:dyDescent="0.25">
      <c r="A1124">
        <v>1123</v>
      </c>
      <c r="B1124">
        <v>70</v>
      </c>
      <c r="C1124" t="str" cm="1">
        <f t="array" ref="C1124">_xlfn.IFS(
  AND(B1124&gt;=18, B1124&lt;=24), "18-24",
  AND(B1124&gt;=25, B1124&lt;=34), "25-34",
  AND(B1124&gt;=35, B1124&lt;=44), "35-44",
  AND(B1124&gt;=45, B1124&lt;=54), "45-54",
  B1124&gt;=55, "55+"
)</f>
        <v>55+</v>
      </c>
      <c r="D1124" t="s">
        <v>19</v>
      </c>
      <c r="E1124" t="s">
        <v>68</v>
      </c>
      <c r="F1124" t="s">
        <v>69</v>
      </c>
      <c r="G1124">
        <v>62</v>
      </c>
      <c r="H1124" t="s">
        <v>98</v>
      </c>
      <c r="I1124" t="s">
        <v>38</v>
      </c>
      <c r="J1124" t="s">
        <v>63</v>
      </c>
      <c r="K1124" t="s">
        <v>39</v>
      </c>
      <c r="L1124">
        <v>4.3</v>
      </c>
      <c r="M1124" t="s">
        <v>152</v>
      </c>
      <c r="N1124" t="s">
        <v>46</v>
      </c>
      <c r="O1124" t="s">
        <v>72</v>
      </c>
      <c r="P1124" t="s">
        <v>26</v>
      </c>
      <c r="Q1124" t="s">
        <v>26</v>
      </c>
      <c r="R1124">
        <v>12</v>
      </c>
      <c r="S1124" t="s">
        <v>27</v>
      </c>
      <c r="T1124" t="str">
        <f t="shared" si="34"/>
        <v>Annually</v>
      </c>
      <c r="U1124">
        <f>VLOOKUP(T1124,[1]tablescore!$B$3:$C$8, 2,FALSE)</f>
        <v>1</v>
      </c>
      <c r="V1124" t="str">
        <f t="shared" si="35"/>
        <v>Low Loyalty</v>
      </c>
      <c r="W1124" t="s">
        <v>50</v>
      </c>
    </row>
    <row r="1125" spans="1:23" x14ac:dyDescent="0.25">
      <c r="A1125">
        <v>1124</v>
      </c>
      <c r="B1125">
        <v>36</v>
      </c>
      <c r="C1125" t="str" cm="1">
        <f t="array" ref="C1125">_xlfn.IFS(
  AND(B1125&gt;=18, B1125&lt;=24), "18-24",
  AND(B1125&gt;=25, B1125&lt;=34), "25-34",
  AND(B1125&gt;=35, B1125&lt;=44), "35-44",
  AND(B1125&gt;=45, B1125&lt;=54), "45-54",
  B1125&gt;=55, "55+"
)</f>
        <v>35-44</v>
      </c>
      <c r="D1125" t="s">
        <v>19</v>
      </c>
      <c r="E1125" t="s">
        <v>125</v>
      </c>
      <c r="F1125" t="s">
        <v>69</v>
      </c>
      <c r="G1125">
        <v>67</v>
      </c>
      <c r="H1125" t="s">
        <v>37</v>
      </c>
      <c r="I1125" t="s">
        <v>38</v>
      </c>
      <c r="J1125" t="s">
        <v>75</v>
      </c>
      <c r="K1125" t="s">
        <v>58</v>
      </c>
      <c r="L1125">
        <v>2.5</v>
      </c>
      <c r="M1125" t="s">
        <v>152</v>
      </c>
      <c r="N1125" t="s">
        <v>59</v>
      </c>
      <c r="O1125" t="s">
        <v>76</v>
      </c>
      <c r="P1125" t="s">
        <v>26</v>
      </c>
      <c r="Q1125" t="s">
        <v>26</v>
      </c>
      <c r="R1125">
        <v>38</v>
      </c>
      <c r="S1125" t="s">
        <v>35</v>
      </c>
      <c r="T1125" t="str">
        <f t="shared" si="34"/>
        <v>Month</v>
      </c>
      <c r="U1125">
        <f>VLOOKUP(T1125,[1]tablescore!$B$3:$C$8, 2,FALSE)</f>
        <v>12</v>
      </c>
      <c r="V1125" t="str">
        <f t="shared" si="35"/>
        <v>Moderate</v>
      </c>
      <c r="W1125" t="s">
        <v>88</v>
      </c>
    </row>
    <row r="1126" spans="1:23" x14ac:dyDescent="0.25">
      <c r="A1126">
        <v>1125</v>
      </c>
      <c r="B1126">
        <v>42</v>
      </c>
      <c r="C1126" t="str" cm="1">
        <f t="array" ref="C1126">_xlfn.IFS(
  AND(B1126&gt;=18, B1126&lt;=24), "18-24",
  AND(B1126&gt;=25, B1126&lt;=34), "25-34",
  AND(B1126&gt;=35, B1126&lt;=44), "35-44",
  AND(B1126&gt;=45, B1126&lt;=54), "45-54",
  B1126&gt;=55, "55+"
)</f>
        <v>35-44</v>
      </c>
      <c r="D1126" t="s">
        <v>19</v>
      </c>
      <c r="E1126" t="s">
        <v>31</v>
      </c>
      <c r="F1126" t="s">
        <v>21</v>
      </c>
      <c r="G1126">
        <v>20</v>
      </c>
      <c r="H1126" t="s">
        <v>150</v>
      </c>
      <c r="I1126" t="s">
        <v>45</v>
      </c>
      <c r="J1126" t="s">
        <v>121</v>
      </c>
      <c r="K1126" t="s">
        <v>39</v>
      </c>
      <c r="L1126">
        <v>4.9000000000000004</v>
      </c>
      <c r="M1126" t="s">
        <v>152</v>
      </c>
      <c r="N1126" t="s">
        <v>59</v>
      </c>
      <c r="O1126" t="s">
        <v>28</v>
      </c>
      <c r="P1126" t="s">
        <v>26</v>
      </c>
      <c r="Q1126" t="s">
        <v>26</v>
      </c>
      <c r="R1126">
        <v>40</v>
      </c>
      <c r="S1126" t="s">
        <v>35</v>
      </c>
      <c r="T1126" t="str">
        <f t="shared" si="34"/>
        <v>Quarterly</v>
      </c>
      <c r="U1126">
        <f>VLOOKUP(T1126,[1]tablescore!$B$3:$C$8, 2,FALSE)</f>
        <v>4</v>
      </c>
      <c r="V1126" t="str">
        <f t="shared" si="35"/>
        <v>Low Loyalty</v>
      </c>
      <c r="W1126" t="s">
        <v>60</v>
      </c>
    </row>
    <row r="1127" spans="1:23" x14ac:dyDescent="0.25">
      <c r="A1127">
        <v>1126</v>
      </c>
      <c r="B1127">
        <v>27</v>
      </c>
      <c r="C1127" t="str" cm="1">
        <f t="array" ref="C1127">_xlfn.IFS(
  AND(B1127&gt;=18, B1127&lt;=24), "18-24",
  AND(B1127&gt;=25, B1127&lt;=34), "25-34",
  AND(B1127&gt;=35, B1127&lt;=44), "35-44",
  AND(B1127&gt;=45, B1127&lt;=54), "45-54",
  B1127&gt;=55, "55+"
)</f>
        <v>25-34</v>
      </c>
      <c r="D1127" t="s">
        <v>19</v>
      </c>
      <c r="E1127" t="s">
        <v>42</v>
      </c>
      <c r="F1127" t="s">
        <v>43</v>
      </c>
      <c r="G1127">
        <v>90</v>
      </c>
      <c r="H1127" t="s">
        <v>114</v>
      </c>
      <c r="I1127" t="s">
        <v>45</v>
      </c>
      <c r="J1127" t="s">
        <v>93</v>
      </c>
      <c r="K1127" t="s">
        <v>54</v>
      </c>
      <c r="L1127">
        <v>2.7</v>
      </c>
      <c r="M1127" t="s">
        <v>152</v>
      </c>
      <c r="N1127" t="s">
        <v>59</v>
      </c>
      <c r="O1127" t="s">
        <v>72</v>
      </c>
      <c r="P1127" t="s">
        <v>26</v>
      </c>
      <c r="Q1127" t="s">
        <v>26</v>
      </c>
      <c r="R1127">
        <v>10</v>
      </c>
      <c r="S1127" t="s">
        <v>34</v>
      </c>
      <c r="T1127" t="str">
        <f t="shared" si="34"/>
        <v>Daily</v>
      </c>
      <c r="U1127">
        <f>VLOOKUP(T1127,[1]tablescore!$B$3:$C$8, 2,FALSE)</f>
        <v>30</v>
      </c>
      <c r="V1127" t="str">
        <f t="shared" si="35"/>
        <v>Highly Loyal</v>
      </c>
      <c r="W1127" t="s">
        <v>41</v>
      </c>
    </row>
    <row r="1128" spans="1:23" x14ac:dyDescent="0.25">
      <c r="A1128">
        <v>1127</v>
      </c>
      <c r="B1128">
        <v>23</v>
      </c>
      <c r="C1128" t="str" cm="1">
        <f t="array" ref="C1128">_xlfn.IFS(
  AND(B1128&gt;=18, B1128&lt;=24), "18-24",
  AND(B1128&gt;=25, B1128&lt;=34), "25-34",
  AND(B1128&gt;=35, B1128&lt;=44), "35-44",
  AND(B1128&gt;=45, B1128&lt;=54), "45-54",
  B1128&gt;=55, "55+"
)</f>
        <v>18-24</v>
      </c>
      <c r="D1128" t="s">
        <v>19</v>
      </c>
      <c r="E1128" t="s">
        <v>119</v>
      </c>
      <c r="F1128" t="s">
        <v>69</v>
      </c>
      <c r="G1128">
        <v>58</v>
      </c>
      <c r="H1128" t="s">
        <v>150</v>
      </c>
      <c r="I1128" t="s">
        <v>23</v>
      </c>
      <c r="J1128" t="s">
        <v>118</v>
      </c>
      <c r="K1128" t="s">
        <v>25</v>
      </c>
      <c r="L1128">
        <v>3.4</v>
      </c>
      <c r="M1128" t="s">
        <v>152</v>
      </c>
      <c r="N1128" t="s">
        <v>29</v>
      </c>
      <c r="O1128" t="s">
        <v>55</v>
      </c>
      <c r="P1128" t="s">
        <v>26</v>
      </c>
      <c r="Q1128" t="s">
        <v>26</v>
      </c>
      <c r="R1128">
        <v>47</v>
      </c>
      <c r="S1128" t="s">
        <v>29</v>
      </c>
      <c r="T1128" t="str">
        <f t="shared" si="34"/>
        <v>2-week</v>
      </c>
      <c r="U1128">
        <f>VLOOKUP(T1128,[1]tablescore!$B$3:$C$8, 2,FALSE)</f>
        <v>26</v>
      </c>
      <c r="V1128" t="str">
        <f t="shared" si="35"/>
        <v>Loyal</v>
      </c>
      <c r="W1128" t="s">
        <v>30</v>
      </c>
    </row>
    <row r="1129" spans="1:23" x14ac:dyDescent="0.25">
      <c r="A1129">
        <v>1128</v>
      </c>
      <c r="B1129">
        <v>50</v>
      </c>
      <c r="C1129" t="str" cm="1">
        <f t="array" ref="C1129">_xlfn.IFS(
  AND(B1129&gt;=18, B1129&lt;=24), "18-24",
  AND(B1129&gt;=25, B1129&lt;=34), "25-34",
  AND(B1129&gt;=35, B1129&lt;=44), "35-44",
  AND(B1129&gt;=45, B1129&lt;=54), "45-54",
  B1129&gt;=55, "55+"
)</f>
        <v>45-54</v>
      </c>
      <c r="D1129" t="s">
        <v>19</v>
      </c>
      <c r="E1129" t="s">
        <v>56</v>
      </c>
      <c r="F1129" t="s">
        <v>21</v>
      </c>
      <c r="G1129">
        <v>53</v>
      </c>
      <c r="H1129" t="s">
        <v>80</v>
      </c>
      <c r="I1129" t="s">
        <v>92</v>
      </c>
      <c r="J1129" t="s">
        <v>33</v>
      </c>
      <c r="K1129" t="s">
        <v>39</v>
      </c>
      <c r="L1129">
        <v>4.8</v>
      </c>
      <c r="M1129" t="s">
        <v>152</v>
      </c>
      <c r="N1129" t="s">
        <v>29</v>
      </c>
      <c r="O1129" t="s">
        <v>76</v>
      </c>
      <c r="P1129" t="s">
        <v>26</v>
      </c>
      <c r="Q1129" t="s">
        <v>26</v>
      </c>
      <c r="R1129">
        <v>22</v>
      </c>
      <c r="S1129" t="s">
        <v>59</v>
      </c>
      <c r="T1129" t="str">
        <f t="shared" si="34"/>
        <v>Month</v>
      </c>
      <c r="U1129">
        <f>VLOOKUP(T1129,[1]tablescore!$B$3:$C$8, 2,FALSE)</f>
        <v>12</v>
      </c>
      <c r="V1129" t="str">
        <f t="shared" si="35"/>
        <v>Moderate</v>
      </c>
      <c r="W1129" t="s">
        <v>88</v>
      </c>
    </row>
    <row r="1130" spans="1:23" x14ac:dyDescent="0.25">
      <c r="A1130">
        <v>1129</v>
      </c>
      <c r="B1130">
        <v>56</v>
      </c>
      <c r="C1130" t="str" cm="1">
        <f t="array" ref="C1130">_xlfn.IFS(
  AND(B1130&gt;=18, B1130&lt;=24), "18-24",
  AND(B1130&gt;=25, B1130&lt;=34), "25-34",
  AND(B1130&gt;=35, B1130&lt;=44), "35-44",
  AND(B1130&gt;=45, B1130&lt;=54), "45-54",
  B1130&gt;=55, "55+"
)</f>
        <v>55+</v>
      </c>
      <c r="D1130" t="s">
        <v>19</v>
      </c>
      <c r="E1130" t="s">
        <v>127</v>
      </c>
      <c r="F1130" t="s">
        <v>69</v>
      </c>
      <c r="G1130">
        <v>30</v>
      </c>
      <c r="H1130" t="s">
        <v>85</v>
      </c>
      <c r="I1130" t="s">
        <v>23</v>
      </c>
      <c r="J1130" t="s">
        <v>63</v>
      </c>
      <c r="K1130" t="s">
        <v>25</v>
      </c>
      <c r="L1130">
        <v>4.7</v>
      </c>
      <c r="M1130" t="s">
        <v>152</v>
      </c>
      <c r="N1130" t="s">
        <v>46</v>
      </c>
      <c r="O1130" t="s">
        <v>47</v>
      </c>
      <c r="P1130" t="s">
        <v>26</v>
      </c>
      <c r="Q1130" t="s">
        <v>26</v>
      </c>
      <c r="R1130">
        <v>35</v>
      </c>
      <c r="S1130" t="s">
        <v>59</v>
      </c>
      <c r="T1130" t="str">
        <f t="shared" si="34"/>
        <v>Month</v>
      </c>
      <c r="U1130">
        <f>VLOOKUP(T1130,[1]tablescore!$B$3:$C$8, 2,FALSE)</f>
        <v>12</v>
      </c>
      <c r="V1130" t="str">
        <f t="shared" si="35"/>
        <v>Moderate</v>
      </c>
      <c r="W1130" t="s">
        <v>88</v>
      </c>
    </row>
    <row r="1131" spans="1:23" x14ac:dyDescent="0.25">
      <c r="A1131">
        <v>1130</v>
      </c>
      <c r="B1131">
        <v>37</v>
      </c>
      <c r="C1131" t="str" cm="1">
        <f t="array" ref="C1131">_xlfn.IFS(
  AND(B1131&gt;=18, B1131&lt;=24), "18-24",
  AND(B1131&gt;=25, B1131&lt;=34), "25-34",
  AND(B1131&gt;=35, B1131&lt;=44), "35-44",
  AND(B1131&gt;=45, B1131&lt;=54), "45-54",
  B1131&gt;=55, "55+"
)</f>
        <v>35-44</v>
      </c>
      <c r="D1131" t="s">
        <v>19</v>
      </c>
      <c r="E1131" t="s">
        <v>104</v>
      </c>
      <c r="F1131" t="s">
        <v>21</v>
      </c>
      <c r="G1131">
        <v>65</v>
      </c>
      <c r="H1131" t="s">
        <v>83</v>
      </c>
      <c r="I1131" t="s">
        <v>92</v>
      </c>
      <c r="J1131" t="s">
        <v>53</v>
      </c>
      <c r="K1131" t="s">
        <v>25</v>
      </c>
      <c r="L1131">
        <v>4.7</v>
      </c>
      <c r="M1131" t="s">
        <v>152</v>
      </c>
      <c r="N1131" t="s">
        <v>27</v>
      </c>
      <c r="O1131" t="s">
        <v>28</v>
      </c>
      <c r="P1131" t="s">
        <v>26</v>
      </c>
      <c r="Q1131" t="s">
        <v>26</v>
      </c>
      <c r="R1131">
        <v>46</v>
      </c>
      <c r="S1131" t="s">
        <v>29</v>
      </c>
      <c r="T1131" t="str">
        <f t="shared" si="34"/>
        <v>2-week</v>
      </c>
      <c r="U1131">
        <f>VLOOKUP(T1131,[1]tablescore!$B$3:$C$8, 2,FALSE)</f>
        <v>26</v>
      </c>
      <c r="V1131" t="str">
        <f t="shared" si="35"/>
        <v>Loyal</v>
      </c>
      <c r="W1131" t="s">
        <v>30</v>
      </c>
    </row>
    <row r="1132" spans="1:23" x14ac:dyDescent="0.25">
      <c r="A1132">
        <v>1131</v>
      </c>
      <c r="B1132">
        <v>67</v>
      </c>
      <c r="C1132" t="str" cm="1">
        <f t="array" ref="C1132">_xlfn.IFS(
  AND(B1132&gt;=18, B1132&lt;=24), "18-24",
  AND(B1132&gt;=25, B1132&lt;=34), "25-34",
  AND(B1132&gt;=35, B1132&lt;=44), "35-44",
  AND(B1132&gt;=45, B1132&lt;=54), "45-54",
  B1132&gt;=55, "55+"
)</f>
        <v>55+</v>
      </c>
      <c r="D1132" t="s">
        <v>19</v>
      </c>
      <c r="E1132" t="s">
        <v>106</v>
      </c>
      <c r="F1132" t="s">
        <v>69</v>
      </c>
      <c r="G1132">
        <v>41</v>
      </c>
      <c r="H1132" t="s">
        <v>22</v>
      </c>
      <c r="I1132" t="s">
        <v>45</v>
      </c>
      <c r="J1132" t="s">
        <v>93</v>
      </c>
      <c r="K1132" t="s">
        <v>54</v>
      </c>
      <c r="L1132">
        <v>3.9</v>
      </c>
      <c r="M1132" t="s">
        <v>152</v>
      </c>
      <c r="N1132" t="s">
        <v>35</v>
      </c>
      <c r="O1132" t="s">
        <v>55</v>
      </c>
      <c r="P1132" t="s">
        <v>26</v>
      </c>
      <c r="Q1132" t="s">
        <v>26</v>
      </c>
      <c r="R1132">
        <v>30</v>
      </c>
      <c r="S1132" t="s">
        <v>46</v>
      </c>
      <c r="T1132" t="str">
        <f t="shared" si="34"/>
        <v>2-week</v>
      </c>
      <c r="U1132">
        <f>VLOOKUP(T1132,[1]tablescore!$B$3:$C$8, 2,FALSE)</f>
        <v>26</v>
      </c>
      <c r="V1132" t="str">
        <f t="shared" si="35"/>
        <v>Loyal</v>
      </c>
      <c r="W1132" t="s">
        <v>77</v>
      </c>
    </row>
    <row r="1133" spans="1:23" x14ac:dyDescent="0.25">
      <c r="A1133">
        <v>1132</v>
      </c>
      <c r="B1133">
        <v>67</v>
      </c>
      <c r="C1133" t="str" cm="1">
        <f t="array" ref="C1133">_xlfn.IFS(
  AND(B1133&gt;=18, B1133&lt;=24), "18-24",
  AND(B1133&gt;=25, B1133&lt;=34), "25-34",
  AND(B1133&gt;=35, B1133&lt;=44), "35-44",
  AND(B1133&gt;=45, B1133&lt;=54), "45-54",
  B1133&gt;=55, "55+"
)</f>
        <v>55+</v>
      </c>
      <c r="D1133" t="s">
        <v>19</v>
      </c>
      <c r="E1133" t="s">
        <v>56</v>
      </c>
      <c r="F1133" t="s">
        <v>21</v>
      </c>
      <c r="G1133">
        <v>73</v>
      </c>
      <c r="H1133" t="s">
        <v>115</v>
      </c>
      <c r="I1133" t="s">
        <v>45</v>
      </c>
      <c r="J1133" t="s">
        <v>94</v>
      </c>
      <c r="K1133" t="s">
        <v>39</v>
      </c>
      <c r="L1133">
        <v>3.7</v>
      </c>
      <c r="M1133" t="s">
        <v>152</v>
      </c>
      <c r="N1133" t="s">
        <v>27</v>
      </c>
      <c r="O1133" t="s">
        <v>28</v>
      </c>
      <c r="P1133" t="s">
        <v>26</v>
      </c>
      <c r="Q1133" t="s">
        <v>26</v>
      </c>
      <c r="R1133">
        <v>20</v>
      </c>
      <c r="S1133" t="s">
        <v>34</v>
      </c>
      <c r="T1133" t="str">
        <f t="shared" si="34"/>
        <v>Month</v>
      </c>
      <c r="U1133">
        <f>VLOOKUP(T1133,[1]tablescore!$B$3:$C$8, 2,FALSE)</f>
        <v>12</v>
      </c>
      <c r="V1133" t="str">
        <f t="shared" si="35"/>
        <v>Moderate</v>
      </c>
      <c r="W1133" t="s">
        <v>88</v>
      </c>
    </row>
    <row r="1134" spans="1:23" x14ac:dyDescent="0.25">
      <c r="A1134">
        <v>1133</v>
      </c>
      <c r="B1134">
        <v>50</v>
      </c>
      <c r="C1134" t="str" cm="1">
        <f t="array" ref="C1134">_xlfn.IFS(
  AND(B1134&gt;=18, B1134&lt;=24), "18-24",
  AND(B1134&gt;=25, B1134&lt;=34), "25-34",
  AND(B1134&gt;=35, B1134&lt;=44), "35-44",
  AND(B1134&gt;=45, B1134&lt;=54), "45-54",
  B1134&gt;=55, "55+"
)</f>
        <v>45-54</v>
      </c>
      <c r="D1134" t="s">
        <v>19</v>
      </c>
      <c r="E1134" t="s">
        <v>104</v>
      </c>
      <c r="F1134" t="s">
        <v>21</v>
      </c>
      <c r="G1134">
        <v>98</v>
      </c>
      <c r="H1134" t="s">
        <v>98</v>
      </c>
      <c r="I1134" t="s">
        <v>38</v>
      </c>
      <c r="J1134" t="s">
        <v>86</v>
      </c>
      <c r="K1134" t="s">
        <v>39</v>
      </c>
      <c r="L1134">
        <v>4.3</v>
      </c>
      <c r="M1134" t="s">
        <v>152</v>
      </c>
      <c r="N1134" t="s">
        <v>46</v>
      </c>
      <c r="O1134" t="s">
        <v>76</v>
      </c>
      <c r="P1134" t="s">
        <v>26</v>
      </c>
      <c r="Q1134" t="s">
        <v>26</v>
      </c>
      <c r="R1134">
        <v>25</v>
      </c>
      <c r="S1134" t="s">
        <v>35</v>
      </c>
      <c r="T1134" t="str">
        <f t="shared" si="34"/>
        <v>2-week</v>
      </c>
      <c r="U1134">
        <f>VLOOKUP(T1134,[1]tablescore!$B$3:$C$8, 2,FALSE)</f>
        <v>26</v>
      </c>
      <c r="V1134" t="str">
        <f t="shared" si="35"/>
        <v>Loyal</v>
      </c>
      <c r="W1134" t="s">
        <v>30</v>
      </c>
    </row>
    <row r="1135" spans="1:23" x14ac:dyDescent="0.25">
      <c r="A1135">
        <v>1134</v>
      </c>
      <c r="B1135">
        <v>36</v>
      </c>
      <c r="C1135" t="str" cm="1">
        <f t="array" ref="C1135">_xlfn.IFS(
  AND(B1135&gt;=18, B1135&lt;=24), "18-24",
  AND(B1135&gt;=25, B1135&lt;=34), "25-34",
  AND(B1135&gt;=35, B1135&lt;=44), "35-44",
  AND(B1135&gt;=45, B1135&lt;=54), "45-54",
  B1135&gt;=55, "55+"
)</f>
        <v>35-44</v>
      </c>
      <c r="D1135" t="s">
        <v>19</v>
      </c>
      <c r="E1135" t="s">
        <v>73</v>
      </c>
      <c r="F1135" t="s">
        <v>43</v>
      </c>
      <c r="G1135">
        <v>36</v>
      </c>
      <c r="H1135" t="s">
        <v>146</v>
      </c>
      <c r="I1135" t="s">
        <v>92</v>
      </c>
      <c r="J1135" t="s">
        <v>147</v>
      </c>
      <c r="K1135" t="s">
        <v>25</v>
      </c>
      <c r="L1135">
        <v>4.0999999999999996</v>
      </c>
      <c r="M1135" t="s">
        <v>152</v>
      </c>
      <c r="N1135" t="s">
        <v>46</v>
      </c>
      <c r="O1135" t="s">
        <v>72</v>
      </c>
      <c r="P1135" t="s">
        <v>26</v>
      </c>
      <c r="Q1135" t="s">
        <v>26</v>
      </c>
      <c r="R1135">
        <v>29</v>
      </c>
      <c r="S1135" t="s">
        <v>35</v>
      </c>
      <c r="T1135" t="str">
        <f t="shared" si="34"/>
        <v>Daily</v>
      </c>
      <c r="U1135">
        <f>VLOOKUP(T1135,[1]tablescore!$B$3:$C$8, 2,FALSE)</f>
        <v>30</v>
      </c>
      <c r="V1135" t="str">
        <f t="shared" si="35"/>
        <v>Highly Loyal</v>
      </c>
      <c r="W1135" t="s">
        <v>41</v>
      </c>
    </row>
    <row r="1136" spans="1:23" x14ac:dyDescent="0.25">
      <c r="A1136">
        <v>1135</v>
      </c>
      <c r="B1136">
        <v>62</v>
      </c>
      <c r="C1136" t="str" cm="1">
        <f t="array" ref="C1136">_xlfn.IFS(
  AND(B1136&gt;=18, B1136&lt;=24), "18-24",
  AND(B1136&gt;=25, B1136&lt;=34), "25-34",
  AND(B1136&gt;=35, B1136&lt;=44), "35-44",
  AND(B1136&gt;=45, B1136&lt;=54), "45-54",
  B1136&gt;=55, "55+"
)</f>
        <v>55+</v>
      </c>
      <c r="D1136" t="s">
        <v>19</v>
      </c>
      <c r="E1136" t="s">
        <v>113</v>
      </c>
      <c r="F1136" t="s">
        <v>21</v>
      </c>
      <c r="G1136">
        <v>81</v>
      </c>
      <c r="H1136" t="s">
        <v>148</v>
      </c>
      <c r="I1136" t="s">
        <v>45</v>
      </c>
      <c r="J1136" t="s">
        <v>110</v>
      </c>
      <c r="K1136" t="s">
        <v>54</v>
      </c>
      <c r="L1136">
        <v>4.5999999999999996</v>
      </c>
      <c r="M1136" t="s">
        <v>152</v>
      </c>
      <c r="N1136" t="s">
        <v>34</v>
      </c>
      <c r="O1136" t="s">
        <v>28</v>
      </c>
      <c r="P1136" t="s">
        <v>26</v>
      </c>
      <c r="Q1136" t="s">
        <v>26</v>
      </c>
      <c r="R1136">
        <v>2</v>
      </c>
      <c r="S1136" t="s">
        <v>29</v>
      </c>
      <c r="T1136" t="str">
        <f t="shared" si="34"/>
        <v>Quarterly</v>
      </c>
      <c r="U1136">
        <f>VLOOKUP(T1136,[1]tablescore!$B$3:$C$8, 2,FALSE)</f>
        <v>4</v>
      </c>
      <c r="V1136" t="str">
        <f t="shared" si="35"/>
        <v>Low Loyalty</v>
      </c>
      <c r="W1136" t="s">
        <v>97</v>
      </c>
    </row>
    <row r="1137" spans="1:23" x14ac:dyDescent="0.25">
      <c r="A1137">
        <v>1136</v>
      </c>
      <c r="B1137">
        <v>65</v>
      </c>
      <c r="C1137" t="str" cm="1">
        <f t="array" ref="C1137">_xlfn.IFS(
  AND(B1137&gt;=18, B1137&lt;=24), "18-24",
  AND(B1137&gt;=25, B1137&lt;=34), "25-34",
  AND(B1137&gt;=35, B1137&lt;=44), "35-44",
  AND(B1137&gt;=45, B1137&lt;=54), "45-54",
  B1137&gt;=55, "55+"
)</f>
        <v>55+</v>
      </c>
      <c r="D1137" t="s">
        <v>19</v>
      </c>
      <c r="E1137" t="s">
        <v>87</v>
      </c>
      <c r="F1137" t="s">
        <v>21</v>
      </c>
      <c r="G1137">
        <v>90</v>
      </c>
      <c r="H1137" t="s">
        <v>37</v>
      </c>
      <c r="I1137" t="s">
        <v>23</v>
      </c>
      <c r="J1137" t="s">
        <v>100</v>
      </c>
      <c r="K1137" t="s">
        <v>25</v>
      </c>
      <c r="L1137">
        <v>3.6</v>
      </c>
      <c r="M1137" t="s">
        <v>152</v>
      </c>
      <c r="N1137" t="s">
        <v>46</v>
      </c>
      <c r="O1137" t="s">
        <v>72</v>
      </c>
      <c r="P1137" t="s">
        <v>26</v>
      </c>
      <c r="Q1137" t="s">
        <v>26</v>
      </c>
      <c r="R1137">
        <v>32</v>
      </c>
      <c r="S1137" t="s">
        <v>34</v>
      </c>
      <c r="T1137" t="str">
        <f t="shared" si="34"/>
        <v>Quarterly</v>
      </c>
      <c r="U1137">
        <f>VLOOKUP(T1137,[1]tablescore!$B$3:$C$8, 2,FALSE)</f>
        <v>4</v>
      </c>
      <c r="V1137" t="str">
        <f t="shared" si="35"/>
        <v>Low Loyalty</v>
      </c>
      <c r="W1137" t="s">
        <v>60</v>
      </c>
    </row>
    <row r="1138" spans="1:23" x14ac:dyDescent="0.25">
      <c r="A1138">
        <v>1137</v>
      </c>
      <c r="B1138">
        <v>23</v>
      </c>
      <c r="C1138" t="str" cm="1">
        <f t="array" ref="C1138">_xlfn.IFS(
  AND(B1138&gt;=18, B1138&lt;=24), "18-24",
  AND(B1138&gt;=25, B1138&lt;=34), "25-34",
  AND(B1138&gt;=35, B1138&lt;=44), "35-44",
  AND(B1138&gt;=45, B1138&lt;=54), "45-54",
  B1138&gt;=55, "55+"
)</f>
        <v>18-24</v>
      </c>
      <c r="D1138" t="s">
        <v>19</v>
      </c>
      <c r="E1138" t="s">
        <v>68</v>
      </c>
      <c r="F1138" t="s">
        <v>69</v>
      </c>
      <c r="G1138">
        <v>83</v>
      </c>
      <c r="H1138" t="s">
        <v>115</v>
      </c>
      <c r="I1138" t="s">
        <v>38</v>
      </c>
      <c r="J1138" t="s">
        <v>109</v>
      </c>
      <c r="K1138" t="s">
        <v>54</v>
      </c>
      <c r="L1138">
        <v>4.8</v>
      </c>
      <c r="M1138" t="s">
        <v>152</v>
      </c>
      <c r="N1138" t="s">
        <v>59</v>
      </c>
      <c r="O1138" t="s">
        <v>40</v>
      </c>
      <c r="P1138" t="s">
        <v>26</v>
      </c>
      <c r="Q1138" t="s">
        <v>26</v>
      </c>
      <c r="R1138">
        <v>37</v>
      </c>
      <c r="S1138" t="s">
        <v>35</v>
      </c>
      <c r="T1138" t="str">
        <f t="shared" si="34"/>
        <v>Month</v>
      </c>
      <c r="U1138">
        <f>VLOOKUP(T1138,[1]tablescore!$B$3:$C$8, 2,FALSE)</f>
        <v>12</v>
      </c>
      <c r="V1138" t="str">
        <f t="shared" si="35"/>
        <v>Moderate</v>
      </c>
      <c r="W1138" t="s">
        <v>88</v>
      </c>
    </row>
    <row r="1139" spans="1:23" x14ac:dyDescent="0.25">
      <c r="A1139">
        <v>1138</v>
      </c>
      <c r="B1139">
        <v>46</v>
      </c>
      <c r="C1139" t="str" cm="1">
        <f t="array" ref="C1139">_xlfn.IFS(
  AND(B1139&gt;=18, B1139&lt;=24), "18-24",
  AND(B1139&gt;=25, B1139&lt;=34), "25-34",
  AND(B1139&gt;=35, B1139&lt;=44), "35-44",
  AND(B1139&gt;=45, B1139&lt;=54), "45-54",
  B1139&gt;=55, "55+"
)</f>
        <v>45-54</v>
      </c>
      <c r="D1139" t="s">
        <v>19</v>
      </c>
      <c r="E1139" t="s">
        <v>56</v>
      </c>
      <c r="F1139" t="s">
        <v>21</v>
      </c>
      <c r="G1139">
        <v>91</v>
      </c>
      <c r="H1139" t="s">
        <v>123</v>
      </c>
      <c r="I1139" t="s">
        <v>92</v>
      </c>
      <c r="J1139" t="s">
        <v>71</v>
      </c>
      <c r="K1139" t="s">
        <v>25</v>
      </c>
      <c r="L1139">
        <v>2.8</v>
      </c>
      <c r="M1139" t="s">
        <v>152</v>
      </c>
      <c r="N1139" t="s">
        <v>27</v>
      </c>
      <c r="O1139" t="s">
        <v>72</v>
      </c>
      <c r="P1139" t="s">
        <v>26</v>
      </c>
      <c r="Q1139" t="s">
        <v>26</v>
      </c>
      <c r="R1139">
        <v>16</v>
      </c>
      <c r="S1139" t="s">
        <v>34</v>
      </c>
      <c r="T1139" t="str">
        <f t="shared" si="34"/>
        <v>Quarterly</v>
      </c>
      <c r="U1139">
        <f>VLOOKUP(T1139,[1]tablescore!$B$3:$C$8, 2,FALSE)</f>
        <v>4</v>
      </c>
      <c r="V1139" t="str">
        <f t="shared" si="35"/>
        <v>Low Loyalty</v>
      </c>
      <c r="W1139" t="s">
        <v>97</v>
      </c>
    </row>
    <row r="1140" spans="1:23" x14ac:dyDescent="0.25">
      <c r="A1140">
        <v>1139</v>
      </c>
      <c r="B1140">
        <v>18</v>
      </c>
      <c r="C1140" t="str" cm="1">
        <f t="array" ref="C1140">_xlfn.IFS(
  AND(B1140&gt;=18, B1140&lt;=24), "18-24",
  AND(B1140&gt;=25, B1140&lt;=34), "25-34",
  AND(B1140&gt;=35, B1140&lt;=44), "35-44",
  AND(B1140&gt;=45, B1140&lt;=54), "45-54",
  B1140&gt;=55, "55+"
)</f>
        <v>18-24</v>
      </c>
      <c r="D1140" t="s">
        <v>19</v>
      </c>
      <c r="E1140" t="s">
        <v>95</v>
      </c>
      <c r="F1140" t="s">
        <v>21</v>
      </c>
      <c r="G1140">
        <v>36</v>
      </c>
      <c r="H1140" t="s">
        <v>150</v>
      </c>
      <c r="I1140" t="s">
        <v>45</v>
      </c>
      <c r="J1140" t="s">
        <v>75</v>
      </c>
      <c r="K1140" t="s">
        <v>54</v>
      </c>
      <c r="L1140">
        <v>4.7</v>
      </c>
      <c r="M1140" t="s">
        <v>152</v>
      </c>
      <c r="N1140" t="s">
        <v>29</v>
      </c>
      <c r="O1140" t="s">
        <v>28</v>
      </c>
      <c r="P1140" t="s">
        <v>26</v>
      </c>
      <c r="Q1140" t="s">
        <v>26</v>
      </c>
      <c r="R1140">
        <v>32</v>
      </c>
      <c r="S1140" t="s">
        <v>29</v>
      </c>
      <c r="T1140" t="str">
        <f t="shared" si="34"/>
        <v>2-week</v>
      </c>
      <c r="U1140">
        <f>VLOOKUP(T1140,[1]tablescore!$B$3:$C$8, 2,FALSE)</f>
        <v>26</v>
      </c>
      <c r="V1140" t="str">
        <f t="shared" si="35"/>
        <v>Loyal</v>
      </c>
      <c r="W1140" t="s">
        <v>30</v>
      </c>
    </row>
    <row r="1141" spans="1:23" x14ac:dyDescent="0.25">
      <c r="A1141">
        <v>1140</v>
      </c>
      <c r="B1141">
        <v>58</v>
      </c>
      <c r="C1141" t="str" cm="1">
        <f t="array" ref="C1141">_xlfn.IFS(
  AND(B1141&gt;=18, B1141&lt;=24), "18-24",
  AND(B1141&gt;=25, B1141&lt;=34), "25-34",
  AND(B1141&gt;=35, B1141&lt;=44), "35-44",
  AND(B1141&gt;=45, B1141&lt;=54), "45-54",
  B1141&gt;=55, "55+"
)</f>
        <v>55+</v>
      </c>
      <c r="D1141" t="s">
        <v>19</v>
      </c>
      <c r="E1141" t="s">
        <v>64</v>
      </c>
      <c r="F1141" t="s">
        <v>65</v>
      </c>
      <c r="G1141">
        <v>53</v>
      </c>
      <c r="H1141" t="s">
        <v>90</v>
      </c>
      <c r="I1141" t="s">
        <v>23</v>
      </c>
      <c r="J1141" t="s">
        <v>75</v>
      </c>
      <c r="K1141" t="s">
        <v>39</v>
      </c>
      <c r="L1141">
        <v>3.9</v>
      </c>
      <c r="M1141" t="s">
        <v>152</v>
      </c>
      <c r="N1141" t="s">
        <v>46</v>
      </c>
      <c r="O1141" t="s">
        <v>55</v>
      </c>
      <c r="P1141" t="s">
        <v>26</v>
      </c>
      <c r="Q1141" t="s">
        <v>26</v>
      </c>
      <c r="R1141">
        <v>42</v>
      </c>
      <c r="S1141" t="s">
        <v>59</v>
      </c>
      <c r="T1141" t="str">
        <f t="shared" si="34"/>
        <v>2-week</v>
      </c>
      <c r="U1141">
        <f>VLOOKUP(T1141,[1]tablescore!$B$3:$C$8, 2,FALSE)</f>
        <v>26</v>
      </c>
      <c r="V1141" t="str">
        <f t="shared" si="35"/>
        <v>Loyal</v>
      </c>
      <c r="W1141" t="s">
        <v>77</v>
      </c>
    </row>
    <row r="1142" spans="1:23" x14ac:dyDescent="0.25">
      <c r="A1142">
        <v>1141</v>
      </c>
      <c r="B1142">
        <v>31</v>
      </c>
      <c r="C1142" t="str" cm="1">
        <f t="array" ref="C1142">_xlfn.IFS(
  AND(B1142&gt;=18, B1142&lt;=24), "18-24",
  AND(B1142&gt;=25, B1142&lt;=34), "25-34",
  AND(B1142&gt;=35, B1142&lt;=44), "35-44",
  AND(B1142&gt;=45, B1142&lt;=54), "45-54",
  B1142&gt;=55, "55+"
)</f>
        <v>25-34</v>
      </c>
      <c r="D1142" t="s">
        <v>19</v>
      </c>
      <c r="E1142" t="s">
        <v>36</v>
      </c>
      <c r="F1142" t="s">
        <v>21</v>
      </c>
      <c r="G1142">
        <v>39</v>
      </c>
      <c r="H1142" t="s">
        <v>135</v>
      </c>
      <c r="I1142" t="s">
        <v>45</v>
      </c>
      <c r="J1142" t="s">
        <v>53</v>
      </c>
      <c r="K1142" t="s">
        <v>25</v>
      </c>
      <c r="L1142">
        <v>2.6</v>
      </c>
      <c r="M1142" t="s">
        <v>152</v>
      </c>
      <c r="N1142" t="s">
        <v>35</v>
      </c>
      <c r="O1142" t="s">
        <v>76</v>
      </c>
      <c r="P1142" t="s">
        <v>26</v>
      </c>
      <c r="Q1142" t="s">
        <v>26</v>
      </c>
      <c r="R1142">
        <v>6</v>
      </c>
      <c r="S1142" t="s">
        <v>27</v>
      </c>
      <c r="T1142" t="str">
        <f t="shared" si="34"/>
        <v>Quarterly</v>
      </c>
      <c r="U1142">
        <f>VLOOKUP(T1142,[1]tablescore!$B$3:$C$8, 2,FALSE)</f>
        <v>4</v>
      </c>
      <c r="V1142" t="str">
        <f t="shared" si="35"/>
        <v>Low Loyalty</v>
      </c>
      <c r="W1142" t="s">
        <v>97</v>
      </c>
    </row>
    <row r="1143" spans="1:23" x14ac:dyDescent="0.25">
      <c r="A1143">
        <v>1142</v>
      </c>
      <c r="B1143">
        <v>39</v>
      </c>
      <c r="C1143" t="str" cm="1">
        <f t="array" ref="C1143">_xlfn.IFS(
  AND(B1143&gt;=18, B1143&lt;=24), "18-24",
  AND(B1143&gt;=25, B1143&lt;=34), "25-34",
  AND(B1143&gt;=35, B1143&lt;=44), "35-44",
  AND(B1143&gt;=45, B1143&lt;=54), "45-54",
  B1143&gt;=55, "55+"
)</f>
        <v>35-44</v>
      </c>
      <c r="D1143" t="s">
        <v>19</v>
      </c>
      <c r="E1143" t="s">
        <v>127</v>
      </c>
      <c r="F1143" t="s">
        <v>69</v>
      </c>
      <c r="G1143">
        <v>33</v>
      </c>
      <c r="H1143" t="s">
        <v>124</v>
      </c>
      <c r="I1143" t="s">
        <v>38</v>
      </c>
      <c r="J1143" t="s">
        <v>67</v>
      </c>
      <c r="K1143" t="s">
        <v>25</v>
      </c>
      <c r="L1143">
        <v>4.7</v>
      </c>
      <c r="M1143" t="s">
        <v>152</v>
      </c>
      <c r="N1143" t="s">
        <v>59</v>
      </c>
      <c r="O1143" t="s">
        <v>47</v>
      </c>
      <c r="P1143" t="s">
        <v>26</v>
      </c>
      <c r="Q1143" t="s">
        <v>26</v>
      </c>
      <c r="R1143">
        <v>23</v>
      </c>
      <c r="S1143" t="s">
        <v>46</v>
      </c>
      <c r="T1143" t="str">
        <f t="shared" si="34"/>
        <v>2-week</v>
      </c>
      <c r="U1143">
        <f>VLOOKUP(T1143,[1]tablescore!$B$3:$C$8, 2,FALSE)</f>
        <v>26</v>
      </c>
      <c r="V1143" t="str">
        <f t="shared" si="35"/>
        <v>Loyal</v>
      </c>
      <c r="W1143" t="s">
        <v>30</v>
      </c>
    </row>
    <row r="1144" spans="1:23" x14ac:dyDescent="0.25">
      <c r="A1144">
        <v>1143</v>
      </c>
      <c r="B1144">
        <v>69</v>
      </c>
      <c r="C1144" t="str" cm="1">
        <f t="array" ref="C1144">_xlfn.IFS(
  AND(B1144&gt;=18, B1144&lt;=24), "18-24",
  AND(B1144&gt;=25, B1144&lt;=34), "25-34",
  AND(B1144&gt;=35, B1144&lt;=44), "35-44",
  AND(B1144&gt;=45, B1144&lt;=54), "45-54",
  B1144&gt;=55, "55+"
)</f>
        <v>55+</v>
      </c>
      <c r="D1144" t="s">
        <v>19</v>
      </c>
      <c r="E1144" t="s">
        <v>113</v>
      </c>
      <c r="F1144" t="s">
        <v>21</v>
      </c>
      <c r="G1144">
        <v>76</v>
      </c>
      <c r="H1144" t="s">
        <v>124</v>
      </c>
      <c r="I1144" t="s">
        <v>23</v>
      </c>
      <c r="J1144" t="s">
        <v>96</v>
      </c>
      <c r="K1144" t="s">
        <v>39</v>
      </c>
      <c r="L1144">
        <v>3.5</v>
      </c>
      <c r="M1144" t="s">
        <v>152</v>
      </c>
      <c r="N1144" t="s">
        <v>35</v>
      </c>
      <c r="O1144" t="s">
        <v>76</v>
      </c>
      <c r="P1144" t="s">
        <v>26</v>
      </c>
      <c r="Q1144" t="s">
        <v>26</v>
      </c>
      <c r="R1144">
        <v>27</v>
      </c>
      <c r="S1144" t="s">
        <v>29</v>
      </c>
      <c r="T1144" t="str">
        <f t="shared" si="34"/>
        <v>2-week</v>
      </c>
      <c r="U1144">
        <f>VLOOKUP(T1144,[1]tablescore!$B$3:$C$8, 2,FALSE)</f>
        <v>26</v>
      </c>
      <c r="V1144" t="str">
        <f t="shared" si="35"/>
        <v>Loyal</v>
      </c>
      <c r="W1144" t="s">
        <v>77</v>
      </c>
    </row>
    <row r="1145" spans="1:23" x14ac:dyDescent="0.25">
      <c r="A1145">
        <v>1144</v>
      </c>
      <c r="B1145">
        <v>68</v>
      </c>
      <c r="C1145" t="str" cm="1">
        <f t="array" ref="C1145">_xlfn.IFS(
  AND(B1145&gt;=18, B1145&lt;=24), "18-24",
  AND(B1145&gt;=25, B1145&lt;=34), "25-34",
  AND(B1145&gt;=35, B1145&lt;=44), "35-44",
  AND(B1145&gt;=45, B1145&lt;=54), "45-54",
  B1145&gt;=55, "55+"
)</f>
        <v>55+</v>
      </c>
      <c r="D1145" t="s">
        <v>19</v>
      </c>
      <c r="E1145" t="s">
        <v>132</v>
      </c>
      <c r="F1145" t="s">
        <v>43</v>
      </c>
      <c r="G1145">
        <v>23</v>
      </c>
      <c r="H1145" t="s">
        <v>107</v>
      </c>
      <c r="I1145" t="s">
        <v>23</v>
      </c>
      <c r="J1145" t="s">
        <v>86</v>
      </c>
      <c r="K1145" t="s">
        <v>25</v>
      </c>
      <c r="L1145">
        <v>4.4000000000000004</v>
      </c>
      <c r="M1145" t="s">
        <v>152</v>
      </c>
      <c r="N1145" t="s">
        <v>35</v>
      </c>
      <c r="O1145" t="s">
        <v>55</v>
      </c>
      <c r="P1145" t="s">
        <v>26</v>
      </c>
      <c r="Q1145" t="s">
        <v>26</v>
      </c>
      <c r="R1145">
        <v>43</v>
      </c>
      <c r="S1145" t="s">
        <v>46</v>
      </c>
      <c r="T1145" t="str">
        <f t="shared" si="34"/>
        <v>Quarterly</v>
      </c>
      <c r="U1145">
        <f>VLOOKUP(T1145,[1]tablescore!$B$3:$C$8, 2,FALSE)</f>
        <v>4</v>
      </c>
      <c r="V1145" t="str">
        <f t="shared" si="35"/>
        <v>Low Loyalty</v>
      </c>
      <c r="W1145" t="s">
        <v>60</v>
      </c>
    </row>
    <row r="1146" spans="1:23" x14ac:dyDescent="0.25">
      <c r="A1146">
        <v>1145</v>
      </c>
      <c r="B1146">
        <v>41</v>
      </c>
      <c r="C1146" t="str" cm="1">
        <f t="array" ref="C1146">_xlfn.IFS(
  AND(B1146&gt;=18, B1146&lt;=24), "18-24",
  AND(B1146&gt;=25, B1146&lt;=34), "25-34",
  AND(B1146&gt;=35, B1146&lt;=44), "35-44",
  AND(B1146&gt;=45, B1146&lt;=54), "45-54",
  B1146&gt;=55, "55+"
)</f>
        <v>35-44</v>
      </c>
      <c r="D1146" t="s">
        <v>19</v>
      </c>
      <c r="E1146" t="s">
        <v>36</v>
      </c>
      <c r="F1146" t="s">
        <v>21</v>
      </c>
      <c r="G1146">
        <v>54</v>
      </c>
      <c r="H1146" t="s">
        <v>126</v>
      </c>
      <c r="I1146" t="s">
        <v>38</v>
      </c>
      <c r="J1146" t="s">
        <v>129</v>
      </c>
      <c r="K1146" t="s">
        <v>58</v>
      </c>
      <c r="L1146">
        <v>4.4000000000000004</v>
      </c>
      <c r="M1146" t="s">
        <v>152</v>
      </c>
      <c r="N1146" t="s">
        <v>46</v>
      </c>
      <c r="O1146" t="s">
        <v>72</v>
      </c>
      <c r="P1146" t="s">
        <v>26</v>
      </c>
      <c r="Q1146" t="s">
        <v>26</v>
      </c>
      <c r="R1146">
        <v>25</v>
      </c>
      <c r="S1146" t="s">
        <v>34</v>
      </c>
      <c r="T1146" t="str">
        <f t="shared" si="34"/>
        <v>2-week</v>
      </c>
      <c r="U1146">
        <f>VLOOKUP(T1146,[1]tablescore!$B$3:$C$8, 2,FALSE)</f>
        <v>26</v>
      </c>
      <c r="V1146" t="str">
        <f t="shared" si="35"/>
        <v>Loyal</v>
      </c>
      <c r="W1146" t="s">
        <v>30</v>
      </c>
    </row>
    <row r="1147" spans="1:23" x14ac:dyDescent="0.25">
      <c r="A1147">
        <v>1146</v>
      </c>
      <c r="B1147">
        <v>31</v>
      </c>
      <c r="C1147" t="str" cm="1">
        <f t="array" ref="C1147">_xlfn.IFS(
  AND(B1147&gt;=18, B1147&lt;=24), "18-24",
  AND(B1147&gt;=25, B1147&lt;=34), "25-34",
  AND(B1147&gt;=35, B1147&lt;=44), "35-44",
  AND(B1147&gt;=45, B1147&lt;=54), "45-54",
  B1147&gt;=55, "55+"
)</f>
        <v>25-34</v>
      </c>
      <c r="D1147" t="s">
        <v>19</v>
      </c>
      <c r="E1147" t="s">
        <v>51</v>
      </c>
      <c r="F1147" t="s">
        <v>43</v>
      </c>
      <c r="G1147">
        <v>89</v>
      </c>
      <c r="H1147" t="s">
        <v>107</v>
      </c>
      <c r="I1147" t="s">
        <v>23</v>
      </c>
      <c r="J1147" t="s">
        <v>71</v>
      </c>
      <c r="K1147" t="s">
        <v>54</v>
      </c>
      <c r="L1147">
        <v>3</v>
      </c>
      <c r="M1147" t="s">
        <v>152</v>
      </c>
      <c r="N1147" t="s">
        <v>29</v>
      </c>
      <c r="O1147" t="s">
        <v>28</v>
      </c>
      <c r="P1147" t="s">
        <v>26</v>
      </c>
      <c r="Q1147" t="s">
        <v>26</v>
      </c>
      <c r="R1147">
        <v>30</v>
      </c>
      <c r="S1147" t="s">
        <v>35</v>
      </c>
      <c r="T1147" t="str">
        <f t="shared" si="34"/>
        <v>Quarterly</v>
      </c>
      <c r="U1147">
        <f>VLOOKUP(T1147,[1]tablescore!$B$3:$C$8, 2,FALSE)</f>
        <v>4</v>
      </c>
      <c r="V1147" t="str">
        <f t="shared" si="35"/>
        <v>Low Loyalty</v>
      </c>
      <c r="W1147" t="s">
        <v>97</v>
      </c>
    </row>
    <row r="1148" spans="1:23" x14ac:dyDescent="0.25">
      <c r="A1148">
        <v>1147</v>
      </c>
      <c r="B1148">
        <v>48</v>
      </c>
      <c r="C1148" t="str" cm="1">
        <f t="array" ref="C1148">_xlfn.IFS(
  AND(B1148&gt;=18, B1148&lt;=24), "18-24",
  AND(B1148&gt;=25, B1148&lt;=34), "25-34",
  AND(B1148&gt;=35, B1148&lt;=44), "35-44",
  AND(B1148&gt;=45, B1148&lt;=54), "45-54",
  B1148&gt;=55, "55+"
)</f>
        <v>45-54</v>
      </c>
      <c r="D1148" t="s">
        <v>19</v>
      </c>
      <c r="E1148" t="s">
        <v>51</v>
      </c>
      <c r="F1148" t="s">
        <v>43</v>
      </c>
      <c r="G1148">
        <v>38</v>
      </c>
      <c r="H1148" t="s">
        <v>148</v>
      </c>
      <c r="I1148" t="s">
        <v>45</v>
      </c>
      <c r="J1148" t="s">
        <v>129</v>
      </c>
      <c r="K1148" t="s">
        <v>54</v>
      </c>
      <c r="L1148">
        <v>4.2</v>
      </c>
      <c r="M1148" t="s">
        <v>152</v>
      </c>
      <c r="N1148" t="s">
        <v>59</v>
      </c>
      <c r="O1148" t="s">
        <v>55</v>
      </c>
      <c r="P1148" t="s">
        <v>26</v>
      </c>
      <c r="Q1148" t="s">
        <v>26</v>
      </c>
      <c r="R1148">
        <v>7</v>
      </c>
      <c r="S1148" t="s">
        <v>34</v>
      </c>
      <c r="T1148" t="str">
        <f t="shared" si="34"/>
        <v>Quarterly</v>
      </c>
      <c r="U1148">
        <f>VLOOKUP(T1148,[1]tablescore!$B$3:$C$8, 2,FALSE)</f>
        <v>4</v>
      </c>
      <c r="V1148" t="str">
        <f t="shared" si="35"/>
        <v>Low Loyalty</v>
      </c>
      <c r="W1148" t="s">
        <v>97</v>
      </c>
    </row>
    <row r="1149" spans="1:23" x14ac:dyDescent="0.25">
      <c r="A1149">
        <v>1148</v>
      </c>
      <c r="B1149">
        <v>59</v>
      </c>
      <c r="C1149" t="str" cm="1">
        <f t="array" ref="C1149">_xlfn.IFS(
  AND(B1149&gt;=18, B1149&lt;=24), "18-24",
  AND(B1149&gt;=25, B1149&lt;=34), "25-34",
  AND(B1149&gt;=35, B1149&lt;=44), "35-44",
  AND(B1149&gt;=45, B1149&lt;=54), "45-54",
  B1149&gt;=55, "55+"
)</f>
        <v>55+</v>
      </c>
      <c r="D1149" t="s">
        <v>19</v>
      </c>
      <c r="E1149" t="s">
        <v>125</v>
      </c>
      <c r="F1149" t="s">
        <v>69</v>
      </c>
      <c r="G1149">
        <v>36</v>
      </c>
      <c r="H1149" t="s">
        <v>122</v>
      </c>
      <c r="I1149" t="s">
        <v>92</v>
      </c>
      <c r="J1149" t="s">
        <v>108</v>
      </c>
      <c r="K1149" t="s">
        <v>25</v>
      </c>
      <c r="L1149">
        <v>4.3</v>
      </c>
      <c r="M1149" t="s">
        <v>152</v>
      </c>
      <c r="N1149" t="s">
        <v>46</v>
      </c>
      <c r="O1149" t="s">
        <v>47</v>
      </c>
      <c r="P1149" t="s">
        <v>26</v>
      </c>
      <c r="Q1149" t="s">
        <v>26</v>
      </c>
      <c r="R1149">
        <v>17</v>
      </c>
      <c r="S1149" t="s">
        <v>59</v>
      </c>
      <c r="T1149" t="str">
        <f t="shared" si="34"/>
        <v>Annually</v>
      </c>
      <c r="U1149">
        <f>VLOOKUP(T1149,[1]tablescore!$B$3:$C$8, 2,FALSE)</f>
        <v>1</v>
      </c>
      <c r="V1149" t="str">
        <f t="shared" si="35"/>
        <v>Low Loyalty</v>
      </c>
      <c r="W1149" t="s">
        <v>50</v>
      </c>
    </row>
    <row r="1150" spans="1:23" x14ac:dyDescent="0.25">
      <c r="A1150">
        <v>1149</v>
      </c>
      <c r="B1150">
        <v>34</v>
      </c>
      <c r="C1150" t="str" cm="1">
        <f t="array" ref="C1150">_xlfn.IFS(
  AND(B1150&gt;=18, B1150&lt;=24), "18-24",
  AND(B1150&gt;=25, B1150&lt;=34), "25-34",
  AND(B1150&gt;=35, B1150&lt;=44), "35-44",
  AND(B1150&gt;=45, B1150&lt;=54), "45-54",
  B1150&gt;=55, "55+"
)</f>
        <v>25-34</v>
      </c>
      <c r="D1150" t="s">
        <v>19</v>
      </c>
      <c r="E1150" t="s">
        <v>95</v>
      </c>
      <c r="F1150" t="s">
        <v>21</v>
      </c>
      <c r="G1150">
        <v>66</v>
      </c>
      <c r="H1150" t="s">
        <v>103</v>
      </c>
      <c r="I1150" t="s">
        <v>45</v>
      </c>
      <c r="J1150" t="s">
        <v>84</v>
      </c>
      <c r="K1150" t="s">
        <v>39</v>
      </c>
      <c r="L1150">
        <v>2.6</v>
      </c>
      <c r="M1150" t="s">
        <v>152</v>
      </c>
      <c r="N1150" t="s">
        <v>34</v>
      </c>
      <c r="O1150" t="s">
        <v>76</v>
      </c>
      <c r="P1150" t="s">
        <v>26</v>
      </c>
      <c r="Q1150" t="s">
        <v>26</v>
      </c>
      <c r="R1150">
        <v>10</v>
      </c>
      <c r="S1150" t="s">
        <v>46</v>
      </c>
      <c r="T1150" t="str">
        <f t="shared" si="34"/>
        <v>2-week</v>
      </c>
      <c r="U1150">
        <f>VLOOKUP(T1150,[1]tablescore!$B$3:$C$8, 2,FALSE)</f>
        <v>26</v>
      </c>
      <c r="V1150" t="str">
        <f t="shared" si="35"/>
        <v>Loyal</v>
      </c>
      <c r="W1150" t="s">
        <v>30</v>
      </c>
    </row>
    <row r="1151" spans="1:23" x14ac:dyDescent="0.25">
      <c r="A1151">
        <v>1150</v>
      </c>
      <c r="B1151">
        <v>21</v>
      </c>
      <c r="C1151" t="str" cm="1">
        <f t="array" ref="C1151">_xlfn.IFS(
  AND(B1151&gt;=18, B1151&lt;=24), "18-24",
  AND(B1151&gt;=25, B1151&lt;=34), "25-34",
  AND(B1151&gt;=35, B1151&lt;=44), "35-44",
  AND(B1151&gt;=45, B1151&lt;=54), "45-54",
  B1151&gt;=55, "55+"
)</f>
        <v>18-24</v>
      </c>
      <c r="D1151" t="s">
        <v>19</v>
      </c>
      <c r="E1151" t="s">
        <v>106</v>
      </c>
      <c r="F1151" t="s">
        <v>69</v>
      </c>
      <c r="G1151">
        <v>42</v>
      </c>
      <c r="H1151" t="s">
        <v>142</v>
      </c>
      <c r="I1151" t="s">
        <v>23</v>
      </c>
      <c r="J1151" t="s">
        <v>109</v>
      </c>
      <c r="K1151" t="s">
        <v>39</v>
      </c>
      <c r="L1151">
        <v>3.3</v>
      </c>
      <c r="M1151" t="s">
        <v>152</v>
      </c>
      <c r="N1151" t="s">
        <v>35</v>
      </c>
      <c r="O1151" t="s">
        <v>76</v>
      </c>
      <c r="P1151" t="s">
        <v>26</v>
      </c>
      <c r="Q1151" t="s">
        <v>26</v>
      </c>
      <c r="R1151">
        <v>40</v>
      </c>
      <c r="S1151" t="s">
        <v>29</v>
      </c>
      <c r="T1151" t="str">
        <f t="shared" si="34"/>
        <v>Annually</v>
      </c>
      <c r="U1151">
        <f>VLOOKUP(T1151,[1]tablescore!$B$3:$C$8, 2,FALSE)</f>
        <v>1</v>
      </c>
      <c r="V1151" t="str">
        <f t="shared" si="35"/>
        <v>Low Loyalty</v>
      </c>
      <c r="W1151" t="s">
        <v>50</v>
      </c>
    </row>
    <row r="1152" spans="1:23" x14ac:dyDescent="0.25">
      <c r="A1152">
        <v>1151</v>
      </c>
      <c r="B1152">
        <v>29</v>
      </c>
      <c r="C1152" t="str" cm="1">
        <f t="array" ref="C1152">_xlfn.IFS(
  AND(B1152&gt;=18, B1152&lt;=24), "18-24",
  AND(B1152&gt;=25, B1152&lt;=34), "25-34",
  AND(B1152&gt;=35, B1152&lt;=44), "35-44",
  AND(B1152&gt;=45, B1152&lt;=54), "45-54",
  B1152&gt;=55, "55+"
)</f>
        <v>25-34</v>
      </c>
      <c r="D1152" t="s">
        <v>19</v>
      </c>
      <c r="E1152" t="s">
        <v>106</v>
      </c>
      <c r="F1152" t="s">
        <v>69</v>
      </c>
      <c r="G1152">
        <v>36</v>
      </c>
      <c r="H1152" t="s">
        <v>22</v>
      </c>
      <c r="I1152" t="s">
        <v>38</v>
      </c>
      <c r="J1152" t="s">
        <v>108</v>
      </c>
      <c r="K1152" t="s">
        <v>25</v>
      </c>
      <c r="L1152">
        <v>2.7</v>
      </c>
      <c r="M1152" t="s">
        <v>152</v>
      </c>
      <c r="N1152" t="s">
        <v>59</v>
      </c>
      <c r="O1152" t="s">
        <v>47</v>
      </c>
      <c r="P1152" t="s">
        <v>26</v>
      </c>
      <c r="Q1152" t="s">
        <v>26</v>
      </c>
      <c r="R1152">
        <v>50</v>
      </c>
      <c r="S1152" t="s">
        <v>29</v>
      </c>
      <c r="T1152" t="str">
        <f t="shared" si="34"/>
        <v>2-week</v>
      </c>
      <c r="U1152">
        <f>VLOOKUP(T1152,[1]tablescore!$B$3:$C$8, 2,FALSE)</f>
        <v>26</v>
      </c>
      <c r="V1152" t="str">
        <f t="shared" si="35"/>
        <v>Loyal</v>
      </c>
      <c r="W1152" t="s">
        <v>77</v>
      </c>
    </row>
    <row r="1153" spans="1:23" x14ac:dyDescent="0.25">
      <c r="A1153">
        <v>1152</v>
      </c>
      <c r="B1153">
        <v>41</v>
      </c>
      <c r="C1153" t="str" cm="1">
        <f t="array" ref="C1153">_xlfn.IFS(
  AND(B1153&gt;=18, B1153&lt;=24), "18-24",
  AND(B1153&gt;=25, B1153&lt;=34), "25-34",
  AND(B1153&gt;=35, B1153&lt;=44), "35-44",
  AND(B1153&gt;=45, B1153&lt;=54), "45-54",
  B1153&gt;=55, "55+"
)</f>
        <v>35-44</v>
      </c>
      <c r="D1153" t="s">
        <v>19</v>
      </c>
      <c r="E1153" t="s">
        <v>20</v>
      </c>
      <c r="F1153" t="s">
        <v>21</v>
      </c>
      <c r="G1153">
        <v>86</v>
      </c>
      <c r="H1153" t="s">
        <v>124</v>
      </c>
      <c r="I1153" t="s">
        <v>45</v>
      </c>
      <c r="J1153" t="s">
        <v>24</v>
      </c>
      <c r="K1153" t="s">
        <v>39</v>
      </c>
      <c r="L1153">
        <v>4.2</v>
      </c>
      <c r="M1153" t="s">
        <v>152</v>
      </c>
      <c r="N1153" t="s">
        <v>34</v>
      </c>
      <c r="O1153" t="s">
        <v>28</v>
      </c>
      <c r="P1153" t="s">
        <v>26</v>
      </c>
      <c r="Q1153" t="s">
        <v>26</v>
      </c>
      <c r="R1153">
        <v>24</v>
      </c>
      <c r="S1153" t="s">
        <v>27</v>
      </c>
      <c r="T1153" t="str">
        <f t="shared" si="34"/>
        <v>Daily</v>
      </c>
      <c r="U1153">
        <f>VLOOKUP(T1153,[1]tablescore!$B$3:$C$8, 2,FALSE)</f>
        <v>30</v>
      </c>
      <c r="V1153" t="str">
        <f t="shared" si="35"/>
        <v>Highly Loyal</v>
      </c>
      <c r="W1153" t="s">
        <v>41</v>
      </c>
    </row>
    <row r="1154" spans="1:23" x14ac:dyDescent="0.25">
      <c r="A1154">
        <v>1153</v>
      </c>
      <c r="B1154">
        <v>62</v>
      </c>
      <c r="C1154" t="str" cm="1">
        <f t="array" ref="C1154">_xlfn.IFS(
  AND(B1154&gt;=18, B1154&lt;=24), "18-24",
  AND(B1154&gt;=25, B1154&lt;=34), "25-34",
  AND(B1154&gt;=35, B1154&lt;=44), "35-44",
  AND(B1154&gt;=45, B1154&lt;=54), "45-54",
  B1154&gt;=55, "55+"
)</f>
        <v>55+</v>
      </c>
      <c r="D1154" t="s">
        <v>19</v>
      </c>
      <c r="E1154" t="s">
        <v>68</v>
      </c>
      <c r="F1154" t="s">
        <v>69</v>
      </c>
      <c r="G1154">
        <v>49</v>
      </c>
      <c r="H1154" t="s">
        <v>146</v>
      </c>
      <c r="I1154" t="s">
        <v>45</v>
      </c>
      <c r="J1154" t="s">
        <v>81</v>
      </c>
      <c r="K1154" t="s">
        <v>58</v>
      </c>
      <c r="L1154">
        <v>4</v>
      </c>
      <c r="M1154" t="s">
        <v>152</v>
      </c>
      <c r="N1154" t="s">
        <v>35</v>
      </c>
      <c r="O1154" t="s">
        <v>55</v>
      </c>
      <c r="P1154" t="s">
        <v>26</v>
      </c>
      <c r="Q1154" t="s">
        <v>26</v>
      </c>
      <c r="R1154">
        <v>8</v>
      </c>
      <c r="S1154" t="s">
        <v>46</v>
      </c>
      <c r="T1154" t="str">
        <f t="shared" si="34"/>
        <v>Quarterly</v>
      </c>
      <c r="U1154">
        <f>VLOOKUP(T1154,[1]tablescore!$B$3:$C$8, 2,FALSE)</f>
        <v>4</v>
      </c>
      <c r="V1154" t="str">
        <f t="shared" si="35"/>
        <v>Low Loyalty</v>
      </c>
      <c r="W1154" t="s">
        <v>97</v>
      </c>
    </row>
    <row r="1155" spans="1:23" x14ac:dyDescent="0.25">
      <c r="A1155">
        <v>1154</v>
      </c>
      <c r="B1155">
        <v>27</v>
      </c>
      <c r="C1155" t="str" cm="1">
        <f t="array" ref="C1155">_xlfn.IFS(
  AND(B1155&gt;=18, B1155&lt;=24), "18-24",
  AND(B1155&gt;=25, B1155&lt;=34), "25-34",
  AND(B1155&gt;=35, B1155&lt;=44), "35-44",
  AND(B1155&gt;=45, B1155&lt;=54), "45-54",
  B1155&gt;=55, "55+"
)</f>
        <v>25-34</v>
      </c>
      <c r="D1155" t="s">
        <v>19</v>
      </c>
      <c r="E1155" t="s">
        <v>56</v>
      </c>
      <c r="F1155" t="s">
        <v>21</v>
      </c>
      <c r="G1155">
        <v>41</v>
      </c>
      <c r="H1155" t="s">
        <v>144</v>
      </c>
      <c r="I1155" t="s">
        <v>45</v>
      </c>
      <c r="J1155" t="s">
        <v>71</v>
      </c>
      <c r="K1155" t="s">
        <v>54</v>
      </c>
      <c r="L1155">
        <v>4</v>
      </c>
      <c r="M1155" t="s">
        <v>152</v>
      </c>
      <c r="N1155" t="s">
        <v>46</v>
      </c>
      <c r="O1155" t="s">
        <v>40</v>
      </c>
      <c r="P1155" t="s">
        <v>26</v>
      </c>
      <c r="Q1155" t="s">
        <v>26</v>
      </c>
      <c r="R1155">
        <v>6</v>
      </c>
      <c r="S1155" t="s">
        <v>34</v>
      </c>
      <c r="T1155" t="str">
        <f t="shared" ref="T1155:T1218" si="36">IF(TRIM(W1155)="Every 3 months","Quarterly",IF(TRIM(W1155)="Fortnightly","2-week",IF(TRIM(W1155)="Bi-Weekly","2-week",IF(TRIM(W1155)="Weekly","Daily",IF(TRIM(W1155)="Monthly","Month",TRIM(W1155))))))</f>
        <v>Quarterly</v>
      </c>
      <c r="U1155">
        <f>VLOOKUP(T1155,[1]tablescore!$B$3:$C$8, 2,FALSE)</f>
        <v>4</v>
      </c>
      <c r="V1155" t="str">
        <f t="shared" ref="V1155:V1218" si="37">_xlfn.IFS(U1155&gt;=30, "Highly Loyal", U1155&gt;=26, "Loyal", U1155&gt;=12, "Moderate", U1155&lt;5, "Low Loyalty")</f>
        <v>Low Loyalty</v>
      </c>
      <c r="W1155" t="s">
        <v>60</v>
      </c>
    </row>
    <row r="1156" spans="1:23" x14ac:dyDescent="0.25">
      <c r="A1156">
        <v>1155</v>
      </c>
      <c r="B1156">
        <v>49</v>
      </c>
      <c r="C1156" t="str" cm="1">
        <f t="array" ref="C1156">_xlfn.IFS(
  AND(B1156&gt;=18, B1156&lt;=24), "18-24",
  AND(B1156&gt;=25, B1156&lt;=34), "25-34",
  AND(B1156&gt;=35, B1156&lt;=44), "35-44",
  AND(B1156&gt;=45, B1156&lt;=54), "45-54",
  B1156&gt;=55, "55+"
)</f>
        <v>45-54</v>
      </c>
      <c r="D1156" t="s">
        <v>19</v>
      </c>
      <c r="E1156" t="s">
        <v>82</v>
      </c>
      <c r="F1156" t="s">
        <v>21</v>
      </c>
      <c r="G1156">
        <v>82</v>
      </c>
      <c r="H1156" t="s">
        <v>142</v>
      </c>
      <c r="I1156" t="s">
        <v>23</v>
      </c>
      <c r="J1156" t="s">
        <v>109</v>
      </c>
      <c r="K1156" t="s">
        <v>39</v>
      </c>
      <c r="L1156">
        <v>2.9</v>
      </c>
      <c r="M1156" t="s">
        <v>152</v>
      </c>
      <c r="N1156" t="s">
        <v>29</v>
      </c>
      <c r="O1156" t="s">
        <v>72</v>
      </c>
      <c r="P1156" t="s">
        <v>26</v>
      </c>
      <c r="Q1156" t="s">
        <v>26</v>
      </c>
      <c r="R1156">
        <v>44</v>
      </c>
      <c r="S1156" t="s">
        <v>27</v>
      </c>
      <c r="T1156" t="str">
        <f t="shared" si="36"/>
        <v>2-week</v>
      </c>
      <c r="U1156">
        <f>VLOOKUP(T1156,[1]tablescore!$B$3:$C$8, 2,FALSE)</f>
        <v>26</v>
      </c>
      <c r="V1156" t="str">
        <f t="shared" si="37"/>
        <v>Loyal</v>
      </c>
      <c r="W1156" t="s">
        <v>77</v>
      </c>
    </row>
    <row r="1157" spans="1:23" x14ac:dyDescent="0.25">
      <c r="A1157">
        <v>1156</v>
      </c>
      <c r="B1157">
        <v>67</v>
      </c>
      <c r="C1157" t="str" cm="1">
        <f t="array" ref="C1157">_xlfn.IFS(
  AND(B1157&gt;=18, B1157&lt;=24), "18-24",
  AND(B1157&gt;=25, B1157&lt;=34), "25-34",
  AND(B1157&gt;=35, B1157&lt;=44), "35-44",
  AND(B1157&gt;=45, B1157&lt;=54), "45-54",
  B1157&gt;=55, "55+"
)</f>
        <v>55+</v>
      </c>
      <c r="D1157" t="s">
        <v>19</v>
      </c>
      <c r="E1157" t="s">
        <v>113</v>
      </c>
      <c r="F1157" t="s">
        <v>21</v>
      </c>
      <c r="G1157">
        <v>53</v>
      </c>
      <c r="H1157" t="s">
        <v>122</v>
      </c>
      <c r="I1157" t="s">
        <v>38</v>
      </c>
      <c r="J1157" t="s">
        <v>108</v>
      </c>
      <c r="K1157" t="s">
        <v>58</v>
      </c>
      <c r="L1157">
        <v>2.6</v>
      </c>
      <c r="M1157" t="s">
        <v>152</v>
      </c>
      <c r="N1157" t="s">
        <v>59</v>
      </c>
      <c r="O1157" t="s">
        <v>28</v>
      </c>
      <c r="P1157" t="s">
        <v>26</v>
      </c>
      <c r="Q1157" t="s">
        <v>26</v>
      </c>
      <c r="R1157">
        <v>47</v>
      </c>
      <c r="S1157" t="s">
        <v>46</v>
      </c>
      <c r="T1157" t="str">
        <f t="shared" si="36"/>
        <v>Quarterly</v>
      </c>
      <c r="U1157">
        <f>VLOOKUP(T1157,[1]tablescore!$B$3:$C$8, 2,FALSE)</f>
        <v>4</v>
      </c>
      <c r="V1157" t="str">
        <f t="shared" si="37"/>
        <v>Low Loyalty</v>
      </c>
      <c r="W1157" t="s">
        <v>60</v>
      </c>
    </row>
    <row r="1158" spans="1:23" x14ac:dyDescent="0.25">
      <c r="A1158">
        <v>1157</v>
      </c>
      <c r="B1158">
        <v>20</v>
      </c>
      <c r="C1158" t="str" cm="1">
        <f t="array" ref="C1158">_xlfn.IFS(
  AND(B1158&gt;=18, B1158&lt;=24), "18-24",
  AND(B1158&gt;=25, B1158&lt;=34), "25-34",
  AND(B1158&gt;=35, B1158&lt;=44), "35-44",
  AND(B1158&gt;=45, B1158&lt;=54), "45-54",
  B1158&gt;=55, "55+"
)</f>
        <v>18-24</v>
      </c>
      <c r="D1158" t="s">
        <v>19</v>
      </c>
      <c r="E1158" t="s">
        <v>73</v>
      </c>
      <c r="F1158" t="s">
        <v>43</v>
      </c>
      <c r="G1158">
        <v>21</v>
      </c>
      <c r="H1158" t="s">
        <v>78</v>
      </c>
      <c r="I1158" t="s">
        <v>45</v>
      </c>
      <c r="J1158" t="s">
        <v>81</v>
      </c>
      <c r="K1158" t="s">
        <v>54</v>
      </c>
      <c r="L1158">
        <v>4.8</v>
      </c>
      <c r="M1158" t="s">
        <v>152</v>
      </c>
      <c r="N1158" t="s">
        <v>46</v>
      </c>
      <c r="O1158" t="s">
        <v>28</v>
      </c>
      <c r="P1158" t="s">
        <v>26</v>
      </c>
      <c r="Q1158" t="s">
        <v>26</v>
      </c>
      <c r="R1158">
        <v>6</v>
      </c>
      <c r="S1158" t="s">
        <v>29</v>
      </c>
      <c r="T1158" t="str">
        <f t="shared" si="36"/>
        <v>Quarterly</v>
      </c>
      <c r="U1158">
        <f>VLOOKUP(T1158,[1]tablescore!$B$3:$C$8, 2,FALSE)</f>
        <v>4</v>
      </c>
      <c r="V1158" t="str">
        <f t="shared" si="37"/>
        <v>Low Loyalty</v>
      </c>
      <c r="W1158" t="s">
        <v>97</v>
      </c>
    </row>
    <row r="1159" spans="1:23" x14ac:dyDescent="0.25">
      <c r="A1159">
        <v>1158</v>
      </c>
      <c r="B1159">
        <v>37</v>
      </c>
      <c r="C1159" t="str" cm="1">
        <f t="array" ref="C1159">_xlfn.IFS(
  AND(B1159&gt;=18, B1159&lt;=24), "18-24",
  AND(B1159&gt;=25, B1159&lt;=34), "25-34",
  AND(B1159&gt;=35, B1159&lt;=44), "35-44",
  AND(B1159&gt;=45, B1159&lt;=54), "45-54",
  B1159&gt;=55, "55+"
)</f>
        <v>35-44</v>
      </c>
      <c r="D1159" t="s">
        <v>19</v>
      </c>
      <c r="E1159" t="s">
        <v>136</v>
      </c>
      <c r="F1159" t="s">
        <v>69</v>
      </c>
      <c r="G1159">
        <v>66</v>
      </c>
      <c r="H1159" t="s">
        <v>135</v>
      </c>
      <c r="I1159" t="s">
        <v>45</v>
      </c>
      <c r="J1159" t="s">
        <v>63</v>
      </c>
      <c r="K1159" t="s">
        <v>58</v>
      </c>
      <c r="L1159">
        <v>4.4000000000000004</v>
      </c>
      <c r="M1159" t="s">
        <v>152</v>
      </c>
      <c r="N1159" t="s">
        <v>27</v>
      </c>
      <c r="O1159" t="s">
        <v>55</v>
      </c>
      <c r="P1159" t="s">
        <v>26</v>
      </c>
      <c r="Q1159" t="s">
        <v>26</v>
      </c>
      <c r="R1159">
        <v>11</v>
      </c>
      <c r="S1159" t="s">
        <v>35</v>
      </c>
      <c r="T1159" t="str">
        <f t="shared" si="36"/>
        <v>Quarterly</v>
      </c>
      <c r="U1159">
        <f>VLOOKUP(T1159,[1]tablescore!$B$3:$C$8, 2,FALSE)</f>
        <v>4</v>
      </c>
      <c r="V1159" t="str">
        <f t="shared" si="37"/>
        <v>Low Loyalty</v>
      </c>
      <c r="W1159" t="s">
        <v>60</v>
      </c>
    </row>
    <row r="1160" spans="1:23" x14ac:dyDescent="0.25">
      <c r="A1160">
        <v>1159</v>
      </c>
      <c r="B1160">
        <v>69</v>
      </c>
      <c r="C1160" t="str" cm="1">
        <f t="array" ref="C1160">_xlfn.IFS(
  AND(B1160&gt;=18, B1160&lt;=24), "18-24",
  AND(B1160&gt;=25, B1160&lt;=34), "25-34",
  AND(B1160&gt;=35, B1160&lt;=44), "35-44",
  AND(B1160&gt;=45, B1160&lt;=54), "45-54",
  B1160&gt;=55, "55+"
)</f>
        <v>55+</v>
      </c>
      <c r="D1160" t="s">
        <v>19</v>
      </c>
      <c r="E1160" t="s">
        <v>136</v>
      </c>
      <c r="F1160" t="s">
        <v>69</v>
      </c>
      <c r="G1160">
        <v>89</v>
      </c>
      <c r="H1160" t="s">
        <v>107</v>
      </c>
      <c r="I1160" t="s">
        <v>23</v>
      </c>
      <c r="J1160" t="s">
        <v>121</v>
      </c>
      <c r="K1160" t="s">
        <v>54</v>
      </c>
      <c r="L1160">
        <v>4</v>
      </c>
      <c r="M1160" t="s">
        <v>152</v>
      </c>
      <c r="N1160" t="s">
        <v>29</v>
      </c>
      <c r="O1160" t="s">
        <v>72</v>
      </c>
      <c r="P1160" t="s">
        <v>26</v>
      </c>
      <c r="Q1160" t="s">
        <v>26</v>
      </c>
      <c r="R1160">
        <v>41</v>
      </c>
      <c r="S1160" t="s">
        <v>34</v>
      </c>
      <c r="T1160" t="str">
        <f t="shared" si="36"/>
        <v>Annually</v>
      </c>
      <c r="U1160">
        <f>VLOOKUP(T1160,[1]tablescore!$B$3:$C$8, 2,FALSE)</f>
        <v>1</v>
      </c>
      <c r="V1160" t="str">
        <f t="shared" si="37"/>
        <v>Low Loyalty</v>
      </c>
      <c r="W1160" t="s">
        <v>50</v>
      </c>
    </row>
    <row r="1161" spans="1:23" x14ac:dyDescent="0.25">
      <c r="A1161">
        <v>1160</v>
      </c>
      <c r="B1161">
        <v>66</v>
      </c>
      <c r="C1161" t="str" cm="1">
        <f t="array" ref="C1161">_xlfn.IFS(
  AND(B1161&gt;=18, B1161&lt;=24), "18-24",
  AND(B1161&gt;=25, B1161&lt;=34), "25-34",
  AND(B1161&gt;=35, B1161&lt;=44), "35-44",
  AND(B1161&gt;=45, B1161&lt;=54), "45-54",
  B1161&gt;=55, "55+"
)</f>
        <v>55+</v>
      </c>
      <c r="D1161" t="s">
        <v>19</v>
      </c>
      <c r="E1161" t="s">
        <v>68</v>
      </c>
      <c r="F1161" t="s">
        <v>69</v>
      </c>
      <c r="G1161">
        <v>55</v>
      </c>
      <c r="H1161" t="s">
        <v>83</v>
      </c>
      <c r="I1161" t="s">
        <v>23</v>
      </c>
      <c r="J1161" t="s">
        <v>138</v>
      </c>
      <c r="K1161" t="s">
        <v>58</v>
      </c>
      <c r="L1161">
        <v>3.6</v>
      </c>
      <c r="M1161" t="s">
        <v>152</v>
      </c>
      <c r="N1161" t="s">
        <v>59</v>
      </c>
      <c r="O1161" t="s">
        <v>72</v>
      </c>
      <c r="P1161" t="s">
        <v>26</v>
      </c>
      <c r="Q1161" t="s">
        <v>26</v>
      </c>
      <c r="R1161">
        <v>46</v>
      </c>
      <c r="S1161" t="s">
        <v>29</v>
      </c>
      <c r="T1161" t="str">
        <f t="shared" si="36"/>
        <v>Quarterly</v>
      </c>
      <c r="U1161">
        <f>VLOOKUP(T1161,[1]tablescore!$B$3:$C$8, 2,FALSE)</f>
        <v>4</v>
      </c>
      <c r="V1161" t="str">
        <f t="shared" si="37"/>
        <v>Low Loyalty</v>
      </c>
      <c r="W1161" t="s">
        <v>97</v>
      </c>
    </row>
    <row r="1162" spans="1:23" x14ac:dyDescent="0.25">
      <c r="A1162">
        <v>1161</v>
      </c>
      <c r="B1162">
        <v>37</v>
      </c>
      <c r="C1162" t="str" cm="1">
        <f t="array" ref="C1162">_xlfn.IFS(
  AND(B1162&gt;=18, B1162&lt;=24), "18-24",
  AND(B1162&gt;=25, B1162&lt;=34), "25-34",
  AND(B1162&gt;=35, B1162&lt;=44), "35-44",
  AND(B1162&gt;=45, B1162&lt;=54), "45-54",
  B1162&gt;=55, "55+"
)</f>
        <v>35-44</v>
      </c>
      <c r="D1162" t="s">
        <v>19</v>
      </c>
      <c r="E1162" t="s">
        <v>119</v>
      </c>
      <c r="F1162" t="s">
        <v>69</v>
      </c>
      <c r="G1162">
        <v>42</v>
      </c>
      <c r="H1162" t="s">
        <v>114</v>
      </c>
      <c r="I1162" t="s">
        <v>38</v>
      </c>
      <c r="J1162" t="s">
        <v>138</v>
      </c>
      <c r="K1162" t="s">
        <v>54</v>
      </c>
      <c r="L1162">
        <v>3.2</v>
      </c>
      <c r="M1162" t="s">
        <v>152</v>
      </c>
      <c r="N1162" t="s">
        <v>35</v>
      </c>
      <c r="O1162" t="s">
        <v>47</v>
      </c>
      <c r="P1162" t="s">
        <v>26</v>
      </c>
      <c r="Q1162" t="s">
        <v>26</v>
      </c>
      <c r="R1162">
        <v>9</v>
      </c>
      <c r="S1162" t="s">
        <v>29</v>
      </c>
      <c r="T1162" t="str">
        <f t="shared" si="36"/>
        <v>2-week</v>
      </c>
      <c r="U1162">
        <f>VLOOKUP(T1162,[1]tablescore!$B$3:$C$8, 2,FALSE)</f>
        <v>26</v>
      </c>
      <c r="V1162" t="str">
        <f t="shared" si="37"/>
        <v>Loyal</v>
      </c>
      <c r="W1162" t="s">
        <v>77</v>
      </c>
    </row>
    <row r="1163" spans="1:23" x14ac:dyDescent="0.25">
      <c r="A1163">
        <v>1162</v>
      </c>
      <c r="B1163">
        <v>63</v>
      </c>
      <c r="C1163" t="str" cm="1">
        <f t="array" ref="C1163">_xlfn.IFS(
  AND(B1163&gt;=18, B1163&lt;=24), "18-24",
  AND(B1163&gt;=25, B1163&lt;=34), "25-34",
  AND(B1163&gt;=35, B1163&lt;=44), "35-44",
  AND(B1163&gt;=45, B1163&lt;=54), "45-54",
  B1163&gt;=55, "55+"
)</f>
        <v>55+</v>
      </c>
      <c r="D1163" t="s">
        <v>19</v>
      </c>
      <c r="E1163" t="s">
        <v>61</v>
      </c>
      <c r="F1163" t="s">
        <v>21</v>
      </c>
      <c r="G1163">
        <v>52</v>
      </c>
      <c r="H1163" t="s">
        <v>101</v>
      </c>
      <c r="I1163" t="s">
        <v>38</v>
      </c>
      <c r="J1163" t="s">
        <v>121</v>
      </c>
      <c r="K1163" t="s">
        <v>58</v>
      </c>
      <c r="L1163">
        <v>3.1</v>
      </c>
      <c r="M1163" t="s">
        <v>152</v>
      </c>
      <c r="N1163" t="s">
        <v>34</v>
      </c>
      <c r="O1163" t="s">
        <v>72</v>
      </c>
      <c r="P1163" t="s">
        <v>26</v>
      </c>
      <c r="Q1163" t="s">
        <v>26</v>
      </c>
      <c r="R1163">
        <v>37</v>
      </c>
      <c r="S1163" t="s">
        <v>46</v>
      </c>
      <c r="T1163" t="str">
        <f t="shared" si="36"/>
        <v>Month</v>
      </c>
      <c r="U1163">
        <f>VLOOKUP(T1163,[1]tablescore!$B$3:$C$8, 2,FALSE)</f>
        <v>12</v>
      </c>
      <c r="V1163" t="str">
        <f t="shared" si="37"/>
        <v>Moderate</v>
      </c>
      <c r="W1163" t="s">
        <v>88</v>
      </c>
    </row>
    <row r="1164" spans="1:23" x14ac:dyDescent="0.25">
      <c r="A1164">
        <v>1163</v>
      </c>
      <c r="B1164">
        <v>47</v>
      </c>
      <c r="C1164" t="str" cm="1">
        <f t="array" ref="C1164">_xlfn.IFS(
  AND(B1164&gt;=18, B1164&lt;=24), "18-24",
  AND(B1164&gt;=25, B1164&lt;=34), "25-34",
  AND(B1164&gt;=35, B1164&lt;=44), "35-44",
  AND(B1164&gt;=45, B1164&lt;=54), "45-54",
  B1164&gt;=55, "55+"
)</f>
        <v>45-54</v>
      </c>
      <c r="D1164" t="s">
        <v>19</v>
      </c>
      <c r="E1164" t="s">
        <v>42</v>
      </c>
      <c r="F1164" t="s">
        <v>43</v>
      </c>
      <c r="G1164">
        <v>92</v>
      </c>
      <c r="H1164" t="s">
        <v>98</v>
      </c>
      <c r="I1164" t="s">
        <v>45</v>
      </c>
      <c r="J1164" t="s">
        <v>138</v>
      </c>
      <c r="K1164" t="s">
        <v>25</v>
      </c>
      <c r="L1164">
        <v>4.2</v>
      </c>
      <c r="M1164" t="s">
        <v>152</v>
      </c>
      <c r="N1164" t="s">
        <v>29</v>
      </c>
      <c r="O1164" t="s">
        <v>28</v>
      </c>
      <c r="P1164" t="s">
        <v>26</v>
      </c>
      <c r="Q1164" t="s">
        <v>26</v>
      </c>
      <c r="R1164">
        <v>13</v>
      </c>
      <c r="S1164" t="s">
        <v>46</v>
      </c>
      <c r="T1164" t="str">
        <f t="shared" si="36"/>
        <v>Daily</v>
      </c>
      <c r="U1164">
        <f>VLOOKUP(T1164,[1]tablescore!$B$3:$C$8, 2,FALSE)</f>
        <v>30</v>
      </c>
      <c r="V1164" t="str">
        <f t="shared" si="37"/>
        <v>Highly Loyal</v>
      </c>
      <c r="W1164" t="s">
        <v>41</v>
      </c>
    </row>
    <row r="1165" spans="1:23" x14ac:dyDescent="0.25">
      <c r="A1165">
        <v>1164</v>
      </c>
      <c r="B1165">
        <v>26</v>
      </c>
      <c r="C1165" t="str" cm="1">
        <f t="array" ref="C1165">_xlfn.IFS(
  AND(B1165&gt;=18, B1165&lt;=24), "18-24",
  AND(B1165&gt;=25, B1165&lt;=34), "25-34",
  AND(B1165&gt;=35, B1165&lt;=44), "35-44",
  AND(B1165&gt;=45, B1165&lt;=54), "45-54",
  B1165&gt;=55, "55+"
)</f>
        <v>25-34</v>
      </c>
      <c r="D1165" t="s">
        <v>19</v>
      </c>
      <c r="E1165" t="s">
        <v>95</v>
      </c>
      <c r="F1165" t="s">
        <v>21</v>
      </c>
      <c r="G1165">
        <v>56</v>
      </c>
      <c r="H1165" t="s">
        <v>122</v>
      </c>
      <c r="I1165" t="s">
        <v>23</v>
      </c>
      <c r="J1165" t="s">
        <v>53</v>
      </c>
      <c r="K1165" t="s">
        <v>54</v>
      </c>
      <c r="L1165">
        <v>3</v>
      </c>
      <c r="M1165" t="s">
        <v>152</v>
      </c>
      <c r="N1165" t="s">
        <v>27</v>
      </c>
      <c r="O1165" t="s">
        <v>72</v>
      </c>
      <c r="P1165" t="s">
        <v>26</v>
      </c>
      <c r="Q1165" t="s">
        <v>26</v>
      </c>
      <c r="R1165">
        <v>24</v>
      </c>
      <c r="S1165" t="s">
        <v>59</v>
      </c>
      <c r="T1165" t="str">
        <f t="shared" si="36"/>
        <v>Month</v>
      </c>
      <c r="U1165">
        <f>VLOOKUP(T1165,[1]tablescore!$B$3:$C$8, 2,FALSE)</f>
        <v>12</v>
      </c>
      <c r="V1165" t="str">
        <f t="shared" si="37"/>
        <v>Moderate</v>
      </c>
      <c r="W1165" t="s">
        <v>88</v>
      </c>
    </row>
    <row r="1166" spans="1:23" x14ac:dyDescent="0.25">
      <c r="A1166">
        <v>1165</v>
      </c>
      <c r="B1166">
        <v>68</v>
      </c>
      <c r="C1166" t="str" cm="1">
        <f t="array" ref="C1166">_xlfn.IFS(
  AND(B1166&gt;=18, B1166&lt;=24), "18-24",
  AND(B1166&gt;=25, B1166&lt;=34), "25-34",
  AND(B1166&gt;=35, B1166&lt;=44), "35-44",
  AND(B1166&gt;=45, B1166&lt;=54), "45-54",
  B1166&gt;=55, "55+"
)</f>
        <v>55+</v>
      </c>
      <c r="D1166" t="s">
        <v>19</v>
      </c>
      <c r="E1166" t="s">
        <v>82</v>
      </c>
      <c r="F1166" t="s">
        <v>21</v>
      </c>
      <c r="G1166">
        <v>96</v>
      </c>
      <c r="H1166" t="s">
        <v>57</v>
      </c>
      <c r="I1166" t="s">
        <v>45</v>
      </c>
      <c r="J1166" t="s">
        <v>96</v>
      </c>
      <c r="K1166" t="s">
        <v>25</v>
      </c>
      <c r="L1166">
        <v>4.2</v>
      </c>
      <c r="M1166" t="s">
        <v>152</v>
      </c>
      <c r="N1166" t="s">
        <v>27</v>
      </c>
      <c r="O1166" t="s">
        <v>55</v>
      </c>
      <c r="P1166" t="s">
        <v>26</v>
      </c>
      <c r="Q1166" t="s">
        <v>26</v>
      </c>
      <c r="R1166">
        <v>47</v>
      </c>
      <c r="S1166" t="s">
        <v>46</v>
      </c>
      <c r="T1166" t="str">
        <f t="shared" si="36"/>
        <v>Quarterly</v>
      </c>
      <c r="U1166">
        <f>VLOOKUP(T1166,[1]tablescore!$B$3:$C$8, 2,FALSE)</f>
        <v>4</v>
      </c>
      <c r="V1166" t="str">
        <f t="shared" si="37"/>
        <v>Low Loyalty</v>
      </c>
      <c r="W1166" t="s">
        <v>60</v>
      </c>
    </row>
    <row r="1167" spans="1:23" x14ac:dyDescent="0.25">
      <c r="A1167">
        <v>1166</v>
      </c>
      <c r="B1167">
        <v>51</v>
      </c>
      <c r="C1167" t="str" cm="1">
        <f t="array" ref="C1167">_xlfn.IFS(
  AND(B1167&gt;=18, B1167&lt;=24), "18-24",
  AND(B1167&gt;=25, B1167&lt;=34), "25-34",
  AND(B1167&gt;=35, B1167&lt;=44), "35-44",
  AND(B1167&gt;=45, B1167&lt;=54), "45-54",
  B1167&gt;=55, "55+"
)</f>
        <v>45-54</v>
      </c>
      <c r="D1167" t="s">
        <v>19</v>
      </c>
      <c r="E1167" t="s">
        <v>113</v>
      </c>
      <c r="F1167" t="s">
        <v>21</v>
      </c>
      <c r="G1167">
        <v>64</v>
      </c>
      <c r="H1167" t="s">
        <v>148</v>
      </c>
      <c r="I1167" t="s">
        <v>45</v>
      </c>
      <c r="J1167" t="s">
        <v>67</v>
      </c>
      <c r="K1167" t="s">
        <v>25</v>
      </c>
      <c r="L1167">
        <v>2.9</v>
      </c>
      <c r="M1167" t="s">
        <v>152</v>
      </c>
      <c r="N1167" t="s">
        <v>35</v>
      </c>
      <c r="O1167" t="s">
        <v>47</v>
      </c>
      <c r="P1167" t="s">
        <v>26</v>
      </c>
      <c r="Q1167" t="s">
        <v>26</v>
      </c>
      <c r="R1167">
        <v>21</v>
      </c>
      <c r="S1167" t="s">
        <v>29</v>
      </c>
      <c r="T1167" t="str">
        <f t="shared" si="36"/>
        <v>Quarterly</v>
      </c>
      <c r="U1167">
        <f>VLOOKUP(T1167,[1]tablescore!$B$3:$C$8, 2,FALSE)</f>
        <v>4</v>
      </c>
      <c r="V1167" t="str">
        <f t="shared" si="37"/>
        <v>Low Loyalty</v>
      </c>
      <c r="W1167" t="s">
        <v>97</v>
      </c>
    </row>
    <row r="1168" spans="1:23" x14ac:dyDescent="0.25">
      <c r="A1168">
        <v>1167</v>
      </c>
      <c r="B1168">
        <v>48</v>
      </c>
      <c r="C1168" t="str" cm="1">
        <f t="array" ref="C1168">_xlfn.IFS(
  AND(B1168&gt;=18, B1168&lt;=24), "18-24",
  AND(B1168&gt;=25, B1168&lt;=34), "25-34",
  AND(B1168&gt;=35, B1168&lt;=44), "35-44",
  AND(B1168&gt;=45, B1168&lt;=54), "45-54",
  B1168&gt;=55, "55+"
)</f>
        <v>45-54</v>
      </c>
      <c r="D1168" t="s">
        <v>19</v>
      </c>
      <c r="E1168" t="s">
        <v>82</v>
      </c>
      <c r="F1168" t="s">
        <v>21</v>
      </c>
      <c r="G1168">
        <v>48</v>
      </c>
      <c r="H1168" t="s">
        <v>146</v>
      </c>
      <c r="I1168" t="s">
        <v>38</v>
      </c>
      <c r="J1168" t="s">
        <v>93</v>
      </c>
      <c r="K1168" t="s">
        <v>25</v>
      </c>
      <c r="L1168">
        <v>3.7</v>
      </c>
      <c r="M1168" t="s">
        <v>152</v>
      </c>
      <c r="N1168" t="s">
        <v>35</v>
      </c>
      <c r="O1168" t="s">
        <v>76</v>
      </c>
      <c r="P1168" t="s">
        <v>26</v>
      </c>
      <c r="Q1168" t="s">
        <v>26</v>
      </c>
      <c r="R1168">
        <v>22</v>
      </c>
      <c r="S1168" t="s">
        <v>29</v>
      </c>
      <c r="T1168" t="str">
        <f t="shared" si="36"/>
        <v>2-week</v>
      </c>
      <c r="U1168">
        <f>VLOOKUP(T1168,[1]tablescore!$B$3:$C$8, 2,FALSE)</f>
        <v>26</v>
      </c>
      <c r="V1168" t="str">
        <f t="shared" si="37"/>
        <v>Loyal</v>
      </c>
      <c r="W1168" t="s">
        <v>30</v>
      </c>
    </row>
    <row r="1169" spans="1:23" x14ac:dyDescent="0.25">
      <c r="A1169">
        <v>1168</v>
      </c>
      <c r="B1169">
        <v>60</v>
      </c>
      <c r="C1169" t="str" cm="1">
        <f t="array" ref="C1169">_xlfn.IFS(
  AND(B1169&gt;=18, B1169&lt;=24), "18-24",
  AND(B1169&gt;=25, B1169&lt;=34), "25-34",
  AND(B1169&gt;=35, B1169&lt;=44), "35-44",
  AND(B1169&gt;=45, B1169&lt;=54), "45-54",
  B1169&gt;=55, "55+"
)</f>
        <v>55+</v>
      </c>
      <c r="D1169" t="s">
        <v>19</v>
      </c>
      <c r="E1169" t="s">
        <v>131</v>
      </c>
      <c r="F1169" t="s">
        <v>21</v>
      </c>
      <c r="G1169">
        <v>83</v>
      </c>
      <c r="H1169" t="s">
        <v>137</v>
      </c>
      <c r="I1169" t="s">
        <v>92</v>
      </c>
      <c r="J1169" t="s">
        <v>118</v>
      </c>
      <c r="K1169" t="s">
        <v>54</v>
      </c>
      <c r="L1169">
        <v>3.6</v>
      </c>
      <c r="M1169" t="s">
        <v>152</v>
      </c>
      <c r="N1169" t="s">
        <v>46</v>
      </c>
      <c r="O1169" t="s">
        <v>40</v>
      </c>
      <c r="P1169" t="s">
        <v>26</v>
      </c>
      <c r="Q1169" t="s">
        <v>26</v>
      </c>
      <c r="R1169">
        <v>16</v>
      </c>
      <c r="S1169" t="s">
        <v>46</v>
      </c>
      <c r="T1169" t="str">
        <f t="shared" si="36"/>
        <v>Quarterly</v>
      </c>
      <c r="U1169">
        <f>VLOOKUP(T1169,[1]tablescore!$B$3:$C$8, 2,FALSE)</f>
        <v>4</v>
      </c>
      <c r="V1169" t="str">
        <f t="shared" si="37"/>
        <v>Low Loyalty</v>
      </c>
      <c r="W1169" t="s">
        <v>60</v>
      </c>
    </row>
    <row r="1170" spans="1:23" x14ac:dyDescent="0.25">
      <c r="A1170">
        <v>1169</v>
      </c>
      <c r="B1170">
        <v>68</v>
      </c>
      <c r="C1170" t="str" cm="1">
        <f t="array" ref="C1170">_xlfn.IFS(
  AND(B1170&gt;=18, B1170&lt;=24), "18-24",
  AND(B1170&gt;=25, B1170&lt;=34), "25-34",
  AND(B1170&gt;=35, B1170&lt;=44), "35-44",
  AND(B1170&gt;=45, B1170&lt;=54), "45-54",
  B1170&gt;=55, "55+"
)</f>
        <v>55+</v>
      </c>
      <c r="D1170" t="s">
        <v>19</v>
      </c>
      <c r="E1170" t="s">
        <v>119</v>
      </c>
      <c r="F1170" t="s">
        <v>69</v>
      </c>
      <c r="G1170">
        <v>91</v>
      </c>
      <c r="H1170" t="s">
        <v>91</v>
      </c>
      <c r="I1170" t="s">
        <v>23</v>
      </c>
      <c r="J1170" t="s">
        <v>84</v>
      </c>
      <c r="K1170" t="s">
        <v>54</v>
      </c>
      <c r="L1170">
        <v>3.6</v>
      </c>
      <c r="M1170" t="s">
        <v>152</v>
      </c>
      <c r="N1170" t="s">
        <v>46</v>
      </c>
      <c r="O1170" t="s">
        <v>55</v>
      </c>
      <c r="P1170" t="s">
        <v>26</v>
      </c>
      <c r="Q1170" t="s">
        <v>26</v>
      </c>
      <c r="R1170">
        <v>37</v>
      </c>
      <c r="S1170" t="s">
        <v>59</v>
      </c>
      <c r="T1170" t="str">
        <f t="shared" si="36"/>
        <v>2-week</v>
      </c>
      <c r="U1170">
        <f>VLOOKUP(T1170,[1]tablescore!$B$3:$C$8, 2,FALSE)</f>
        <v>26</v>
      </c>
      <c r="V1170" t="str">
        <f t="shared" si="37"/>
        <v>Loyal</v>
      </c>
      <c r="W1170" t="s">
        <v>30</v>
      </c>
    </row>
    <row r="1171" spans="1:23" x14ac:dyDescent="0.25">
      <c r="A1171">
        <v>1170</v>
      </c>
      <c r="B1171">
        <v>25</v>
      </c>
      <c r="C1171" t="str" cm="1">
        <f t="array" ref="C1171">_xlfn.IFS(
  AND(B1171&gt;=18, B1171&lt;=24), "18-24",
  AND(B1171&gt;=25, B1171&lt;=34), "25-34",
  AND(B1171&gt;=35, B1171&lt;=44), "35-44",
  AND(B1171&gt;=45, B1171&lt;=54), "45-54",
  B1171&gt;=55, "55+"
)</f>
        <v>25-34</v>
      </c>
      <c r="D1171" t="s">
        <v>19</v>
      </c>
      <c r="E1171" t="s">
        <v>133</v>
      </c>
      <c r="F1171" t="s">
        <v>69</v>
      </c>
      <c r="G1171">
        <v>94</v>
      </c>
      <c r="H1171" t="s">
        <v>52</v>
      </c>
      <c r="I1171" t="s">
        <v>38</v>
      </c>
      <c r="J1171" t="s">
        <v>24</v>
      </c>
      <c r="K1171" t="s">
        <v>58</v>
      </c>
      <c r="L1171">
        <v>4.5</v>
      </c>
      <c r="M1171" t="s">
        <v>152</v>
      </c>
      <c r="N1171" t="s">
        <v>29</v>
      </c>
      <c r="O1171" t="s">
        <v>72</v>
      </c>
      <c r="P1171" t="s">
        <v>26</v>
      </c>
      <c r="Q1171" t="s">
        <v>26</v>
      </c>
      <c r="R1171">
        <v>3</v>
      </c>
      <c r="S1171" t="s">
        <v>35</v>
      </c>
      <c r="T1171" t="str">
        <f t="shared" si="36"/>
        <v>Annually</v>
      </c>
      <c r="U1171">
        <f>VLOOKUP(T1171,[1]tablescore!$B$3:$C$8, 2,FALSE)</f>
        <v>1</v>
      </c>
      <c r="V1171" t="str">
        <f t="shared" si="37"/>
        <v>Low Loyalty</v>
      </c>
      <c r="W1171" t="s">
        <v>50</v>
      </c>
    </row>
    <row r="1172" spans="1:23" x14ac:dyDescent="0.25">
      <c r="A1172">
        <v>1171</v>
      </c>
      <c r="B1172">
        <v>57</v>
      </c>
      <c r="C1172" t="str" cm="1">
        <f t="array" ref="C1172">_xlfn.IFS(
  AND(B1172&gt;=18, B1172&lt;=24), "18-24",
  AND(B1172&gt;=25, B1172&lt;=34), "25-34",
  AND(B1172&gt;=35, B1172&lt;=44), "35-44",
  AND(B1172&gt;=45, B1172&lt;=54), "45-54",
  B1172&gt;=55, "55+"
)</f>
        <v>55+</v>
      </c>
      <c r="D1172" t="s">
        <v>19</v>
      </c>
      <c r="E1172" t="s">
        <v>87</v>
      </c>
      <c r="F1172" t="s">
        <v>21</v>
      </c>
      <c r="G1172">
        <v>62</v>
      </c>
      <c r="H1172" t="s">
        <v>115</v>
      </c>
      <c r="I1172" t="s">
        <v>38</v>
      </c>
      <c r="J1172" t="s">
        <v>108</v>
      </c>
      <c r="K1172" t="s">
        <v>39</v>
      </c>
      <c r="L1172">
        <v>3.2</v>
      </c>
      <c r="M1172" t="s">
        <v>152</v>
      </c>
      <c r="N1172" t="s">
        <v>34</v>
      </c>
      <c r="O1172" t="s">
        <v>28</v>
      </c>
      <c r="P1172" t="s">
        <v>26</v>
      </c>
      <c r="Q1172" t="s">
        <v>26</v>
      </c>
      <c r="R1172">
        <v>33</v>
      </c>
      <c r="S1172" t="s">
        <v>35</v>
      </c>
      <c r="T1172" t="str">
        <f t="shared" si="36"/>
        <v>2-week</v>
      </c>
      <c r="U1172">
        <f>VLOOKUP(T1172,[1]tablescore!$B$3:$C$8, 2,FALSE)</f>
        <v>26</v>
      </c>
      <c r="V1172" t="str">
        <f t="shared" si="37"/>
        <v>Loyal</v>
      </c>
      <c r="W1172" t="s">
        <v>77</v>
      </c>
    </row>
    <row r="1173" spans="1:23" x14ac:dyDescent="0.25">
      <c r="A1173">
        <v>1172</v>
      </c>
      <c r="B1173">
        <v>41</v>
      </c>
      <c r="C1173" t="str" cm="1">
        <f t="array" ref="C1173">_xlfn.IFS(
  AND(B1173&gt;=18, B1173&lt;=24), "18-24",
  AND(B1173&gt;=25, B1173&lt;=34), "25-34",
  AND(B1173&gt;=35, B1173&lt;=44), "35-44",
  AND(B1173&gt;=45, B1173&lt;=54), "45-54",
  B1173&gt;=55, "55+"
)</f>
        <v>35-44</v>
      </c>
      <c r="D1173" t="s">
        <v>19</v>
      </c>
      <c r="E1173" t="s">
        <v>131</v>
      </c>
      <c r="F1173" t="s">
        <v>21</v>
      </c>
      <c r="G1173">
        <v>55</v>
      </c>
      <c r="H1173" t="s">
        <v>62</v>
      </c>
      <c r="I1173" t="s">
        <v>45</v>
      </c>
      <c r="J1173" t="s">
        <v>93</v>
      </c>
      <c r="K1173" t="s">
        <v>39</v>
      </c>
      <c r="L1173">
        <v>3.9</v>
      </c>
      <c r="M1173" t="s">
        <v>152</v>
      </c>
      <c r="N1173" t="s">
        <v>34</v>
      </c>
      <c r="O1173" t="s">
        <v>47</v>
      </c>
      <c r="P1173" t="s">
        <v>26</v>
      </c>
      <c r="Q1173" t="s">
        <v>26</v>
      </c>
      <c r="R1173">
        <v>15</v>
      </c>
      <c r="S1173" t="s">
        <v>59</v>
      </c>
      <c r="T1173" t="str">
        <f t="shared" si="36"/>
        <v>Annually</v>
      </c>
      <c r="U1173">
        <f>VLOOKUP(T1173,[1]tablescore!$B$3:$C$8, 2,FALSE)</f>
        <v>1</v>
      </c>
      <c r="V1173" t="str">
        <f t="shared" si="37"/>
        <v>Low Loyalty</v>
      </c>
      <c r="W1173" t="s">
        <v>50</v>
      </c>
    </row>
    <row r="1174" spans="1:23" x14ac:dyDescent="0.25">
      <c r="A1174">
        <v>1173</v>
      </c>
      <c r="B1174">
        <v>59</v>
      </c>
      <c r="C1174" t="str" cm="1">
        <f t="array" ref="C1174">_xlfn.IFS(
  AND(B1174&gt;=18, B1174&lt;=24), "18-24",
  AND(B1174&gt;=25, B1174&lt;=34), "25-34",
  AND(B1174&gt;=35, B1174&lt;=44), "35-44",
  AND(B1174&gt;=45, B1174&lt;=54), "45-54",
  B1174&gt;=55, "55+"
)</f>
        <v>55+</v>
      </c>
      <c r="D1174" t="s">
        <v>19</v>
      </c>
      <c r="E1174" t="s">
        <v>64</v>
      </c>
      <c r="F1174" t="s">
        <v>65</v>
      </c>
      <c r="G1174">
        <v>68</v>
      </c>
      <c r="H1174" t="s">
        <v>48</v>
      </c>
      <c r="I1174" t="s">
        <v>23</v>
      </c>
      <c r="J1174" t="s">
        <v>100</v>
      </c>
      <c r="K1174" t="s">
        <v>39</v>
      </c>
      <c r="L1174">
        <v>4.5999999999999996</v>
      </c>
      <c r="M1174" t="s">
        <v>152</v>
      </c>
      <c r="N1174" t="s">
        <v>27</v>
      </c>
      <c r="O1174" t="s">
        <v>76</v>
      </c>
      <c r="P1174" t="s">
        <v>26</v>
      </c>
      <c r="Q1174" t="s">
        <v>26</v>
      </c>
      <c r="R1174">
        <v>42</v>
      </c>
      <c r="S1174" t="s">
        <v>34</v>
      </c>
      <c r="T1174" t="str">
        <f t="shared" si="36"/>
        <v>2-week</v>
      </c>
      <c r="U1174">
        <f>VLOOKUP(T1174,[1]tablescore!$B$3:$C$8, 2,FALSE)</f>
        <v>26</v>
      </c>
      <c r="V1174" t="str">
        <f t="shared" si="37"/>
        <v>Loyal</v>
      </c>
      <c r="W1174" t="s">
        <v>77</v>
      </c>
    </row>
    <row r="1175" spans="1:23" x14ac:dyDescent="0.25">
      <c r="A1175">
        <v>1174</v>
      </c>
      <c r="B1175">
        <v>44</v>
      </c>
      <c r="C1175" t="str" cm="1">
        <f t="array" ref="C1175">_xlfn.IFS(
  AND(B1175&gt;=18, B1175&lt;=24), "18-24",
  AND(B1175&gt;=25, B1175&lt;=34), "25-34",
  AND(B1175&gt;=35, B1175&lt;=44), "35-44",
  AND(B1175&gt;=45, B1175&lt;=54), "45-54",
  B1175&gt;=55, "55+"
)</f>
        <v>35-44</v>
      </c>
      <c r="D1175" t="s">
        <v>19</v>
      </c>
      <c r="E1175" t="s">
        <v>106</v>
      </c>
      <c r="F1175" t="s">
        <v>69</v>
      </c>
      <c r="G1175">
        <v>76</v>
      </c>
      <c r="H1175" t="s">
        <v>130</v>
      </c>
      <c r="I1175" t="s">
        <v>45</v>
      </c>
      <c r="J1175" t="s">
        <v>129</v>
      </c>
      <c r="K1175" t="s">
        <v>25</v>
      </c>
      <c r="L1175">
        <v>2.5</v>
      </c>
      <c r="M1175" t="s">
        <v>152</v>
      </c>
      <c r="N1175" t="s">
        <v>27</v>
      </c>
      <c r="O1175" t="s">
        <v>28</v>
      </c>
      <c r="P1175" t="s">
        <v>26</v>
      </c>
      <c r="Q1175" t="s">
        <v>26</v>
      </c>
      <c r="R1175">
        <v>42</v>
      </c>
      <c r="S1175" t="s">
        <v>35</v>
      </c>
      <c r="T1175" t="str">
        <f t="shared" si="36"/>
        <v>2-week</v>
      </c>
      <c r="U1175">
        <f>VLOOKUP(T1175,[1]tablescore!$B$3:$C$8, 2,FALSE)</f>
        <v>26</v>
      </c>
      <c r="V1175" t="str">
        <f t="shared" si="37"/>
        <v>Loyal</v>
      </c>
      <c r="W1175" t="s">
        <v>77</v>
      </c>
    </row>
    <row r="1176" spans="1:23" x14ac:dyDescent="0.25">
      <c r="A1176">
        <v>1175</v>
      </c>
      <c r="B1176">
        <v>42</v>
      </c>
      <c r="C1176" t="str" cm="1">
        <f t="array" ref="C1176">_xlfn.IFS(
  AND(B1176&gt;=18, B1176&lt;=24), "18-24",
  AND(B1176&gt;=25, B1176&lt;=34), "25-34",
  AND(B1176&gt;=35, B1176&lt;=44), "35-44",
  AND(B1176&gt;=45, B1176&lt;=54), "45-54",
  B1176&gt;=55, "55+"
)</f>
        <v>35-44</v>
      </c>
      <c r="D1176" t="s">
        <v>19</v>
      </c>
      <c r="E1176" t="s">
        <v>133</v>
      </c>
      <c r="F1176" t="s">
        <v>69</v>
      </c>
      <c r="G1176">
        <v>31</v>
      </c>
      <c r="H1176" t="s">
        <v>151</v>
      </c>
      <c r="I1176" t="s">
        <v>45</v>
      </c>
      <c r="J1176" t="s">
        <v>94</v>
      </c>
      <c r="K1176" t="s">
        <v>25</v>
      </c>
      <c r="L1176">
        <v>4.3</v>
      </c>
      <c r="M1176" t="s">
        <v>152</v>
      </c>
      <c r="N1176" t="s">
        <v>35</v>
      </c>
      <c r="O1176" t="s">
        <v>28</v>
      </c>
      <c r="P1176" t="s">
        <v>26</v>
      </c>
      <c r="Q1176" t="s">
        <v>26</v>
      </c>
      <c r="R1176">
        <v>19</v>
      </c>
      <c r="S1176" t="s">
        <v>34</v>
      </c>
      <c r="T1176" t="str">
        <f t="shared" si="36"/>
        <v>2-week</v>
      </c>
      <c r="U1176">
        <f>VLOOKUP(T1176,[1]tablescore!$B$3:$C$8, 2,FALSE)</f>
        <v>26</v>
      </c>
      <c r="V1176" t="str">
        <f t="shared" si="37"/>
        <v>Loyal</v>
      </c>
      <c r="W1176" t="s">
        <v>77</v>
      </c>
    </row>
    <row r="1177" spans="1:23" x14ac:dyDescent="0.25">
      <c r="A1177">
        <v>1176</v>
      </c>
      <c r="B1177">
        <v>35</v>
      </c>
      <c r="C1177" t="str" cm="1">
        <f t="array" ref="C1177">_xlfn.IFS(
  AND(B1177&gt;=18, B1177&lt;=24), "18-24",
  AND(B1177&gt;=25, B1177&lt;=34), "25-34",
  AND(B1177&gt;=35, B1177&lt;=44), "35-44",
  AND(B1177&gt;=45, B1177&lt;=54), "45-54",
  B1177&gt;=55, "55+"
)</f>
        <v>35-44</v>
      </c>
      <c r="D1177" t="s">
        <v>19</v>
      </c>
      <c r="E1177" t="s">
        <v>136</v>
      </c>
      <c r="F1177" t="s">
        <v>69</v>
      </c>
      <c r="G1177">
        <v>81</v>
      </c>
      <c r="H1177" t="s">
        <v>137</v>
      </c>
      <c r="I1177" t="s">
        <v>45</v>
      </c>
      <c r="J1177" t="s">
        <v>118</v>
      </c>
      <c r="K1177" t="s">
        <v>39</v>
      </c>
      <c r="L1177">
        <v>4.0999999999999996</v>
      </c>
      <c r="M1177" t="s">
        <v>152</v>
      </c>
      <c r="N1177" t="s">
        <v>27</v>
      </c>
      <c r="O1177" t="s">
        <v>76</v>
      </c>
      <c r="P1177" t="s">
        <v>26</v>
      </c>
      <c r="Q1177" t="s">
        <v>26</v>
      </c>
      <c r="R1177">
        <v>26</v>
      </c>
      <c r="S1177" t="s">
        <v>46</v>
      </c>
      <c r="T1177" t="str">
        <f t="shared" si="36"/>
        <v>Quarterly</v>
      </c>
      <c r="U1177">
        <f>VLOOKUP(T1177,[1]tablescore!$B$3:$C$8, 2,FALSE)</f>
        <v>4</v>
      </c>
      <c r="V1177" t="str">
        <f t="shared" si="37"/>
        <v>Low Loyalty</v>
      </c>
      <c r="W1177" t="s">
        <v>60</v>
      </c>
    </row>
    <row r="1178" spans="1:23" x14ac:dyDescent="0.25">
      <c r="A1178">
        <v>1177</v>
      </c>
      <c r="B1178">
        <v>36</v>
      </c>
      <c r="C1178" t="str" cm="1">
        <f t="array" ref="C1178">_xlfn.IFS(
  AND(B1178&gt;=18, B1178&lt;=24), "18-24",
  AND(B1178&gt;=25, B1178&lt;=34), "25-34",
  AND(B1178&gt;=35, B1178&lt;=44), "35-44",
  AND(B1178&gt;=45, B1178&lt;=54), "45-54",
  B1178&gt;=55, "55+"
)</f>
        <v>35-44</v>
      </c>
      <c r="D1178" t="s">
        <v>19</v>
      </c>
      <c r="E1178" t="s">
        <v>82</v>
      </c>
      <c r="F1178" t="s">
        <v>21</v>
      </c>
      <c r="G1178">
        <v>83</v>
      </c>
      <c r="H1178" t="s">
        <v>48</v>
      </c>
      <c r="I1178" t="s">
        <v>45</v>
      </c>
      <c r="J1178" t="s">
        <v>108</v>
      </c>
      <c r="K1178" t="s">
        <v>25</v>
      </c>
      <c r="L1178">
        <v>4.5999999999999996</v>
      </c>
      <c r="M1178" t="s">
        <v>152</v>
      </c>
      <c r="N1178" t="s">
        <v>27</v>
      </c>
      <c r="O1178" t="s">
        <v>40</v>
      </c>
      <c r="P1178" t="s">
        <v>26</v>
      </c>
      <c r="Q1178" t="s">
        <v>26</v>
      </c>
      <c r="R1178">
        <v>39</v>
      </c>
      <c r="S1178" t="s">
        <v>46</v>
      </c>
      <c r="T1178" t="str">
        <f t="shared" si="36"/>
        <v>Quarterly</v>
      </c>
      <c r="U1178">
        <f>VLOOKUP(T1178,[1]tablescore!$B$3:$C$8, 2,FALSE)</f>
        <v>4</v>
      </c>
      <c r="V1178" t="str">
        <f t="shared" si="37"/>
        <v>Low Loyalty</v>
      </c>
      <c r="W1178" t="s">
        <v>60</v>
      </c>
    </row>
    <row r="1179" spans="1:23" x14ac:dyDescent="0.25">
      <c r="A1179">
        <v>1178</v>
      </c>
      <c r="B1179">
        <v>54</v>
      </c>
      <c r="C1179" t="str" cm="1">
        <f t="array" ref="C1179">_xlfn.IFS(
  AND(B1179&gt;=18, B1179&lt;=24), "18-24",
  AND(B1179&gt;=25, B1179&lt;=34), "25-34",
  AND(B1179&gt;=35, B1179&lt;=44), "35-44",
  AND(B1179&gt;=45, B1179&lt;=54), "45-54",
  B1179&gt;=55, "55+"
)</f>
        <v>45-54</v>
      </c>
      <c r="D1179" t="s">
        <v>19</v>
      </c>
      <c r="E1179" t="s">
        <v>87</v>
      </c>
      <c r="F1179" t="s">
        <v>21</v>
      </c>
      <c r="G1179">
        <v>21</v>
      </c>
      <c r="H1179" t="s">
        <v>150</v>
      </c>
      <c r="I1179" t="s">
        <v>45</v>
      </c>
      <c r="J1179" t="s">
        <v>94</v>
      </c>
      <c r="K1179" t="s">
        <v>39</v>
      </c>
      <c r="L1179">
        <v>4.8</v>
      </c>
      <c r="M1179" t="s">
        <v>152</v>
      </c>
      <c r="N1179" t="s">
        <v>35</v>
      </c>
      <c r="O1179" t="s">
        <v>55</v>
      </c>
      <c r="P1179" t="s">
        <v>26</v>
      </c>
      <c r="Q1179" t="s">
        <v>26</v>
      </c>
      <c r="R1179">
        <v>24</v>
      </c>
      <c r="S1179" t="s">
        <v>59</v>
      </c>
      <c r="T1179" t="str">
        <f t="shared" si="36"/>
        <v>Month</v>
      </c>
      <c r="U1179">
        <f>VLOOKUP(T1179,[1]tablescore!$B$3:$C$8, 2,FALSE)</f>
        <v>12</v>
      </c>
      <c r="V1179" t="str">
        <f t="shared" si="37"/>
        <v>Moderate</v>
      </c>
      <c r="W1179" t="s">
        <v>88</v>
      </c>
    </row>
    <row r="1180" spans="1:23" x14ac:dyDescent="0.25">
      <c r="A1180">
        <v>1179</v>
      </c>
      <c r="B1180">
        <v>37</v>
      </c>
      <c r="C1180" t="str" cm="1">
        <f t="array" ref="C1180">_xlfn.IFS(
  AND(B1180&gt;=18, B1180&lt;=24), "18-24",
  AND(B1180&gt;=25, B1180&lt;=34), "25-34",
  AND(B1180&gt;=35, B1180&lt;=44), "35-44",
  AND(B1180&gt;=45, B1180&lt;=54), "45-54",
  B1180&gt;=55, "55+"
)</f>
        <v>35-44</v>
      </c>
      <c r="D1180" t="s">
        <v>19</v>
      </c>
      <c r="E1180" t="s">
        <v>82</v>
      </c>
      <c r="F1180" t="s">
        <v>21</v>
      </c>
      <c r="G1180">
        <v>22</v>
      </c>
      <c r="H1180" t="s">
        <v>126</v>
      </c>
      <c r="I1180" t="s">
        <v>45</v>
      </c>
      <c r="J1180" t="s">
        <v>86</v>
      </c>
      <c r="K1180" t="s">
        <v>39</v>
      </c>
      <c r="L1180">
        <v>4.9000000000000004</v>
      </c>
      <c r="M1180" t="s">
        <v>152</v>
      </c>
      <c r="N1180" t="s">
        <v>27</v>
      </c>
      <c r="O1180" t="s">
        <v>28</v>
      </c>
      <c r="P1180" t="s">
        <v>26</v>
      </c>
      <c r="Q1180" t="s">
        <v>26</v>
      </c>
      <c r="R1180">
        <v>23</v>
      </c>
      <c r="S1180" t="s">
        <v>59</v>
      </c>
      <c r="T1180" t="str">
        <f t="shared" si="36"/>
        <v>Annually</v>
      </c>
      <c r="U1180">
        <f>VLOOKUP(T1180,[1]tablescore!$B$3:$C$8, 2,FALSE)</f>
        <v>1</v>
      </c>
      <c r="V1180" t="str">
        <f t="shared" si="37"/>
        <v>Low Loyalty</v>
      </c>
      <c r="W1180" t="s">
        <v>50</v>
      </c>
    </row>
    <row r="1181" spans="1:23" x14ac:dyDescent="0.25">
      <c r="A1181">
        <v>1180</v>
      </c>
      <c r="B1181">
        <v>20</v>
      </c>
      <c r="C1181" t="str" cm="1">
        <f t="array" ref="C1181">_xlfn.IFS(
  AND(B1181&gt;=18, B1181&lt;=24), "18-24",
  AND(B1181&gt;=25, B1181&lt;=34), "25-34",
  AND(B1181&gt;=35, B1181&lt;=44), "35-44",
  AND(B1181&gt;=45, B1181&lt;=54), "45-54",
  B1181&gt;=55, "55+"
)</f>
        <v>18-24</v>
      </c>
      <c r="D1181" t="s">
        <v>19</v>
      </c>
      <c r="E1181" t="s">
        <v>113</v>
      </c>
      <c r="F1181" t="s">
        <v>21</v>
      </c>
      <c r="G1181">
        <v>33</v>
      </c>
      <c r="H1181" t="s">
        <v>116</v>
      </c>
      <c r="I1181" t="s">
        <v>45</v>
      </c>
      <c r="J1181" t="s">
        <v>138</v>
      </c>
      <c r="K1181" t="s">
        <v>54</v>
      </c>
      <c r="L1181">
        <v>2.8</v>
      </c>
      <c r="M1181" t="s">
        <v>152</v>
      </c>
      <c r="N1181" t="s">
        <v>59</v>
      </c>
      <c r="O1181" t="s">
        <v>40</v>
      </c>
      <c r="P1181" t="s">
        <v>26</v>
      </c>
      <c r="Q1181" t="s">
        <v>26</v>
      </c>
      <c r="R1181">
        <v>44</v>
      </c>
      <c r="S1181" t="s">
        <v>34</v>
      </c>
      <c r="T1181" t="str">
        <f t="shared" si="36"/>
        <v>Annually</v>
      </c>
      <c r="U1181">
        <f>VLOOKUP(T1181,[1]tablescore!$B$3:$C$8, 2,FALSE)</f>
        <v>1</v>
      </c>
      <c r="V1181" t="str">
        <f t="shared" si="37"/>
        <v>Low Loyalty</v>
      </c>
      <c r="W1181" t="s">
        <v>50</v>
      </c>
    </row>
    <row r="1182" spans="1:23" x14ac:dyDescent="0.25">
      <c r="A1182">
        <v>1181</v>
      </c>
      <c r="B1182">
        <v>23</v>
      </c>
      <c r="C1182" t="str" cm="1">
        <f t="array" ref="C1182">_xlfn.IFS(
  AND(B1182&gt;=18, B1182&lt;=24), "18-24",
  AND(B1182&gt;=25, B1182&lt;=34), "25-34",
  AND(B1182&gt;=35, B1182&lt;=44), "35-44",
  AND(B1182&gt;=45, B1182&lt;=54), "45-54",
  B1182&gt;=55, "55+"
)</f>
        <v>18-24</v>
      </c>
      <c r="D1182" t="s">
        <v>19</v>
      </c>
      <c r="E1182" t="s">
        <v>87</v>
      </c>
      <c r="F1182" t="s">
        <v>21</v>
      </c>
      <c r="G1182">
        <v>23</v>
      </c>
      <c r="H1182" t="s">
        <v>48</v>
      </c>
      <c r="I1182" t="s">
        <v>38</v>
      </c>
      <c r="J1182" t="s">
        <v>118</v>
      </c>
      <c r="K1182" t="s">
        <v>39</v>
      </c>
      <c r="L1182">
        <v>4.9000000000000004</v>
      </c>
      <c r="M1182" t="s">
        <v>152</v>
      </c>
      <c r="N1182" t="s">
        <v>35</v>
      </c>
      <c r="O1182" t="s">
        <v>55</v>
      </c>
      <c r="P1182" t="s">
        <v>26</v>
      </c>
      <c r="Q1182" t="s">
        <v>26</v>
      </c>
      <c r="R1182">
        <v>34</v>
      </c>
      <c r="S1182" t="s">
        <v>35</v>
      </c>
      <c r="T1182" t="str">
        <f t="shared" si="36"/>
        <v>Month</v>
      </c>
      <c r="U1182">
        <f>VLOOKUP(T1182,[1]tablescore!$B$3:$C$8, 2,FALSE)</f>
        <v>12</v>
      </c>
      <c r="V1182" t="str">
        <f t="shared" si="37"/>
        <v>Moderate</v>
      </c>
      <c r="W1182" t="s">
        <v>88</v>
      </c>
    </row>
    <row r="1183" spans="1:23" x14ac:dyDescent="0.25">
      <c r="A1183">
        <v>1182</v>
      </c>
      <c r="B1183">
        <v>61</v>
      </c>
      <c r="C1183" t="str" cm="1">
        <f t="array" ref="C1183">_xlfn.IFS(
  AND(B1183&gt;=18, B1183&lt;=24), "18-24",
  AND(B1183&gt;=25, B1183&lt;=34), "25-34",
  AND(B1183&gt;=35, B1183&lt;=44), "35-44",
  AND(B1183&gt;=45, B1183&lt;=54), "45-54",
  B1183&gt;=55, "55+"
)</f>
        <v>55+</v>
      </c>
      <c r="D1183" t="s">
        <v>19</v>
      </c>
      <c r="E1183" t="s">
        <v>61</v>
      </c>
      <c r="F1183" t="s">
        <v>21</v>
      </c>
      <c r="G1183">
        <v>96</v>
      </c>
      <c r="H1183" t="s">
        <v>85</v>
      </c>
      <c r="I1183" t="s">
        <v>23</v>
      </c>
      <c r="J1183" t="s">
        <v>86</v>
      </c>
      <c r="K1183" t="s">
        <v>54</v>
      </c>
      <c r="L1183">
        <v>3.5</v>
      </c>
      <c r="M1183" t="s">
        <v>152</v>
      </c>
      <c r="N1183" t="s">
        <v>35</v>
      </c>
      <c r="O1183" t="s">
        <v>40</v>
      </c>
      <c r="P1183" t="s">
        <v>26</v>
      </c>
      <c r="Q1183" t="s">
        <v>26</v>
      </c>
      <c r="R1183">
        <v>43</v>
      </c>
      <c r="S1183" t="s">
        <v>34</v>
      </c>
      <c r="T1183" t="str">
        <f t="shared" si="36"/>
        <v>Quarterly</v>
      </c>
      <c r="U1183">
        <f>VLOOKUP(T1183,[1]tablescore!$B$3:$C$8, 2,FALSE)</f>
        <v>4</v>
      </c>
      <c r="V1183" t="str">
        <f t="shared" si="37"/>
        <v>Low Loyalty</v>
      </c>
      <c r="W1183" t="s">
        <v>60</v>
      </c>
    </row>
    <row r="1184" spans="1:23" x14ac:dyDescent="0.25">
      <c r="A1184">
        <v>1183</v>
      </c>
      <c r="B1184">
        <v>37</v>
      </c>
      <c r="C1184" t="str" cm="1">
        <f t="array" ref="C1184">_xlfn.IFS(
  AND(B1184&gt;=18, B1184&lt;=24), "18-24",
  AND(B1184&gt;=25, B1184&lt;=34), "25-34",
  AND(B1184&gt;=35, B1184&lt;=44), "35-44",
  AND(B1184&gt;=45, B1184&lt;=54), "45-54",
  B1184&gt;=55, "55+"
)</f>
        <v>35-44</v>
      </c>
      <c r="D1184" t="s">
        <v>19</v>
      </c>
      <c r="E1184" t="s">
        <v>106</v>
      </c>
      <c r="F1184" t="s">
        <v>69</v>
      </c>
      <c r="G1184">
        <v>21</v>
      </c>
      <c r="H1184" t="s">
        <v>123</v>
      </c>
      <c r="I1184" t="s">
        <v>45</v>
      </c>
      <c r="J1184" t="s">
        <v>33</v>
      </c>
      <c r="K1184" t="s">
        <v>39</v>
      </c>
      <c r="L1184">
        <v>3.8</v>
      </c>
      <c r="M1184" t="s">
        <v>152</v>
      </c>
      <c r="N1184" t="s">
        <v>59</v>
      </c>
      <c r="O1184" t="s">
        <v>28</v>
      </c>
      <c r="P1184" t="s">
        <v>26</v>
      </c>
      <c r="Q1184" t="s">
        <v>26</v>
      </c>
      <c r="R1184">
        <v>45</v>
      </c>
      <c r="S1184" t="s">
        <v>46</v>
      </c>
      <c r="T1184" t="str">
        <f t="shared" si="36"/>
        <v>Quarterly</v>
      </c>
      <c r="U1184">
        <f>VLOOKUP(T1184,[1]tablescore!$B$3:$C$8, 2,FALSE)</f>
        <v>4</v>
      </c>
      <c r="V1184" t="str">
        <f t="shared" si="37"/>
        <v>Low Loyalty</v>
      </c>
      <c r="W1184" t="s">
        <v>60</v>
      </c>
    </row>
    <row r="1185" spans="1:23" x14ac:dyDescent="0.25">
      <c r="A1185">
        <v>1184</v>
      </c>
      <c r="B1185">
        <v>23</v>
      </c>
      <c r="C1185" t="str" cm="1">
        <f t="array" ref="C1185">_xlfn.IFS(
  AND(B1185&gt;=18, B1185&lt;=24), "18-24",
  AND(B1185&gt;=25, B1185&lt;=34), "25-34",
  AND(B1185&gt;=35, B1185&lt;=44), "35-44",
  AND(B1185&gt;=45, B1185&lt;=54), "45-54",
  B1185&gt;=55, "55+"
)</f>
        <v>18-24</v>
      </c>
      <c r="D1185" t="s">
        <v>19</v>
      </c>
      <c r="E1185" t="s">
        <v>95</v>
      </c>
      <c r="F1185" t="s">
        <v>21</v>
      </c>
      <c r="G1185">
        <v>39</v>
      </c>
      <c r="H1185" t="s">
        <v>62</v>
      </c>
      <c r="I1185" t="s">
        <v>45</v>
      </c>
      <c r="J1185" t="s">
        <v>139</v>
      </c>
      <c r="K1185" t="s">
        <v>39</v>
      </c>
      <c r="L1185">
        <v>4.5</v>
      </c>
      <c r="M1185" t="s">
        <v>152</v>
      </c>
      <c r="N1185" t="s">
        <v>46</v>
      </c>
      <c r="O1185" t="s">
        <v>72</v>
      </c>
      <c r="P1185" t="s">
        <v>26</v>
      </c>
      <c r="Q1185" t="s">
        <v>26</v>
      </c>
      <c r="R1185">
        <v>4</v>
      </c>
      <c r="S1185" t="s">
        <v>27</v>
      </c>
      <c r="T1185" t="str">
        <f t="shared" si="36"/>
        <v>Daily</v>
      </c>
      <c r="U1185">
        <f>VLOOKUP(T1185,[1]tablescore!$B$3:$C$8, 2,FALSE)</f>
        <v>30</v>
      </c>
      <c r="V1185" t="str">
        <f t="shared" si="37"/>
        <v>Highly Loyal</v>
      </c>
      <c r="W1185" t="s">
        <v>41</v>
      </c>
    </row>
    <row r="1186" spans="1:23" x14ac:dyDescent="0.25">
      <c r="A1186">
        <v>1185</v>
      </c>
      <c r="B1186">
        <v>63</v>
      </c>
      <c r="C1186" t="str" cm="1">
        <f t="array" ref="C1186">_xlfn.IFS(
  AND(B1186&gt;=18, B1186&lt;=24), "18-24",
  AND(B1186&gt;=25, B1186&lt;=34), "25-34",
  AND(B1186&gt;=35, B1186&lt;=44), "35-44",
  AND(B1186&gt;=45, B1186&lt;=54), "45-54",
  B1186&gt;=55, "55+"
)</f>
        <v>55+</v>
      </c>
      <c r="D1186" t="s">
        <v>19</v>
      </c>
      <c r="E1186" t="s">
        <v>136</v>
      </c>
      <c r="F1186" t="s">
        <v>69</v>
      </c>
      <c r="G1186">
        <v>73</v>
      </c>
      <c r="H1186" t="s">
        <v>126</v>
      </c>
      <c r="I1186" t="s">
        <v>38</v>
      </c>
      <c r="J1186" t="s">
        <v>129</v>
      </c>
      <c r="K1186" t="s">
        <v>58</v>
      </c>
      <c r="L1186">
        <v>3.4</v>
      </c>
      <c r="M1186" t="s">
        <v>152</v>
      </c>
      <c r="N1186" t="s">
        <v>34</v>
      </c>
      <c r="O1186" t="s">
        <v>28</v>
      </c>
      <c r="P1186" t="s">
        <v>26</v>
      </c>
      <c r="Q1186" t="s">
        <v>26</v>
      </c>
      <c r="R1186">
        <v>19</v>
      </c>
      <c r="S1186" t="s">
        <v>27</v>
      </c>
      <c r="T1186" t="str">
        <f t="shared" si="36"/>
        <v>Annually</v>
      </c>
      <c r="U1186">
        <f>VLOOKUP(T1186,[1]tablescore!$B$3:$C$8, 2,FALSE)</f>
        <v>1</v>
      </c>
      <c r="V1186" t="str">
        <f t="shared" si="37"/>
        <v>Low Loyalty</v>
      </c>
      <c r="W1186" t="s">
        <v>50</v>
      </c>
    </row>
    <row r="1187" spans="1:23" x14ac:dyDescent="0.25">
      <c r="A1187">
        <v>1186</v>
      </c>
      <c r="B1187">
        <v>47</v>
      </c>
      <c r="C1187" t="str" cm="1">
        <f t="array" ref="C1187">_xlfn.IFS(
  AND(B1187&gt;=18, B1187&lt;=24), "18-24",
  AND(B1187&gt;=25, B1187&lt;=34), "25-34",
  AND(B1187&gt;=35, B1187&lt;=44), "35-44",
  AND(B1187&gt;=45, B1187&lt;=54), "45-54",
  B1187&gt;=55, "55+"
)</f>
        <v>45-54</v>
      </c>
      <c r="D1187" t="s">
        <v>19</v>
      </c>
      <c r="E1187" t="s">
        <v>36</v>
      </c>
      <c r="F1187" t="s">
        <v>21</v>
      </c>
      <c r="G1187">
        <v>64</v>
      </c>
      <c r="H1187" t="s">
        <v>32</v>
      </c>
      <c r="I1187" t="s">
        <v>45</v>
      </c>
      <c r="J1187" t="s">
        <v>147</v>
      </c>
      <c r="K1187" t="s">
        <v>39</v>
      </c>
      <c r="L1187">
        <v>3.9</v>
      </c>
      <c r="M1187" t="s">
        <v>152</v>
      </c>
      <c r="N1187" t="s">
        <v>59</v>
      </c>
      <c r="O1187" t="s">
        <v>55</v>
      </c>
      <c r="P1187" t="s">
        <v>26</v>
      </c>
      <c r="Q1187" t="s">
        <v>26</v>
      </c>
      <c r="R1187">
        <v>29</v>
      </c>
      <c r="S1187" t="s">
        <v>27</v>
      </c>
      <c r="T1187" t="str">
        <f t="shared" si="36"/>
        <v>Month</v>
      </c>
      <c r="U1187">
        <f>VLOOKUP(T1187,[1]tablescore!$B$3:$C$8, 2,FALSE)</f>
        <v>12</v>
      </c>
      <c r="V1187" t="str">
        <f t="shared" si="37"/>
        <v>Moderate</v>
      </c>
      <c r="W1187" t="s">
        <v>88</v>
      </c>
    </row>
    <row r="1188" spans="1:23" x14ac:dyDescent="0.25">
      <c r="A1188">
        <v>1187</v>
      </c>
      <c r="B1188">
        <v>63</v>
      </c>
      <c r="C1188" t="str" cm="1">
        <f t="array" ref="C1188">_xlfn.IFS(
  AND(B1188&gt;=18, B1188&lt;=24), "18-24",
  AND(B1188&gt;=25, B1188&lt;=34), "25-34",
  AND(B1188&gt;=35, B1188&lt;=44), "35-44",
  AND(B1188&gt;=45, B1188&lt;=54), "45-54",
  B1188&gt;=55, "55+"
)</f>
        <v>55+</v>
      </c>
      <c r="D1188" t="s">
        <v>19</v>
      </c>
      <c r="E1188" t="s">
        <v>36</v>
      </c>
      <c r="F1188" t="s">
        <v>21</v>
      </c>
      <c r="G1188">
        <v>68</v>
      </c>
      <c r="H1188" t="s">
        <v>116</v>
      </c>
      <c r="I1188" t="s">
        <v>45</v>
      </c>
      <c r="J1188" t="s">
        <v>118</v>
      </c>
      <c r="K1188" t="s">
        <v>54</v>
      </c>
      <c r="L1188">
        <v>4.0999999999999996</v>
      </c>
      <c r="M1188" t="s">
        <v>152</v>
      </c>
      <c r="N1188" t="s">
        <v>35</v>
      </c>
      <c r="O1188" t="s">
        <v>72</v>
      </c>
      <c r="P1188" t="s">
        <v>26</v>
      </c>
      <c r="Q1188" t="s">
        <v>26</v>
      </c>
      <c r="R1188">
        <v>27</v>
      </c>
      <c r="S1188" t="s">
        <v>27</v>
      </c>
      <c r="T1188" t="str">
        <f t="shared" si="36"/>
        <v>Annually</v>
      </c>
      <c r="U1188">
        <f>VLOOKUP(T1188,[1]tablescore!$B$3:$C$8, 2,FALSE)</f>
        <v>1</v>
      </c>
      <c r="V1188" t="str">
        <f t="shared" si="37"/>
        <v>Low Loyalty</v>
      </c>
      <c r="W1188" t="s">
        <v>50</v>
      </c>
    </row>
    <row r="1189" spans="1:23" x14ac:dyDescent="0.25">
      <c r="A1189">
        <v>1188</v>
      </c>
      <c r="B1189">
        <v>56</v>
      </c>
      <c r="C1189" t="str" cm="1">
        <f t="array" ref="C1189">_xlfn.IFS(
  AND(B1189&gt;=18, B1189&lt;=24), "18-24",
  AND(B1189&gt;=25, B1189&lt;=34), "25-34",
  AND(B1189&gt;=35, B1189&lt;=44), "35-44",
  AND(B1189&gt;=45, B1189&lt;=54), "45-54",
  B1189&gt;=55, "55+"
)</f>
        <v>55+</v>
      </c>
      <c r="D1189" t="s">
        <v>19</v>
      </c>
      <c r="E1189" t="s">
        <v>125</v>
      </c>
      <c r="F1189" t="s">
        <v>69</v>
      </c>
      <c r="G1189">
        <v>89</v>
      </c>
      <c r="H1189" t="s">
        <v>150</v>
      </c>
      <c r="I1189" t="s">
        <v>23</v>
      </c>
      <c r="J1189" t="s">
        <v>33</v>
      </c>
      <c r="K1189" t="s">
        <v>58</v>
      </c>
      <c r="L1189">
        <v>3</v>
      </c>
      <c r="M1189" t="s">
        <v>152</v>
      </c>
      <c r="N1189" t="s">
        <v>35</v>
      </c>
      <c r="O1189" t="s">
        <v>28</v>
      </c>
      <c r="P1189" t="s">
        <v>26</v>
      </c>
      <c r="Q1189" t="s">
        <v>26</v>
      </c>
      <c r="R1189">
        <v>37</v>
      </c>
      <c r="S1189" t="s">
        <v>27</v>
      </c>
      <c r="T1189" t="str">
        <f t="shared" si="36"/>
        <v>Quarterly</v>
      </c>
      <c r="U1189">
        <f>VLOOKUP(T1189,[1]tablescore!$B$3:$C$8, 2,FALSE)</f>
        <v>4</v>
      </c>
      <c r="V1189" t="str">
        <f t="shared" si="37"/>
        <v>Low Loyalty</v>
      </c>
      <c r="W1189" t="s">
        <v>97</v>
      </c>
    </row>
    <row r="1190" spans="1:23" x14ac:dyDescent="0.25">
      <c r="A1190">
        <v>1189</v>
      </c>
      <c r="B1190">
        <v>68</v>
      </c>
      <c r="C1190" t="str" cm="1">
        <f t="array" ref="C1190">_xlfn.IFS(
  AND(B1190&gt;=18, B1190&lt;=24), "18-24",
  AND(B1190&gt;=25, B1190&lt;=34), "25-34",
  AND(B1190&gt;=35, B1190&lt;=44), "35-44",
  AND(B1190&gt;=45, B1190&lt;=54), "45-54",
  B1190&gt;=55, "55+"
)</f>
        <v>55+</v>
      </c>
      <c r="D1190" t="s">
        <v>19</v>
      </c>
      <c r="E1190" t="s">
        <v>20</v>
      </c>
      <c r="F1190" t="s">
        <v>21</v>
      </c>
      <c r="G1190">
        <v>29</v>
      </c>
      <c r="H1190" t="s">
        <v>91</v>
      </c>
      <c r="I1190" t="s">
        <v>45</v>
      </c>
      <c r="J1190" t="s">
        <v>147</v>
      </c>
      <c r="K1190" t="s">
        <v>54</v>
      </c>
      <c r="L1190">
        <v>3.3</v>
      </c>
      <c r="M1190" t="s">
        <v>152</v>
      </c>
      <c r="N1190" t="s">
        <v>27</v>
      </c>
      <c r="O1190" t="s">
        <v>47</v>
      </c>
      <c r="P1190" t="s">
        <v>26</v>
      </c>
      <c r="Q1190" t="s">
        <v>26</v>
      </c>
      <c r="R1190">
        <v>11</v>
      </c>
      <c r="S1190" t="s">
        <v>27</v>
      </c>
      <c r="T1190" t="str">
        <f t="shared" si="36"/>
        <v>Daily</v>
      </c>
      <c r="U1190">
        <f>VLOOKUP(T1190,[1]tablescore!$B$3:$C$8, 2,FALSE)</f>
        <v>30</v>
      </c>
      <c r="V1190" t="str">
        <f t="shared" si="37"/>
        <v>Highly Loyal</v>
      </c>
      <c r="W1190" t="s">
        <v>41</v>
      </c>
    </row>
    <row r="1191" spans="1:23" x14ac:dyDescent="0.25">
      <c r="A1191">
        <v>1190</v>
      </c>
      <c r="B1191">
        <v>64</v>
      </c>
      <c r="C1191" t="str" cm="1">
        <f t="array" ref="C1191">_xlfn.IFS(
  AND(B1191&gt;=18, B1191&lt;=24), "18-24",
  AND(B1191&gt;=25, B1191&lt;=34), "25-34",
  AND(B1191&gt;=35, B1191&lt;=44), "35-44",
  AND(B1191&gt;=45, B1191&lt;=54), "45-54",
  B1191&gt;=55, "55+"
)</f>
        <v>55+</v>
      </c>
      <c r="D1191" t="s">
        <v>19</v>
      </c>
      <c r="E1191" t="s">
        <v>56</v>
      </c>
      <c r="F1191" t="s">
        <v>21</v>
      </c>
      <c r="G1191">
        <v>97</v>
      </c>
      <c r="H1191" t="s">
        <v>74</v>
      </c>
      <c r="I1191" t="s">
        <v>92</v>
      </c>
      <c r="J1191" t="s">
        <v>86</v>
      </c>
      <c r="K1191" t="s">
        <v>54</v>
      </c>
      <c r="L1191">
        <v>4.9000000000000004</v>
      </c>
      <c r="M1191" t="s">
        <v>152</v>
      </c>
      <c r="N1191" t="s">
        <v>29</v>
      </c>
      <c r="O1191" t="s">
        <v>40</v>
      </c>
      <c r="P1191" t="s">
        <v>26</v>
      </c>
      <c r="Q1191" t="s">
        <v>26</v>
      </c>
      <c r="R1191">
        <v>28</v>
      </c>
      <c r="S1191" t="s">
        <v>59</v>
      </c>
      <c r="T1191" t="str">
        <f t="shared" si="36"/>
        <v>Annually</v>
      </c>
      <c r="U1191">
        <f>VLOOKUP(T1191,[1]tablescore!$B$3:$C$8, 2,FALSE)</f>
        <v>1</v>
      </c>
      <c r="V1191" t="str">
        <f t="shared" si="37"/>
        <v>Low Loyalty</v>
      </c>
      <c r="W1191" t="s">
        <v>50</v>
      </c>
    </row>
    <row r="1192" spans="1:23" x14ac:dyDescent="0.25">
      <c r="A1192">
        <v>1191</v>
      </c>
      <c r="B1192">
        <v>62</v>
      </c>
      <c r="C1192" t="str" cm="1">
        <f t="array" ref="C1192">_xlfn.IFS(
  AND(B1192&gt;=18, B1192&lt;=24), "18-24",
  AND(B1192&gt;=25, B1192&lt;=34), "25-34",
  AND(B1192&gt;=35, B1192&lt;=44), "35-44",
  AND(B1192&gt;=45, B1192&lt;=54), "45-54",
  B1192&gt;=55, "55+"
)</f>
        <v>55+</v>
      </c>
      <c r="D1192" t="s">
        <v>19</v>
      </c>
      <c r="E1192" t="s">
        <v>56</v>
      </c>
      <c r="F1192" t="s">
        <v>21</v>
      </c>
      <c r="G1192">
        <v>45</v>
      </c>
      <c r="H1192" t="s">
        <v>126</v>
      </c>
      <c r="I1192" t="s">
        <v>45</v>
      </c>
      <c r="J1192" t="s">
        <v>121</v>
      </c>
      <c r="K1192" t="s">
        <v>25</v>
      </c>
      <c r="L1192">
        <v>4.3</v>
      </c>
      <c r="M1192" t="s">
        <v>152</v>
      </c>
      <c r="N1192" t="s">
        <v>34</v>
      </c>
      <c r="O1192" t="s">
        <v>47</v>
      </c>
      <c r="P1192" t="s">
        <v>26</v>
      </c>
      <c r="Q1192" t="s">
        <v>26</v>
      </c>
      <c r="R1192">
        <v>31</v>
      </c>
      <c r="S1192" t="s">
        <v>27</v>
      </c>
      <c r="T1192" t="str">
        <f t="shared" si="36"/>
        <v>Daily</v>
      </c>
      <c r="U1192">
        <f>VLOOKUP(T1192,[1]tablescore!$B$3:$C$8, 2,FALSE)</f>
        <v>30</v>
      </c>
      <c r="V1192" t="str">
        <f t="shared" si="37"/>
        <v>Highly Loyal</v>
      </c>
      <c r="W1192" t="s">
        <v>41</v>
      </c>
    </row>
    <row r="1193" spans="1:23" x14ac:dyDescent="0.25">
      <c r="A1193">
        <v>1192</v>
      </c>
      <c r="B1193">
        <v>34</v>
      </c>
      <c r="C1193" t="str" cm="1">
        <f t="array" ref="C1193">_xlfn.IFS(
  AND(B1193&gt;=18, B1193&lt;=24), "18-24",
  AND(B1193&gt;=25, B1193&lt;=34), "25-34",
  AND(B1193&gt;=35, B1193&lt;=44), "35-44",
  AND(B1193&gt;=45, B1193&lt;=54), "45-54",
  B1193&gt;=55, "55+"
)</f>
        <v>25-34</v>
      </c>
      <c r="D1193" t="s">
        <v>19</v>
      </c>
      <c r="E1193" t="s">
        <v>113</v>
      </c>
      <c r="F1193" t="s">
        <v>21</v>
      </c>
      <c r="G1193">
        <v>70</v>
      </c>
      <c r="H1193" t="s">
        <v>116</v>
      </c>
      <c r="I1193" t="s">
        <v>23</v>
      </c>
      <c r="J1193" t="s">
        <v>63</v>
      </c>
      <c r="K1193" t="s">
        <v>25</v>
      </c>
      <c r="L1193">
        <v>4.0999999999999996</v>
      </c>
      <c r="M1193" t="s">
        <v>152</v>
      </c>
      <c r="N1193" t="s">
        <v>59</v>
      </c>
      <c r="O1193" t="s">
        <v>40</v>
      </c>
      <c r="P1193" t="s">
        <v>26</v>
      </c>
      <c r="Q1193" t="s">
        <v>26</v>
      </c>
      <c r="R1193">
        <v>50</v>
      </c>
      <c r="S1193" t="s">
        <v>29</v>
      </c>
      <c r="T1193" t="str">
        <f t="shared" si="36"/>
        <v>Quarterly</v>
      </c>
      <c r="U1193">
        <f>VLOOKUP(T1193,[1]tablescore!$B$3:$C$8, 2,FALSE)</f>
        <v>4</v>
      </c>
      <c r="V1193" t="str">
        <f t="shared" si="37"/>
        <v>Low Loyalty</v>
      </c>
      <c r="W1193" t="s">
        <v>60</v>
      </c>
    </row>
    <row r="1194" spans="1:23" x14ac:dyDescent="0.25">
      <c r="A1194">
        <v>1193</v>
      </c>
      <c r="B1194">
        <v>49</v>
      </c>
      <c r="C1194" t="str" cm="1">
        <f t="array" ref="C1194">_xlfn.IFS(
  AND(B1194&gt;=18, B1194&lt;=24), "18-24",
  AND(B1194&gt;=25, B1194&lt;=34), "25-34",
  AND(B1194&gt;=35, B1194&lt;=44), "35-44",
  AND(B1194&gt;=45, B1194&lt;=54), "45-54",
  B1194&gt;=55, "55+"
)</f>
        <v>45-54</v>
      </c>
      <c r="D1194" t="s">
        <v>19</v>
      </c>
      <c r="E1194" t="s">
        <v>64</v>
      </c>
      <c r="F1194" t="s">
        <v>65</v>
      </c>
      <c r="G1194">
        <v>56</v>
      </c>
      <c r="H1194" t="s">
        <v>103</v>
      </c>
      <c r="I1194" t="s">
        <v>45</v>
      </c>
      <c r="J1194" t="s">
        <v>49</v>
      </c>
      <c r="K1194" t="s">
        <v>54</v>
      </c>
      <c r="L1194">
        <v>4</v>
      </c>
      <c r="M1194" t="s">
        <v>152</v>
      </c>
      <c r="N1194" t="s">
        <v>46</v>
      </c>
      <c r="O1194" t="s">
        <v>72</v>
      </c>
      <c r="P1194" t="s">
        <v>26</v>
      </c>
      <c r="Q1194" t="s">
        <v>26</v>
      </c>
      <c r="R1194">
        <v>42</v>
      </c>
      <c r="S1194" t="s">
        <v>29</v>
      </c>
      <c r="T1194" t="str">
        <f t="shared" si="36"/>
        <v>Quarterly</v>
      </c>
      <c r="U1194">
        <f>VLOOKUP(T1194,[1]tablescore!$B$3:$C$8, 2,FALSE)</f>
        <v>4</v>
      </c>
      <c r="V1194" t="str">
        <f t="shared" si="37"/>
        <v>Low Loyalty</v>
      </c>
      <c r="W1194" t="s">
        <v>60</v>
      </c>
    </row>
    <row r="1195" spans="1:23" x14ac:dyDescent="0.25">
      <c r="A1195">
        <v>1194</v>
      </c>
      <c r="B1195">
        <v>40</v>
      </c>
      <c r="C1195" t="str" cm="1">
        <f t="array" ref="C1195">_xlfn.IFS(
  AND(B1195&gt;=18, B1195&lt;=24), "18-24",
  AND(B1195&gt;=25, B1195&lt;=34), "25-34",
  AND(B1195&gt;=35, B1195&lt;=44), "35-44",
  AND(B1195&gt;=45, B1195&lt;=54), "45-54",
  B1195&gt;=55, "55+"
)</f>
        <v>35-44</v>
      </c>
      <c r="D1195" t="s">
        <v>19</v>
      </c>
      <c r="E1195" t="s">
        <v>102</v>
      </c>
      <c r="F1195" t="s">
        <v>65</v>
      </c>
      <c r="G1195">
        <v>55</v>
      </c>
      <c r="H1195" t="s">
        <v>120</v>
      </c>
      <c r="I1195" t="s">
        <v>23</v>
      </c>
      <c r="J1195" t="s">
        <v>71</v>
      </c>
      <c r="K1195" t="s">
        <v>58</v>
      </c>
      <c r="L1195">
        <v>5</v>
      </c>
      <c r="M1195" t="s">
        <v>152</v>
      </c>
      <c r="N1195" t="s">
        <v>29</v>
      </c>
      <c r="O1195" t="s">
        <v>72</v>
      </c>
      <c r="P1195" t="s">
        <v>26</v>
      </c>
      <c r="Q1195" t="s">
        <v>26</v>
      </c>
      <c r="R1195">
        <v>18</v>
      </c>
      <c r="S1195" t="s">
        <v>27</v>
      </c>
      <c r="T1195" t="str">
        <f t="shared" si="36"/>
        <v>2-week</v>
      </c>
      <c r="U1195">
        <f>VLOOKUP(T1195,[1]tablescore!$B$3:$C$8, 2,FALSE)</f>
        <v>26</v>
      </c>
      <c r="V1195" t="str">
        <f t="shared" si="37"/>
        <v>Loyal</v>
      </c>
      <c r="W1195" t="s">
        <v>30</v>
      </c>
    </row>
    <row r="1196" spans="1:23" x14ac:dyDescent="0.25">
      <c r="A1196">
        <v>1195</v>
      </c>
      <c r="B1196">
        <v>50</v>
      </c>
      <c r="C1196" t="str" cm="1">
        <f t="array" ref="C1196">_xlfn.IFS(
  AND(B1196&gt;=18, B1196&lt;=24), "18-24",
  AND(B1196&gt;=25, B1196&lt;=34), "25-34",
  AND(B1196&gt;=35, B1196&lt;=44), "35-44",
  AND(B1196&gt;=45, B1196&lt;=54), "45-54",
  B1196&gt;=55, "55+"
)</f>
        <v>45-54</v>
      </c>
      <c r="D1196" t="s">
        <v>19</v>
      </c>
      <c r="E1196" t="s">
        <v>104</v>
      </c>
      <c r="F1196" t="s">
        <v>21</v>
      </c>
      <c r="G1196">
        <v>46</v>
      </c>
      <c r="H1196" t="s">
        <v>85</v>
      </c>
      <c r="I1196" t="s">
        <v>38</v>
      </c>
      <c r="J1196" t="s">
        <v>86</v>
      </c>
      <c r="K1196" t="s">
        <v>25</v>
      </c>
      <c r="L1196">
        <v>3.1</v>
      </c>
      <c r="M1196" t="s">
        <v>152</v>
      </c>
      <c r="N1196" t="s">
        <v>59</v>
      </c>
      <c r="O1196" t="s">
        <v>72</v>
      </c>
      <c r="P1196" t="s">
        <v>26</v>
      </c>
      <c r="Q1196" t="s">
        <v>26</v>
      </c>
      <c r="R1196">
        <v>6</v>
      </c>
      <c r="S1196" t="s">
        <v>27</v>
      </c>
      <c r="T1196" t="str">
        <f t="shared" si="36"/>
        <v>2-week</v>
      </c>
      <c r="U1196">
        <f>VLOOKUP(T1196,[1]tablescore!$B$3:$C$8, 2,FALSE)</f>
        <v>26</v>
      </c>
      <c r="V1196" t="str">
        <f t="shared" si="37"/>
        <v>Loyal</v>
      </c>
      <c r="W1196" t="s">
        <v>30</v>
      </c>
    </row>
    <row r="1197" spans="1:23" x14ac:dyDescent="0.25">
      <c r="A1197">
        <v>1196</v>
      </c>
      <c r="B1197">
        <v>25</v>
      </c>
      <c r="C1197" t="str" cm="1">
        <f t="array" ref="C1197">_xlfn.IFS(
  AND(B1197&gt;=18, B1197&lt;=24), "18-24",
  AND(B1197&gt;=25, B1197&lt;=34), "25-34",
  AND(B1197&gt;=35, B1197&lt;=44), "35-44",
  AND(B1197&gt;=45, B1197&lt;=54), "45-54",
  B1197&gt;=55, "55+"
)</f>
        <v>25-34</v>
      </c>
      <c r="D1197" t="s">
        <v>19</v>
      </c>
      <c r="E1197" t="s">
        <v>119</v>
      </c>
      <c r="F1197" t="s">
        <v>69</v>
      </c>
      <c r="G1197">
        <v>95</v>
      </c>
      <c r="H1197" t="s">
        <v>105</v>
      </c>
      <c r="I1197" t="s">
        <v>45</v>
      </c>
      <c r="J1197" t="s">
        <v>53</v>
      </c>
      <c r="K1197" t="s">
        <v>25</v>
      </c>
      <c r="L1197">
        <v>4</v>
      </c>
      <c r="M1197" t="s">
        <v>152</v>
      </c>
      <c r="N1197" t="s">
        <v>35</v>
      </c>
      <c r="O1197" t="s">
        <v>72</v>
      </c>
      <c r="P1197" t="s">
        <v>26</v>
      </c>
      <c r="Q1197" t="s">
        <v>26</v>
      </c>
      <c r="R1197">
        <v>33</v>
      </c>
      <c r="S1197" t="s">
        <v>29</v>
      </c>
      <c r="T1197" t="str">
        <f t="shared" si="36"/>
        <v>Month</v>
      </c>
      <c r="U1197">
        <f>VLOOKUP(T1197,[1]tablescore!$B$3:$C$8, 2,FALSE)</f>
        <v>12</v>
      </c>
      <c r="V1197" t="str">
        <f t="shared" si="37"/>
        <v>Moderate</v>
      </c>
      <c r="W1197" t="s">
        <v>88</v>
      </c>
    </row>
    <row r="1198" spans="1:23" x14ac:dyDescent="0.25">
      <c r="A1198">
        <v>1197</v>
      </c>
      <c r="B1198">
        <v>30</v>
      </c>
      <c r="C1198" t="str" cm="1">
        <f t="array" ref="C1198">_xlfn.IFS(
  AND(B1198&gt;=18, B1198&lt;=24), "18-24",
  AND(B1198&gt;=25, B1198&lt;=34), "25-34",
  AND(B1198&gt;=35, B1198&lt;=44), "35-44",
  AND(B1198&gt;=45, B1198&lt;=54), "45-54",
  B1198&gt;=55, "55+"
)</f>
        <v>25-34</v>
      </c>
      <c r="D1198" t="s">
        <v>19</v>
      </c>
      <c r="E1198" t="s">
        <v>136</v>
      </c>
      <c r="F1198" t="s">
        <v>69</v>
      </c>
      <c r="G1198">
        <v>88</v>
      </c>
      <c r="H1198" t="s">
        <v>114</v>
      </c>
      <c r="I1198" t="s">
        <v>45</v>
      </c>
      <c r="J1198" t="s">
        <v>33</v>
      </c>
      <c r="K1198" t="s">
        <v>25</v>
      </c>
      <c r="L1198">
        <v>3.2</v>
      </c>
      <c r="M1198" t="s">
        <v>152</v>
      </c>
      <c r="N1198" t="s">
        <v>46</v>
      </c>
      <c r="O1198" t="s">
        <v>72</v>
      </c>
      <c r="P1198" t="s">
        <v>26</v>
      </c>
      <c r="Q1198" t="s">
        <v>26</v>
      </c>
      <c r="R1198">
        <v>13</v>
      </c>
      <c r="S1198" t="s">
        <v>34</v>
      </c>
      <c r="T1198" t="str">
        <f t="shared" si="36"/>
        <v>2-week</v>
      </c>
      <c r="U1198">
        <f>VLOOKUP(T1198,[1]tablescore!$B$3:$C$8, 2,FALSE)</f>
        <v>26</v>
      </c>
      <c r="V1198" t="str">
        <f t="shared" si="37"/>
        <v>Loyal</v>
      </c>
      <c r="W1198" t="s">
        <v>77</v>
      </c>
    </row>
    <row r="1199" spans="1:23" x14ac:dyDescent="0.25">
      <c r="A1199">
        <v>1198</v>
      </c>
      <c r="B1199">
        <v>54</v>
      </c>
      <c r="C1199" t="str" cm="1">
        <f t="array" ref="C1199">_xlfn.IFS(
  AND(B1199&gt;=18, B1199&lt;=24), "18-24",
  AND(B1199&gt;=25, B1199&lt;=34), "25-34",
  AND(B1199&gt;=35, B1199&lt;=44), "35-44",
  AND(B1199&gt;=45, B1199&lt;=54), "45-54",
  B1199&gt;=55, "55+"
)</f>
        <v>45-54</v>
      </c>
      <c r="D1199" t="s">
        <v>19</v>
      </c>
      <c r="E1199" t="s">
        <v>51</v>
      </c>
      <c r="F1199" t="s">
        <v>43</v>
      </c>
      <c r="G1199">
        <v>92</v>
      </c>
      <c r="H1199" t="s">
        <v>145</v>
      </c>
      <c r="I1199" t="s">
        <v>23</v>
      </c>
      <c r="J1199" t="s">
        <v>84</v>
      </c>
      <c r="K1199" t="s">
        <v>58</v>
      </c>
      <c r="L1199">
        <v>3.9</v>
      </c>
      <c r="M1199" t="s">
        <v>152</v>
      </c>
      <c r="N1199" t="s">
        <v>59</v>
      </c>
      <c r="O1199" t="s">
        <v>55</v>
      </c>
      <c r="P1199" t="s">
        <v>26</v>
      </c>
      <c r="Q1199" t="s">
        <v>26</v>
      </c>
      <c r="R1199">
        <v>26</v>
      </c>
      <c r="S1199" t="s">
        <v>46</v>
      </c>
      <c r="T1199" t="str">
        <f t="shared" si="36"/>
        <v>Annually</v>
      </c>
      <c r="U1199">
        <f>VLOOKUP(T1199,[1]tablescore!$B$3:$C$8, 2,FALSE)</f>
        <v>1</v>
      </c>
      <c r="V1199" t="str">
        <f t="shared" si="37"/>
        <v>Low Loyalty</v>
      </c>
      <c r="W1199" t="s">
        <v>50</v>
      </c>
    </row>
    <row r="1200" spans="1:23" x14ac:dyDescent="0.25">
      <c r="A1200">
        <v>1199</v>
      </c>
      <c r="B1200">
        <v>40</v>
      </c>
      <c r="C1200" t="str" cm="1">
        <f t="array" ref="C1200">_xlfn.IFS(
  AND(B1200&gt;=18, B1200&lt;=24), "18-24",
  AND(B1200&gt;=25, B1200&lt;=34), "25-34",
  AND(B1200&gt;=35, B1200&lt;=44), "35-44",
  AND(B1200&gt;=45, B1200&lt;=54), "45-54",
  B1200&gt;=55, "55+"
)</f>
        <v>35-44</v>
      </c>
      <c r="D1200" t="s">
        <v>19</v>
      </c>
      <c r="E1200" t="s">
        <v>131</v>
      </c>
      <c r="F1200" t="s">
        <v>21</v>
      </c>
      <c r="G1200">
        <v>49</v>
      </c>
      <c r="H1200" t="s">
        <v>137</v>
      </c>
      <c r="I1200" t="s">
        <v>45</v>
      </c>
      <c r="J1200" t="s">
        <v>110</v>
      </c>
      <c r="K1200" t="s">
        <v>54</v>
      </c>
      <c r="L1200">
        <v>3.9</v>
      </c>
      <c r="M1200" t="s">
        <v>152</v>
      </c>
      <c r="N1200" t="s">
        <v>34</v>
      </c>
      <c r="O1200" t="s">
        <v>72</v>
      </c>
      <c r="P1200" t="s">
        <v>26</v>
      </c>
      <c r="Q1200" t="s">
        <v>26</v>
      </c>
      <c r="R1200">
        <v>17</v>
      </c>
      <c r="S1200" t="s">
        <v>35</v>
      </c>
      <c r="T1200" t="str">
        <f t="shared" si="36"/>
        <v>Annually</v>
      </c>
      <c r="U1200">
        <f>VLOOKUP(T1200,[1]tablescore!$B$3:$C$8, 2,FALSE)</f>
        <v>1</v>
      </c>
      <c r="V1200" t="str">
        <f t="shared" si="37"/>
        <v>Low Loyalty</v>
      </c>
      <c r="W1200" t="s">
        <v>50</v>
      </c>
    </row>
    <row r="1201" spans="1:23" x14ac:dyDescent="0.25">
      <c r="A1201">
        <v>1200</v>
      </c>
      <c r="B1201">
        <v>49</v>
      </c>
      <c r="C1201" t="str" cm="1">
        <f t="array" ref="C1201">_xlfn.IFS(
  AND(B1201&gt;=18, B1201&lt;=24), "18-24",
  AND(B1201&gt;=25, B1201&lt;=34), "25-34",
  AND(B1201&gt;=35, B1201&lt;=44), "35-44",
  AND(B1201&gt;=45, B1201&lt;=54), "45-54",
  B1201&gt;=55, "55+"
)</f>
        <v>45-54</v>
      </c>
      <c r="D1201" t="s">
        <v>19</v>
      </c>
      <c r="E1201" t="s">
        <v>42</v>
      </c>
      <c r="F1201" t="s">
        <v>43</v>
      </c>
      <c r="G1201">
        <v>89</v>
      </c>
      <c r="H1201" t="s">
        <v>135</v>
      </c>
      <c r="I1201" t="s">
        <v>45</v>
      </c>
      <c r="J1201" t="s">
        <v>129</v>
      </c>
      <c r="K1201" t="s">
        <v>58</v>
      </c>
      <c r="L1201">
        <v>4.5</v>
      </c>
      <c r="M1201" t="s">
        <v>152</v>
      </c>
      <c r="N1201" t="s">
        <v>27</v>
      </c>
      <c r="O1201" t="s">
        <v>40</v>
      </c>
      <c r="P1201" t="s">
        <v>26</v>
      </c>
      <c r="Q1201" t="s">
        <v>26</v>
      </c>
      <c r="R1201">
        <v>3</v>
      </c>
      <c r="S1201" t="s">
        <v>59</v>
      </c>
      <c r="T1201" t="str">
        <f t="shared" si="36"/>
        <v>Daily</v>
      </c>
      <c r="U1201">
        <f>VLOOKUP(T1201,[1]tablescore!$B$3:$C$8, 2,FALSE)</f>
        <v>30</v>
      </c>
      <c r="V1201" t="str">
        <f t="shared" si="37"/>
        <v>Highly Loyal</v>
      </c>
      <c r="W1201" t="s">
        <v>41</v>
      </c>
    </row>
    <row r="1202" spans="1:23" x14ac:dyDescent="0.25">
      <c r="A1202">
        <v>1201</v>
      </c>
      <c r="B1202">
        <v>27</v>
      </c>
      <c r="C1202" t="str" cm="1">
        <f t="array" ref="C1202">_xlfn.IFS(
  AND(B1202&gt;=18, B1202&lt;=24), "18-24",
  AND(B1202&gt;=25, B1202&lt;=34), "25-34",
  AND(B1202&gt;=35, B1202&lt;=44), "35-44",
  AND(B1202&gt;=45, B1202&lt;=54), "45-54",
  B1202&gt;=55, "55+"
)</f>
        <v>25-34</v>
      </c>
      <c r="D1202" t="s">
        <v>19</v>
      </c>
      <c r="E1202" t="s">
        <v>64</v>
      </c>
      <c r="F1202" t="s">
        <v>65</v>
      </c>
      <c r="G1202">
        <v>22</v>
      </c>
      <c r="H1202" t="s">
        <v>146</v>
      </c>
      <c r="I1202" t="s">
        <v>92</v>
      </c>
      <c r="J1202" t="s">
        <v>94</v>
      </c>
      <c r="K1202" t="s">
        <v>25</v>
      </c>
      <c r="L1202">
        <v>4.4000000000000004</v>
      </c>
      <c r="M1202" t="s">
        <v>152</v>
      </c>
      <c r="N1202" t="s">
        <v>34</v>
      </c>
      <c r="O1202" t="s">
        <v>76</v>
      </c>
      <c r="P1202" t="s">
        <v>26</v>
      </c>
      <c r="Q1202" t="s">
        <v>26</v>
      </c>
      <c r="R1202">
        <v>7</v>
      </c>
      <c r="S1202" t="s">
        <v>46</v>
      </c>
      <c r="T1202" t="str">
        <f t="shared" si="36"/>
        <v>Daily</v>
      </c>
      <c r="U1202">
        <f>VLOOKUP(T1202,[1]tablescore!$B$3:$C$8, 2,FALSE)</f>
        <v>30</v>
      </c>
      <c r="V1202" t="str">
        <f t="shared" si="37"/>
        <v>Highly Loyal</v>
      </c>
      <c r="W1202" t="s">
        <v>41</v>
      </c>
    </row>
    <row r="1203" spans="1:23" x14ac:dyDescent="0.25">
      <c r="A1203">
        <v>1202</v>
      </c>
      <c r="B1203">
        <v>27</v>
      </c>
      <c r="C1203" t="str" cm="1">
        <f t="array" ref="C1203">_xlfn.IFS(
  AND(B1203&gt;=18, B1203&lt;=24), "18-24",
  AND(B1203&gt;=25, B1203&lt;=34), "25-34",
  AND(B1203&gt;=35, B1203&lt;=44), "35-44",
  AND(B1203&gt;=45, B1203&lt;=54), "45-54",
  B1203&gt;=55, "55+"
)</f>
        <v>25-34</v>
      </c>
      <c r="D1203" t="s">
        <v>19</v>
      </c>
      <c r="E1203" t="s">
        <v>73</v>
      </c>
      <c r="F1203" t="s">
        <v>43</v>
      </c>
      <c r="G1203">
        <v>61</v>
      </c>
      <c r="H1203" t="s">
        <v>115</v>
      </c>
      <c r="I1203" t="s">
        <v>92</v>
      </c>
      <c r="J1203" t="s">
        <v>94</v>
      </c>
      <c r="K1203" t="s">
        <v>54</v>
      </c>
      <c r="L1203">
        <v>3.1</v>
      </c>
      <c r="M1203" t="s">
        <v>152</v>
      </c>
      <c r="N1203" t="s">
        <v>35</v>
      </c>
      <c r="O1203" t="s">
        <v>72</v>
      </c>
      <c r="P1203" t="s">
        <v>26</v>
      </c>
      <c r="Q1203" t="s">
        <v>26</v>
      </c>
      <c r="R1203">
        <v>46</v>
      </c>
      <c r="S1203" t="s">
        <v>29</v>
      </c>
      <c r="T1203" t="str">
        <f t="shared" si="36"/>
        <v>2-week</v>
      </c>
      <c r="U1203">
        <f>VLOOKUP(T1203,[1]tablescore!$B$3:$C$8, 2,FALSE)</f>
        <v>26</v>
      </c>
      <c r="V1203" t="str">
        <f t="shared" si="37"/>
        <v>Loyal</v>
      </c>
      <c r="W1203" t="s">
        <v>30</v>
      </c>
    </row>
    <row r="1204" spans="1:23" x14ac:dyDescent="0.25">
      <c r="A1204">
        <v>1203</v>
      </c>
      <c r="B1204">
        <v>48</v>
      </c>
      <c r="C1204" t="str" cm="1">
        <f t="array" ref="C1204">_xlfn.IFS(
  AND(B1204&gt;=18, B1204&lt;=24), "18-24",
  AND(B1204&gt;=25, B1204&lt;=34), "25-34",
  AND(B1204&gt;=35, B1204&lt;=44), "35-44",
  AND(B1204&gt;=45, B1204&lt;=54), "45-54",
  B1204&gt;=55, "55+"
)</f>
        <v>45-54</v>
      </c>
      <c r="D1204" t="s">
        <v>19</v>
      </c>
      <c r="E1204" t="s">
        <v>119</v>
      </c>
      <c r="F1204" t="s">
        <v>69</v>
      </c>
      <c r="G1204">
        <v>29</v>
      </c>
      <c r="H1204" t="s">
        <v>135</v>
      </c>
      <c r="I1204" t="s">
        <v>38</v>
      </c>
      <c r="J1204" t="s">
        <v>79</v>
      </c>
      <c r="K1204" t="s">
        <v>39</v>
      </c>
      <c r="L1204">
        <v>2.9</v>
      </c>
      <c r="M1204" t="s">
        <v>152</v>
      </c>
      <c r="N1204" t="s">
        <v>34</v>
      </c>
      <c r="O1204" t="s">
        <v>55</v>
      </c>
      <c r="P1204" t="s">
        <v>26</v>
      </c>
      <c r="Q1204" t="s">
        <v>26</v>
      </c>
      <c r="R1204">
        <v>14</v>
      </c>
      <c r="S1204" t="s">
        <v>29</v>
      </c>
      <c r="T1204" t="str">
        <f t="shared" si="36"/>
        <v>Quarterly</v>
      </c>
      <c r="U1204">
        <f>VLOOKUP(T1204,[1]tablescore!$B$3:$C$8, 2,FALSE)</f>
        <v>4</v>
      </c>
      <c r="V1204" t="str">
        <f t="shared" si="37"/>
        <v>Low Loyalty</v>
      </c>
      <c r="W1204" t="s">
        <v>97</v>
      </c>
    </row>
    <row r="1205" spans="1:23" x14ac:dyDescent="0.25">
      <c r="A1205">
        <v>1204</v>
      </c>
      <c r="B1205">
        <v>40</v>
      </c>
      <c r="C1205" t="str" cm="1">
        <f t="array" ref="C1205">_xlfn.IFS(
  AND(B1205&gt;=18, B1205&lt;=24), "18-24",
  AND(B1205&gt;=25, B1205&lt;=34), "25-34",
  AND(B1205&gt;=35, B1205&lt;=44), "35-44",
  AND(B1205&gt;=45, B1205&lt;=54), "45-54",
  B1205&gt;=55, "55+"
)</f>
        <v>35-44</v>
      </c>
      <c r="D1205" t="s">
        <v>19</v>
      </c>
      <c r="E1205" t="s">
        <v>51</v>
      </c>
      <c r="F1205" t="s">
        <v>43</v>
      </c>
      <c r="G1205">
        <v>82</v>
      </c>
      <c r="H1205" t="s">
        <v>134</v>
      </c>
      <c r="I1205" t="s">
        <v>45</v>
      </c>
      <c r="J1205" t="s">
        <v>121</v>
      </c>
      <c r="K1205" t="s">
        <v>25</v>
      </c>
      <c r="L1205">
        <v>3.7</v>
      </c>
      <c r="M1205" t="s">
        <v>152</v>
      </c>
      <c r="N1205" t="s">
        <v>34</v>
      </c>
      <c r="O1205" t="s">
        <v>40</v>
      </c>
      <c r="P1205" t="s">
        <v>26</v>
      </c>
      <c r="Q1205" t="s">
        <v>26</v>
      </c>
      <c r="R1205">
        <v>23</v>
      </c>
      <c r="S1205" t="s">
        <v>34</v>
      </c>
      <c r="T1205" t="str">
        <f t="shared" si="36"/>
        <v>Annually</v>
      </c>
      <c r="U1205">
        <f>VLOOKUP(T1205,[1]tablescore!$B$3:$C$8, 2,FALSE)</f>
        <v>1</v>
      </c>
      <c r="V1205" t="str">
        <f t="shared" si="37"/>
        <v>Low Loyalty</v>
      </c>
      <c r="W1205" t="s">
        <v>50</v>
      </c>
    </row>
    <row r="1206" spans="1:23" x14ac:dyDescent="0.25">
      <c r="A1206">
        <v>1205</v>
      </c>
      <c r="B1206">
        <v>67</v>
      </c>
      <c r="C1206" t="str" cm="1">
        <f t="array" ref="C1206">_xlfn.IFS(
  AND(B1206&gt;=18, B1206&lt;=24), "18-24",
  AND(B1206&gt;=25, B1206&lt;=34), "25-34",
  AND(B1206&gt;=35, B1206&lt;=44), "35-44",
  AND(B1206&gt;=45, B1206&lt;=54), "45-54",
  B1206&gt;=55, "55+"
)</f>
        <v>55+</v>
      </c>
      <c r="D1206" t="s">
        <v>19</v>
      </c>
      <c r="E1206" t="s">
        <v>136</v>
      </c>
      <c r="F1206" t="s">
        <v>69</v>
      </c>
      <c r="G1206">
        <v>94</v>
      </c>
      <c r="H1206" t="s">
        <v>103</v>
      </c>
      <c r="I1206" t="s">
        <v>45</v>
      </c>
      <c r="J1206" t="s">
        <v>71</v>
      </c>
      <c r="K1206" t="s">
        <v>39</v>
      </c>
      <c r="L1206">
        <v>3.2</v>
      </c>
      <c r="M1206" t="s">
        <v>152</v>
      </c>
      <c r="N1206" t="s">
        <v>34</v>
      </c>
      <c r="O1206" t="s">
        <v>72</v>
      </c>
      <c r="P1206" t="s">
        <v>26</v>
      </c>
      <c r="Q1206" t="s">
        <v>26</v>
      </c>
      <c r="R1206">
        <v>20</v>
      </c>
      <c r="S1206" t="s">
        <v>27</v>
      </c>
      <c r="T1206" t="str">
        <f t="shared" si="36"/>
        <v>Quarterly</v>
      </c>
      <c r="U1206">
        <f>VLOOKUP(T1206,[1]tablescore!$B$3:$C$8, 2,FALSE)</f>
        <v>4</v>
      </c>
      <c r="V1206" t="str">
        <f t="shared" si="37"/>
        <v>Low Loyalty</v>
      </c>
      <c r="W1206" t="s">
        <v>97</v>
      </c>
    </row>
    <row r="1207" spans="1:23" x14ac:dyDescent="0.25">
      <c r="A1207">
        <v>1206</v>
      </c>
      <c r="B1207">
        <v>52</v>
      </c>
      <c r="C1207" t="str" cm="1">
        <f t="array" ref="C1207">_xlfn.IFS(
  AND(B1207&gt;=18, B1207&lt;=24), "18-24",
  AND(B1207&gt;=25, B1207&lt;=34), "25-34",
  AND(B1207&gt;=35, B1207&lt;=44), "35-44",
  AND(B1207&gt;=45, B1207&lt;=54), "45-54",
  B1207&gt;=55, "55+"
)</f>
        <v>45-54</v>
      </c>
      <c r="D1207" t="s">
        <v>19</v>
      </c>
      <c r="E1207" t="s">
        <v>68</v>
      </c>
      <c r="F1207" t="s">
        <v>69</v>
      </c>
      <c r="G1207">
        <v>99</v>
      </c>
      <c r="H1207" t="s">
        <v>99</v>
      </c>
      <c r="I1207" t="s">
        <v>45</v>
      </c>
      <c r="J1207" t="s">
        <v>79</v>
      </c>
      <c r="K1207" t="s">
        <v>39</v>
      </c>
      <c r="L1207">
        <v>3.5</v>
      </c>
      <c r="M1207" t="s">
        <v>152</v>
      </c>
      <c r="N1207" t="s">
        <v>27</v>
      </c>
      <c r="O1207" t="s">
        <v>55</v>
      </c>
      <c r="P1207" t="s">
        <v>26</v>
      </c>
      <c r="Q1207" t="s">
        <v>26</v>
      </c>
      <c r="R1207">
        <v>38</v>
      </c>
      <c r="S1207" t="s">
        <v>34</v>
      </c>
      <c r="T1207" t="str">
        <f t="shared" si="36"/>
        <v>2-week</v>
      </c>
      <c r="U1207">
        <f>VLOOKUP(T1207,[1]tablescore!$B$3:$C$8, 2,FALSE)</f>
        <v>26</v>
      </c>
      <c r="V1207" t="str">
        <f t="shared" si="37"/>
        <v>Loyal</v>
      </c>
      <c r="W1207" t="s">
        <v>30</v>
      </c>
    </row>
    <row r="1208" spans="1:23" x14ac:dyDescent="0.25">
      <c r="A1208">
        <v>1207</v>
      </c>
      <c r="B1208">
        <v>22</v>
      </c>
      <c r="C1208" t="str" cm="1">
        <f t="array" ref="C1208">_xlfn.IFS(
  AND(B1208&gt;=18, B1208&lt;=24), "18-24",
  AND(B1208&gt;=25, B1208&lt;=34), "25-34",
  AND(B1208&gt;=35, B1208&lt;=44), "35-44",
  AND(B1208&gt;=45, B1208&lt;=54), "45-54",
  B1208&gt;=55, "55+"
)</f>
        <v>18-24</v>
      </c>
      <c r="D1208" t="s">
        <v>19</v>
      </c>
      <c r="E1208" t="s">
        <v>68</v>
      </c>
      <c r="F1208" t="s">
        <v>69</v>
      </c>
      <c r="G1208">
        <v>59</v>
      </c>
      <c r="H1208" t="s">
        <v>91</v>
      </c>
      <c r="I1208" t="s">
        <v>38</v>
      </c>
      <c r="J1208" t="s">
        <v>109</v>
      </c>
      <c r="K1208" t="s">
        <v>58</v>
      </c>
      <c r="L1208">
        <v>3</v>
      </c>
      <c r="M1208" t="s">
        <v>152</v>
      </c>
      <c r="N1208" t="s">
        <v>35</v>
      </c>
      <c r="O1208" t="s">
        <v>40</v>
      </c>
      <c r="P1208" t="s">
        <v>26</v>
      </c>
      <c r="Q1208" t="s">
        <v>26</v>
      </c>
      <c r="R1208">
        <v>16</v>
      </c>
      <c r="S1208" t="s">
        <v>29</v>
      </c>
      <c r="T1208" t="str">
        <f t="shared" si="36"/>
        <v>Quarterly</v>
      </c>
      <c r="U1208">
        <f>VLOOKUP(T1208,[1]tablescore!$B$3:$C$8, 2,FALSE)</f>
        <v>4</v>
      </c>
      <c r="V1208" t="str">
        <f t="shared" si="37"/>
        <v>Low Loyalty</v>
      </c>
      <c r="W1208" t="s">
        <v>97</v>
      </c>
    </row>
    <row r="1209" spans="1:23" x14ac:dyDescent="0.25">
      <c r="A1209">
        <v>1208</v>
      </c>
      <c r="B1209">
        <v>62</v>
      </c>
      <c r="C1209" t="str" cm="1">
        <f t="array" ref="C1209">_xlfn.IFS(
  AND(B1209&gt;=18, B1209&lt;=24), "18-24",
  AND(B1209&gt;=25, B1209&lt;=34), "25-34",
  AND(B1209&gt;=35, B1209&lt;=44), "35-44",
  AND(B1209&gt;=45, B1209&lt;=54), "45-54",
  B1209&gt;=55, "55+"
)</f>
        <v>55+</v>
      </c>
      <c r="D1209" t="s">
        <v>19</v>
      </c>
      <c r="E1209" t="s">
        <v>132</v>
      </c>
      <c r="F1209" t="s">
        <v>43</v>
      </c>
      <c r="G1209">
        <v>90</v>
      </c>
      <c r="H1209" t="s">
        <v>140</v>
      </c>
      <c r="I1209" t="s">
        <v>45</v>
      </c>
      <c r="J1209" t="s">
        <v>53</v>
      </c>
      <c r="K1209" t="s">
        <v>54</v>
      </c>
      <c r="L1209">
        <v>4.0999999999999996</v>
      </c>
      <c r="M1209" t="s">
        <v>152</v>
      </c>
      <c r="N1209" t="s">
        <v>29</v>
      </c>
      <c r="O1209" t="s">
        <v>47</v>
      </c>
      <c r="P1209" t="s">
        <v>26</v>
      </c>
      <c r="Q1209" t="s">
        <v>26</v>
      </c>
      <c r="R1209">
        <v>48</v>
      </c>
      <c r="S1209" t="s">
        <v>27</v>
      </c>
      <c r="T1209" t="str">
        <f t="shared" si="36"/>
        <v>Quarterly</v>
      </c>
      <c r="U1209">
        <f>VLOOKUP(T1209,[1]tablescore!$B$3:$C$8, 2,FALSE)</f>
        <v>4</v>
      </c>
      <c r="V1209" t="str">
        <f t="shared" si="37"/>
        <v>Low Loyalty</v>
      </c>
      <c r="W1209" t="s">
        <v>97</v>
      </c>
    </row>
    <row r="1210" spans="1:23" x14ac:dyDescent="0.25">
      <c r="A1210">
        <v>1209</v>
      </c>
      <c r="B1210">
        <v>20</v>
      </c>
      <c r="C1210" t="str" cm="1">
        <f t="array" ref="C1210">_xlfn.IFS(
  AND(B1210&gt;=18, B1210&lt;=24), "18-24",
  AND(B1210&gt;=25, B1210&lt;=34), "25-34",
  AND(B1210&gt;=35, B1210&lt;=44), "35-44",
  AND(B1210&gt;=45, B1210&lt;=54), "45-54",
  B1210&gt;=55, "55+"
)</f>
        <v>18-24</v>
      </c>
      <c r="D1210" t="s">
        <v>19</v>
      </c>
      <c r="E1210" t="s">
        <v>132</v>
      </c>
      <c r="F1210" t="s">
        <v>43</v>
      </c>
      <c r="G1210">
        <v>100</v>
      </c>
      <c r="H1210" t="s">
        <v>148</v>
      </c>
      <c r="I1210" t="s">
        <v>38</v>
      </c>
      <c r="J1210" t="s">
        <v>108</v>
      </c>
      <c r="K1210" t="s">
        <v>25</v>
      </c>
      <c r="L1210">
        <v>2.9</v>
      </c>
      <c r="M1210" t="s">
        <v>152</v>
      </c>
      <c r="N1210" t="s">
        <v>35</v>
      </c>
      <c r="O1210" t="s">
        <v>72</v>
      </c>
      <c r="P1210" t="s">
        <v>26</v>
      </c>
      <c r="Q1210" t="s">
        <v>26</v>
      </c>
      <c r="R1210">
        <v>8</v>
      </c>
      <c r="S1210" t="s">
        <v>59</v>
      </c>
      <c r="T1210" t="str">
        <f t="shared" si="36"/>
        <v>Annually</v>
      </c>
      <c r="U1210">
        <f>VLOOKUP(T1210,[1]tablescore!$B$3:$C$8, 2,FALSE)</f>
        <v>1</v>
      </c>
      <c r="V1210" t="str">
        <f t="shared" si="37"/>
        <v>Low Loyalty</v>
      </c>
      <c r="W1210" t="s">
        <v>50</v>
      </c>
    </row>
    <row r="1211" spans="1:23" x14ac:dyDescent="0.25">
      <c r="A1211">
        <v>1210</v>
      </c>
      <c r="B1211">
        <v>41</v>
      </c>
      <c r="C1211" t="str" cm="1">
        <f t="array" ref="C1211">_xlfn.IFS(
  AND(B1211&gt;=18, B1211&lt;=24), "18-24",
  AND(B1211&gt;=25, B1211&lt;=34), "25-34",
  AND(B1211&gt;=35, B1211&lt;=44), "35-44",
  AND(B1211&gt;=45, B1211&lt;=54), "45-54",
  B1211&gt;=55, "55+"
)</f>
        <v>35-44</v>
      </c>
      <c r="D1211" t="s">
        <v>19</v>
      </c>
      <c r="E1211" t="s">
        <v>95</v>
      </c>
      <c r="F1211" t="s">
        <v>21</v>
      </c>
      <c r="G1211">
        <v>62</v>
      </c>
      <c r="H1211" t="s">
        <v>141</v>
      </c>
      <c r="I1211" t="s">
        <v>45</v>
      </c>
      <c r="J1211" t="s">
        <v>138</v>
      </c>
      <c r="K1211" t="s">
        <v>25</v>
      </c>
      <c r="L1211">
        <v>3.8</v>
      </c>
      <c r="M1211" t="s">
        <v>152</v>
      </c>
      <c r="N1211" t="s">
        <v>46</v>
      </c>
      <c r="O1211" t="s">
        <v>47</v>
      </c>
      <c r="P1211" t="s">
        <v>26</v>
      </c>
      <c r="Q1211" t="s">
        <v>26</v>
      </c>
      <c r="R1211">
        <v>16</v>
      </c>
      <c r="S1211" t="s">
        <v>34</v>
      </c>
      <c r="T1211" t="str">
        <f t="shared" si="36"/>
        <v>Month</v>
      </c>
      <c r="U1211">
        <f>VLOOKUP(T1211,[1]tablescore!$B$3:$C$8, 2,FALSE)</f>
        <v>12</v>
      </c>
      <c r="V1211" t="str">
        <f t="shared" si="37"/>
        <v>Moderate</v>
      </c>
      <c r="W1211" t="s">
        <v>88</v>
      </c>
    </row>
    <row r="1212" spans="1:23" x14ac:dyDescent="0.25">
      <c r="A1212">
        <v>1211</v>
      </c>
      <c r="B1212">
        <v>34</v>
      </c>
      <c r="C1212" t="str" cm="1">
        <f t="array" ref="C1212">_xlfn.IFS(
  AND(B1212&gt;=18, B1212&lt;=24), "18-24",
  AND(B1212&gt;=25, B1212&lt;=34), "25-34",
  AND(B1212&gt;=35, B1212&lt;=44), "35-44",
  AND(B1212&gt;=45, B1212&lt;=54), "45-54",
  B1212&gt;=55, "55+"
)</f>
        <v>25-34</v>
      </c>
      <c r="D1212" t="s">
        <v>19</v>
      </c>
      <c r="E1212" t="s">
        <v>89</v>
      </c>
      <c r="F1212" t="s">
        <v>69</v>
      </c>
      <c r="G1212">
        <v>78</v>
      </c>
      <c r="H1212" t="s">
        <v>70</v>
      </c>
      <c r="I1212" t="s">
        <v>45</v>
      </c>
      <c r="J1212" t="s">
        <v>79</v>
      </c>
      <c r="K1212" t="s">
        <v>58</v>
      </c>
      <c r="L1212">
        <v>4.0999999999999996</v>
      </c>
      <c r="M1212" t="s">
        <v>152</v>
      </c>
      <c r="N1212" t="s">
        <v>46</v>
      </c>
      <c r="O1212" t="s">
        <v>47</v>
      </c>
      <c r="P1212" t="s">
        <v>26</v>
      </c>
      <c r="Q1212" t="s">
        <v>26</v>
      </c>
      <c r="R1212">
        <v>5</v>
      </c>
      <c r="S1212" t="s">
        <v>35</v>
      </c>
      <c r="T1212" t="str">
        <f t="shared" si="36"/>
        <v>Quarterly</v>
      </c>
      <c r="U1212">
        <f>VLOOKUP(T1212,[1]tablescore!$B$3:$C$8, 2,FALSE)</f>
        <v>4</v>
      </c>
      <c r="V1212" t="str">
        <f t="shared" si="37"/>
        <v>Low Loyalty</v>
      </c>
      <c r="W1212" t="s">
        <v>60</v>
      </c>
    </row>
    <row r="1213" spans="1:23" x14ac:dyDescent="0.25">
      <c r="A1213">
        <v>1212</v>
      </c>
      <c r="B1213">
        <v>23</v>
      </c>
      <c r="C1213" t="str" cm="1">
        <f t="array" ref="C1213">_xlfn.IFS(
  AND(B1213&gt;=18, B1213&lt;=24), "18-24",
  AND(B1213&gt;=25, B1213&lt;=34), "25-34",
  AND(B1213&gt;=35, B1213&lt;=44), "35-44",
  AND(B1213&gt;=45, B1213&lt;=54), "45-54",
  B1213&gt;=55, "55+"
)</f>
        <v>18-24</v>
      </c>
      <c r="D1213" t="s">
        <v>19</v>
      </c>
      <c r="E1213" t="s">
        <v>104</v>
      </c>
      <c r="F1213" t="s">
        <v>21</v>
      </c>
      <c r="G1213">
        <v>94</v>
      </c>
      <c r="H1213" t="s">
        <v>101</v>
      </c>
      <c r="I1213" t="s">
        <v>45</v>
      </c>
      <c r="J1213" t="s">
        <v>96</v>
      </c>
      <c r="K1213" t="s">
        <v>39</v>
      </c>
      <c r="L1213">
        <v>4.5999999999999996</v>
      </c>
      <c r="M1213" t="s">
        <v>152</v>
      </c>
      <c r="N1213" t="s">
        <v>29</v>
      </c>
      <c r="O1213" t="s">
        <v>76</v>
      </c>
      <c r="P1213" t="s">
        <v>26</v>
      </c>
      <c r="Q1213" t="s">
        <v>26</v>
      </c>
      <c r="R1213">
        <v>14</v>
      </c>
      <c r="S1213" t="s">
        <v>29</v>
      </c>
      <c r="T1213" t="str">
        <f t="shared" si="36"/>
        <v>Quarterly</v>
      </c>
      <c r="U1213">
        <f>VLOOKUP(T1213,[1]tablescore!$B$3:$C$8, 2,FALSE)</f>
        <v>4</v>
      </c>
      <c r="V1213" t="str">
        <f t="shared" si="37"/>
        <v>Low Loyalty</v>
      </c>
      <c r="W1213" t="s">
        <v>97</v>
      </c>
    </row>
    <row r="1214" spans="1:23" x14ac:dyDescent="0.25">
      <c r="A1214">
        <v>1213</v>
      </c>
      <c r="B1214">
        <v>32</v>
      </c>
      <c r="C1214" t="str" cm="1">
        <f t="array" ref="C1214">_xlfn.IFS(
  AND(B1214&gt;=18, B1214&lt;=24), "18-24",
  AND(B1214&gt;=25, B1214&lt;=34), "25-34",
  AND(B1214&gt;=35, B1214&lt;=44), "35-44",
  AND(B1214&gt;=45, B1214&lt;=54), "45-54",
  B1214&gt;=55, "55+"
)</f>
        <v>25-34</v>
      </c>
      <c r="D1214" t="s">
        <v>19</v>
      </c>
      <c r="E1214" t="s">
        <v>73</v>
      </c>
      <c r="F1214" t="s">
        <v>43</v>
      </c>
      <c r="G1214">
        <v>74</v>
      </c>
      <c r="H1214" t="s">
        <v>141</v>
      </c>
      <c r="I1214" t="s">
        <v>45</v>
      </c>
      <c r="J1214" t="s">
        <v>139</v>
      </c>
      <c r="K1214" t="s">
        <v>54</v>
      </c>
      <c r="L1214">
        <v>2.5</v>
      </c>
      <c r="M1214" t="s">
        <v>152</v>
      </c>
      <c r="N1214" t="s">
        <v>29</v>
      </c>
      <c r="O1214" t="s">
        <v>40</v>
      </c>
      <c r="P1214" t="s">
        <v>26</v>
      </c>
      <c r="Q1214" t="s">
        <v>26</v>
      </c>
      <c r="R1214">
        <v>18</v>
      </c>
      <c r="S1214" t="s">
        <v>27</v>
      </c>
      <c r="T1214" t="str">
        <f t="shared" si="36"/>
        <v>Daily</v>
      </c>
      <c r="U1214">
        <f>VLOOKUP(T1214,[1]tablescore!$B$3:$C$8, 2,FALSE)</f>
        <v>30</v>
      </c>
      <c r="V1214" t="str">
        <f t="shared" si="37"/>
        <v>Highly Loyal</v>
      </c>
      <c r="W1214" t="s">
        <v>41</v>
      </c>
    </row>
    <row r="1215" spans="1:23" x14ac:dyDescent="0.25">
      <c r="A1215">
        <v>1214</v>
      </c>
      <c r="B1215">
        <v>68</v>
      </c>
      <c r="C1215" t="str" cm="1">
        <f t="array" ref="C1215">_xlfn.IFS(
  AND(B1215&gt;=18, B1215&lt;=24), "18-24",
  AND(B1215&gt;=25, B1215&lt;=34), "25-34",
  AND(B1215&gt;=35, B1215&lt;=44), "35-44",
  AND(B1215&gt;=45, B1215&lt;=54), "45-54",
  B1215&gt;=55, "55+"
)</f>
        <v>55+</v>
      </c>
      <c r="D1215" t="s">
        <v>19</v>
      </c>
      <c r="E1215" t="s">
        <v>68</v>
      </c>
      <c r="F1215" t="s">
        <v>69</v>
      </c>
      <c r="G1215">
        <v>52</v>
      </c>
      <c r="H1215" t="s">
        <v>22</v>
      </c>
      <c r="I1215" t="s">
        <v>92</v>
      </c>
      <c r="J1215" t="s">
        <v>94</v>
      </c>
      <c r="K1215" t="s">
        <v>39</v>
      </c>
      <c r="L1215">
        <v>3.7</v>
      </c>
      <c r="M1215" t="s">
        <v>152</v>
      </c>
      <c r="N1215" t="s">
        <v>35</v>
      </c>
      <c r="O1215" t="s">
        <v>28</v>
      </c>
      <c r="P1215" t="s">
        <v>26</v>
      </c>
      <c r="Q1215" t="s">
        <v>26</v>
      </c>
      <c r="R1215">
        <v>14</v>
      </c>
      <c r="S1215" t="s">
        <v>59</v>
      </c>
      <c r="T1215" t="str">
        <f t="shared" si="36"/>
        <v>Quarterly</v>
      </c>
      <c r="U1215">
        <f>VLOOKUP(T1215,[1]tablescore!$B$3:$C$8, 2,FALSE)</f>
        <v>4</v>
      </c>
      <c r="V1215" t="str">
        <f t="shared" si="37"/>
        <v>Low Loyalty</v>
      </c>
      <c r="W1215" t="s">
        <v>97</v>
      </c>
    </row>
    <row r="1216" spans="1:23" x14ac:dyDescent="0.25">
      <c r="A1216">
        <v>1215</v>
      </c>
      <c r="B1216">
        <v>30</v>
      </c>
      <c r="C1216" t="str" cm="1">
        <f t="array" ref="C1216">_xlfn.IFS(
  AND(B1216&gt;=18, B1216&lt;=24), "18-24",
  AND(B1216&gt;=25, B1216&lt;=34), "25-34",
  AND(B1216&gt;=35, B1216&lt;=44), "35-44",
  AND(B1216&gt;=45, B1216&lt;=54), "45-54",
  B1216&gt;=55, "55+"
)</f>
        <v>25-34</v>
      </c>
      <c r="D1216" t="s">
        <v>19</v>
      </c>
      <c r="E1216" t="s">
        <v>102</v>
      </c>
      <c r="F1216" t="s">
        <v>65</v>
      </c>
      <c r="G1216">
        <v>81</v>
      </c>
      <c r="H1216" t="s">
        <v>145</v>
      </c>
      <c r="I1216" t="s">
        <v>45</v>
      </c>
      <c r="J1216" t="s">
        <v>138</v>
      </c>
      <c r="K1216" t="s">
        <v>58</v>
      </c>
      <c r="L1216">
        <v>3.8</v>
      </c>
      <c r="M1216" t="s">
        <v>152</v>
      </c>
      <c r="N1216" t="s">
        <v>35</v>
      </c>
      <c r="O1216" t="s">
        <v>40</v>
      </c>
      <c r="P1216" t="s">
        <v>26</v>
      </c>
      <c r="Q1216" t="s">
        <v>26</v>
      </c>
      <c r="R1216">
        <v>5</v>
      </c>
      <c r="S1216" t="s">
        <v>35</v>
      </c>
      <c r="T1216" t="str">
        <f t="shared" si="36"/>
        <v>Quarterly</v>
      </c>
      <c r="U1216">
        <f>VLOOKUP(T1216,[1]tablescore!$B$3:$C$8, 2,FALSE)</f>
        <v>4</v>
      </c>
      <c r="V1216" t="str">
        <f t="shared" si="37"/>
        <v>Low Loyalty</v>
      </c>
      <c r="W1216" t="s">
        <v>97</v>
      </c>
    </row>
    <row r="1217" spans="1:23" x14ac:dyDescent="0.25">
      <c r="A1217">
        <v>1216</v>
      </c>
      <c r="B1217">
        <v>66</v>
      </c>
      <c r="C1217" t="str" cm="1">
        <f t="array" ref="C1217">_xlfn.IFS(
  AND(B1217&gt;=18, B1217&lt;=24), "18-24",
  AND(B1217&gt;=25, B1217&lt;=34), "25-34",
  AND(B1217&gt;=35, B1217&lt;=44), "35-44",
  AND(B1217&gt;=45, B1217&lt;=54), "45-54",
  B1217&gt;=55, "55+"
)</f>
        <v>55+</v>
      </c>
      <c r="D1217" t="s">
        <v>19</v>
      </c>
      <c r="E1217" t="s">
        <v>20</v>
      </c>
      <c r="F1217" t="s">
        <v>21</v>
      </c>
      <c r="G1217">
        <v>20</v>
      </c>
      <c r="H1217" t="s">
        <v>48</v>
      </c>
      <c r="I1217" t="s">
        <v>23</v>
      </c>
      <c r="J1217" t="s">
        <v>71</v>
      </c>
      <c r="K1217" t="s">
        <v>25</v>
      </c>
      <c r="L1217">
        <v>2.6</v>
      </c>
      <c r="M1217" t="s">
        <v>152</v>
      </c>
      <c r="N1217" t="s">
        <v>35</v>
      </c>
      <c r="O1217" t="s">
        <v>72</v>
      </c>
      <c r="P1217" t="s">
        <v>26</v>
      </c>
      <c r="Q1217" t="s">
        <v>26</v>
      </c>
      <c r="R1217">
        <v>15</v>
      </c>
      <c r="S1217" t="s">
        <v>27</v>
      </c>
      <c r="T1217" t="str">
        <f t="shared" si="36"/>
        <v>Quarterly</v>
      </c>
      <c r="U1217">
        <f>VLOOKUP(T1217,[1]tablescore!$B$3:$C$8, 2,FALSE)</f>
        <v>4</v>
      </c>
      <c r="V1217" t="str">
        <f t="shared" si="37"/>
        <v>Low Loyalty</v>
      </c>
      <c r="W1217" t="s">
        <v>97</v>
      </c>
    </row>
    <row r="1218" spans="1:23" x14ac:dyDescent="0.25">
      <c r="A1218">
        <v>1217</v>
      </c>
      <c r="B1218">
        <v>62</v>
      </c>
      <c r="C1218" t="str" cm="1">
        <f t="array" ref="C1218">_xlfn.IFS(
  AND(B1218&gt;=18, B1218&lt;=24), "18-24",
  AND(B1218&gt;=25, B1218&lt;=34), "25-34",
  AND(B1218&gt;=35, B1218&lt;=44), "35-44",
  AND(B1218&gt;=45, B1218&lt;=54), "45-54",
  B1218&gt;=55, "55+"
)</f>
        <v>55+</v>
      </c>
      <c r="D1218" t="s">
        <v>19</v>
      </c>
      <c r="E1218" t="s">
        <v>95</v>
      </c>
      <c r="F1218" t="s">
        <v>21</v>
      </c>
      <c r="G1218">
        <v>32</v>
      </c>
      <c r="H1218" t="s">
        <v>149</v>
      </c>
      <c r="I1218" t="s">
        <v>92</v>
      </c>
      <c r="J1218" t="s">
        <v>93</v>
      </c>
      <c r="K1218" t="s">
        <v>54</v>
      </c>
      <c r="L1218">
        <v>3.7</v>
      </c>
      <c r="M1218" t="s">
        <v>152</v>
      </c>
      <c r="N1218" t="s">
        <v>46</v>
      </c>
      <c r="O1218" t="s">
        <v>40</v>
      </c>
      <c r="P1218" t="s">
        <v>26</v>
      </c>
      <c r="Q1218" t="s">
        <v>26</v>
      </c>
      <c r="R1218">
        <v>3</v>
      </c>
      <c r="S1218" t="s">
        <v>29</v>
      </c>
      <c r="T1218" t="str">
        <f t="shared" si="36"/>
        <v>Quarterly</v>
      </c>
      <c r="U1218">
        <f>VLOOKUP(T1218,[1]tablescore!$B$3:$C$8, 2,FALSE)</f>
        <v>4</v>
      </c>
      <c r="V1218" t="str">
        <f t="shared" si="37"/>
        <v>Low Loyalty</v>
      </c>
      <c r="W1218" t="s">
        <v>97</v>
      </c>
    </row>
    <row r="1219" spans="1:23" x14ac:dyDescent="0.25">
      <c r="A1219">
        <v>1218</v>
      </c>
      <c r="B1219">
        <v>50</v>
      </c>
      <c r="C1219" t="str" cm="1">
        <f t="array" ref="C1219">_xlfn.IFS(
  AND(B1219&gt;=18, B1219&lt;=24), "18-24",
  AND(B1219&gt;=25, B1219&lt;=34), "25-34",
  AND(B1219&gt;=35, B1219&lt;=44), "35-44",
  AND(B1219&gt;=45, B1219&lt;=54), "45-54",
  B1219&gt;=55, "55+"
)</f>
        <v>45-54</v>
      </c>
      <c r="D1219" t="s">
        <v>19</v>
      </c>
      <c r="E1219" t="s">
        <v>132</v>
      </c>
      <c r="F1219" t="s">
        <v>43</v>
      </c>
      <c r="G1219">
        <v>63</v>
      </c>
      <c r="H1219" t="s">
        <v>143</v>
      </c>
      <c r="I1219" t="s">
        <v>92</v>
      </c>
      <c r="J1219" t="s">
        <v>109</v>
      </c>
      <c r="K1219" t="s">
        <v>58</v>
      </c>
      <c r="L1219">
        <v>2.6</v>
      </c>
      <c r="M1219" t="s">
        <v>152</v>
      </c>
      <c r="N1219" t="s">
        <v>59</v>
      </c>
      <c r="O1219" t="s">
        <v>40</v>
      </c>
      <c r="P1219" t="s">
        <v>26</v>
      </c>
      <c r="Q1219" t="s">
        <v>26</v>
      </c>
      <c r="R1219">
        <v>12</v>
      </c>
      <c r="S1219" t="s">
        <v>35</v>
      </c>
      <c r="T1219" t="str">
        <f t="shared" ref="T1219:T1282" si="38">IF(TRIM(W1219)="Every 3 months","Quarterly",IF(TRIM(W1219)="Fortnightly","2-week",IF(TRIM(W1219)="Bi-Weekly","2-week",IF(TRIM(W1219)="Weekly","Daily",IF(TRIM(W1219)="Monthly","Month",TRIM(W1219))))))</f>
        <v>Quarterly</v>
      </c>
      <c r="U1219">
        <f>VLOOKUP(T1219,[1]tablescore!$B$3:$C$8, 2,FALSE)</f>
        <v>4</v>
      </c>
      <c r="V1219" t="str">
        <f t="shared" ref="V1219:V1282" si="39">_xlfn.IFS(U1219&gt;=30, "Highly Loyal", U1219&gt;=26, "Loyal", U1219&gt;=12, "Moderate", U1219&lt;5, "Low Loyalty")</f>
        <v>Low Loyalty</v>
      </c>
      <c r="W1219" t="s">
        <v>97</v>
      </c>
    </row>
    <row r="1220" spans="1:23" x14ac:dyDescent="0.25">
      <c r="A1220">
        <v>1219</v>
      </c>
      <c r="B1220">
        <v>55</v>
      </c>
      <c r="C1220" t="str" cm="1">
        <f t="array" ref="C1220">_xlfn.IFS(
  AND(B1220&gt;=18, B1220&lt;=24), "18-24",
  AND(B1220&gt;=25, B1220&lt;=34), "25-34",
  AND(B1220&gt;=35, B1220&lt;=44), "35-44",
  AND(B1220&gt;=45, B1220&lt;=54), "45-54",
  B1220&gt;=55, "55+"
)</f>
        <v>55+</v>
      </c>
      <c r="D1220" t="s">
        <v>19</v>
      </c>
      <c r="E1220" t="s">
        <v>132</v>
      </c>
      <c r="F1220" t="s">
        <v>43</v>
      </c>
      <c r="G1220">
        <v>79</v>
      </c>
      <c r="H1220" t="s">
        <v>141</v>
      </c>
      <c r="I1220" t="s">
        <v>45</v>
      </c>
      <c r="J1220" t="s">
        <v>109</v>
      </c>
      <c r="K1220" t="s">
        <v>39</v>
      </c>
      <c r="L1220">
        <v>3.1</v>
      </c>
      <c r="M1220" t="s">
        <v>152</v>
      </c>
      <c r="N1220" t="s">
        <v>29</v>
      </c>
      <c r="O1220" t="s">
        <v>76</v>
      </c>
      <c r="P1220" t="s">
        <v>26</v>
      </c>
      <c r="Q1220" t="s">
        <v>26</v>
      </c>
      <c r="R1220">
        <v>43</v>
      </c>
      <c r="S1220" t="s">
        <v>35</v>
      </c>
      <c r="T1220" t="str">
        <f t="shared" si="38"/>
        <v>Quarterly</v>
      </c>
      <c r="U1220">
        <f>VLOOKUP(T1220,[1]tablescore!$B$3:$C$8, 2,FALSE)</f>
        <v>4</v>
      </c>
      <c r="V1220" t="str">
        <f t="shared" si="39"/>
        <v>Low Loyalty</v>
      </c>
      <c r="W1220" t="s">
        <v>97</v>
      </c>
    </row>
    <row r="1221" spans="1:23" x14ac:dyDescent="0.25">
      <c r="A1221">
        <v>1220</v>
      </c>
      <c r="B1221">
        <v>19</v>
      </c>
      <c r="C1221" t="str" cm="1">
        <f t="array" ref="C1221">_xlfn.IFS(
  AND(B1221&gt;=18, B1221&lt;=24), "18-24",
  AND(B1221&gt;=25, B1221&lt;=34), "25-34",
  AND(B1221&gt;=35, B1221&lt;=44), "35-44",
  AND(B1221&gt;=45, B1221&lt;=54), "45-54",
  B1221&gt;=55, "55+"
)</f>
        <v>18-24</v>
      </c>
      <c r="D1221" t="s">
        <v>19</v>
      </c>
      <c r="E1221" t="s">
        <v>31</v>
      </c>
      <c r="F1221" t="s">
        <v>21</v>
      </c>
      <c r="G1221">
        <v>23</v>
      </c>
      <c r="H1221" t="s">
        <v>145</v>
      </c>
      <c r="I1221" t="s">
        <v>45</v>
      </c>
      <c r="J1221" t="s">
        <v>81</v>
      </c>
      <c r="K1221" t="s">
        <v>25</v>
      </c>
      <c r="L1221">
        <v>2.5</v>
      </c>
      <c r="M1221" t="s">
        <v>152</v>
      </c>
      <c r="N1221" t="s">
        <v>34</v>
      </c>
      <c r="O1221" t="s">
        <v>47</v>
      </c>
      <c r="P1221" t="s">
        <v>26</v>
      </c>
      <c r="Q1221" t="s">
        <v>26</v>
      </c>
      <c r="R1221">
        <v>35</v>
      </c>
      <c r="S1221" t="s">
        <v>27</v>
      </c>
      <c r="T1221" t="str">
        <f t="shared" si="38"/>
        <v>2-week</v>
      </c>
      <c r="U1221">
        <f>VLOOKUP(T1221,[1]tablescore!$B$3:$C$8, 2,FALSE)</f>
        <v>26</v>
      </c>
      <c r="V1221" t="str">
        <f t="shared" si="39"/>
        <v>Loyal</v>
      </c>
      <c r="W1221" t="s">
        <v>77</v>
      </c>
    </row>
    <row r="1222" spans="1:23" x14ac:dyDescent="0.25">
      <c r="A1222">
        <v>1221</v>
      </c>
      <c r="B1222">
        <v>67</v>
      </c>
      <c r="C1222" t="str" cm="1">
        <f t="array" ref="C1222">_xlfn.IFS(
  AND(B1222&gt;=18, B1222&lt;=24), "18-24",
  AND(B1222&gt;=25, B1222&lt;=34), "25-34",
  AND(B1222&gt;=35, B1222&lt;=44), "35-44",
  AND(B1222&gt;=45, B1222&lt;=54), "45-54",
  B1222&gt;=55, "55+"
)</f>
        <v>55+</v>
      </c>
      <c r="D1222" t="s">
        <v>19</v>
      </c>
      <c r="E1222" t="s">
        <v>127</v>
      </c>
      <c r="F1222" t="s">
        <v>69</v>
      </c>
      <c r="G1222">
        <v>64</v>
      </c>
      <c r="H1222" t="s">
        <v>22</v>
      </c>
      <c r="I1222" t="s">
        <v>45</v>
      </c>
      <c r="J1222" t="s">
        <v>96</v>
      </c>
      <c r="K1222" t="s">
        <v>25</v>
      </c>
      <c r="L1222">
        <v>4.9000000000000004</v>
      </c>
      <c r="M1222" t="s">
        <v>152</v>
      </c>
      <c r="N1222" t="s">
        <v>34</v>
      </c>
      <c r="O1222" t="s">
        <v>28</v>
      </c>
      <c r="P1222" t="s">
        <v>26</v>
      </c>
      <c r="Q1222" t="s">
        <v>26</v>
      </c>
      <c r="R1222">
        <v>36</v>
      </c>
      <c r="S1222" t="s">
        <v>34</v>
      </c>
      <c r="T1222" t="str">
        <f t="shared" si="38"/>
        <v>Quarterly</v>
      </c>
      <c r="U1222">
        <f>VLOOKUP(T1222,[1]tablescore!$B$3:$C$8, 2,FALSE)</f>
        <v>4</v>
      </c>
      <c r="V1222" t="str">
        <f t="shared" si="39"/>
        <v>Low Loyalty</v>
      </c>
      <c r="W1222" t="s">
        <v>60</v>
      </c>
    </row>
    <row r="1223" spans="1:23" x14ac:dyDescent="0.25">
      <c r="A1223">
        <v>1222</v>
      </c>
      <c r="B1223">
        <v>18</v>
      </c>
      <c r="C1223" t="str" cm="1">
        <f t="array" ref="C1223">_xlfn.IFS(
  AND(B1223&gt;=18, B1223&lt;=24), "18-24",
  AND(B1223&gt;=25, B1223&lt;=34), "25-34",
  AND(B1223&gt;=35, B1223&lt;=44), "35-44",
  AND(B1223&gt;=45, B1223&lt;=54), "45-54",
  B1223&gt;=55, "55+"
)</f>
        <v>18-24</v>
      </c>
      <c r="D1223" t="s">
        <v>19</v>
      </c>
      <c r="E1223" t="s">
        <v>131</v>
      </c>
      <c r="F1223" t="s">
        <v>21</v>
      </c>
      <c r="G1223">
        <v>69</v>
      </c>
      <c r="H1223" t="s">
        <v>150</v>
      </c>
      <c r="I1223" t="s">
        <v>45</v>
      </c>
      <c r="J1223" t="s">
        <v>108</v>
      </c>
      <c r="K1223" t="s">
        <v>25</v>
      </c>
      <c r="L1223">
        <v>4.5</v>
      </c>
      <c r="M1223" t="s">
        <v>152</v>
      </c>
      <c r="N1223" t="s">
        <v>34</v>
      </c>
      <c r="O1223" t="s">
        <v>55</v>
      </c>
      <c r="P1223" t="s">
        <v>26</v>
      </c>
      <c r="Q1223" t="s">
        <v>26</v>
      </c>
      <c r="R1223">
        <v>3</v>
      </c>
      <c r="S1223" t="s">
        <v>35</v>
      </c>
      <c r="T1223" t="str">
        <f t="shared" si="38"/>
        <v>Quarterly</v>
      </c>
      <c r="U1223">
        <f>VLOOKUP(T1223,[1]tablescore!$B$3:$C$8, 2,FALSE)</f>
        <v>4</v>
      </c>
      <c r="V1223" t="str">
        <f t="shared" si="39"/>
        <v>Low Loyalty</v>
      </c>
      <c r="W1223" t="s">
        <v>60</v>
      </c>
    </row>
    <row r="1224" spans="1:23" x14ac:dyDescent="0.25">
      <c r="A1224">
        <v>1223</v>
      </c>
      <c r="B1224">
        <v>58</v>
      </c>
      <c r="C1224" t="str" cm="1">
        <f t="array" ref="C1224">_xlfn.IFS(
  AND(B1224&gt;=18, B1224&lt;=24), "18-24",
  AND(B1224&gt;=25, B1224&lt;=34), "25-34",
  AND(B1224&gt;=35, B1224&lt;=44), "35-44",
  AND(B1224&gt;=45, B1224&lt;=54), "45-54",
  B1224&gt;=55, "55+"
)</f>
        <v>55+</v>
      </c>
      <c r="D1224" t="s">
        <v>19</v>
      </c>
      <c r="E1224" t="s">
        <v>36</v>
      </c>
      <c r="F1224" t="s">
        <v>21</v>
      </c>
      <c r="G1224">
        <v>69</v>
      </c>
      <c r="H1224" t="s">
        <v>116</v>
      </c>
      <c r="I1224" t="s">
        <v>23</v>
      </c>
      <c r="J1224" t="s">
        <v>147</v>
      </c>
      <c r="K1224" t="s">
        <v>58</v>
      </c>
      <c r="L1224">
        <v>3.4</v>
      </c>
      <c r="M1224" t="s">
        <v>152</v>
      </c>
      <c r="N1224" t="s">
        <v>34</v>
      </c>
      <c r="O1224" t="s">
        <v>76</v>
      </c>
      <c r="P1224" t="s">
        <v>26</v>
      </c>
      <c r="Q1224" t="s">
        <v>26</v>
      </c>
      <c r="R1224">
        <v>27</v>
      </c>
      <c r="S1224" t="s">
        <v>34</v>
      </c>
      <c r="T1224" t="str">
        <f t="shared" si="38"/>
        <v>Annually</v>
      </c>
      <c r="U1224">
        <f>VLOOKUP(T1224,[1]tablescore!$B$3:$C$8, 2,FALSE)</f>
        <v>1</v>
      </c>
      <c r="V1224" t="str">
        <f t="shared" si="39"/>
        <v>Low Loyalty</v>
      </c>
      <c r="W1224" t="s">
        <v>50</v>
      </c>
    </row>
    <row r="1225" spans="1:23" x14ac:dyDescent="0.25">
      <c r="A1225">
        <v>1224</v>
      </c>
      <c r="B1225">
        <v>69</v>
      </c>
      <c r="C1225" t="str" cm="1">
        <f t="array" ref="C1225">_xlfn.IFS(
  AND(B1225&gt;=18, B1225&lt;=24), "18-24",
  AND(B1225&gt;=25, B1225&lt;=34), "25-34",
  AND(B1225&gt;=35, B1225&lt;=44), "35-44",
  AND(B1225&gt;=45, B1225&lt;=54), "45-54",
  B1225&gt;=55, "55+"
)</f>
        <v>55+</v>
      </c>
      <c r="D1225" t="s">
        <v>19</v>
      </c>
      <c r="E1225" t="s">
        <v>95</v>
      </c>
      <c r="F1225" t="s">
        <v>21</v>
      </c>
      <c r="G1225">
        <v>24</v>
      </c>
      <c r="H1225" t="s">
        <v>111</v>
      </c>
      <c r="I1225" t="s">
        <v>23</v>
      </c>
      <c r="J1225" t="s">
        <v>108</v>
      </c>
      <c r="K1225" t="s">
        <v>25</v>
      </c>
      <c r="L1225">
        <v>3.9</v>
      </c>
      <c r="M1225" t="s">
        <v>152</v>
      </c>
      <c r="N1225" t="s">
        <v>27</v>
      </c>
      <c r="O1225" t="s">
        <v>40</v>
      </c>
      <c r="P1225" t="s">
        <v>26</v>
      </c>
      <c r="Q1225" t="s">
        <v>26</v>
      </c>
      <c r="R1225">
        <v>21</v>
      </c>
      <c r="S1225" t="s">
        <v>34</v>
      </c>
      <c r="T1225" t="str">
        <f t="shared" si="38"/>
        <v>Daily</v>
      </c>
      <c r="U1225">
        <f>VLOOKUP(T1225,[1]tablescore!$B$3:$C$8, 2,FALSE)</f>
        <v>30</v>
      </c>
      <c r="V1225" t="str">
        <f t="shared" si="39"/>
        <v>Highly Loyal</v>
      </c>
      <c r="W1225" t="s">
        <v>41</v>
      </c>
    </row>
    <row r="1226" spans="1:23" x14ac:dyDescent="0.25">
      <c r="A1226">
        <v>1225</v>
      </c>
      <c r="B1226">
        <v>62</v>
      </c>
      <c r="C1226" t="str" cm="1">
        <f t="array" ref="C1226">_xlfn.IFS(
  AND(B1226&gt;=18, B1226&lt;=24), "18-24",
  AND(B1226&gt;=25, B1226&lt;=34), "25-34",
  AND(B1226&gt;=35, B1226&lt;=44), "35-44",
  AND(B1226&gt;=45, B1226&lt;=54), "45-54",
  B1226&gt;=55, "55+"
)</f>
        <v>55+</v>
      </c>
      <c r="D1226" t="s">
        <v>19</v>
      </c>
      <c r="E1226" t="s">
        <v>61</v>
      </c>
      <c r="F1226" t="s">
        <v>21</v>
      </c>
      <c r="G1226">
        <v>50</v>
      </c>
      <c r="H1226" t="s">
        <v>115</v>
      </c>
      <c r="I1226" t="s">
        <v>45</v>
      </c>
      <c r="J1226" t="s">
        <v>139</v>
      </c>
      <c r="K1226" t="s">
        <v>54</v>
      </c>
      <c r="L1226">
        <v>3.7</v>
      </c>
      <c r="M1226" t="s">
        <v>152</v>
      </c>
      <c r="N1226" t="s">
        <v>34</v>
      </c>
      <c r="O1226" t="s">
        <v>76</v>
      </c>
      <c r="P1226" t="s">
        <v>26</v>
      </c>
      <c r="Q1226" t="s">
        <v>26</v>
      </c>
      <c r="R1226">
        <v>18</v>
      </c>
      <c r="S1226" t="s">
        <v>29</v>
      </c>
      <c r="T1226" t="str">
        <f t="shared" si="38"/>
        <v>Daily</v>
      </c>
      <c r="U1226">
        <f>VLOOKUP(T1226,[1]tablescore!$B$3:$C$8, 2,FALSE)</f>
        <v>30</v>
      </c>
      <c r="V1226" t="str">
        <f t="shared" si="39"/>
        <v>Highly Loyal</v>
      </c>
      <c r="W1226" t="s">
        <v>41</v>
      </c>
    </row>
    <row r="1227" spans="1:23" x14ac:dyDescent="0.25">
      <c r="A1227">
        <v>1226</v>
      </c>
      <c r="B1227">
        <v>28</v>
      </c>
      <c r="C1227" t="str" cm="1">
        <f t="array" ref="C1227">_xlfn.IFS(
  AND(B1227&gt;=18, B1227&lt;=24), "18-24",
  AND(B1227&gt;=25, B1227&lt;=34), "25-34",
  AND(B1227&gt;=35, B1227&lt;=44), "35-44",
  AND(B1227&gt;=45, B1227&lt;=54), "45-54",
  B1227&gt;=55, "55+"
)</f>
        <v>25-34</v>
      </c>
      <c r="D1227" t="s">
        <v>19</v>
      </c>
      <c r="E1227" t="s">
        <v>127</v>
      </c>
      <c r="F1227" t="s">
        <v>69</v>
      </c>
      <c r="G1227">
        <v>97</v>
      </c>
      <c r="H1227" t="s">
        <v>98</v>
      </c>
      <c r="I1227" t="s">
        <v>38</v>
      </c>
      <c r="J1227" t="s">
        <v>49</v>
      </c>
      <c r="K1227" t="s">
        <v>58</v>
      </c>
      <c r="L1227">
        <v>2.6</v>
      </c>
      <c r="M1227" t="s">
        <v>152</v>
      </c>
      <c r="N1227" t="s">
        <v>27</v>
      </c>
      <c r="O1227" t="s">
        <v>40</v>
      </c>
      <c r="P1227" t="s">
        <v>26</v>
      </c>
      <c r="Q1227" t="s">
        <v>26</v>
      </c>
      <c r="R1227">
        <v>16</v>
      </c>
      <c r="S1227" t="s">
        <v>59</v>
      </c>
      <c r="T1227" t="str">
        <f t="shared" si="38"/>
        <v>Daily</v>
      </c>
      <c r="U1227">
        <f>VLOOKUP(T1227,[1]tablescore!$B$3:$C$8, 2,FALSE)</f>
        <v>30</v>
      </c>
      <c r="V1227" t="str">
        <f t="shared" si="39"/>
        <v>Highly Loyal</v>
      </c>
      <c r="W1227" t="s">
        <v>41</v>
      </c>
    </row>
    <row r="1228" spans="1:23" x14ac:dyDescent="0.25">
      <c r="A1228">
        <v>1227</v>
      </c>
      <c r="B1228">
        <v>53</v>
      </c>
      <c r="C1228" t="str" cm="1">
        <f t="array" ref="C1228">_xlfn.IFS(
  AND(B1228&gt;=18, B1228&lt;=24), "18-24",
  AND(B1228&gt;=25, B1228&lt;=34), "25-34",
  AND(B1228&gt;=35, B1228&lt;=44), "35-44",
  AND(B1228&gt;=45, B1228&lt;=54), "45-54",
  B1228&gt;=55, "55+"
)</f>
        <v>45-54</v>
      </c>
      <c r="D1228" t="s">
        <v>19</v>
      </c>
      <c r="E1228" t="s">
        <v>42</v>
      </c>
      <c r="F1228" t="s">
        <v>43</v>
      </c>
      <c r="G1228">
        <v>91</v>
      </c>
      <c r="H1228" t="s">
        <v>124</v>
      </c>
      <c r="I1228" t="s">
        <v>38</v>
      </c>
      <c r="J1228" t="s">
        <v>109</v>
      </c>
      <c r="K1228" t="s">
        <v>58</v>
      </c>
      <c r="L1228">
        <v>3.4</v>
      </c>
      <c r="M1228" t="s">
        <v>152</v>
      </c>
      <c r="N1228" t="s">
        <v>46</v>
      </c>
      <c r="O1228" t="s">
        <v>76</v>
      </c>
      <c r="P1228" t="s">
        <v>26</v>
      </c>
      <c r="Q1228" t="s">
        <v>26</v>
      </c>
      <c r="R1228">
        <v>18</v>
      </c>
      <c r="S1228" t="s">
        <v>29</v>
      </c>
      <c r="T1228" t="str">
        <f t="shared" si="38"/>
        <v>2-week</v>
      </c>
      <c r="U1228">
        <f>VLOOKUP(T1228,[1]tablescore!$B$3:$C$8, 2,FALSE)</f>
        <v>26</v>
      </c>
      <c r="V1228" t="str">
        <f t="shared" si="39"/>
        <v>Loyal</v>
      </c>
      <c r="W1228" t="s">
        <v>77</v>
      </c>
    </row>
    <row r="1229" spans="1:23" x14ac:dyDescent="0.25">
      <c r="A1229">
        <v>1228</v>
      </c>
      <c r="B1229">
        <v>27</v>
      </c>
      <c r="C1229" t="str" cm="1">
        <f t="array" ref="C1229">_xlfn.IFS(
  AND(B1229&gt;=18, B1229&lt;=24), "18-24",
  AND(B1229&gt;=25, B1229&lt;=34), "25-34",
  AND(B1229&gt;=35, B1229&lt;=44), "35-44",
  AND(B1229&gt;=45, B1229&lt;=54), "45-54",
  B1229&gt;=55, "55+"
)</f>
        <v>25-34</v>
      </c>
      <c r="D1229" t="s">
        <v>19</v>
      </c>
      <c r="E1229" t="s">
        <v>20</v>
      </c>
      <c r="F1229" t="s">
        <v>21</v>
      </c>
      <c r="G1229">
        <v>37</v>
      </c>
      <c r="H1229" t="s">
        <v>115</v>
      </c>
      <c r="I1229" t="s">
        <v>23</v>
      </c>
      <c r="J1229" t="s">
        <v>139</v>
      </c>
      <c r="K1229" t="s">
        <v>39</v>
      </c>
      <c r="L1229">
        <v>4.9000000000000004</v>
      </c>
      <c r="M1229" t="s">
        <v>152</v>
      </c>
      <c r="N1229" t="s">
        <v>29</v>
      </c>
      <c r="O1229" t="s">
        <v>76</v>
      </c>
      <c r="P1229" t="s">
        <v>26</v>
      </c>
      <c r="Q1229" t="s">
        <v>26</v>
      </c>
      <c r="R1229">
        <v>19</v>
      </c>
      <c r="S1229" t="s">
        <v>34</v>
      </c>
      <c r="T1229" t="str">
        <f t="shared" si="38"/>
        <v>2-week</v>
      </c>
      <c r="U1229">
        <f>VLOOKUP(T1229,[1]tablescore!$B$3:$C$8, 2,FALSE)</f>
        <v>26</v>
      </c>
      <c r="V1229" t="str">
        <f t="shared" si="39"/>
        <v>Loyal</v>
      </c>
      <c r="W1229" t="s">
        <v>77</v>
      </c>
    </row>
    <row r="1230" spans="1:23" x14ac:dyDescent="0.25">
      <c r="A1230">
        <v>1229</v>
      </c>
      <c r="B1230">
        <v>55</v>
      </c>
      <c r="C1230" t="str" cm="1">
        <f t="array" ref="C1230">_xlfn.IFS(
  AND(B1230&gt;=18, B1230&lt;=24), "18-24",
  AND(B1230&gt;=25, B1230&lt;=34), "25-34",
  AND(B1230&gt;=35, B1230&lt;=44), "35-44",
  AND(B1230&gt;=45, B1230&lt;=54), "45-54",
  B1230&gt;=55, "55+"
)</f>
        <v>55+</v>
      </c>
      <c r="D1230" t="s">
        <v>19</v>
      </c>
      <c r="E1230" t="s">
        <v>102</v>
      </c>
      <c r="F1230" t="s">
        <v>65</v>
      </c>
      <c r="G1230">
        <v>55</v>
      </c>
      <c r="H1230" t="s">
        <v>116</v>
      </c>
      <c r="I1230" t="s">
        <v>38</v>
      </c>
      <c r="J1230" t="s">
        <v>139</v>
      </c>
      <c r="K1230" t="s">
        <v>25</v>
      </c>
      <c r="L1230">
        <v>3.9</v>
      </c>
      <c r="M1230" t="s">
        <v>152</v>
      </c>
      <c r="N1230" t="s">
        <v>29</v>
      </c>
      <c r="O1230" t="s">
        <v>28</v>
      </c>
      <c r="P1230" t="s">
        <v>26</v>
      </c>
      <c r="Q1230" t="s">
        <v>26</v>
      </c>
      <c r="R1230">
        <v>1</v>
      </c>
      <c r="S1230" t="s">
        <v>35</v>
      </c>
      <c r="T1230" t="str">
        <f t="shared" si="38"/>
        <v>Annually</v>
      </c>
      <c r="U1230">
        <f>VLOOKUP(T1230,[1]tablescore!$B$3:$C$8, 2,FALSE)</f>
        <v>1</v>
      </c>
      <c r="V1230" t="str">
        <f t="shared" si="39"/>
        <v>Low Loyalty</v>
      </c>
      <c r="W1230" t="s">
        <v>50</v>
      </c>
    </row>
    <row r="1231" spans="1:23" x14ac:dyDescent="0.25">
      <c r="A1231">
        <v>1230</v>
      </c>
      <c r="B1231">
        <v>34</v>
      </c>
      <c r="C1231" t="str" cm="1">
        <f t="array" ref="C1231">_xlfn.IFS(
  AND(B1231&gt;=18, B1231&lt;=24), "18-24",
  AND(B1231&gt;=25, B1231&lt;=34), "25-34",
  AND(B1231&gt;=35, B1231&lt;=44), "35-44",
  AND(B1231&gt;=45, B1231&lt;=54), "45-54",
  B1231&gt;=55, "55+"
)</f>
        <v>25-34</v>
      </c>
      <c r="D1231" t="s">
        <v>19</v>
      </c>
      <c r="E1231" t="s">
        <v>106</v>
      </c>
      <c r="F1231" t="s">
        <v>69</v>
      </c>
      <c r="G1231">
        <v>52</v>
      </c>
      <c r="H1231" t="s">
        <v>111</v>
      </c>
      <c r="I1231" t="s">
        <v>92</v>
      </c>
      <c r="J1231" t="s">
        <v>33</v>
      </c>
      <c r="K1231" t="s">
        <v>25</v>
      </c>
      <c r="L1231">
        <v>3.6</v>
      </c>
      <c r="M1231" t="s">
        <v>152</v>
      </c>
      <c r="N1231" t="s">
        <v>29</v>
      </c>
      <c r="O1231" t="s">
        <v>28</v>
      </c>
      <c r="P1231" t="s">
        <v>26</v>
      </c>
      <c r="Q1231" t="s">
        <v>26</v>
      </c>
      <c r="R1231">
        <v>39</v>
      </c>
      <c r="S1231" t="s">
        <v>34</v>
      </c>
      <c r="T1231" t="str">
        <f t="shared" si="38"/>
        <v>Annually</v>
      </c>
      <c r="U1231">
        <f>VLOOKUP(T1231,[1]tablescore!$B$3:$C$8, 2,FALSE)</f>
        <v>1</v>
      </c>
      <c r="V1231" t="str">
        <f t="shared" si="39"/>
        <v>Low Loyalty</v>
      </c>
      <c r="W1231" t="s">
        <v>50</v>
      </c>
    </row>
    <row r="1232" spans="1:23" x14ac:dyDescent="0.25">
      <c r="A1232">
        <v>1231</v>
      </c>
      <c r="B1232">
        <v>25</v>
      </c>
      <c r="C1232" t="str" cm="1">
        <f t="array" ref="C1232">_xlfn.IFS(
  AND(B1232&gt;=18, B1232&lt;=24), "18-24",
  AND(B1232&gt;=25, B1232&lt;=34), "25-34",
  AND(B1232&gt;=35, B1232&lt;=44), "35-44",
  AND(B1232&gt;=45, B1232&lt;=54), "45-54",
  B1232&gt;=55, "55+"
)</f>
        <v>25-34</v>
      </c>
      <c r="D1232" t="s">
        <v>19</v>
      </c>
      <c r="E1232" t="s">
        <v>125</v>
      </c>
      <c r="F1232" t="s">
        <v>69</v>
      </c>
      <c r="G1232">
        <v>80</v>
      </c>
      <c r="H1232" t="s">
        <v>115</v>
      </c>
      <c r="I1232" t="s">
        <v>23</v>
      </c>
      <c r="J1232" t="s">
        <v>110</v>
      </c>
      <c r="K1232" t="s">
        <v>39</v>
      </c>
      <c r="L1232">
        <v>4.5999999999999996</v>
      </c>
      <c r="M1232" t="s">
        <v>152</v>
      </c>
      <c r="N1232" t="s">
        <v>59</v>
      </c>
      <c r="O1232" t="s">
        <v>55</v>
      </c>
      <c r="P1232" t="s">
        <v>26</v>
      </c>
      <c r="Q1232" t="s">
        <v>26</v>
      </c>
      <c r="R1232">
        <v>49</v>
      </c>
      <c r="S1232" t="s">
        <v>29</v>
      </c>
      <c r="T1232" t="str">
        <f t="shared" si="38"/>
        <v>Month</v>
      </c>
      <c r="U1232">
        <f>VLOOKUP(T1232,[1]tablescore!$B$3:$C$8, 2,FALSE)</f>
        <v>12</v>
      </c>
      <c r="V1232" t="str">
        <f t="shared" si="39"/>
        <v>Moderate</v>
      </c>
      <c r="W1232" t="s">
        <v>88</v>
      </c>
    </row>
    <row r="1233" spans="1:23" x14ac:dyDescent="0.25">
      <c r="A1233">
        <v>1232</v>
      </c>
      <c r="B1233">
        <v>66</v>
      </c>
      <c r="C1233" t="str" cm="1">
        <f t="array" ref="C1233">_xlfn.IFS(
  AND(B1233&gt;=18, B1233&lt;=24), "18-24",
  AND(B1233&gt;=25, B1233&lt;=34), "25-34",
  AND(B1233&gt;=35, B1233&lt;=44), "35-44",
  AND(B1233&gt;=45, B1233&lt;=54), "45-54",
  B1233&gt;=55, "55+"
)</f>
        <v>55+</v>
      </c>
      <c r="D1233" t="s">
        <v>19</v>
      </c>
      <c r="E1233" t="s">
        <v>131</v>
      </c>
      <c r="F1233" t="s">
        <v>21</v>
      </c>
      <c r="G1233">
        <v>79</v>
      </c>
      <c r="H1233" t="s">
        <v>141</v>
      </c>
      <c r="I1233" t="s">
        <v>45</v>
      </c>
      <c r="J1233" t="s">
        <v>81</v>
      </c>
      <c r="K1233" t="s">
        <v>39</v>
      </c>
      <c r="L1233">
        <v>4</v>
      </c>
      <c r="M1233" t="s">
        <v>152</v>
      </c>
      <c r="N1233" t="s">
        <v>27</v>
      </c>
      <c r="O1233" t="s">
        <v>72</v>
      </c>
      <c r="P1233" t="s">
        <v>26</v>
      </c>
      <c r="Q1233" t="s">
        <v>26</v>
      </c>
      <c r="R1233">
        <v>43</v>
      </c>
      <c r="S1233" t="s">
        <v>27</v>
      </c>
      <c r="T1233" t="str">
        <f t="shared" si="38"/>
        <v>2-week</v>
      </c>
      <c r="U1233">
        <f>VLOOKUP(T1233,[1]tablescore!$B$3:$C$8, 2,FALSE)</f>
        <v>26</v>
      </c>
      <c r="V1233" t="str">
        <f t="shared" si="39"/>
        <v>Loyal</v>
      </c>
      <c r="W1233" t="s">
        <v>30</v>
      </c>
    </row>
    <row r="1234" spans="1:23" x14ac:dyDescent="0.25">
      <c r="A1234">
        <v>1233</v>
      </c>
      <c r="B1234">
        <v>57</v>
      </c>
      <c r="C1234" t="str" cm="1">
        <f t="array" ref="C1234">_xlfn.IFS(
  AND(B1234&gt;=18, B1234&lt;=24), "18-24",
  AND(B1234&gt;=25, B1234&lt;=34), "25-34",
  AND(B1234&gt;=35, B1234&lt;=44), "35-44",
  AND(B1234&gt;=45, B1234&lt;=54), "45-54",
  B1234&gt;=55, "55+"
)</f>
        <v>55+</v>
      </c>
      <c r="D1234" t="s">
        <v>19</v>
      </c>
      <c r="E1234" t="s">
        <v>68</v>
      </c>
      <c r="F1234" t="s">
        <v>69</v>
      </c>
      <c r="G1234">
        <v>23</v>
      </c>
      <c r="H1234" t="s">
        <v>85</v>
      </c>
      <c r="I1234" t="s">
        <v>45</v>
      </c>
      <c r="J1234" t="s">
        <v>63</v>
      </c>
      <c r="K1234" t="s">
        <v>54</v>
      </c>
      <c r="L1234">
        <v>3.6</v>
      </c>
      <c r="M1234" t="s">
        <v>152</v>
      </c>
      <c r="N1234" t="s">
        <v>35</v>
      </c>
      <c r="O1234" t="s">
        <v>40</v>
      </c>
      <c r="P1234" t="s">
        <v>26</v>
      </c>
      <c r="Q1234" t="s">
        <v>26</v>
      </c>
      <c r="R1234">
        <v>31</v>
      </c>
      <c r="S1234" t="s">
        <v>59</v>
      </c>
      <c r="T1234" t="str">
        <f t="shared" si="38"/>
        <v>Quarterly</v>
      </c>
      <c r="U1234">
        <f>VLOOKUP(T1234,[1]tablescore!$B$3:$C$8, 2,FALSE)</f>
        <v>4</v>
      </c>
      <c r="V1234" t="str">
        <f t="shared" si="39"/>
        <v>Low Loyalty</v>
      </c>
      <c r="W1234" t="s">
        <v>97</v>
      </c>
    </row>
    <row r="1235" spans="1:23" x14ac:dyDescent="0.25">
      <c r="A1235">
        <v>1234</v>
      </c>
      <c r="B1235">
        <v>46</v>
      </c>
      <c r="C1235" t="str" cm="1">
        <f t="array" ref="C1235">_xlfn.IFS(
  AND(B1235&gt;=18, B1235&lt;=24), "18-24",
  AND(B1235&gt;=25, B1235&lt;=34), "25-34",
  AND(B1235&gt;=35, B1235&lt;=44), "35-44",
  AND(B1235&gt;=45, B1235&lt;=54), "45-54",
  B1235&gt;=55, "55+"
)</f>
        <v>45-54</v>
      </c>
      <c r="D1235" t="s">
        <v>19</v>
      </c>
      <c r="E1235" t="s">
        <v>95</v>
      </c>
      <c r="F1235" t="s">
        <v>21</v>
      </c>
      <c r="G1235">
        <v>73</v>
      </c>
      <c r="H1235" t="s">
        <v>149</v>
      </c>
      <c r="I1235" t="s">
        <v>23</v>
      </c>
      <c r="J1235" t="s">
        <v>118</v>
      </c>
      <c r="K1235" t="s">
        <v>25</v>
      </c>
      <c r="L1235">
        <v>3.5</v>
      </c>
      <c r="M1235" t="s">
        <v>152</v>
      </c>
      <c r="N1235" t="s">
        <v>35</v>
      </c>
      <c r="O1235" t="s">
        <v>47</v>
      </c>
      <c r="P1235" t="s">
        <v>26</v>
      </c>
      <c r="Q1235" t="s">
        <v>26</v>
      </c>
      <c r="R1235">
        <v>40</v>
      </c>
      <c r="S1235" t="s">
        <v>29</v>
      </c>
      <c r="T1235" t="str">
        <f t="shared" si="38"/>
        <v>Quarterly</v>
      </c>
      <c r="U1235">
        <f>VLOOKUP(T1235,[1]tablescore!$B$3:$C$8, 2,FALSE)</f>
        <v>4</v>
      </c>
      <c r="V1235" t="str">
        <f t="shared" si="39"/>
        <v>Low Loyalty</v>
      </c>
      <c r="W1235" t="s">
        <v>97</v>
      </c>
    </row>
    <row r="1236" spans="1:23" x14ac:dyDescent="0.25">
      <c r="A1236">
        <v>1235</v>
      </c>
      <c r="B1236">
        <v>38</v>
      </c>
      <c r="C1236" t="str" cm="1">
        <f t="array" ref="C1236">_xlfn.IFS(
  AND(B1236&gt;=18, B1236&lt;=24), "18-24",
  AND(B1236&gt;=25, B1236&lt;=34), "25-34",
  AND(B1236&gt;=35, B1236&lt;=44), "35-44",
  AND(B1236&gt;=45, B1236&lt;=54), "45-54",
  B1236&gt;=55, "55+"
)</f>
        <v>35-44</v>
      </c>
      <c r="D1236" t="s">
        <v>19</v>
      </c>
      <c r="E1236" t="s">
        <v>127</v>
      </c>
      <c r="F1236" t="s">
        <v>69</v>
      </c>
      <c r="G1236">
        <v>99</v>
      </c>
      <c r="H1236" t="s">
        <v>137</v>
      </c>
      <c r="I1236" t="s">
        <v>45</v>
      </c>
      <c r="J1236" t="s">
        <v>129</v>
      </c>
      <c r="K1236" t="s">
        <v>58</v>
      </c>
      <c r="L1236">
        <v>4.0999999999999996</v>
      </c>
      <c r="M1236" t="s">
        <v>152</v>
      </c>
      <c r="N1236" t="s">
        <v>35</v>
      </c>
      <c r="O1236" t="s">
        <v>76</v>
      </c>
      <c r="P1236" t="s">
        <v>26</v>
      </c>
      <c r="Q1236" t="s">
        <v>26</v>
      </c>
      <c r="R1236">
        <v>2</v>
      </c>
      <c r="S1236" t="s">
        <v>34</v>
      </c>
      <c r="T1236" t="str">
        <f t="shared" si="38"/>
        <v>2-week</v>
      </c>
      <c r="U1236">
        <f>VLOOKUP(T1236,[1]tablescore!$B$3:$C$8, 2,FALSE)</f>
        <v>26</v>
      </c>
      <c r="V1236" t="str">
        <f t="shared" si="39"/>
        <v>Loyal</v>
      </c>
      <c r="W1236" t="s">
        <v>77</v>
      </c>
    </row>
    <row r="1237" spans="1:23" x14ac:dyDescent="0.25">
      <c r="A1237">
        <v>1236</v>
      </c>
      <c r="B1237">
        <v>23</v>
      </c>
      <c r="C1237" t="str" cm="1">
        <f t="array" ref="C1237">_xlfn.IFS(
  AND(B1237&gt;=18, B1237&lt;=24), "18-24",
  AND(B1237&gt;=25, B1237&lt;=34), "25-34",
  AND(B1237&gt;=35, B1237&lt;=44), "35-44",
  AND(B1237&gt;=45, B1237&lt;=54), "45-54",
  B1237&gt;=55, "55+"
)</f>
        <v>18-24</v>
      </c>
      <c r="D1237" t="s">
        <v>19</v>
      </c>
      <c r="E1237" t="s">
        <v>31</v>
      </c>
      <c r="F1237" t="s">
        <v>21</v>
      </c>
      <c r="G1237">
        <v>22</v>
      </c>
      <c r="H1237" t="s">
        <v>144</v>
      </c>
      <c r="I1237" t="s">
        <v>45</v>
      </c>
      <c r="J1237" t="s">
        <v>108</v>
      </c>
      <c r="K1237" t="s">
        <v>39</v>
      </c>
      <c r="L1237">
        <v>3</v>
      </c>
      <c r="M1237" t="s">
        <v>152</v>
      </c>
      <c r="N1237" t="s">
        <v>34</v>
      </c>
      <c r="O1237" t="s">
        <v>76</v>
      </c>
      <c r="P1237" t="s">
        <v>26</v>
      </c>
      <c r="Q1237" t="s">
        <v>26</v>
      </c>
      <c r="R1237">
        <v>46</v>
      </c>
      <c r="S1237" t="s">
        <v>46</v>
      </c>
      <c r="T1237" t="str">
        <f t="shared" si="38"/>
        <v>Quarterly</v>
      </c>
      <c r="U1237">
        <f>VLOOKUP(T1237,[1]tablescore!$B$3:$C$8, 2,FALSE)</f>
        <v>4</v>
      </c>
      <c r="V1237" t="str">
        <f t="shared" si="39"/>
        <v>Low Loyalty</v>
      </c>
      <c r="W1237" t="s">
        <v>97</v>
      </c>
    </row>
    <row r="1238" spans="1:23" x14ac:dyDescent="0.25">
      <c r="A1238">
        <v>1237</v>
      </c>
      <c r="B1238">
        <v>42</v>
      </c>
      <c r="C1238" t="str" cm="1">
        <f t="array" ref="C1238">_xlfn.IFS(
  AND(B1238&gt;=18, B1238&lt;=24), "18-24",
  AND(B1238&gt;=25, B1238&lt;=34), "25-34",
  AND(B1238&gt;=35, B1238&lt;=44), "35-44",
  AND(B1238&gt;=45, B1238&lt;=54), "45-54",
  B1238&gt;=55, "55+"
)</f>
        <v>35-44</v>
      </c>
      <c r="D1238" t="s">
        <v>19</v>
      </c>
      <c r="E1238" t="s">
        <v>125</v>
      </c>
      <c r="F1238" t="s">
        <v>69</v>
      </c>
      <c r="G1238">
        <v>68</v>
      </c>
      <c r="H1238" t="s">
        <v>123</v>
      </c>
      <c r="I1238" t="s">
        <v>45</v>
      </c>
      <c r="J1238" t="s">
        <v>53</v>
      </c>
      <c r="K1238" t="s">
        <v>54</v>
      </c>
      <c r="L1238">
        <v>4.4000000000000004</v>
      </c>
      <c r="M1238" t="s">
        <v>152</v>
      </c>
      <c r="N1238" t="s">
        <v>46</v>
      </c>
      <c r="O1238" t="s">
        <v>76</v>
      </c>
      <c r="P1238" t="s">
        <v>26</v>
      </c>
      <c r="Q1238" t="s">
        <v>26</v>
      </c>
      <c r="R1238">
        <v>35</v>
      </c>
      <c r="S1238" t="s">
        <v>59</v>
      </c>
      <c r="T1238" t="str">
        <f t="shared" si="38"/>
        <v>Quarterly</v>
      </c>
      <c r="U1238">
        <f>VLOOKUP(T1238,[1]tablescore!$B$3:$C$8, 2,FALSE)</f>
        <v>4</v>
      </c>
      <c r="V1238" t="str">
        <f t="shared" si="39"/>
        <v>Low Loyalty</v>
      </c>
      <c r="W1238" t="s">
        <v>97</v>
      </c>
    </row>
    <row r="1239" spans="1:23" x14ac:dyDescent="0.25">
      <c r="A1239">
        <v>1238</v>
      </c>
      <c r="B1239">
        <v>25</v>
      </c>
      <c r="C1239" t="str" cm="1">
        <f t="array" ref="C1239">_xlfn.IFS(
  AND(B1239&gt;=18, B1239&lt;=24), "18-24",
  AND(B1239&gt;=25, B1239&lt;=34), "25-34",
  AND(B1239&gt;=35, B1239&lt;=44), "35-44",
  AND(B1239&gt;=45, B1239&lt;=54), "45-54",
  B1239&gt;=55, "55+"
)</f>
        <v>25-34</v>
      </c>
      <c r="D1239" t="s">
        <v>19</v>
      </c>
      <c r="E1239" t="s">
        <v>82</v>
      </c>
      <c r="F1239" t="s">
        <v>21</v>
      </c>
      <c r="G1239">
        <v>92</v>
      </c>
      <c r="H1239" t="s">
        <v>151</v>
      </c>
      <c r="I1239" t="s">
        <v>38</v>
      </c>
      <c r="J1239" t="s">
        <v>63</v>
      </c>
      <c r="K1239" t="s">
        <v>39</v>
      </c>
      <c r="L1239">
        <v>4.4000000000000004</v>
      </c>
      <c r="M1239" t="s">
        <v>152</v>
      </c>
      <c r="N1239" t="s">
        <v>27</v>
      </c>
      <c r="O1239" t="s">
        <v>72</v>
      </c>
      <c r="P1239" t="s">
        <v>26</v>
      </c>
      <c r="Q1239" t="s">
        <v>26</v>
      </c>
      <c r="R1239">
        <v>42</v>
      </c>
      <c r="S1239" t="s">
        <v>27</v>
      </c>
      <c r="T1239" t="str">
        <f t="shared" si="38"/>
        <v>Quarterly</v>
      </c>
      <c r="U1239">
        <f>VLOOKUP(T1239,[1]tablescore!$B$3:$C$8, 2,FALSE)</f>
        <v>4</v>
      </c>
      <c r="V1239" t="str">
        <f t="shared" si="39"/>
        <v>Low Loyalty</v>
      </c>
      <c r="W1239" t="s">
        <v>60</v>
      </c>
    </row>
    <row r="1240" spans="1:23" x14ac:dyDescent="0.25">
      <c r="A1240">
        <v>1239</v>
      </c>
      <c r="B1240">
        <v>55</v>
      </c>
      <c r="C1240" t="str" cm="1">
        <f t="array" ref="C1240">_xlfn.IFS(
  AND(B1240&gt;=18, B1240&lt;=24), "18-24",
  AND(B1240&gt;=25, B1240&lt;=34), "25-34",
  AND(B1240&gt;=35, B1240&lt;=44), "35-44",
  AND(B1240&gt;=45, B1240&lt;=54), "45-54",
  B1240&gt;=55, "55+"
)</f>
        <v>55+</v>
      </c>
      <c r="D1240" t="s">
        <v>19</v>
      </c>
      <c r="E1240" t="s">
        <v>95</v>
      </c>
      <c r="F1240" t="s">
        <v>21</v>
      </c>
      <c r="G1240">
        <v>77</v>
      </c>
      <c r="H1240" t="s">
        <v>52</v>
      </c>
      <c r="I1240" t="s">
        <v>45</v>
      </c>
      <c r="J1240" t="s">
        <v>84</v>
      </c>
      <c r="K1240" t="s">
        <v>25</v>
      </c>
      <c r="L1240">
        <v>3.7</v>
      </c>
      <c r="M1240" t="s">
        <v>152</v>
      </c>
      <c r="N1240" t="s">
        <v>46</v>
      </c>
      <c r="O1240" t="s">
        <v>28</v>
      </c>
      <c r="P1240" t="s">
        <v>26</v>
      </c>
      <c r="Q1240" t="s">
        <v>26</v>
      </c>
      <c r="R1240">
        <v>3</v>
      </c>
      <c r="S1240" t="s">
        <v>29</v>
      </c>
      <c r="T1240" t="str">
        <f t="shared" si="38"/>
        <v>2-week</v>
      </c>
      <c r="U1240">
        <f>VLOOKUP(T1240,[1]tablescore!$B$3:$C$8, 2,FALSE)</f>
        <v>26</v>
      </c>
      <c r="V1240" t="str">
        <f t="shared" si="39"/>
        <v>Loyal</v>
      </c>
      <c r="W1240" t="s">
        <v>30</v>
      </c>
    </row>
    <row r="1241" spans="1:23" x14ac:dyDescent="0.25">
      <c r="A1241">
        <v>1240</v>
      </c>
      <c r="B1241">
        <v>62</v>
      </c>
      <c r="C1241" t="str" cm="1">
        <f t="array" ref="C1241">_xlfn.IFS(
  AND(B1241&gt;=18, B1241&lt;=24), "18-24",
  AND(B1241&gt;=25, B1241&lt;=34), "25-34",
  AND(B1241&gt;=35, B1241&lt;=44), "35-44",
  AND(B1241&gt;=45, B1241&lt;=54), "45-54",
  B1241&gt;=55, "55+"
)</f>
        <v>55+</v>
      </c>
      <c r="D1241" t="s">
        <v>19</v>
      </c>
      <c r="E1241" t="s">
        <v>64</v>
      </c>
      <c r="F1241" t="s">
        <v>65</v>
      </c>
      <c r="G1241">
        <v>37</v>
      </c>
      <c r="H1241" t="s">
        <v>137</v>
      </c>
      <c r="I1241" t="s">
        <v>92</v>
      </c>
      <c r="J1241" t="s">
        <v>147</v>
      </c>
      <c r="K1241" t="s">
        <v>39</v>
      </c>
      <c r="L1241">
        <v>4.8</v>
      </c>
      <c r="M1241" t="s">
        <v>152</v>
      </c>
      <c r="N1241" t="s">
        <v>46</v>
      </c>
      <c r="O1241" t="s">
        <v>55</v>
      </c>
      <c r="P1241" t="s">
        <v>26</v>
      </c>
      <c r="Q1241" t="s">
        <v>26</v>
      </c>
      <c r="R1241">
        <v>32</v>
      </c>
      <c r="S1241" t="s">
        <v>59</v>
      </c>
      <c r="T1241" t="str">
        <f t="shared" si="38"/>
        <v>Quarterly</v>
      </c>
      <c r="U1241">
        <f>VLOOKUP(T1241,[1]tablescore!$B$3:$C$8, 2,FALSE)</f>
        <v>4</v>
      </c>
      <c r="V1241" t="str">
        <f t="shared" si="39"/>
        <v>Low Loyalty</v>
      </c>
      <c r="W1241" t="s">
        <v>97</v>
      </c>
    </row>
    <row r="1242" spans="1:23" x14ac:dyDescent="0.25">
      <c r="A1242">
        <v>1241</v>
      </c>
      <c r="B1242">
        <v>41</v>
      </c>
      <c r="C1242" t="str" cm="1">
        <f t="array" ref="C1242">_xlfn.IFS(
  AND(B1242&gt;=18, B1242&lt;=24), "18-24",
  AND(B1242&gt;=25, B1242&lt;=34), "25-34",
  AND(B1242&gt;=35, B1242&lt;=44), "35-44",
  AND(B1242&gt;=45, B1242&lt;=54), "45-54",
  B1242&gt;=55, "55+"
)</f>
        <v>35-44</v>
      </c>
      <c r="D1242" t="s">
        <v>19</v>
      </c>
      <c r="E1242" t="s">
        <v>119</v>
      </c>
      <c r="F1242" t="s">
        <v>69</v>
      </c>
      <c r="G1242">
        <v>79</v>
      </c>
      <c r="H1242" t="s">
        <v>137</v>
      </c>
      <c r="I1242" t="s">
        <v>23</v>
      </c>
      <c r="J1242" t="s">
        <v>53</v>
      </c>
      <c r="K1242" t="s">
        <v>25</v>
      </c>
      <c r="L1242">
        <v>2.9</v>
      </c>
      <c r="M1242" t="s">
        <v>152</v>
      </c>
      <c r="N1242" t="s">
        <v>59</v>
      </c>
      <c r="O1242" t="s">
        <v>76</v>
      </c>
      <c r="P1242" t="s">
        <v>26</v>
      </c>
      <c r="Q1242" t="s">
        <v>26</v>
      </c>
      <c r="R1242">
        <v>48</v>
      </c>
      <c r="S1242" t="s">
        <v>59</v>
      </c>
      <c r="T1242" t="str">
        <f t="shared" si="38"/>
        <v>Annually</v>
      </c>
      <c r="U1242">
        <f>VLOOKUP(T1242,[1]tablescore!$B$3:$C$8, 2,FALSE)</f>
        <v>1</v>
      </c>
      <c r="V1242" t="str">
        <f t="shared" si="39"/>
        <v>Low Loyalty</v>
      </c>
      <c r="W1242" t="s">
        <v>50</v>
      </c>
    </row>
    <row r="1243" spans="1:23" x14ac:dyDescent="0.25">
      <c r="A1243">
        <v>1242</v>
      </c>
      <c r="B1243">
        <v>58</v>
      </c>
      <c r="C1243" t="str" cm="1">
        <f t="array" ref="C1243">_xlfn.IFS(
  AND(B1243&gt;=18, B1243&lt;=24), "18-24",
  AND(B1243&gt;=25, B1243&lt;=34), "25-34",
  AND(B1243&gt;=35, B1243&lt;=44), "35-44",
  AND(B1243&gt;=45, B1243&lt;=54), "45-54",
  B1243&gt;=55, "55+"
)</f>
        <v>55+</v>
      </c>
      <c r="D1243" t="s">
        <v>19</v>
      </c>
      <c r="E1243" t="s">
        <v>104</v>
      </c>
      <c r="F1243" t="s">
        <v>21</v>
      </c>
      <c r="G1243">
        <v>51</v>
      </c>
      <c r="H1243" t="s">
        <v>78</v>
      </c>
      <c r="I1243" t="s">
        <v>92</v>
      </c>
      <c r="J1243" t="s">
        <v>71</v>
      </c>
      <c r="K1243" t="s">
        <v>25</v>
      </c>
      <c r="L1243">
        <v>3.1</v>
      </c>
      <c r="M1243" t="s">
        <v>152</v>
      </c>
      <c r="N1243" t="s">
        <v>35</v>
      </c>
      <c r="O1243" t="s">
        <v>28</v>
      </c>
      <c r="P1243" t="s">
        <v>26</v>
      </c>
      <c r="Q1243" t="s">
        <v>26</v>
      </c>
      <c r="R1243">
        <v>34</v>
      </c>
      <c r="S1243" t="s">
        <v>27</v>
      </c>
      <c r="T1243" t="str">
        <f t="shared" si="38"/>
        <v>Daily</v>
      </c>
      <c r="U1243">
        <f>VLOOKUP(T1243,[1]tablescore!$B$3:$C$8, 2,FALSE)</f>
        <v>30</v>
      </c>
      <c r="V1243" t="str">
        <f t="shared" si="39"/>
        <v>Highly Loyal</v>
      </c>
      <c r="W1243" t="s">
        <v>41</v>
      </c>
    </row>
    <row r="1244" spans="1:23" x14ac:dyDescent="0.25">
      <c r="A1244">
        <v>1243</v>
      </c>
      <c r="B1244">
        <v>56</v>
      </c>
      <c r="C1244" t="str" cm="1">
        <f t="array" ref="C1244">_xlfn.IFS(
  AND(B1244&gt;=18, B1244&lt;=24), "18-24",
  AND(B1244&gt;=25, B1244&lt;=34), "25-34",
  AND(B1244&gt;=35, B1244&lt;=44), "35-44",
  AND(B1244&gt;=45, B1244&lt;=54), "45-54",
  B1244&gt;=55, "55+"
)</f>
        <v>55+</v>
      </c>
      <c r="D1244" t="s">
        <v>19</v>
      </c>
      <c r="E1244" t="s">
        <v>131</v>
      </c>
      <c r="F1244" t="s">
        <v>21</v>
      </c>
      <c r="G1244">
        <v>27</v>
      </c>
      <c r="H1244" t="s">
        <v>107</v>
      </c>
      <c r="I1244" t="s">
        <v>45</v>
      </c>
      <c r="J1244" t="s">
        <v>93</v>
      </c>
      <c r="K1244" t="s">
        <v>54</v>
      </c>
      <c r="L1244">
        <v>4</v>
      </c>
      <c r="M1244" t="s">
        <v>152</v>
      </c>
      <c r="N1244" t="s">
        <v>34</v>
      </c>
      <c r="O1244" t="s">
        <v>47</v>
      </c>
      <c r="P1244" t="s">
        <v>26</v>
      </c>
      <c r="Q1244" t="s">
        <v>26</v>
      </c>
      <c r="R1244">
        <v>15</v>
      </c>
      <c r="S1244" t="s">
        <v>34</v>
      </c>
      <c r="T1244" t="str">
        <f t="shared" si="38"/>
        <v>Quarterly</v>
      </c>
      <c r="U1244">
        <f>VLOOKUP(T1244,[1]tablescore!$B$3:$C$8, 2,FALSE)</f>
        <v>4</v>
      </c>
      <c r="V1244" t="str">
        <f t="shared" si="39"/>
        <v>Low Loyalty</v>
      </c>
      <c r="W1244" t="s">
        <v>60</v>
      </c>
    </row>
    <row r="1245" spans="1:23" x14ac:dyDescent="0.25">
      <c r="A1245">
        <v>1244</v>
      </c>
      <c r="B1245">
        <v>25</v>
      </c>
      <c r="C1245" t="str" cm="1">
        <f t="array" ref="C1245">_xlfn.IFS(
  AND(B1245&gt;=18, B1245&lt;=24), "18-24",
  AND(B1245&gt;=25, B1245&lt;=34), "25-34",
  AND(B1245&gt;=35, B1245&lt;=44), "35-44",
  AND(B1245&gt;=45, B1245&lt;=54), "45-54",
  B1245&gt;=55, "55+"
)</f>
        <v>25-34</v>
      </c>
      <c r="D1245" t="s">
        <v>19</v>
      </c>
      <c r="E1245" t="s">
        <v>20</v>
      </c>
      <c r="F1245" t="s">
        <v>21</v>
      </c>
      <c r="G1245">
        <v>23</v>
      </c>
      <c r="H1245" t="s">
        <v>83</v>
      </c>
      <c r="I1245" t="s">
        <v>38</v>
      </c>
      <c r="J1245" t="s">
        <v>71</v>
      </c>
      <c r="K1245" t="s">
        <v>39</v>
      </c>
      <c r="L1245">
        <v>3</v>
      </c>
      <c r="M1245" t="s">
        <v>152</v>
      </c>
      <c r="N1245" t="s">
        <v>46</v>
      </c>
      <c r="O1245" t="s">
        <v>76</v>
      </c>
      <c r="P1245" t="s">
        <v>26</v>
      </c>
      <c r="Q1245" t="s">
        <v>26</v>
      </c>
      <c r="R1245">
        <v>22</v>
      </c>
      <c r="S1245" t="s">
        <v>59</v>
      </c>
      <c r="T1245" t="str">
        <f t="shared" si="38"/>
        <v>Annually</v>
      </c>
      <c r="U1245">
        <f>VLOOKUP(T1245,[1]tablescore!$B$3:$C$8, 2,FALSE)</f>
        <v>1</v>
      </c>
      <c r="V1245" t="str">
        <f t="shared" si="39"/>
        <v>Low Loyalty</v>
      </c>
      <c r="W1245" t="s">
        <v>50</v>
      </c>
    </row>
    <row r="1246" spans="1:23" x14ac:dyDescent="0.25">
      <c r="A1246">
        <v>1245</v>
      </c>
      <c r="B1246">
        <v>70</v>
      </c>
      <c r="C1246" t="str" cm="1">
        <f t="array" ref="C1246">_xlfn.IFS(
  AND(B1246&gt;=18, B1246&lt;=24), "18-24",
  AND(B1246&gt;=25, B1246&lt;=34), "25-34",
  AND(B1246&gt;=35, B1246&lt;=44), "35-44",
  AND(B1246&gt;=45, B1246&lt;=54), "45-54",
  B1246&gt;=55, "55+"
)</f>
        <v>55+</v>
      </c>
      <c r="D1246" t="s">
        <v>19</v>
      </c>
      <c r="E1246" t="s">
        <v>131</v>
      </c>
      <c r="F1246" t="s">
        <v>21</v>
      </c>
      <c r="G1246">
        <v>76</v>
      </c>
      <c r="H1246" t="s">
        <v>116</v>
      </c>
      <c r="I1246" t="s">
        <v>38</v>
      </c>
      <c r="J1246" t="s">
        <v>67</v>
      </c>
      <c r="K1246" t="s">
        <v>54</v>
      </c>
      <c r="L1246">
        <v>3.9</v>
      </c>
      <c r="M1246" t="s">
        <v>152</v>
      </c>
      <c r="N1246" t="s">
        <v>35</v>
      </c>
      <c r="O1246" t="s">
        <v>72</v>
      </c>
      <c r="P1246" t="s">
        <v>26</v>
      </c>
      <c r="Q1246" t="s">
        <v>26</v>
      </c>
      <c r="R1246">
        <v>2</v>
      </c>
      <c r="S1246" t="s">
        <v>35</v>
      </c>
      <c r="T1246" t="str">
        <f t="shared" si="38"/>
        <v>Month</v>
      </c>
      <c r="U1246">
        <f>VLOOKUP(T1246,[1]tablescore!$B$3:$C$8, 2,FALSE)</f>
        <v>12</v>
      </c>
      <c r="V1246" t="str">
        <f t="shared" si="39"/>
        <v>Moderate</v>
      </c>
      <c r="W1246" t="s">
        <v>88</v>
      </c>
    </row>
    <row r="1247" spans="1:23" x14ac:dyDescent="0.25">
      <c r="A1247">
        <v>1246</v>
      </c>
      <c r="B1247">
        <v>42</v>
      </c>
      <c r="C1247" t="str" cm="1">
        <f t="array" ref="C1247">_xlfn.IFS(
  AND(B1247&gt;=18, B1247&lt;=24), "18-24",
  AND(B1247&gt;=25, B1247&lt;=34), "25-34",
  AND(B1247&gt;=35, B1247&lt;=44), "35-44",
  AND(B1247&gt;=45, B1247&lt;=54), "45-54",
  B1247&gt;=55, "55+"
)</f>
        <v>35-44</v>
      </c>
      <c r="D1247" t="s">
        <v>19</v>
      </c>
      <c r="E1247" t="s">
        <v>82</v>
      </c>
      <c r="F1247" t="s">
        <v>21</v>
      </c>
      <c r="G1247">
        <v>31</v>
      </c>
      <c r="H1247" t="s">
        <v>85</v>
      </c>
      <c r="I1247" t="s">
        <v>45</v>
      </c>
      <c r="J1247" t="s">
        <v>84</v>
      </c>
      <c r="K1247" t="s">
        <v>58</v>
      </c>
      <c r="L1247">
        <v>3.4</v>
      </c>
      <c r="M1247" t="s">
        <v>152</v>
      </c>
      <c r="N1247" t="s">
        <v>34</v>
      </c>
      <c r="O1247" t="s">
        <v>55</v>
      </c>
      <c r="P1247" t="s">
        <v>26</v>
      </c>
      <c r="Q1247" t="s">
        <v>26</v>
      </c>
      <c r="R1247">
        <v>30</v>
      </c>
      <c r="S1247" t="s">
        <v>34</v>
      </c>
      <c r="T1247" t="str">
        <f t="shared" si="38"/>
        <v>Daily</v>
      </c>
      <c r="U1247">
        <f>VLOOKUP(T1247,[1]tablescore!$B$3:$C$8, 2,FALSE)</f>
        <v>30</v>
      </c>
      <c r="V1247" t="str">
        <f t="shared" si="39"/>
        <v>Highly Loyal</v>
      </c>
      <c r="W1247" t="s">
        <v>41</v>
      </c>
    </row>
    <row r="1248" spans="1:23" x14ac:dyDescent="0.25">
      <c r="A1248">
        <v>1247</v>
      </c>
      <c r="B1248">
        <v>27</v>
      </c>
      <c r="C1248" t="str" cm="1">
        <f t="array" ref="C1248">_xlfn.IFS(
  AND(B1248&gt;=18, B1248&lt;=24), "18-24",
  AND(B1248&gt;=25, B1248&lt;=34), "25-34",
  AND(B1248&gt;=35, B1248&lt;=44), "35-44",
  AND(B1248&gt;=45, B1248&lt;=54), "45-54",
  B1248&gt;=55, "55+"
)</f>
        <v>25-34</v>
      </c>
      <c r="D1248" t="s">
        <v>19</v>
      </c>
      <c r="E1248" t="s">
        <v>104</v>
      </c>
      <c r="F1248" t="s">
        <v>21</v>
      </c>
      <c r="G1248">
        <v>60</v>
      </c>
      <c r="H1248" t="s">
        <v>62</v>
      </c>
      <c r="I1248" t="s">
        <v>45</v>
      </c>
      <c r="J1248" t="s">
        <v>63</v>
      </c>
      <c r="K1248" t="s">
        <v>25</v>
      </c>
      <c r="L1248">
        <v>2.7</v>
      </c>
      <c r="M1248" t="s">
        <v>152</v>
      </c>
      <c r="N1248" t="s">
        <v>27</v>
      </c>
      <c r="O1248" t="s">
        <v>55</v>
      </c>
      <c r="P1248" t="s">
        <v>26</v>
      </c>
      <c r="Q1248" t="s">
        <v>26</v>
      </c>
      <c r="R1248">
        <v>27</v>
      </c>
      <c r="S1248" t="s">
        <v>35</v>
      </c>
      <c r="T1248" t="str">
        <f t="shared" si="38"/>
        <v>Month</v>
      </c>
      <c r="U1248">
        <f>VLOOKUP(T1248,[1]tablescore!$B$3:$C$8, 2,FALSE)</f>
        <v>12</v>
      </c>
      <c r="V1248" t="str">
        <f t="shared" si="39"/>
        <v>Moderate</v>
      </c>
      <c r="W1248" t="s">
        <v>88</v>
      </c>
    </row>
    <row r="1249" spans="1:23" x14ac:dyDescent="0.25">
      <c r="A1249">
        <v>1248</v>
      </c>
      <c r="B1249">
        <v>65</v>
      </c>
      <c r="C1249" t="str" cm="1">
        <f t="array" ref="C1249">_xlfn.IFS(
  AND(B1249&gt;=18, B1249&lt;=24), "18-24",
  AND(B1249&gt;=25, B1249&lt;=34), "25-34",
  AND(B1249&gt;=35, B1249&lt;=44), "35-44",
  AND(B1249&gt;=45, B1249&lt;=54), "45-54",
  B1249&gt;=55, "55+"
)</f>
        <v>55+</v>
      </c>
      <c r="D1249" t="s">
        <v>19</v>
      </c>
      <c r="E1249" t="s">
        <v>113</v>
      </c>
      <c r="F1249" t="s">
        <v>21</v>
      </c>
      <c r="G1249">
        <v>99</v>
      </c>
      <c r="H1249" t="s">
        <v>128</v>
      </c>
      <c r="I1249" t="s">
        <v>45</v>
      </c>
      <c r="J1249" t="s">
        <v>63</v>
      </c>
      <c r="K1249" t="s">
        <v>39</v>
      </c>
      <c r="L1249">
        <v>3.5</v>
      </c>
      <c r="M1249" t="s">
        <v>152</v>
      </c>
      <c r="N1249" t="s">
        <v>34</v>
      </c>
      <c r="O1249" t="s">
        <v>28</v>
      </c>
      <c r="P1249" t="s">
        <v>26</v>
      </c>
      <c r="Q1249" t="s">
        <v>26</v>
      </c>
      <c r="R1249">
        <v>18</v>
      </c>
      <c r="S1249" t="s">
        <v>29</v>
      </c>
      <c r="T1249" t="str">
        <f t="shared" si="38"/>
        <v>2-week</v>
      </c>
      <c r="U1249">
        <f>VLOOKUP(T1249,[1]tablescore!$B$3:$C$8, 2,FALSE)</f>
        <v>26</v>
      </c>
      <c r="V1249" t="str">
        <f t="shared" si="39"/>
        <v>Loyal</v>
      </c>
      <c r="W1249" t="s">
        <v>77</v>
      </c>
    </row>
    <row r="1250" spans="1:23" x14ac:dyDescent="0.25">
      <c r="A1250">
        <v>1249</v>
      </c>
      <c r="B1250">
        <v>62</v>
      </c>
      <c r="C1250" t="str" cm="1">
        <f t="array" ref="C1250">_xlfn.IFS(
  AND(B1250&gt;=18, B1250&lt;=24), "18-24",
  AND(B1250&gt;=25, B1250&lt;=34), "25-34",
  AND(B1250&gt;=35, B1250&lt;=44), "35-44",
  AND(B1250&gt;=45, B1250&lt;=54), "45-54",
  B1250&gt;=55, "55+"
)</f>
        <v>55+</v>
      </c>
      <c r="D1250" t="s">
        <v>19</v>
      </c>
      <c r="E1250" t="s">
        <v>125</v>
      </c>
      <c r="F1250" t="s">
        <v>69</v>
      </c>
      <c r="G1250">
        <v>37</v>
      </c>
      <c r="H1250" t="s">
        <v>148</v>
      </c>
      <c r="I1250" t="s">
        <v>92</v>
      </c>
      <c r="J1250" t="s">
        <v>108</v>
      </c>
      <c r="K1250" t="s">
        <v>25</v>
      </c>
      <c r="L1250">
        <v>3</v>
      </c>
      <c r="M1250" t="s">
        <v>152</v>
      </c>
      <c r="N1250" t="s">
        <v>27</v>
      </c>
      <c r="O1250" t="s">
        <v>40</v>
      </c>
      <c r="P1250" t="s">
        <v>26</v>
      </c>
      <c r="Q1250" t="s">
        <v>26</v>
      </c>
      <c r="R1250">
        <v>8</v>
      </c>
      <c r="S1250" t="s">
        <v>27</v>
      </c>
      <c r="T1250" t="str">
        <f t="shared" si="38"/>
        <v>Annually</v>
      </c>
      <c r="U1250">
        <f>VLOOKUP(T1250,[1]tablescore!$B$3:$C$8, 2,FALSE)</f>
        <v>1</v>
      </c>
      <c r="V1250" t="str">
        <f t="shared" si="39"/>
        <v>Low Loyalty</v>
      </c>
      <c r="W1250" t="s">
        <v>50</v>
      </c>
    </row>
    <row r="1251" spans="1:23" x14ac:dyDescent="0.25">
      <c r="A1251">
        <v>1250</v>
      </c>
      <c r="B1251">
        <v>62</v>
      </c>
      <c r="C1251" t="str" cm="1">
        <f t="array" ref="C1251">_xlfn.IFS(
  AND(B1251&gt;=18, B1251&lt;=24), "18-24",
  AND(B1251&gt;=25, B1251&lt;=34), "25-34",
  AND(B1251&gt;=35, B1251&lt;=44), "35-44",
  AND(B1251&gt;=45, B1251&lt;=54), "45-54",
  B1251&gt;=55, "55+"
)</f>
        <v>55+</v>
      </c>
      <c r="D1251" t="s">
        <v>19</v>
      </c>
      <c r="E1251" t="s">
        <v>132</v>
      </c>
      <c r="F1251" t="s">
        <v>43</v>
      </c>
      <c r="G1251">
        <v>50</v>
      </c>
      <c r="H1251" t="s">
        <v>48</v>
      </c>
      <c r="I1251" t="s">
        <v>45</v>
      </c>
      <c r="J1251" t="s">
        <v>100</v>
      </c>
      <c r="K1251" t="s">
        <v>25</v>
      </c>
      <c r="L1251">
        <v>4.5</v>
      </c>
      <c r="M1251" t="s">
        <v>152</v>
      </c>
      <c r="N1251" t="s">
        <v>46</v>
      </c>
      <c r="O1251" t="s">
        <v>28</v>
      </c>
      <c r="P1251" t="s">
        <v>26</v>
      </c>
      <c r="Q1251" t="s">
        <v>26</v>
      </c>
      <c r="R1251">
        <v>48</v>
      </c>
      <c r="S1251" t="s">
        <v>29</v>
      </c>
      <c r="T1251" t="str">
        <f t="shared" si="38"/>
        <v>2-week</v>
      </c>
      <c r="U1251">
        <f>VLOOKUP(T1251,[1]tablescore!$B$3:$C$8, 2,FALSE)</f>
        <v>26</v>
      </c>
      <c r="V1251" t="str">
        <f t="shared" si="39"/>
        <v>Loyal</v>
      </c>
      <c r="W1251" t="s">
        <v>30</v>
      </c>
    </row>
    <row r="1252" spans="1:23" x14ac:dyDescent="0.25">
      <c r="A1252">
        <v>1251</v>
      </c>
      <c r="B1252">
        <v>52</v>
      </c>
      <c r="C1252" t="str" cm="1">
        <f t="array" ref="C1252">_xlfn.IFS(
  AND(B1252&gt;=18, B1252&lt;=24), "18-24",
  AND(B1252&gt;=25, B1252&lt;=34), "25-34",
  AND(B1252&gt;=35, B1252&lt;=44), "35-44",
  AND(B1252&gt;=45, B1252&lt;=54), "45-54",
  B1252&gt;=55, "55+"
)</f>
        <v>45-54</v>
      </c>
      <c r="D1252" t="s">
        <v>19</v>
      </c>
      <c r="E1252" t="s">
        <v>36</v>
      </c>
      <c r="F1252" t="s">
        <v>21</v>
      </c>
      <c r="G1252">
        <v>26</v>
      </c>
      <c r="H1252" t="s">
        <v>83</v>
      </c>
      <c r="I1252" t="s">
        <v>92</v>
      </c>
      <c r="J1252" t="s">
        <v>75</v>
      </c>
      <c r="K1252" t="s">
        <v>25</v>
      </c>
      <c r="L1252">
        <v>4.0999999999999996</v>
      </c>
      <c r="M1252" t="s">
        <v>152</v>
      </c>
      <c r="N1252" t="s">
        <v>35</v>
      </c>
      <c r="O1252" t="s">
        <v>40</v>
      </c>
      <c r="P1252" t="s">
        <v>26</v>
      </c>
      <c r="Q1252" t="s">
        <v>26</v>
      </c>
      <c r="R1252">
        <v>24</v>
      </c>
      <c r="S1252" t="s">
        <v>35</v>
      </c>
      <c r="T1252" t="str">
        <f t="shared" si="38"/>
        <v>Month</v>
      </c>
      <c r="U1252">
        <f>VLOOKUP(T1252,[1]tablescore!$B$3:$C$8, 2,FALSE)</f>
        <v>12</v>
      </c>
      <c r="V1252" t="str">
        <f t="shared" si="39"/>
        <v>Moderate</v>
      </c>
      <c r="W1252" t="s">
        <v>88</v>
      </c>
    </row>
    <row r="1253" spans="1:23" x14ac:dyDescent="0.25">
      <c r="A1253">
        <v>1252</v>
      </c>
      <c r="B1253">
        <v>56</v>
      </c>
      <c r="C1253" t="str" cm="1">
        <f t="array" ref="C1253">_xlfn.IFS(
  AND(B1253&gt;=18, B1253&lt;=24), "18-24",
  AND(B1253&gt;=25, B1253&lt;=34), "25-34",
  AND(B1253&gt;=35, B1253&lt;=44), "35-44",
  AND(B1253&gt;=45, B1253&lt;=54), "45-54",
  B1253&gt;=55, "55+"
)</f>
        <v>55+</v>
      </c>
      <c r="D1253" t="s">
        <v>19</v>
      </c>
      <c r="E1253" t="s">
        <v>61</v>
      </c>
      <c r="F1253" t="s">
        <v>21</v>
      </c>
      <c r="G1253">
        <v>86</v>
      </c>
      <c r="H1253" t="s">
        <v>116</v>
      </c>
      <c r="I1253" t="s">
        <v>92</v>
      </c>
      <c r="J1253" t="s">
        <v>121</v>
      </c>
      <c r="K1253" t="s">
        <v>39</v>
      </c>
      <c r="L1253">
        <v>5</v>
      </c>
      <c r="M1253" t="s">
        <v>152</v>
      </c>
      <c r="N1253" t="s">
        <v>59</v>
      </c>
      <c r="O1253" t="s">
        <v>47</v>
      </c>
      <c r="P1253" t="s">
        <v>26</v>
      </c>
      <c r="Q1253" t="s">
        <v>26</v>
      </c>
      <c r="R1253">
        <v>43</v>
      </c>
      <c r="S1253" t="s">
        <v>27</v>
      </c>
      <c r="T1253" t="str">
        <f t="shared" si="38"/>
        <v>Month</v>
      </c>
      <c r="U1253">
        <f>VLOOKUP(T1253,[1]tablescore!$B$3:$C$8, 2,FALSE)</f>
        <v>12</v>
      </c>
      <c r="V1253" t="str">
        <f t="shared" si="39"/>
        <v>Moderate</v>
      </c>
      <c r="W1253" t="s">
        <v>88</v>
      </c>
    </row>
    <row r="1254" spans="1:23" x14ac:dyDescent="0.25">
      <c r="A1254">
        <v>1253</v>
      </c>
      <c r="B1254">
        <v>28</v>
      </c>
      <c r="C1254" t="str" cm="1">
        <f t="array" ref="C1254">_xlfn.IFS(
  AND(B1254&gt;=18, B1254&lt;=24), "18-24",
  AND(B1254&gt;=25, B1254&lt;=34), "25-34",
  AND(B1254&gt;=35, B1254&lt;=44), "35-44",
  AND(B1254&gt;=45, B1254&lt;=54), "45-54",
  B1254&gt;=55, "55+"
)</f>
        <v>25-34</v>
      </c>
      <c r="D1254" t="s">
        <v>19</v>
      </c>
      <c r="E1254" t="s">
        <v>42</v>
      </c>
      <c r="F1254" t="s">
        <v>43</v>
      </c>
      <c r="G1254">
        <v>41</v>
      </c>
      <c r="H1254" t="s">
        <v>37</v>
      </c>
      <c r="I1254" t="s">
        <v>23</v>
      </c>
      <c r="J1254" t="s">
        <v>147</v>
      </c>
      <c r="K1254" t="s">
        <v>58</v>
      </c>
      <c r="L1254">
        <v>4</v>
      </c>
      <c r="M1254" t="s">
        <v>152</v>
      </c>
      <c r="N1254" t="s">
        <v>29</v>
      </c>
      <c r="O1254" t="s">
        <v>55</v>
      </c>
      <c r="P1254" t="s">
        <v>26</v>
      </c>
      <c r="Q1254" t="s">
        <v>26</v>
      </c>
      <c r="R1254">
        <v>8</v>
      </c>
      <c r="S1254" t="s">
        <v>35</v>
      </c>
      <c r="T1254" t="str">
        <f t="shared" si="38"/>
        <v>Quarterly</v>
      </c>
      <c r="U1254">
        <f>VLOOKUP(T1254,[1]tablescore!$B$3:$C$8, 2,FALSE)</f>
        <v>4</v>
      </c>
      <c r="V1254" t="str">
        <f t="shared" si="39"/>
        <v>Low Loyalty</v>
      </c>
      <c r="W1254" t="s">
        <v>60</v>
      </c>
    </row>
    <row r="1255" spans="1:23" x14ac:dyDescent="0.25">
      <c r="A1255">
        <v>1254</v>
      </c>
      <c r="B1255">
        <v>39</v>
      </c>
      <c r="C1255" t="str" cm="1">
        <f t="array" ref="C1255">_xlfn.IFS(
  AND(B1255&gt;=18, B1255&lt;=24), "18-24",
  AND(B1255&gt;=25, B1255&lt;=34), "25-34",
  AND(B1255&gt;=35, B1255&lt;=44), "35-44",
  AND(B1255&gt;=45, B1255&lt;=54), "45-54",
  B1255&gt;=55, "55+"
)</f>
        <v>35-44</v>
      </c>
      <c r="D1255" t="s">
        <v>19</v>
      </c>
      <c r="E1255" t="s">
        <v>42</v>
      </c>
      <c r="F1255" t="s">
        <v>43</v>
      </c>
      <c r="G1255">
        <v>23</v>
      </c>
      <c r="H1255" t="s">
        <v>57</v>
      </c>
      <c r="I1255" t="s">
        <v>92</v>
      </c>
      <c r="J1255" t="s">
        <v>108</v>
      </c>
      <c r="K1255" t="s">
        <v>25</v>
      </c>
      <c r="L1255">
        <v>4.9000000000000004</v>
      </c>
      <c r="M1255" t="s">
        <v>152</v>
      </c>
      <c r="N1255" t="s">
        <v>29</v>
      </c>
      <c r="O1255" t="s">
        <v>28</v>
      </c>
      <c r="P1255" t="s">
        <v>26</v>
      </c>
      <c r="Q1255" t="s">
        <v>26</v>
      </c>
      <c r="R1255">
        <v>49</v>
      </c>
      <c r="S1255" t="s">
        <v>46</v>
      </c>
      <c r="T1255" t="str">
        <f t="shared" si="38"/>
        <v>Annually</v>
      </c>
      <c r="U1255">
        <f>VLOOKUP(T1255,[1]tablescore!$B$3:$C$8, 2,FALSE)</f>
        <v>1</v>
      </c>
      <c r="V1255" t="str">
        <f t="shared" si="39"/>
        <v>Low Loyalty</v>
      </c>
      <c r="W1255" t="s">
        <v>50</v>
      </c>
    </row>
    <row r="1256" spans="1:23" x14ac:dyDescent="0.25">
      <c r="A1256">
        <v>1255</v>
      </c>
      <c r="B1256">
        <v>54</v>
      </c>
      <c r="C1256" t="str" cm="1">
        <f t="array" ref="C1256">_xlfn.IFS(
  AND(B1256&gt;=18, B1256&lt;=24), "18-24",
  AND(B1256&gt;=25, B1256&lt;=34), "25-34",
  AND(B1256&gt;=35, B1256&lt;=44), "35-44",
  AND(B1256&gt;=45, B1256&lt;=54), "45-54",
  B1256&gt;=55, "55+"
)</f>
        <v>45-54</v>
      </c>
      <c r="D1256" t="s">
        <v>19</v>
      </c>
      <c r="E1256" t="s">
        <v>51</v>
      </c>
      <c r="F1256" t="s">
        <v>43</v>
      </c>
      <c r="G1256">
        <v>56</v>
      </c>
      <c r="H1256" t="s">
        <v>99</v>
      </c>
      <c r="I1256" t="s">
        <v>92</v>
      </c>
      <c r="J1256" t="s">
        <v>94</v>
      </c>
      <c r="K1256" t="s">
        <v>39</v>
      </c>
      <c r="L1256">
        <v>3.3</v>
      </c>
      <c r="M1256" t="s">
        <v>152</v>
      </c>
      <c r="N1256" t="s">
        <v>35</v>
      </c>
      <c r="O1256" t="s">
        <v>72</v>
      </c>
      <c r="P1256" t="s">
        <v>26</v>
      </c>
      <c r="Q1256" t="s">
        <v>26</v>
      </c>
      <c r="R1256">
        <v>2</v>
      </c>
      <c r="S1256" t="s">
        <v>27</v>
      </c>
      <c r="T1256" t="str">
        <f t="shared" si="38"/>
        <v>2-week</v>
      </c>
      <c r="U1256">
        <f>VLOOKUP(T1256,[1]tablescore!$B$3:$C$8, 2,FALSE)</f>
        <v>26</v>
      </c>
      <c r="V1256" t="str">
        <f t="shared" si="39"/>
        <v>Loyal</v>
      </c>
      <c r="W1256" t="s">
        <v>77</v>
      </c>
    </row>
    <row r="1257" spans="1:23" x14ac:dyDescent="0.25">
      <c r="A1257">
        <v>1256</v>
      </c>
      <c r="B1257">
        <v>30</v>
      </c>
      <c r="C1257" t="str" cm="1">
        <f t="array" ref="C1257">_xlfn.IFS(
  AND(B1257&gt;=18, B1257&lt;=24), "18-24",
  AND(B1257&gt;=25, B1257&lt;=34), "25-34",
  AND(B1257&gt;=35, B1257&lt;=44), "35-44",
  AND(B1257&gt;=45, B1257&lt;=54), "45-54",
  B1257&gt;=55, "55+"
)</f>
        <v>25-34</v>
      </c>
      <c r="D1257" t="s">
        <v>19</v>
      </c>
      <c r="E1257" t="s">
        <v>125</v>
      </c>
      <c r="F1257" t="s">
        <v>69</v>
      </c>
      <c r="G1257">
        <v>68</v>
      </c>
      <c r="H1257" t="s">
        <v>116</v>
      </c>
      <c r="I1257" t="s">
        <v>45</v>
      </c>
      <c r="J1257" t="s">
        <v>100</v>
      </c>
      <c r="K1257" t="s">
        <v>58</v>
      </c>
      <c r="L1257">
        <v>4.0999999999999996</v>
      </c>
      <c r="M1257" t="s">
        <v>152</v>
      </c>
      <c r="N1257" t="s">
        <v>27</v>
      </c>
      <c r="O1257" t="s">
        <v>55</v>
      </c>
      <c r="P1257" t="s">
        <v>26</v>
      </c>
      <c r="Q1257" t="s">
        <v>26</v>
      </c>
      <c r="R1257">
        <v>38</v>
      </c>
      <c r="S1257" t="s">
        <v>35</v>
      </c>
      <c r="T1257" t="str">
        <f t="shared" si="38"/>
        <v>2-week</v>
      </c>
      <c r="U1257">
        <f>VLOOKUP(T1257,[1]tablescore!$B$3:$C$8, 2,FALSE)</f>
        <v>26</v>
      </c>
      <c r="V1257" t="str">
        <f t="shared" si="39"/>
        <v>Loyal</v>
      </c>
      <c r="W1257" t="s">
        <v>30</v>
      </c>
    </row>
    <row r="1258" spans="1:23" x14ac:dyDescent="0.25">
      <c r="A1258">
        <v>1257</v>
      </c>
      <c r="B1258">
        <v>45</v>
      </c>
      <c r="C1258" t="str" cm="1">
        <f t="array" ref="C1258">_xlfn.IFS(
  AND(B1258&gt;=18, B1258&lt;=24), "18-24",
  AND(B1258&gt;=25, B1258&lt;=34), "25-34",
  AND(B1258&gt;=35, B1258&lt;=44), "35-44",
  AND(B1258&gt;=45, B1258&lt;=54), "45-54",
  B1258&gt;=55, "55+"
)</f>
        <v>45-54</v>
      </c>
      <c r="D1258" t="s">
        <v>19</v>
      </c>
      <c r="E1258" t="s">
        <v>64</v>
      </c>
      <c r="F1258" t="s">
        <v>65</v>
      </c>
      <c r="G1258">
        <v>48</v>
      </c>
      <c r="H1258" t="s">
        <v>66</v>
      </c>
      <c r="I1258" t="s">
        <v>38</v>
      </c>
      <c r="J1258" t="s">
        <v>79</v>
      </c>
      <c r="K1258" t="s">
        <v>25</v>
      </c>
      <c r="L1258">
        <v>3.6</v>
      </c>
      <c r="M1258" t="s">
        <v>152</v>
      </c>
      <c r="N1258" t="s">
        <v>35</v>
      </c>
      <c r="O1258" t="s">
        <v>28</v>
      </c>
      <c r="P1258" t="s">
        <v>26</v>
      </c>
      <c r="Q1258" t="s">
        <v>26</v>
      </c>
      <c r="R1258">
        <v>4</v>
      </c>
      <c r="S1258" t="s">
        <v>35</v>
      </c>
      <c r="T1258" t="str">
        <f t="shared" si="38"/>
        <v>2-week</v>
      </c>
      <c r="U1258">
        <f>VLOOKUP(T1258,[1]tablescore!$B$3:$C$8, 2,FALSE)</f>
        <v>26</v>
      </c>
      <c r="V1258" t="str">
        <f t="shared" si="39"/>
        <v>Loyal</v>
      </c>
      <c r="W1258" t="s">
        <v>30</v>
      </c>
    </row>
    <row r="1259" spans="1:23" x14ac:dyDescent="0.25">
      <c r="A1259">
        <v>1258</v>
      </c>
      <c r="B1259">
        <v>68</v>
      </c>
      <c r="C1259" t="str" cm="1">
        <f t="array" ref="C1259">_xlfn.IFS(
  AND(B1259&gt;=18, B1259&lt;=24), "18-24",
  AND(B1259&gt;=25, B1259&lt;=34), "25-34",
  AND(B1259&gt;=35, B1259&lt;=44), "35-44",
  AND(B1259&gt;=45, B1259&lt;=54), "45-54",
  B1259&gt;=55, "55+"
)</f>
        <v>55+</v>
      </c>
      <c r="D1259" t="s">
        <v>19</v>
      </c>
      <c r="E1259" t="s">
        <v>82</v>
      </c>
      <c r="F1259" t="s">
        <v>21</v>
      </c>
      <c r="G1259">
        <v>67</v>
      </c>
      <c r="H1259" t="s">
        <v>134</v>
      </c>
      <c r="I1259" t="s">
        <v>23</v>
      </c>
      <c r="J1259" t="s">
        <v>81</v>
      </c>
      <c r="K1259" t="s">
        <v>39</v>
      </c>
      <c r="L1259">
        <v>3</v>
      </c>
      <c r="M1259" t="s">
        <v>152</v>
      </c>
      <c r="N1259" t="s">
        <v>35</v>
      </c>
      <c r="O1259" t="s">
        <v>40</v>
      </c>
      <c r="P1259" t="s">
        <v>26</v>
      </c>
      <c r="Q1259" t="s">
        <v>26</v>
      </c>
      <c r="R1259">
        <v>31</v>
      </c>
      <c r="S1259" t="s">
        <v>35</v>
      </c>
      <c r="T1259" t="str">
        <f t="shared" si="38"/>
        <v>Quarterly</v>
      </c>
      <c r="U1259">
        <f>VLOOKUP(T1259,[1]tablescore!$B$3:$C$8, 2,FALSE)</f>
        <v>4</v>
      </c>
      <c r="V1259" t="str">
        <f t="shared" si="39"/>
        <v>Low Loyalty</v>
      </c>
      <c r="W1259" t="s">
        <v>97</v>
      </c>
    </row>
    <row r="1260" spans="1:23" x14ac:dyDescent="0.25">
      <c r="A1260">
        <v>1259</v>
      </c>
      <c r="B1260">
        <v>47</v>
      </c>
      <c r="C1260" t="str" cm="1">
        <f t="array" ref="C1260">_xlfn.IFS(
  AND(B1260&gt;=18, B1260&lt;=24), "18-24",
  AND(B1260&gt;=25, B1260&lt;=34), "25-34",
  AND(B1260&gt;=35, B1260&lt;=44), "35-44",
  AND(B1260&gt;=45, B1260&lt;=54), "45-54",
  B1260&gt;=55, "55+"
)</f>
        <v>45-54</v>
      </c>
      <c r="D1260" t="s">
        <v>19</v>
      </c>
      <c r="E1260" t="s">
        <v>132</v>
      </c>
      <c r="F1260" t="s">
        <v>43</v>
      </c>
      <c r="G1260">
        <v>87</v>
      </c>
      <c r="H1260" t="s">
        <v>124</v>
      </c>
      <c r="I1260" t="s">
        <v>92</v>
      </c>
      <c r="J1260" t="s">
        <v>81</v>
      </c>
      <c r="K1260" t="s">
        <v>39</v>
      </c>
      <c r="L1260">
        <v>4.0999999999999996</v>
      </c>
      <c r="M1260" t="s">
        <v>152</v>
      </c>
      <c r="N1260" t="s">
        <v>59</v>
      </c>
      <c r="O1260" t="s">
        <v>72</v>
      </c>
      <c r="P1260" t="s">
        <v>26</v>
      </c>
      <c r="Q1260" t="s">
        <v>26</v>
      </c>
      <c r="R1260">
        <v>34</v>
      </c>
      <c r="S1260" t="s">
        <v>59</v>
      </c>
      <c r="T1260" t="str">
        <f t="shared" si="38"/>
        <v>Quarterly</v>
      </c>
      <c r="U1260">
        <f>VLOOKUP(T1260,[1]tablescore!$B$3:$C$8, 2,FALSE)</f>
        <v>4</v>
      </c>
      <c r="V1260" t="str">
        <f t="shared" si="39"/>
        <v>Low Loyalty</v>
      </c>
      <c r="W1260" t="s">
        <v>97</v>
      </c>
    </row>
    <row r="1261" spans="1:23" x14ac:dyDescent="0.25">
      <c r="A1261">
        <v>1260</v>
      </c>
      <c r="B1261">
        <v>68</v>
      </c>
      <c r="C1261" t="str" cm="1">
        <f t="array" ref="C1261">_xlfn.IFS(
  AND(B1261&gt;=18, B1261&lt;=24), "18-24",
  AND(B1261&gt;=25, B1261&lt;=34), "25-34",
  AND(B1261&gt;=35, B1261&lt;=44), "35-44",
  AND(B1261&gt;=45, B1261&lt;=54), "45-54",
  B1261&gt;=55, "55+"
)</f>
        <v>55+</v>
      </c>
      <c r="D1261" t="s">
        <v>19</v>
      </c>
      <c r="E1261" t="s">
        <v>87</v>
      </c>
      <c r="F1261" t="s">
        <v>21</v>
      </c>
      <c r="G1261">
        <v>64</v>
      </c>
      <c r="H1261" t="s">
        <v>134</v>
      </c>
      <c r="I1261" t="s">
        <v>45</v>
      </c>
      <c r="J1261" t="s">
        <v>49</v>
      </c>
      <c r="K1261" t="s">
        <v>58</v>
      </c>
      <c r="L1261">
        <v>3.9</v>
      </c>
      <c r="M1261" t="s">
        <v>152</v>
      </c>
      <c r="N1261" t="s">
        <v>34</v>
      </c>
      <c r="O1261" t="s">
        <v>55</v>
      </c>
      <c r="P1261" t="s">
        <v>26</v>
      </c>
      <c r="Q1261" t="s">
        <v>26</v>
      </c>
      <c r="R1261">
        <v>45</v>
      </c>
      <c r="S1261" t="s">
        <v>27</v>
      </c>
      <c r="T1261" t="str">
        <f t="shared" si="38"/>
        <v>Month</v>
      </c>
      <c r="U1261">
        <f>VLOOKUP(T1261,[1]tablescore!$B$3:$C$8, 2,FALSE)</f>
        <v>12</v>
      </c>
      <c r="V1261" t="str">
        <f t="shared" si="39"/>
        <v>Moderate</v>
      </c>
      <c r="W1261" t="s">
        <v>88</v>
      </c>
    </row>
    <row r="1262" spans="1:23" x14ac:dyDescent="0.25">
      <c r="A1262">
        <v>1261</v>
      </c>
      <c r="B1262">
        <v>63</v>
      </c>
      <c r="C1262" t="str" cm="1">
        <f t="array" ref="C1262">_xlfn.IFS(
  AND(B1262&gt;=18, B1262&lt;=24), "18-24",
  AND(B1262&gt;=25, B1262&lt;=34), "25-34",
  AND(B1262&gt;=35, B1262&lt;=44), "35-44",
  AND(B1262&gt;=45, B1262&lt;=54), "45-54",
  B1262&gt;=55, "55+"
)</f>
        <v>55+</v>
      </c>
      <c r="D1262" t="s">
        <v>19</v>
      </c>
      <c r="E1262" t="s">
        <v>56</v>
      </c>
      <c r="F1262" t="s">
        <v>21</v>
      </c>
      <c r="G1262">
        <v>93</v>
      </c>
      <c r="H1262" t="s">
        <v>128</v>
      </c>
      <c r="I1262" t="s">
        <v>92</v>
      </c>
      <c r="J1262" t="s">
        <v>96</v>
      </c>
      <c r="K1262" t="s">
        <v>39</v>
      </c>
      <c r="L1262">
        <v>4.0999999999999996</v>
      </c>
      <c r="M1262" t="s">
        <v>152</v>
      </c>
      <c r="N1262" t="s">
        <v>29</v>
      </c>
      <c r="O1262" t="s">
        <v>76</v>
      </c>
      <c r="P1262" t="s">
        <v>26</v>
      </c>
      <c r="Q1262" t="s">
        <v>26</v>
      </c>
      <c r="R1262">
        <v>30</v>
      </c>
      <c r="S1262" t="s">
        <v>59</v>
      </c>
      <c r="T1262" t="str">
        <f t="shared" si="38"/>
        <v>Quarterly</v>
      </c>
      <c r="U1262">
        <f>VLOOKUP(T1262,[1]tablescore!$B$3:$C$8, 2,FALSE)</f>
        <v>4</v>
      </c>
      <c r="V1262" t="str">
        <f t="shared" si="39"/>
        <v>Low Loyalty</v>
      </c>
      <c r="W1262" t="s">
        <v>60</v>
      </c>
    </row>
    <row r="1263" spans="1:23" x14ac:dyDescent="0.25">
      <c r="A1263">
        <v>1262</v>
      </c>
      <c r="B1263">
        <v>20</v>
      </c>
      <c r="C1263" t="str" cm="1">
        <f t="array" ref="C1263">_xlfn.IFS(
  AND(B1263&gt;=18, B1263&lt;=24), "18-24",
  AND(B1263&gt;=25, B1263&lt;=34), "25-34",
  AND(B1263&gt;=35, B1263&lt;=44), "35-44",
  AND(B1263&gt;=45, B1263&lt;=54), "45-54",
  B1263&gt;=55, "55+"
)</f>
        <v>18-24</v>
      </c>
      <c r="D1263" t="s">
        <v>19</v>
      </c>
      <c r="E1263" t="s">
        <v>56</v>
      </c>
      <c r="F1263" t="s">
        <v>21</v>
      </c>
      <c r="G1263">
        <v>29</v>
      </c>
      <c r="H1263" t="s">
        <v>146</v>
      </c>
      <c r="I1263" t="s">
        <v>23</v>
      </c>
      <c r="J1263" t="s">
        <v>33</v>
      </c>
      <c r="K1263" t="s">
        <v>54</v>
      </c>
      <c r="L1263">
        <v>2.8</v>
      </c>
      <c r="M1263" t="s">
        <v>152</v>
      </c>
      <c r="N1263" t="s">
        <v>29</v>
      </c>
      <c r="O1263" t="s">
        <v>47</v>
      </c>
      <c r="P1263" t="s">
        <v>26</v>
      </c>
      <c r="Q1263" t="s">
        <v>26</v>
      </c>
      <c r="R1263">
        <v>2</v>
      </c>
      <c r="S1263" t="s">
        <v>27</v>
      </c>
      <c r="T1263" t="str">
        <f t="shared" si="38"/>
        <v>2-week</v>
      </c>
      <c r="U1263">
        <f>VLOOKUP(T1263,[1]tablescore!$B$3:$C$8, 2,FALSE)</f>
        <v>26</v>
      </c>
      <c r="V1263" t="str">
        <f t="shared" si="39"/>
        <v>Loyal</v>
      </c>
      <c r="W1263" t="s">
        <v>30</v>
      </c>
    </row>
    <row r="1264" spans="1:23" x14ac:dyDescent="0.25">
      <c r="A1264">
        <v>1263</v>
      </c>
      <c r="B1264">
        <v>29</v>
      </c>
      <c r="C1264" t="str" cm="1">
        <f t="array" ref="C1264">_xlfn.IFS(
  AND(B1264&gt;=18, B1264&lt;=24), "18-24",
  AND(B1264&gt;=25, B1264&lt;=34), "25-34",
  AND(B1264&gt;=35, B1264&lt;=44), "35-44",
  AND(B1264&gt;=45, B1264&lt;=54), "45-54",
  B1264&gt;=55, "55+"
)</f>
        <v>25-34</v>
      </c>
      <c r="D1264" t="s">
        <v>19</v>
      </c>
      <c r="E1264" t="s">
        <v>132</v>
      </c>
      <c r="F1264" t="s">
        <v>43</v>
      </c>
      <c r="G1264">
        <v>62</v>
      </c>
      <c r="H1264" t="s">
        <v>122</v>
      </c>
      <c r="I1264" t="s">
        <v>23</v>
      </c>
      <c r="J1264" t="s">
        <v>110</v>
      </c>
      <c r="K1264" t="s">
        <v>25</v>
      </c>
      <c r="L1264">
        <v>4.8</v>
      </c>
      <c r="M1264" t="s">
        <v>152</v>
      </c>
      <c r="N1264" t="s">
        <v>59</v>
      </c>
      <c r="O1264" t="s">
        <v>76</v>
      </c>
      <c r="P1264" t="s">
        <v>26</v>
      </c>
      <c r="Q1264" t="s">
        <v>26</v>
      </c>
      <c r="R1264">
        <v>44</v>
      </c>
      <c r="S1264" t="s">
        <v>29</v>
      </c>
      <c r="T1264" t="str">
        <f t="shared" si="38"/>
        <v>Month</v>
      </c>
      <c r="U1264">
        <f>VLOOKUP(T1264,[1]tablescore!$B$3:$C$8, 2,FALSE)</f>
        <v>12</v>
      </c>
      <c r="V1264" t="str">
        <f t="shared" si="39"/>
        <v>Moderate</v>
      </c>
      <c r="W1264" t="s">
        <v>88</v>
      </c>
    </row>
    <row r="1265" spans="1:23" x14ac:dyDescent="0.25">
      <c r="A1265">
        <v>1264</v>
      </c>
      <c r="B1265">
        <v>41</v>
      </c>
      <c r="C1265" t="str" cm="1">
        <f t="array" ref="C1265">_xlfn.IFS(
  AND(B1265&gt;=18, B1265&lt;=24), "18-24",
  AND(B1265&gt;=25, B1265&lt;=34), "25-34",
  AND(B1265&gt;=35, B1265&lt;=44), "35-44",
  AND(B1265&gt;=45, B1265&lt;=54), "45-54",
  B1265&gt;=55, "55+"
)</f>
        <v>35-44</v>
      </c>
      <c r="D1265" t="s">
        <v>19</v>
      </c>
      <c r="E1265" t="s">
        <v>104</v>
      </c>
      <c r="F1265" t="s">
        <v>21</v>
      </c>
      <c r="G1265">
        <v>70</v>
      </c>
      <c r="H1265" t="s">
        <v>80</v>
      </c>
      <c r="I1265" t="s">
        <v>23</v>
      </c>
      <c r="J1265" t="s">
        <v>110</v>
      </c>
      <c r="K1265" t="s">
        <v>25</v>
      </c>
      <c r="L1265">
        <v>4.5999999999999996</v>
      </c>
      <c r="M1265" t="s">
        <v>152</v>
      </c>
      <c r="N1265" t="s">
        <v>34</v>
      </c>
      <c r="O1265" t="s">
        <v>72</v>
      </c>
      <c r="P1265" t="s">
        <v>26</v>
      </c>
      <c r="Q1265" t="s">
        <v>26</v>
      </c>
      <c r="R1265">
        <v>1</v>
      </c>
      <c r="S1265" t="s">
        <v>27</v>
      </c>
      <c r="T1265" t="str">
        <f t="shared" si="38"/>
        <v>2-week</v>
      </c>
      <c r="U1265">
        <f>VLOOKUP(T1265,[1]tablescore!$B$3:$C$8, 2,FALSE)</f>
        <v>26</v>
      </c>
      <c r="V1265" t="str">
        <f t="shared" si="39"/>
        <v>Loyal</v>
      </c>
      <c r="W1265" t="s">
        <v>77</v>
      </c>
    </row>
    <row r="1266" spans="1:23" x14ac:dyDescent="0.25">
      <c r="A1266">
        <v>1265</v>
      </c>
      <c r="B1266">
        <v>52</v>
      </c>
      <c r="C1266" t="str" cm="1">
        <f t="array" ref="C1266">_xlfn.IFS(
  AND(B1266&gt;=18, B1266&lt;=24), "18-24",
  AND(B1266&gt;=25, B1266&lt;=34), "25-34",
  AND(B1266&gt;=35, B1266&lt;=44), "35-44",
  AND(B1266&gt;=45, B1266&lt;=54), "45-54",
  B1266&gt;=55, "55+"
)</f>
        <v>45-54</v>
      </c>
      <c r="D1266" t="s">
        <v>19</v>
      </c>
      <c r="E1266" t="s">
        <v>31</v>
      </c>
      <c r="F1266" t="s">
        <v>21</v>
      </c>
      <c r="G1266">
        <v>92</v>
      </c>
      <c r="H1266" t="s">
        <v>145</v>
      </c>
      <c r="I1266" t="s">
        <v>38</v>
      </c>
      <c r="J1266" t="s">
        <v>138</v>
      </c>
      <c r="K1266" t="s">
        <v>25</v>
      </c>
      <c r="L1266">
        <v>2.5</v>
      </c>
      <c r="M1266" t="s">
        <v>152</v>
      </c>
      <c r="N1266" t="s">
        <v>29</v>
      </c>
      <c r="O1266" t="s">
        <v>47</v>
      </c>
      <c r="P1266" t="s">
        <v>26</v>
      </c>
      <c r="Q1266" t="s">
        <v>26</v>
      </c>
      <c r="R1266">
        <v>1</v>
      </c>
      <c r="S1266" t="s">
        <v>29</v>
      </c>
      <c r="T1266" t="str">
        <f t="shared" si="38"/>
        <v>2-week</v>
      </c>
      <c r="U1266">
        <f>VLOOKUP(T1266,[1]tablescore!$B$3:$C$8, 2,FALSE)</f>
        <v>26</v>
      </c>
      <c r="V1266" t="str">
        <f t="shared" si="39"/>
        <v>Loyal</v>
      </c>
      <c r="W1266" t="s">
        <v>77</v>
      </c>
    </row>
    <row r="1267" spans="1:23" x14ac:dyDescent="0.25">
      <c r="A1267">
        <v>1266</v>
      </c>
      <c r="B1267">
        <v>32</v>
      </c>
      <c r="C1267" t="str" cm="1">
        <f t="array" ref="C1267">_xlfn.IFS(
  AND(B1267&gt;=18, B1267&lt;=24), "18-24",
  AND(B1267&gt;=25, B1267&lt;=34), "25-34",
  AND(B1267&gt;=35, B1267&lt;=44), "35-44",
  AND(B1267&gt;=45, B1267&lt;=54), "45-54",
  B1267&gt;=55, "55+"
)</f>
        <v>25-34</v>
      </c>
      <c r="D1267" t="s">
        <v>19</v>
      </c>
      <c r="E1267" t="s">
        <v>56</v>
      </c>
      <c r="F1267" t="s">
        <v>21</v>
      </c>
      <c r="G1267">
        <v>79</v>
      </c>
      <c r="H1267" t="s">
        <v>62</v>
      </c>
      <c r="I1267" t="s">
        <v>45</v>
      </c>
      <c r="J1267" t="s">
        <v>93</v>
      </c>
      <c r="K1267" t="s">
        <v>39</v>
      </c>
      <c r="L1267">
        <v>2.7</v>
      </c>
      <c r="M1267" t="s">
        <v>152</v>
      </c>
      <c r="N1267" t="s">
        <v>34</v>
      </c>
      <c r="O1267" t="s">
        <v>47</v>
      </c>
      <c r="P1267" t="s">
        <v>26</v>
      </c>
      <c r="Q1267" t="s">
        <v>26</v>
      </c>
      <c r="R1267">
        <v>27</v>
      </c>
      <c r="S1267" t="s">
        <v>34</v>
      </c>
      <c r="T1267" t="str">
        <f t="shared" si="38"/>
        <v>Daily</v>
      </c>
      <c r="U1267">
        <f>VLOOKUP(T1267,[1]tablescore!$B$3:$C$8, 2,FALSE)</f>
        <v>30</v>
      </c>
      <c r="V1267" t="str">
        <f t="shared" si="39"/>
        <v>Highly Loyal</v>
      </c>
      <c r="W1267" t="s">
        <v>41</v>
      </c>
    </row>
    <row r="1268" spans="1:23" x14ac:dyDescent="0.25">
      <c r="A1268">
        <v>1267</v>
      </c>
      <c r="B1268">
        <v>20</v>
      </c>
      <c r="C1268" t="str" cm="1">
        <f t="array" ref="C1268">_xlfn.IFS(
  AND(B1268&gt;=18, B1268&lt;=24), "18-24",
  AND(B1268&gt;=25, B1268&lt;=34), "25-34",
  AND(B1268&gt;=35, B1268&lt;=44), "35-44",
  AND(B1268&gt;=45, B1268&lt;=54), "45-54",
  B1268&gt;=55, "55+"
)</f>
        <v>18-24</v>
      </c>
      <c r="D1268" t="s">
        <v>19</v>
      </c>
      <c r="E1268" t="s">
        <v>20</v>
      </c>
      <c r="F1268" t="s">
        <v>21</v>
      </c>
      <c r="G1268">
        <v>31</v>
      </c>
      <c r="H1268" t="s">
        <v>114</v>
      </c>
      <c r="I1268" t="s">
        <v>45</v>
      </c>
      <c r="J1268" t="s">
        <v>100</v>
      </c>
      <c r="K1268" t="s">
        <v>58</v>
      </c>
      <c r="L1268">
        <v>4</v>
      </c>
      <c r="M1268" t="s">
        <v>152</v>
      </c>
      <c r="N1268" t="s">
        <v>35</v>
      </c>
      <c r="O1268" t="s">
        <v>55</v>
      </c>
      <c r="P1268" t="s">
        <v>26</v>
      </c>
      <c r="Q1268" t="s">
        <v>26</v>
      </c>
      <c r="R1268">
        <v>14</v>
      </c>
      <c r="S1268" t="s">
        <v>59</v>
      </c>
      <c r="T1268" t="str">
        <f t="shared" si="38"/>
        <v>Quarterly</v>
      </c>
      <c r="U1268">
        <f>VLOOKUP(T1268,[1]tablescore!$B$3:$C$8, 2,FALSE)</f>
        <v>4</v>
      </c>
      <c r="V1268" t="str">
        <f t="shared" si="39"/>
        <v>Low Loyalty</v>
      </c>
      <c r="W1268" t="s">
        <v>97</v>
      </c>
    </row>
    <row r="1269" spans="1:23" x14ac:dyDescent="0.25">
      <c r="A1269">
        <v>1268</v>
      </c>
      <c r="B1269">
        <v>47</v>
      </c>
      <c r="C1269" t="str" cm="1">
        <f t="array" ref="C1269">_xlfn.IFS(
  AND(B1269&gt;=18, B1269&lt;=24), "18-24",
  AND(B1269&gt;=25, B1269&lt;=34), "25-34",
  AND(B1269&gt;=35, B1269&lt;=44), "35-44",
  AND(B1269&gt;=45, B1269&lt;=54), "45-54",
  B1269&gt;=55, "55+"
)</f>
        <v>45-54</v>
      </c>
      <c r="D1269" t="s">
        <v>19</v>
      </c>
      <c r="E1269" t="s">
        <v>113</v>
      </c>
      <c r="F1269" t="s">
        <v>21</v>
      </c>
      <c r="G1269">
        <v>83</v>
      </c>
      <c r="H1269" t="s">
        <v>48</v>
      </c>
      <c r="I1269" t="s">
        <v>38</v>
      </c>
      <c r="J1269" t="s">
        <v>24</v>
      </c>
      <c r="K1269" t="s">
        <v>39</v>
      </c>
      <c r="L1269">
        <v>2.7</v>
      </c>
      <c r="M1269" t="s">
        <v>152</v>
      </c>
      <c r="N1269" t="s">
        <v>27</v>
      </c>
      <c r="O1269" t="s">
        <v>55</v>
      </c>
      <c r="P1269" t="s">
        <v>26</v>
      </c>
      <c r="Q1269" t="s">
        <v>26</v>
      </c>
      <c r="R1269">
        <v>41</v>
      </c>
      <c r="S1269" t="s">
        <v>35</v>
      </c>
      <c r="T1269" t="str">
        <f t="shared" si="38"/>
        <v>Daily</v>
      </c>
      <c r="U1269">
        <f>VLOOKUP(T1269,[1]tablescore!$B$3:$C$8, 2,FALSE)</f>
        <v>30</v>
      </c>
      <c r="V1269" t="str">
        <f t="shared" si="39"/>
        <v>Highly Loyal</v>
      </c>
      <c r="W1269" t="s">
        <v>41</v>
      </c>
    </row>
    <row r="1270" spans="1:23" x14ac:dyDescent="0.25">
      <c r="A1270">
        <v>1269</v>
      </c>
      <c r="B1270">
        <v>23</v>
      </c>
      <c r="C1270" t="str" cm="1">
        <f t="array" ref="C1270">_xlfn.IFS(
  AND(B1270&gt;=18, B1270&lt;=24), "18-24",
  AND(B1270&gt;=25, B1270&lt;=34), "25-34",
  AND(B1270&gt;=35, B1270&lt;=44), "35-44",
  AND(B1270&gt;=45, B1270&lt;=54), "45-54",
  B1270&gt;=55, "55+"
)</f>
        <v>18-24</v>
      </c>
      <c r="D1270" t="s">
        <v>19</v>
      </c>
      <c r="E1270" t="s">
        <v>102</v>
      </c>
      <c r="F1270" t="s">
        <v>65</v>
      </c>
      <c r="G1270">
        <v>88</v>
      </c>
      <c r="H1270" t="s">
        <v>144</v>
      </c>
      <c r="I1270" t="s">
        <v>92</v>
      </c>
      <c r="J1270" t="s">
        <v>63</v>
      </c>
      <c r="K1270" t="s">
        <v>25</v>
      </c>
      <c r="L1270">
        <v>2.9</v>
      </c>
      <c r="M1270" t="s">
        <v>152</v>
      </c>
      <c r="N1270" t="s">
        <v>29</v>
      </c>
      <c r="O1270" t="s">
        <v>47</v>
      </c>
      <c r="P1270" t="s">
        <v>26</v>
      </c>
      <c r="Q1270" t="s">
        <v>26</v>
      </c>
      <c r="R1270">
        <v>25</v>
      </c>
      <c r="S1270" t="s">
        <v>59</v>
      </c>
      <c r="T1270" t="str">
        <f t="shared" si="38"/>
        <v>2-week</v>
      </c>
      <c r="U1270">
        <f>VLOOKUP(T1270,[1]tablescore!$B$3:$C$8, 2,FALSE)</f>
        <v>26</v>
      </c>
      <c r="V1270" t="str">
        <f t="shared" si="39"/>
        <v>Loyal</v>
      </c>
      <c r="W1270" t="s">
        <v>77</v>
      </c>
    </row>
    <row r="1271" spans="1:23" x14ac:dyDescent="0.25">
      <c r="A1271">
        <v>1270</v>
      </c>
      <c r="B1271">
        <v>43</v>
      </c>
      <c r="C1271" t="str" cm="1">
        <f t="array" ref="C1271">_xlfn.IFS(
  AND(B1271&gt;=18, B1271&lt;=24), "18-24",
  AND(B1271&gt;=25, B1271&lt;=34), "25-34",
  AND(B1271&gt;=35, B1271&lt;=44), "35-44",
  AND(B1271&gt;=45, B1271&lt;=54), "45-54",
  B1271&gt;=55, "55+"
)</f>
        <v>35-44</v>
      </c>
      <c r="D1271" t="s">
        <v>19</v>
      </c>
      <c r="E1271" t="s">
        <v>106</v>
      </c>
      <c r="F1271" t="s">
        <v>69</v>
      </c>
      <c r="G1271">
        <v>53</v>
      </c>
      <c r="H1271" t="s">
        <v>145</v>
      </c>
      <c r="I1271" t="s">
        <v>45</v>
      </c>
      <c r="J1271" t="s">
        <v>93</v>
      </c>
      <c r="K1271" t="s">
        <v>39</v>
      </c>
      <c r="L1271">
        <v>3</v>
      </c>
      <c r="M1271" t="s">
        <v>152</v>
      </c>
      <c r="N1271" t="s">
        <v>46</v>
      </c>
      <c r="O1271" t="s">
        <v>55</v>
      </c>
      <c r="P1271" t="s">
        <v>26</v>
      </c>
      <c r="Q1271" t="s">
        <v>26</v>
      </c>
      <c r="R1271">
        <v>47</v>
      </c>
      <c r="S1271" t="s">
        <v>46</v>
      </c>
      <c r="T1271" t="str">
        <f t="shared" si="38"/>
        <v>Quarterly</v>
      </c>
      <c r="U1271">
        <f>VLOOKUP(T1271,[1]tablescore!$B$3:$C$8, 2,FALSE)</f>
        <v>4</v>
      </c>
      <c r="V1271" t="str">
        <f t="shared" si="39"/>
        <v>Low Loyalty</v>
      </c>
      <c r="W1271" t="s">
        <v>60</v>
      </c>
    </row>
    <row r="1272" spans="1:23" x14ac:dyDescent="0.25">
      <c r="A1272">
        <v>1271</v>
      </c>
      <c r="B1272">
        <v>67</v>
      </c>
      <c r="C1272" t="str" cm="1">
        <f t="array" ref="C1272">_xlfn.IFS(
  AND(B1272&gt;=18, B1272&lt;=24), "18-24",
  AND(B1272&gt;=25, B1272&lt;=34), "25-34",
  AND(B1272&gt;=35, B1272&lt;=44), "35-44",
  AND(B1272&gt;=45, B1272&lt;=54), "45-54",
  B1272&gt;=55, "55+"
)</f>
        <v>55+</v>
      </c>
      <c r="D1272" t="s">
        <v>19</v>
      </c>
      <c r="E1272" t="s">
        <v>104</v>
      </c>
      <c r="F1272" t="s">
        <v>21</v>
      </c>
      <c r="G1272">
        <v>98</v>
      </c>
      <c r="H1272" t="s">
        <v>66</v>
      </c>
      <c r="I1272" t="s">
        <v>45</v>
      </c>
      <c r="J1272" t="s">
        <v>96</v>
      </c>
      <c r="K1272" t="s">
        <v>58</v>
      </c>
      <c r="L1272">
        <v>3.3</v>
      </c>
      <c r="M1272" t="s">
        <v>152</v>
      </c>
      <c r="N1272" t="s">
        <v>35</v>
      </c>
      <c r="O1272" t="s">
        <v>55</v>
      </c>
      <c r="P1272" t="s">
        <v>26</v>
      </c>
      <c r="Q1272" t="s">
        <v>26</v>
      </c>
      <c r="R1272">
        <v>20</v>
      </c>
      <c r="S1272" t="s">
        <v>35</v>
      </c>
      <c r="T1272" t="str">
        <f t="shared" si="38"/>
        <v>Annually</v>
      </c>
      <c r="U1272">
        <f>VLOOKUP(T1272,[1]tablescore!$B$3:$C$8, 2,FALSE)</f>
        <v>1</v>
      </c>
      <c r="V1272" t="str">
        <f t="shared" si="39"/>
        <v>Low Loyalty</v>
      </c>
      <c r="W1272" t="s">
        <v>50</v>
      </c>
    </row>
    <row r="1273" spans="1:23" x14ac:dyDescent="0.25">
      <c r="A1273">
        <v>1272</v>
      </c>
      <c r="B1273">
        <v>70</v>
      </c>
      <c r="C1273" t="str" cm="1">
        <f t="array" ref="C1273">_xlfn.IFS(
  AND(B1273&gt;=18, B1273&lt;=24), "18-24",
  AND(B1273&gt;=25, B1273&lt;=34), "25-34",
  AND(B1273&gt;=35, B1273&lt;=44), "35-44",
  AND(B1273&gt;=45, B1273&lt;=54), "45-54",
  B1273&gt;=55, "55+"
)</f>
        <v>55+</v>
      </c>
      <c r="D1273" t="s">
        <v>19</v>
      </c>
      <c r="E1273" t="s">
        <v>106</v>
      </c>
      <c r="F1273" t="s">
        <v>69</v>
      </c>
      <c r="G1273">
        <v>57</v>
      </c>
      <c r="H1273" t="s">
        <v>22</v>
      </c>
      <c r="I1273" t="s">
        <v>38</v>
      </c>
      <c r="J1273" t="s">
        <v>24</v>
      </c>
      <c r="K1273" t="s">
        <v>39</v>
      </c>
      <c r="L1273">
        <v>4.3</v>
      </c>
      <c r="M1273" t="s">
        <v>152</v>
      </c>
      <c r="N1273" t="s">
        <v>35</v>
      </c>
      <c r="O1273" t="s">
        <v>76</v>
      </c>
      <c r="P1273" t="s">
        <v>26</v>
      </c>
      <c r="Q1273" t="s">
        <v>26</v>
      </c>
      <c r="R1273">
        <v>42</v>
      </c>
      <c r="S1273" t="s">
        <v>46</v>
      </c>
      <c r="T1273" t="str">
        <f t="shared" si="38"/>
        <v>Annually</v>
      </c>
      <c r="U1273">
        <f>VLOOKUP(T1273,[1]tablescore!$B$3:$C$8, 2,FALSE)</f>
        <v>1</v>
      </c>
      <c r="V1273" t="str">
        <f t="shared" si="39"/>
        <v>Low Loyalty</v>
      </c>
      <c r="W1273" t="s">
        <v>50</v>
      </c>
    </row>
    <row r="1274" spans="1:23" x14ac:dyDescent="0.25">
      <c r="A1274">
        <v>1273</v>
      </c>
      <c r="B1274">
        <v>35</v>
      </c>
      <c r="C1274" t="str" cm="1">
        <f t="array" ref="C1274">_xlfn.IFS(
  AND(B1274&gt;=18, B1274&lt;=24), "18-24",
  AND(B1274&gt;=25, B1274&lt;=34), "25-34",
  AND(B1274&gt;=35, B1274&lt;=44), "35-44",
  AND(B1274&gt;=45, B1274&lt;=54), "45-54",
  B1274&gt;=55, "55+"
)</f>
        <v>35-44</v>
      </c>
      <c r="D1274" t="s">
        <v>19</v>
      </c>
      <c r="E1274" t="s">
        <v>42</v>
      </c>
      <c r="F1274" t="s">
        <v>43</v>
      </c>
      <c r="G1274">
        <v>80</v>
      </c>
      <c r="H1274" t="s">
        <v>148</v>
      </c>
      <c r="I1274" t="s">
        <v>45</v>
      </c>
      <c r="J1274" t="s">
        <v>121</v>
      </c>
      <c r="K1274" t="s">
        <v>25</v>
      </c>
      <c r="L1274">
        <v>4.4000000000000004</v>
      </c>
      <c r="M1274" t="s">
        <v>152</v>
      </c>
      <c r="N1274" t="s">
        <v>59</v>
      </c>
      <c r="O1274" t="s">
        <v>28</v>
      </c>
      <c r="P1274" t="s">
        <v>26</v>
      </c>
      <c r="Q1274" t="s">
        <v>26</v>
      </c>
      <c r="R1274">
        <v>16</v>
      </c>
      <c r="S1274" t="s">
        <v>34</v>
      </c>
      <c r="T1274" t="str">
        <f t="shared" si="38"/>
        <v>Month</v>
      </c>
      <c r="U1274">
        <f>VLOOKUP(T1274,[1]tablescore!$B$3:$C$8, 2,FALSE)</f>
        <v>12</v>
      </c>
      <c r="V1274" t="str">
        <f t="shared" si="39"/>
        <v>Moderate</v>
      </c>
      <c r="W1274" t="s">
        <v>88</v>
      </c>
    </row>
    <row r="1275" spans="1:23" x14ac:dyDescent="0.25">
      <c r="A1275">
        <v>1274</v>
      </c>
      <c r="B1275">
        <v>41</v>
      </c>
      <c r="C1275" t="str" cm="1">
        <f t="array" ref="C1275">_xlfn.IFS(
  AND(B1275&gt;=18, B1275&lt;=24), "18-24",
  AND(B1275&gt;=25, B1275&lt;=34), "25-34",
  AND(B1275&gt;=35, B1275&lt;=44), "35-44",
  AND(B1275&gt;=45, B1275&lt;=54), "45-54",
  B1275&gt;=55, "55+"
)</f>
        <v>35-44</v>
      </c>
      <c r="D1275" t="s">
        <v>19</v>
      </c>
      <c r="E1275" t="s">
        <v>36</v>
      </c>
      <c r="F1275" t="s">
        <v>21</v>
      </c>
      <c r="G1275">
        <v>29</v>
      </c>
      <c r="H1275" t="s">
        <v>91</v>
      </c>
      <c r="I1275" t="s">
        <v>23</v>
      </c>
      <c r="J1275" t="s">
        <v>67</v>
      </c>
      <c r="K1275" t="s">
        <v>39</v>
      </c>
      <c r="L1275">
        <v>4.0999999999999996</v>
      </c>
      <c r="M1275" t="s">
        <v>152</v>
      </c>
      <c r="N1275" t="s">
        <v>35</v>
      </c>
      <c r="O1275" t="s">
        <v>47</v>
      </c>
      <c r="P1275" t="s">
        <v>26</v>
      </c>
      <c r="Q1275" t="s">
        <v>26</v>
      </c>
      <c r="R1275">
        <v>32</v>
      </c>
      <c r="S1275" t="s">
        <v>27</v>
      </c>
      <c r="T1275" t="str">
        <f t="shared" si="38"/>
        <v>Quarterly</v>
      </c>
      <c r="U1275">
        <f>VLOOKUP(T1275,[1]tablescore!$B$3:$C$8, 2,FALSE)</f>
        <v>4</v>
      </c>
      <c r="V1275" t="str">
        <f t="shared" si="39"/>
        <v>Low Loyalty</v>
      </c>
      <c r="W1275" t="s">
        <v>97</v>
      </c>
    </row>
    <row r="1276" spans="1:23" x14ac:dyDescent="0.25">
      <c r="A1276">
        <v>1275</v>
      </c>
      <c r="B1276">
        <v>54</v>
      </c>
      <c r="C1276" t="str" cm="1">
        <f t="array" ref="C1276">_xlfn.IFS(
  AND(B1276&gt;=18, B1276&lt;=24), "18-24",
  AND(B1276&gt;=25, B1276&lt;=34), "25-34",
  AND(B1276&gt;=35, B1276&lt;=44), "35-44",
  AND(B1276&gt;=45, B1276&lt;=54), "45-54",
  B1276&gt;=55, "55+"
)</f>
        <v>45-54</v>
      </c>
      <c r="D1276" t="s">
        <v>19</v>
      </c>
      <c r="E1276" t="s">
        <v>125</v>
      </c>
      <c r="F1276" t="s">
        <v>69</v>
      </c>
      <c r="G1276">
        <v>73</v>
      </c>
      <c r="H1276" t="s">
        <v>70</v>
      </c>
      <c r="I1276" t="s">
        <v>45</v>
      </c>
      <c r="J1276" t="s">
        <v>79</v>
      </c>
      <c r="K1276" t="s">
        <v>39</v>
      </c>
      <c r="L1276">
        <v>3.1</v>
      </c>
      <c r="M1276" t="s">
        <v>152</v>
      </c>
      <c r="N1276" t="s">
        <v>35</v>
      </c>
      <c r="O1276" t="s">
        <v>72</v>
      </c>
      <c r="P1276" t="s">
        <v>26</v>
      </c>
      <c r="Q1276" t="s">
        <v>26</v>
      </c>
      <c r="R1276">
        <v>37</v>
      </c>
      <c r="S1276" t="s">
        <v>46</v>
      </c>
      <c r="T1276" t="str">
        <f t="shared" si="38"/>
        <v>Quarterly</v>
      </c>
      <c r="U1276">
        <f>VLOOKUP(T1276,[1]tablescore!$B$3:$C$8, 2,FALSE)</f>
        <v>4</v>
      </c>
      <c r="V1276" t="str">
        <f t="shared" si="39"/>
        <v>Low Loyalty</v>
      </c>
      <c r="W1276" t="s">
        <v>60</v>
      </c>
    </row>
    <row r="1277" spans="1:23" x14ac:dyDescent="0.25">
      <c r="A1277">
        <v>1276</v>
      </c>
      <c r="B1277">
        <v>55</v>
      </c>
      <c r="C1277" t="str" cm="1">
        <f t="array" ref="C1277">_xlfn.IFS(
  AND(B1277&gt;=18, B1277&lt;=24), "18-24",
  AND(B1277&gt;=25, B1277&lt;=34), "25-34",
  AND(B1277&gt;=35, B1277&lt;=44), "35-44",
  AND(B1277&gt;=45, B1277&lt;=54), "45-54",
  B1277&gt;=55, "55+"
)</f>
        <v>55+</v>
      </c>
      <c r="D1277" t="s">
        <v>19</v>
      </c>
      <c r="E1277" t="s">
        <v>31</v>
      </c>
      <c r="F1277" t="s">
        <v>21</v>
      </c>
      <c r="G1277">
        <v>32</v>
      </c>
      <c r="H1277" t="s">
        <v>74</v>
      </c>
      <c r="I1277" t="s">
        <v>38</v>
      </c>
      <c r="J1277" t="s">
        <v>49</v>
      </c>
      <c r="K1277" t="s">
        <v>58</v>
      </c>
      <c r="L1277">
        <v>4.5</v>
      </c>
      <c r="M1277" t="s">
        <v>152</v>
      </c>
      <c r="N1277" t="s">
        <v>46</v>
      </c>
      <c r="O1277" t="s">
        <v>55</v>
      </c>
      <c r="P1277" t="s">
        <v>26</v>
      </c>
      <c r="Q1277" t="s">
        <v>26</v>
      </c>
      <c r="R1277">
        <v>1</v>
      </c>
      <c r="S1277" t="s">
        <v>46</v>
      </c>
      <c r="T1277" t="str">
        <f t="shared" si="38"/>
        <v>Month</v>
      </c>
      <c r="U1277">
        <f>VLOOKUP(T1277,[1]tablescore!$B$3:$C$8, 2,FALSE)</f>
        <v>12</v>
      </c>
      <c r="V1277" t="str">
        <f t="shared" si="39"/>
        <v>Moderate</v>
      </c>
      <c r="W1277" t="s">
        <v>88</v>
      </c>
    </row>
    <row r="1278" spans="1:23" x14ac:dyDescent="0.25">
      <c r="A1278">
        <v>1277</v>
      </c>
      <c r="B1278">
        <v>51</v>
      </c>
      <c r="C1278" t="str" cm="1">
        <f t="array" ref="C1278">_xlfn.IFS(
  AND(B1278&gt;=18, B1278&lt;=24), "18-24",
  AND(B1278&gt;=25, B1278&lt;=34), "25-34",
  AND(B1278&gt;=35, B1278&lt;=44), "35-44",
  AND(B1278&gt;=45, B1278&lt;=54), "45-54",
  B1278&gt;=55, "55+"
)</f>
        <v>45-54</v>
      </c>
      <c r="D1278" t="s">
        <v>19</v>
      </c>
      <c r="E1278" t="s">
        <v>132</v>
      </c>
      <c r="F1278" t="s">
        <v>43</v>
      </c>
      <c r="G1278">
        <v>68</v>
      </c>
      <c r="H1278" t="s">
        <v>52</v>
      </c>
      <c r="I1278" t="s">
        <v>23</v>
      </c>
      <c r="J1278" t="s">
        <v>49</v>
      </c>
      <c r="K1278" t="s">
        <v>39</v>
      </c>
      <c r="L1278">
        <v>4.8</v>
      </c>
      <c r="M1278" t="s">
        <v>152</v>
      </c>
      <c r="N1278" t="s">
        <v>46</v>
      </c>
      <c r="O1278" t="s">
        <v>47</v>
      </c>
      <c r="P1278" t="s">
        <v>26</v>
      </c>
      <c r="Q1278" t="s">
        <v>26</v>
      </c>
      <c r="R1278">
        <v>37</v>
      </c>
      <c r="S1278" t="s">
        <v>34</v>
      </c>
      <c r="T1278" t="str">
        <f t="shared" si="38"/>
        <v>Daily</v>
      </c>
      <c r="U1278">
        <f>VLOOKUP(T1278,[1]tablescore!$B$3:$C$8, 2,FALSE)</f>
        <v>30</v>
      </c>
      <c r="V1278" t="str">
        <f t="shared" si="39"/>
        <v>Highly Loyal</v>
      </c>
      <c r="W1278" t="s">
        <v>41</v>
      </c>
    </row>
    <row r="1279" spans="1:23" x14ac:dyDescent="0.25">
      <c r="A1279">
        <v>1278</v>
      </c>
      <c r="B1279">
        <v>19</v>
      </c>
      <c r="C1279" t="str" cm="1">
        <f t="array" ref="C1279">_xlfn.IFS(
  AND(B1279&gt;=18, B1279&lt;=24), "18-24",
  AND(B1279&gt;=25, B1279&lt;=34), "25-34",
  AND(B1279&gt;=35, B1279&lt;=44), "35-44",
  AND(B1279&gt;=45, B1279&lt;=54), "45-54",
  B1279&gt;=55, "55+"
)</f>
        <v>18-24</v>
      </c>
      <c r="D1279" t="s">
        <v>19</v>
      </c>
      <c r="E1279" t="s">
        <v>20</v>
      </c>
      <c r="F1279" t="s">
        <v>21</v>
      </c>
      <c r="G1279">
        <v>97</v>
      </c>
      <c r="H1279" t="s">
        <v>44</v>
      </c>
      <c r="I1279" t="s">
        <v>23</v>
      </c>
      <c r="J1279" t="s">
        <v>96</v>
      </c>
      <c r="K1279" t="s">
        <v>39</v>
      </c>
      <c r="L1279">
        <v>5</v>
      </c>
      <c r="M1279" t="s">
        <v>152</v>
      </c>
      <c r="N1279" t="s">
        <v>59</v>
      </c>
      <c r="O1279" t="s">
        <v>28</v>
      </c>
      <c r="P1279" t="s">
        <v>26</v>
      </c>
      <c r="Q1279" t="s">
        <v>26</v>
      </c>
      <c r="R1279">
        <v>5</v>
      </c>
      <c r="S1279" t="s">
        <v>29</v>
      </c>
      <c r="T1279" t="str">
        <f t="shared" si="38"/>
        <v>Quarterly</v>
      </c>
      <c r="U1279">
        <f>VLOOKUP(T1279,[1]tablescore!$B$3:$C$8, 2,FALSE)</f>
        <v>4</v>
      </c>
      <c r="V1279" t="str">
        <f t="shared" si="39"/>
        <v>Low Loyalty</v>
      </c>
      <c r="W1279" t="s">
        <v>60</v>
      </c>
    </row>
    <row r="1280" spans="1:23" x14ac:dyDescent="0.25">
      <c r="A1280">
        <v>1279</v>
      </c>
      <c r="B1280">
        <v>28</v>
      </c>
      <c r="C1280" t="str" cm="1">
        <f t="array" ref="C1280">_xlfn.IFS(
  AND(B1280&gt;=18, B1280&lt;=24), "18-24",
  AND(B1280&gt;=25, B1280&lt;=34), "25-34",
  AND(B1280&gt;=35, B1280&lt;=44), "35-44",
  AND(B1280&gt;=45, B1280&lt;=54), "45-54",
  B1280&gt;=55, "55+"
)</f>
        <v>25-34</v>
      </c>
      <c r="D1280" t="s">
        <v>19</v>
      </c>
      <c r="E1280" t="s">
        <v>61</v>
      </c>
      <c r="F1280" t="s">
        <v>21</v>
      </c>
      <c r="G1280">
        <v>98</v>
      </c>
      <c r="H1280" t="s">
        <v>149</v>
      </c>
      <c r="I1280" t="s">
        <v>45</v>
      </c>
      <c r="J1280" t="s">
        <v>84</v>
      </c>
      <c r="K1280" t="s">
        <v>58</v>
      </c>
      <c r="L1280">
        <v>2.8</v>
      </c>
      <c r="M1280" t="s">
        <v>152</v>
      </c>
      <c r="N1280" t="s">
        <v>27</v>
      </c>
      <c r="O1280" t="s">
        <v>47</v>
      </c>
      <c r="P1280" t="s">
        <v>26</v>
      </c>
      <c r="Q1280" t="s">
        <v>26</v>
      </c>
      <c r="R1280">
        <v>31</v>
      </c>
      <c r="S1280" t="s">
        <v>29</v>
      </c>
      <c r="T1280" t="str">
        <f t="shared" si="38"/>
        <v>2-week</v>
      </c>
      <c r="U1280">
        <f>VLOOKUP(T1280,[1]tablescore!$B$3:$C$8, 2,FALSE)</f>
        <v>26</v>
      </c>
      <c r="V1280" t="str">
        <f t="shared" si="39"/>
        <v>Loyal</v>
      </c>
      <c r="W1280" t="s">
        <v>30</v>
      </c>
    </row>
    <row r="1281" spans="1:23" x14ac:dyDescent="0.25">
      <c r="A1281">
        <v>1280</v>
      </c>
      <c r="B1281">
        <v>63</v>
      </c>
      <c r="C1281" t="str" cm="1">
        <f t="array" ref="C1281">_xlfn.IFS(
  AND(B1281&gt;=18, B1281&lt;=24), "18-24",
  AND(B1281&gt;=25, B1281&lt;=34), "25-34",
  AND(B1281&gt;=35, B1281&lt;=44), "35-44",
  AND(B1281&gt;=45, B1281&lt;=54), "45-54",
  B1281&gt;=55, "55+"
)</f>
        <v>55+</v>
      </c>
      <c r="D1281" t="s">
        <v>19</v>
      </c>
      <c r="E1281" t="s">
        <v>104</v>
      </c>
      <c r="F1281" t="s">
        <v>21</v>
      </c>
      <c r="G1281">
        <v>56</v>
      </c>
      <c r="H1281" t="s">
        <v>135</v>
      </c>
      <c r="I1281" t="s">
        <v>23</v>
      </c>
      <c r="J1281" t="s">
        <v>63</v>
      </c>
      <c r="K1281" t="s">
        <v>58</v>
      </c>
      <c r="L1281">
        <v>3.7</v>
      </c>
      <c r="M1281" t="s">
        <v>152</v>
      </c>
      <c r="N1281" t="s">
        <v>46</v>
      </c>
      <c r="O1281" t="s">
        <v>28</v>
      </c>
      <c r="P1281" t="s">
        <v>26</v>
      </c>
      <c r="Q1281" t="s">
        <v>26</v>
      </c>
      <c r="R1281">
        <v>18</v>
      </c>
      <c r="S1281" t="s">
        <v>59</v>
      </c>
      <c r="T1281" t="str">
        <f t="shared" si="38"/>
        <v>Annually</v>
      </c>
      <c r="U1281">
        <f>VLOOKUP(T1281,[1]tablescore!$B$3:$C$8, 2,FALSE)</f>
        <v>1</v>
      </c>
      <c r="V1281" t="str">
        <f t="shared" si="39"/>
        <v>Low Loyalty</v>
      </c>
      <c r="W1281" t="s">
        <v>50</v>
      </c>
    </row>
    <row r="1282" spans="1:23" x14ac:dyDescent="0.25">
      <c r="A1282">
        <v>1281</v>
      </c>
      <c r="B1282">
        <v>30</v>
      </c>
      <c r="C1282" t="str" cm="1">
        <f t="array" ref="C1282">_xlfn.IFS(
  AND(B1282&gt;=18, B1282&lt;=24), "18-24",
  AND(B1282&gt;=25, B1282&lt;=34), "25-34",
  AND(B1282&gt;=35, B1282&lt;=44), "35-44",
  AND(B1282&gt;=45, B1282&lt;=54), "45-54",
  B1282&gt;=55, "55+"
)</f>
        <v>25-34</v>
      </c>
      <c r="D1282" t="s">
        <v>19</v>
      </c>
      <c r="E1282" t="s">
        <v>95</v>
      </c>
      <c r="F1282" t="s">
        <v>21</v>
      </c>
      <c r="G1282">
        <v>78</v>
      </c>
      <c r="H1282" t="s">
        <v>142</v>
      </c>
      <c r="I1282" t="s">
        <v>23</v>
      </c>
      <c r="J1282" t="s">
        <v>53</v>
      </c>
      <c r="K1282" t="s">
        <v>25</v>
      </c>
      <c r="L1282">
        <v>4.4000000000000004</v>
      </c>
      <c r="M1282" t="s">
        <v>152</v>
      </c>
      <c r="N1282" t="s">
        <v>46</v>
      </c>
      <c r="O1282" t="s">
        <v>72</v>
      </c>
      <c r="P1282" t="s">
        <v>26</v>
      </c>
      <c r="Q1282" t="s">
        <v>26</v>
      </c>
      <c r="R1282">
        <v>39</v>
      </c>
      <c r="S1282" t="s">
        <v>29</v>
      </c>
      <c r="T1282" t="str">
        <f t="shared" si="38"/>
        <v>Quarterly</v>
      </c>
      <c r="U1282">
        <f>VLOOKUP(T1282,[1]tablescore!$B$3:$C$8, 2,FALSE)</f>
        <v>4</v>
      </c>
      <c r="V1282" t="str">
        <f t="shared" si="39"/>
        <v>Low Loyalty</v>
      </c>
      <c r="W1282" t="s">
        <v>97</v>
      </c>
    </row>
    <row r="1283" spans="1:23" x14ac:dyDescent="0.25">
      <c r="A1283">
        <v>1282</v>
      </c>
      <c r="B1283">
        <v>29</v>
      </c>
      <c r="C1283" t="str" cm="1">
        <f t="array" ref="C1283">_xlfn.IFS(
  AND(B1283&gt;=18, B1283&lt;=24), "18-24",
  AND(B1283&gt;=25, B1283&lt;=34), "25-34",
  AND(B1283&gt;=35, B1283&lt;=44), "35-44",
  AND(B1283&gt;=45, B1283&lt;=54), "45-54",
  B1283&gt;=55, "55+"
)</f>
        <v>25-34</v>
      </c>
      <c r="D1283" t="s">
        <v>19</v>
      </c>
      <c r="E1283" t="s">
        <v>136</v>
      </c>
      <c r="F1283" t="s">
        <v>69</v>
      </c>
      <c r="G1283">
        <v>81</v>
      </c>
      <c r="H1283" t="s">
        <v>137</v>
      </c>
      <c r="I1283" t="s">
        <v>45</v>
      </c>
      <c r="J1283" t="s">
        <v>79</v>
      </c>
      <c r="K1283" t="s">
        <v>39</v>
      </c>
      <c r="L1283">
        <v>4.5</v>
      </c>
      <c r="M1283" t="s">
        <v>152</v>
      </c>
      <c r="N1283" t="s">
        <v>35</v>
      </c>
      <c r="O1283" t="s">
        <v>76</v>
      </c>
      <c r="P1283" t="s">
        <v>26</v>
      </c>
      <c r="Q1283" t="s">
        <v>26</v>
      </c>
      <c r="R1283">
        <v>8</v>
      </c>
      <c r="S1283" t="s">
        <v>29</v>
      </c>
      <c r="T1283" t="str">
        <f t="shared" ref="T1283:T1346" si="40">IF(TRIM(W1283)="Every 3 months","Quarterly",IF(TRIM(W1283)="Fortnightly","2-week",IF(TRIM(W1283)="Bi-Weekly","2-week",IF(TRIM(W1283)="Weekly","Daily",IF(TRIM(W1283)="Monthly","Month",TRIM(W1283))))))</f>
        <v>2-week</v>
      </c>
      <c r="U1283">
        <f>VLOOKUP(T1283,[1]tablescore!$B$3:$C$8, 2,FALSE)</f>
        <v>26</v>
      </c>
      <c r="V1283" t="str">
        <f t="shared" ref="V1283:V1346" si="41">_xlfn.IFS(U1283&gt;=30, "Highly Loyal", U1283&gt;=26, "Loyal", U1283&gt;=12, "Moderate", U1283&lt;5, "Low Loyalty")</f>
        <v>Loyal</v>
      </c>
      <c r="W1283" t="s">
        <v>77</v>
      </c>
    </row>
    <row r="1284" spans="1:23" x14ac:dyDescent="0.25">
      <c r="A1284">
        <v>1283</v>
      </c>
      <c r="B1284">
        <v>24</v>
      </c>
      <c r="C1284" t="str" cm="1">
        <f t="array" ref="C1284">_xlfn.IFS(
  AND(B1284&gt;=18, B1284&lt;=24), "18-24",
  AND(B1284&gt;=25, B1284&lt;=34), "25-34",
  AND(B1284&gt;=35, B1284&lt;=44), "35-44",
  AND(B1284&gt;=45, B1284&lt;=54), "45-54",
  B1284&gt;=55, "55+"
)</f>
        <v>18-24</v>
      </c>
      <c r="D1284" t="s">
        <v>19</v>
      </c>
      <c r="E1284" t="s">
        <v>56</v>
      </c>
      <c r="F1284" t="s">
        <v>21</v>
      </c>
      <c r="G1284">
        <v>68</v>
      </c>
      <c r="H1284" t="s">
        <v>83</v>
      </c>
      <c r="I1284" t="s">
        <v>23</v>
      </c>
      <c r="J1284" t="s">
        <v>84</v>
      </c>
      <c r="K1284" t="s">
        <v>25</v>
      </c>
      <c r="L1284">
        <v>3</v>
      </c>
      <c r="M1284" t="s">
        <v>152</v>
      </c>
      <c r="N1284" t="s">
        <v>59</v>
      </c>
      <c r="O1284" t="s">
        <v>40</v>
      </c>
      <c r="P1284" t="s">
        <v>26</v>
      </c>
      <c r="Q1284" t="s">
        <v>26</v>
      </c>
      <c r="R1284">
        <v>20</v>
      </c>
      <c r="S1284" t="s">
        <v>29</v>
      </c>
      <c r="T1284" t="str">
        <f t="shared" si="40"/>
        <v>Month</v>
      </c>
      <c r="U1284">
        <f>VLOOKUP(T1284,[1]tablescore!$B$3:$C$8, 2,FALSE)</f>
        <v>12</v>
      </c>
      <c r="V1284" t="str">
        <f t="shared" si="41"/>
        <v>Moderate</v>
      </c>
      <c r="W1284" t="s">
        <v>88</v>
      </c>
    </row>
    <row r="1285" spans="1:23" x14ac:dyDescent="0.25">
      <c r="A1285">
        <v>1284</v>
      </c>
      <c r="B1285">
        <v>69</v>
      </c>
      <c r="C1285" t="str" cm="1">
        <f t="array" ref="C1285">_xlfn.IFS(
  AND(B1285&gt;=18, B1285&lt;=24), "18-24",
  AND(B1285&gt;=25, B1285&lt;=34), "25-34",
  AND(B1285&gt;=35, B1285&lt;=44), "35-44",
  AND(B1285&gt;=45, B1285&lt;=54), "45-54",
  B1285&gt;=55, "55+"
)</f>
        <v>55+</v>
      </c>
      <c r="D1285" t="s">
        <v>19</v>
      </c>
      <c r="E1285" t="s">
        <v>56</v>
      </c>
      <c r="F1285" t="s">
        <v>21</v>
      </c>
      <c r="G1285">
        <v>94</v>
      </c>
      <c r="H1285" t="s">
        <v>48</v>
      </c>
      <c r="I1285" t="s">
        <v>45</v>
      </c>
      <c r="J1285" t="s">
        <v>84</v>
      </c>
      <c r="K1285" t="s">
        <v>25</v>
      </c>
      <c r="L1285">
        <v>3.9</v>
      </c>
      <c r="M1285" t="s">
        <v>152</v>
      </c>
      <c r="N1285" t="s">
        <v>27</v>
      </c>
      <c r="O1285" t="s">
        <v>72</v>
      </c>
      <c r="P1285" t="s">
        <v>26</v>
      </c>
      <c r="Q1285" t="s">
        <v>26</v>
      </c>
      <c r="R1285">
        <v>23</v>
      </c>
      <c r="S1285" t="s">
        <v>59</v>
      </c>
      <c r="T1285" t="str">
        <f t="shared" si="40"/>
        <v>Quarterly</v>
      </c>
      <c r="U1285">
        <f>VLOOKUP(T1285,[1]tablescore!$B$3:$C$8, 2,FALSE)</f>
        <v>4</v>
      </c>
      <c r="V1285" t="str">
        <f t="shared" si="41"/>
        <v>Low Loyalty</v>
      </c>
      <c r="W1285" t="s">
        <v>97</v>
      </c>
    </row>
    <row r="1286" spans="1:23" x14ac:dyDescent="0.25">
      <c r="A1286">
        <v>1285</v>
      </c>
      <c r="B1286">
        <v>65</v>
      </c>
      <c r="C1286" t="str" cm="1">
        <f t="array" ref="C1286">_xlfn.IFS(
  AND(B1286&gt;=18, B1286&lt;=24), "18-24",
  AND(B1286&gt;=25, B1286&lt;=34), "25-34",
  AND(B1286&gt;=35, B1286&lt;=44), "35-44",
  AND(B1286&gt;=45, B1286&lt;=54), "45-54",
  B1286&gt;=55, "55+"
)</f>
        <v>55+</v>
      </c>
      <c r="D1286" t="s">
        <v>19</v>
      </c>
      <c r="E1286" t="s">
        <v>82</v>
      </c>
      <c r="F1286" t="s">
        <v>21</v>
      </c>
      <c r="G1286">
        <v>93</v>
      </c>
      <c r="H1286" t="s">
        <v>74</v>
      </c>
      <c r="I1286" t="s">
        <v>45</v>
      </c>
      <c r="J1286" t="s">
        <v>94</v>
      </c>
      <c r="K1286" t="s">
        <v>39</v>
      </c>
      <c r="L1286">
        <v>3.9</v>
      </c>
      <c r="M1286" t="s">
        <v>152</v>
      </c>
      <c r="N1286" t="s">
        <v>34</v>
      </c>
      <c r="O1286" t="s">
        <v>28</v>
      </c>
      <c r="P1286" t="s">
        <v>26</v>
      </c>
      <c r="Q1286" t="s">
        <v>26</v>
      </c>
      <c r="R1286">
        <v>38</v>
      </c>
      <c r="S1286" t="s">
        <v>46</v>
      </c>
      <c r="T1286" t="str">
        <f t="shared" si="40"/>
        <v>2-week</v>
      </c>
      <c r="U1286">
        <f>VLOOKUP(T1286,[1]tablescore!$B$3:$C$8, 2,FALSE)</f>
        <v>26</v>
      </c>
      <c r="V1286" t="str">
        <f t="shared" si="41"/>
        <v>Loyal</v>
      </c>
      <c r="W1286" t="s">
        <v>30</v>
      </c>
    </row>
    <row r="1287" spans="1:23" x14ac:dyDescent="0.25">
      <c r="A1287">
        <v>1286</v>
      </c>
      <c r="B1287">
        <v>64</v>
      </c>
      <c r="C1287" t="str" cm="1">
        <f t="array" ref="C1287">_xlfn.IFS(
  AND(B1287&gt;=18, B1287&lt;=24), "18-24",
  AND(B1287&gt;=25, B1287&lt;=34), "25-34",
  AND(B1287&gt;=35, B1287&lt;=44), "35-44",
  AND(B1287&gt;=45, B1287&lt;=54), "45-54",
  B1287&gt;=55, "55+"
)</f>
        <v>55+</v>
      </c>
      <c r="D1287" t="s">
        <v>19</v>
      </c>
      <c r="E1287" t="s">
        <v>127</v>
      </c>
      <c r="F1287" t="s">
        <v>69</v>
      </c>
      <c r="G1287">
        <v>99</v>
      </c>
      <c r="H1287" t="s">
        <v>98</v>
      </c>
      <c r="I1287" t="s">
        <v>45</v>
      </c>
      <c r="J1287" t="s">
        <v>63</v>
      </c>
      <c r="K1287" t="s">
        <v>58</v>
      </c>
      <c r="L1287">
        <v>3.5</v>
      </c>
      <c r="M1287" t="s">
        <v>152</v>
      </c>
      <c r="N1287" t="s">
        <v>29</v>
      </c>
      <c r="O1287" t="s">
        <v>47</v>
      </c>
      <c r="P1287" t="s">
        <v>26</v>
      </c>
      <c r="Q1287" t="s">
        <v>26</v>
      </c>
      <c r="R1287">
        <v>45</v>
      </c>
      <c r="S1287" t="s">
        <v>34</v>
      </c>
      <c r="T1287" t="str">
        <f t="shared" si="40"/>
        <v>2-week</v>
      </c>
      <c r="U1287">
        <f>VLOOKUP(T1287,[1]tablescore!$B$3:$C$8, 2,FALSE)</f>
        <v>26</v>
      </c>
      <c r="V1287" t="str">
        <f t="shared" si="41"/>
        <v>Loyal</v>
      </c>
      <c r="W1287" t="s">
        <v>30</v>
      </c>
    </row>
    <row r="1288" spans="1:23" x14ac:dyDescent="0.25">
      <c r="A1288">
        <v>1287</v>
      </c>
      <c r="B1288">
        <v>40</v>
      </c>
      <c r="C1288" t="str" cm="1">
        <f t="array" ref="C1288">_xlfn.IFS(
  AND(B1288&gt;=18, B1288&lt;=24), "18-24",
  AND(B1288&gt;=25, B1288&lt;=34), "25-34",
  AND(B1288&gt;=35, B1288&lt;=44), "35-44",
  AND(B1288&gt;=45, B1288&lt;=54), "45-54",
  B1288&gt;=55, "55+"
)</f>
        <v>35-44</v>
      </c>
      <c r="D1288" t="s">
        <v>19</v>
      </c>
      <c r="E1288" t="s">
        <v>127</v>
      </c>
      <c r="F1288" t="s">
        <v>69</v>
      </c>
      <c r="G1288">
        <v>49</v>
      </c>
      <c r="H1288" t="s">
        <v>66</v>
      </c>
      <c r="I1288" t="s">
        <v>23</v>
      </c>
      <c r="J1288" t="s">
        <v>139</v>
      </c>
      <c r="K1288" t="s">
        <v>25</v>
      </c>
      <c r="L1288">
        <v>4.9000000000000004</v>
      </c>
      <c r="M1288" t="s">
        <v>152</v>
      </c>
      <c r="N1288" t="s">
        <v>34</v>
      </c>
      <c r="O1288" t="s">
        <v>47</v>
      </c>
      <c r="P1288" t="s">
        <v>26</v>
      </c>
      <c r="Q1288" t="s">
        <v>26</v>
      </c>
      <c r="R1288">
        <v>44</v>
      </c>
      <c r="S1288" t="s">
        <v>59</v>
      </c>
      <c r="T1288" t="str">
        <f t="shared" si="40"/>
        <v>2-week</v>
      </c>
      <c r="U1288">
        <f>VLOOKUP(T1288,[1]tablescore!$B$3:$C$8, 2,FALSE)</f>
        <v>26</v>
      </c>
      <c r="V1288" t="str">
        <f t="shared" si="41"/>
        <v>Loyal</v>
      </c>
      <c r="W1288" t="s">
        <v>30</v>
      </c>
    </row>
    <row r="1289" spans="1:23" x14ac:dyDescent="0.25">
      <c r="A1289">
        <v>1288</v>
      </c>
      <c r="B1289">
        <v>24</v>
      </c>
      <c r="C1289" t="str" cm="1">
        <f t="array" ref="C1289">_xlfn.IFS(
  AND(B1289&gt;=18, B1289&lt;=24), "18-24",
  AND(B1289&gt;=25, B1289&lt;=34), "25-34",
  AND(B1289&gt;=35, B1289&lt;=44), "35-44",
  AND(B1289&gt;=45, B1289&lt;=54), "45-54",
  B1289&gt;=55, "55+"
)</f>
        <v>18-24</v>
      </c>
      <c r="D1289" t="s">
        <v>19</v>
      </c>
      <c r="E1289" t="s">
        <v>36</v>
      </c>
      <c r="F1289" t="s">
        <v>21</v>
      </c>
      <c r="G1289">
        <v>28</v>
      </c>
      <c r="H1289" t="s">
        <v>149</v>
      </c>
      <c r="I1289" t="s">
        <v>92</v>
      </c>
      <c r="J1289" t="s">
        <v>138</v>
      </c>
      <c r="K1289" t="s">
        <v>25</v>
      </c>
      <c r="L1289">
        <v>3.4</v>
      </c>
      <c r="M1289" t="s">
        <v>152</v>
      </c>
      <c r="N1289" t="s">
        <v>29</v>
      </c>
      <c r="O1289" t="s">
        <v>55</v>
      </c>
      <c r="P1289" t="s">
        <v>26</v>
      </c>
      <c r="Q1289" t="s">
        <v>26</v>
      </c>
      <c r="R1289">
        <v>20</v>
      </c>
      <c r="S1289" t="s">
        <v>46</v>
      </c>
      <c r="T1289" t="str">
        <f t="shared" si="40"/>
        <v>Month</v>
      </c>
      <c r="U1289">
        <f>VLOOKUP(T1289,[1]tablescore!$B$3:$C$8, 2,FALSE)</f>
        <v>12</v>
      </c>
      <c r="V1289" t="str">
        <f t="shared" si="41"/>
        <v>Moderate</v>
      </c>
      <c r="W1289" t="s">
        <v>88</v>
      </c>
    </row>
    <row r="1290" spans="1:23" x14ac:dyDescent="0.25">
      <c r="A1290">
        <v>1289</v>
      </c>
      <c r="B1290">
        <v>66</v>
      </c>
      <c r="C1290" t="str" cm="1">
        <f t="array" ref="C1290">_xlfn.IFS(
  AND(B1290&gt;=18, B1290&lt;=24), "18-24",
  AND(B1290&gt;=25, B1290&lt;=34), "25-34",
  AND(B1290&gt;=35, B1290&lt;=44), "35-44",
  AND(B1290&gt;=45, B1290&lt;=54), "45-54",
  B1290&gt;=55, "55+"
)</f>
        <v>55+</v>
      </c>
      <c r="D1290" t="s">
        <v>19</v>
      </c>
      <c r="E1290" t="s">
        <v>136</v>
      </c>
      <c r="F1290" t="s">
        <v>69</v>
      </c>
      <c r="G1290">
        <v>93</v>
      </c>
      <c r="H1290" t="s">
        <v>130</v>
      </c>
      <c r="I1290" t="s">
        <v>92</v>
      </c>
      <c r="J1290" t="s">
        <v>63</v>
      </c>
      <c r="K1290" t="s">
        <v>25</v>
      </c>
      <c r="L1290">
        <v>4.0999999999999996</v>
      </c>
      <c r="M1290" t="s">
        <v>152</v>
      </c>
      <c r="N1290" t="s">
        <v>29</v>
      </c>
      <c r="O1290" t="s">
        <v>55</v>
      </c>
      <c r="P1290" t="s">
        <v>26</v>
      </c>
      <c r="Q1290" t="s">
        <v>26</v>
      </c>
      <c r="R1290">
        <v>34</v>
      </c>
      <c r="S1290" t="s">
        <v>46</v>
      </c>
      <c r="T1290" t="str">
        <f t="shared" si="40"/>
        <v>2-week</v>
      </c>
      <c r="U1290">
        <f>VLOOKUP(T1290,[1]tablescore!$B$3:$C$8, 2,FALSE)</f>
        <v>26</v>
      </c>
      <c r="V1290" t="str">
        <f t="shared" si="41"/>
        <v>Loyal</v>
      </c>
      <c r="W1290" t="s">
        <v>77</v>
      </c>
    </row>
    <row r="1291" spans="1:23" x14ac:dyDescent="0.25">
      <c r="A1291">
        <v>1290</v>
      </c>
      <c r="B1291">
        <v>35</v>
      </c>
      <c r="C1291" t="str" cm="1">
        <f t="array" ref="C1291">_xlfn.IFS(
  AND(B1291&gt;=18, B1291&lt;=24), "18-24",
  AND(B1291&gt;=25, B1291&lt;=34), "25-34",
  AND(B1291&gt;=35, B1291&lt;=44), "35-44",
  AND(B1291&gt;=45, B1291&lt;=54), "45-54",
  B1291&gt;=55, "55+"
)</f>
        <v>35-44</v>
      </c>
      <c r="D1291" t="s">
        <v>19</v>
      </c>
      <c r="E1291" t="s">
        <v>102</v>
      </c>
      <c r="F1291" t="s">
        <v>65</v>
      </c>
      <c r="G1291">
        <v>24</v>
      </c>
      <c r="H1291" t="s">
        <v>83</v>
      </c>
      <c r="I1291" t="s">
        <v>45</v>
      </c>
      <c r="J1291" t="s">
        <v>108</v>
      </c>
      <c r="K1291" t="s">
        <v>58</v>
      </c>
      <c r="L1291">
        <v>2.9</v>
      </c>
      <c r="M1291" t="s">
        <v>152</v>
      </c>
      <c r="N1291" t="s">
        <v>59</v>
      </c>
      <c r="O1291" t="s">
        <v>47</v>
      </c>
      <c r="P1291" t="s">
        <v>26</v>
      </c>
      <c r="Q1291" t="s">
        <v>26</v>
      </c>
      <c r="R1291">
        <v>10</v>
      </c>
      <c r="S1291" t="s">
        <v>46</v>
      </c>
      <c r="T1291" t="str">
        <f t="shared" si="40"/>
        <v>Daily</v>
      </c>
      <c r="U1291">
        <f>VLOOKUP(T1291,[1]tablescore!$B$3:$C$8, 2,FALSE)</f>
        <v>30</v>
      </c>
      <c r="V1291" t="str">
        <f t="shared" si="41"/>
        <v>Highly Loyal</v>
      </c>
      <c r="W1291" t="s">
        <v>41</v>
      </c>
    </row>
    <row r="1292" spans="1:23" x14ac:dyDescent="0.25">
      <c r="A1292">
        <v>1291</v>
      </c>
      <c r="B1292">
        <v>67</v>
      </c>
      <c r="C1292" t="str" cm="1">
        <f t="array" ref="C1292">_xlfn.IFS(
  AND(B1292&gt;=18, B1292&lt;=24), "18-24",
  AND(B1292&gt;=25, B1292&lt;=34), "25-34",
  AND(B1292&gt;=35, B1292&lt;=44), "35-44",
  AND(B1292&gt;=45, B1292&lt;=54), "45-54",
  B1292&gt;=55, "55+"
)</f>
        <v>55+</v>
      </c>
      <c r="D1292" t="s">
        <v>19</v>
      </c>
      <c r="E1292" t="s">
        <v>87</v>
      </c>
      <c r="F1292" t="s">
        <v>21</v>
      </c>
      <c r="G1292">
        <v>35</v>
      </c>
      <c r="H1292" t="s">
        <v>135</v>
      </c>
      <c r="I1292" t="s">
        <v>45</v>
      </c>
      <c r="J1292" t="s">
        <v>129</v>
      </c>
      <c r="K1292" t="s">
        <v>39</v>
      </c>
      <c r="L1292">
        <v>3.4</v>
      </c>
      <c r="M1292" t="s">
        <v>152</v>
      </c>
      <c r="N1292" t="s">
        <v>35</v>
      </c>
      <c r="O1292" t="s">
        <v>40</v>
      </c>
      <c r="P1292" t="s">
        <v>26</v>
      </c>
      <c r="Q1292" t="s">
        <v>26</v>
      </c>
      <c r="R1292">
        <v>3</v>
      </c>
      <c r="S1292" t="s">
        <v>46</v>
      </c>
      <c r="T1292" t="str">
        <f t="shared" si="40"/>
        <v>Annually</v>
      </c>
      <c r="U1292">
        <f>VLOOKUP(T1292,[1]tablescore!$B$3:$C$8, 2,FALSE)</f>
        <v>1</v>
      </c>
      <c r="V1292" t="str">
        <f t="shared" si="41"/>
        <v>Low Loyalty</v>
      </c>
      <c r="W1292" t="s">
        <v>50</v>
      </c>
    </row>
    <row r="1293" spans="1:23" x14ac:dyDescent="0.25">
      <c r="A1293">
        <v>1292</v>
      </c>
      <c r="B1293">
        <v>69</v>
      </c>
      <c r="C1293" t="str" cm="1">
        <f t="array" ref="C1293">_xlfn.IFS(
  AND(B1293&gt;=18, B1293&lt;=24), "18-24",
  AND(B1293&gt;=25, B1293&lt;=34), "25-34",
  AND(B1293&gt;=35, B1293&lt;=44), "35-44",
  AND(B1293&gt;=45, B1293&lt;=54), "45-54",
  B1293&gt;=55, "55+"
)</f>
        <v>55+</v>
      </c>
      <c r="D1293" t="s">
        <v>19</v>
      </c>
      <c r="E1293" t="s">
        <v>42</v>
      </c>
      <c r="F1293" t="s">
        <v>43</v>
      </c>
      <c r="G1293">
        <v>68</v>
      </c>
      <c r="H1293" t="s">
        <v>130</v>
      </c>
      <c r="I1293" t="s">
        <v>38</v>
      </c>
      <c r="J1293" t="s">
        <v>118</v>
      </c>
      <c r="K1293" t="s">
        <v>39</v>
      </c>
      <c r="L1293">
        <v>3.2</v>
      </c>
      <c r="M1293" t="s">
        <v>152</v>
      </c>
      <c r="N1293" t="s">
        <v>29</v>
      </c>
      <c r="O1293" t="s">
        <v>72</v>
      </c>
      <c r="P1293" t="s">
        <v>26</v>
      </c>
      <c r="Q1293" t="s">
        <v>26</v>
      </c>
      <c r="R1293">
        <v>23</v>
      </c>
      <c r="S1293" t="s">
        <v>59</v>
      </c>
      <c r="T1293" t="str">
        <f t="shared" si="40"/>
        <v>2-week</v>
      </c>
      <c r="U1293">
        <f>VLOOKUP(T1293,[1]tablescore!$B$3:$C$8, 2,FALSE)</f>
        <v>26</v>
      </c>
      <c r="V1293" t="str">
        <f t="shared" si="41"/>
        <v>Loyal</v>
      </c>
      <c r="W1293" t="s">
        <v>30</v>
      </c>
    </row>
    <row r="1294" spans="1:23" x14ac:dyDescent="0.25">
      <c r="A1294">
        <v>1293</v>
      </c>
      <c r="B1294">
        <v>26</v>
      </c>
      <c r="C1294" t="str" cm="1">
        <f t="array" ref="C1294">_xlfn.IFS(
  AND(B1294&gt;=18, B1294&lt;=24), "18-24",
  AND(B1294&gt;=25, B1294&lt;=34), "25-34",
  AND(B1294&gt;=35, B1294&lt;=44), "35-44",
  AND(B1294&gt;=45, B1294&lt;=54), "45-54",
  B1294&gt;=55, "55+"
)</f>
        <v>25-34</v>
      </c>
      <c r="D1294" t="s">
        <v>19</v>
      </c>
      <c r="E1294" t="s">
        <v>136</v>
      </c>
      <c r="F1294" t="s">
        <v>69</v>
      </c>
      <c r="G1294">
        <v>61</v>
      </c>
      <c r="H1294" t="s">
        <v>22</v>
      </c>
      <c r="I1294" t="s">
        <v>45</v>
      </c>
      <c r="J1294" t="s">
        <v>33</v>
      </c>
      <c r="K1294" t="s">
        <v>54</v>
      </c>
      <c r="L1294">
        <v>3.9</v>
      </c>
      <c r="M1294" t="s">
        <v>152</v>
      </c>
      <c r="N1294" t="s">
        <v>59</v>
      </c>
      <c r="O1294" t="s">
        <v>40</v>
      </c>
      <c r="P1294" t="s">
        <v>26</v>
      </c>
      <c r="Q1294" t="s">
        <v>26</v>
      </c>
      <c r="R1294">
        <v>42</v>
      </c>
      <c r="S1294" t="s">
        <v>34</v>
      </c>
      <c r="T1294" t="str">
        <f t="shared" si="40"/>
        <v>Annually</v>
      </c>
      <c r="U1294">
        <f>VLOOKUP(T1294,[1]tablescore!$B$3:$C$8, 2,FALSE)</f>
        <v>1</v>
      </c>
      <c r="V1294" t="str">
        <f t="shared" si="41"/>
        <v>Low Loyalty</v>
      </c>
      <c r="W1294" t="s">
        <v>50</v>
      </c>
    </row>
    <row r="1295" spans="1:23" x14ac:dyDescent="0.25">
      <c r="A1295">
        <v>1294</v>
      </c>
      <c r="B1295">
        <v>23</v>
      </c>
      <c r="C1295" t="str" cm="1">
        <f t="array" ref="C1295">_xlfn.IFS(
  AND(B1295&gt;=18, B1295&lt;=24), "18-24",
  AND(B1295&gt;=25, B1295&lt;=34), "25-34",
  AND(B1295&gt;=35, B1295&lt;=44), "35-44",
  AND(B1295&gt;=45, B1295&lt;=54), "45-54",
  B1295&gt;=55, "55+"
)</f>
        <v>18-24</v>
      </c>
      <c r="D1295" t="s">
        <v>19</v>
      </c>
      <c r="E1295" t="s">
        <v>31</v>
      </c>
      <c r="F1295" t="s">
        <v>21</v>
      </c>
      <c r="G1295">
        <v>74</v>
      </c>
      <c r="H1295" t="s">
        <v>103</v>
      </c>
      <c r="I1295" t="s">
        <v>92</v>
      </c>
      <c r="J1295" t="s">
        <v>139</v>
      </c>
      <c r="K1295" t="s">
        <v>58</v>
      </c>
      <c r="L1295">
        <v>4.0999999999999996</v>
      </c>
      <c r="M1295" t="s">
        <v>152</v>
      </c>
      <c r="N1295" t="s">
        <v>34</v>
      </c>
      <c r="O1295" t="s">
        <v>55</v>
      </c>
      <c r="P1295" t="s">
        <v>26</v>
      </c>
      <c r="Q1295" t="s">
        <v>26</v>
      </c>
      <c r="R1295">
        <v>30</v>
      </c>
      <c r="S1295" t="s">
        <v>59</v>
      </c>
      <c r="T1295" t="str">
        <f t="shared" si="40"/>
        <v>Annually</v>
      </c>
      <c r="U1295">
        <f>VLOOKUP(T1295,[1]tablescore!$B$3:$C$8, 2,FALSE)</f>
        <v>1</v>
      </c>
      <c r="V1295" t="str">
        <f t="shared" si="41"/>
        <v>Low Loyalty</v>
      </c>
      <c r="W1295" t="s">
        <v>50</v>
      </c>
    </row>
    <row r="1296" spans="1:23" x14ac:dyDescent="0.25">
      <c r="A1296">
        <v>1295</v>
      </c>
      <c r="B1296">
        <v>27</v>
      </c>
      <c r="C1296" t="str" cm="1">
        <f t="array" ref="C1296">_xlfn.IFS(
  AND(B1296&gt;=18, B1296&lt;=24), "18-24",
  AND(B1296&gt;=25, B1296&lt;=34), "25-34",
  AND(B1296&gt;=35, B1296&lt;=44), "35-44",
  AND(B1296&gt;=45, B1296&lt;=54), "45-54",
  B1296&gt;=55, "55+"
)</f>
        <v>25-34</v>
      </c>
      <c r="D1296" t="s">
        <v>19</v>
      </c>
      <c r="E1296" t="s">
        <v>56</v>
      </c>
      <c r="F1296" t="s">
        <v>21</v>
      </c>
      <c r="G1296">
        <v>64</v>
      </c>
      <c r="H1296" t="s">
        <v>105</v>
      </c>
      <c r="I1296" t="s">
        <v>45</v>
      </c>
      <c r="J1296" t="s">
        <v>67</v>
      </c>
      <c r="K1296" t="s">
        <v>54</v>
      </c>
      <c r="L1296">
        <v>4.5</v>
      </c>
      <c r="M1296" t="s">
        <v>152</v>
      </c>
      <c r="N1296" t="s">
        <v>27</v>
      </c>
      <c r="O1296" t="s">
        <v>55</v>
      </c>
      <c r="P1296" t="s">
        <v>26</v>
      </c>
      <c r="Q1296" t="s">
        <v>26</v>
      </c>
      <c r="R1296">
        <v>21</v>
      </c>
      <c r="S1296" t="s">
        <v>35</v>
      </c>
      <c r="T1296" t="str">
        <f t="shared" si="40"/>
        <v>Quarterly</v>
      </c>
      <c r="U1296">
        <f>VLOOKUP(T1296,[1]tablescore!$B$3:$C$8, 2,FALSE)</f>
        <v>4</v>
      </c>
      <c r="V1296" t="str">
        <f t="shared" si="41"/>
        <v>Low Loyalty</v>
      </c>
      <c r="W1296" t="s">
        <v>97</v>
      </c>
    </row>
    <row r="1297" spans="1:23" x14ac:dyDescent="0.25">
      <c r="A1297">
        <v>1296</v>
      </c>
      <c r="B1297">
        <v>30</v>
      </c>
      <c r="C1297" t="str" cm="1">
        <f t="array" ref="C1297">_xlfn.IFS(
  AND(B1297&gt;=18, B1297&lt;=24), "18-24",
  AND(B1297&gt;=25, B1297&lt;=34), "25-34",
  AND(B1297&gt;=35, B1297&lt;=44), "35-44",
  AND(B1297&gt;=45, B1297&lt;=54), "45-54",
  B1297&gt;=55, "55+"
)</f>
        <v>25-34</v>
      </c>
      <c r="D1297" t="s">
        <v>19</v>
      </c>
      <c r="E1297" t="s">
        <v>51</v>
      </c>
      <c r="F1297" t="s">
        <v>43</v>
      </c>
      <c r="G1297">
        <v>60</v>
      </c>
      <c r="H1297" t="s">
        <v>123</v>
      </c>
      <c r="I1297" t="s">
        <v>45</v>
      </c>
      <c r="J1297" t="s">
        <v>79</v>
      </c>
      <c r="K1297" t="s">
        <v>58</v>
      </c>
      <c r="L1297">
        <v>2.8</v>
      </c>
      <c r="M1297" t="s">
        <v>152</v>
      </c>
      <c r="N1297" t="s">
        <v>46</v>
      </c>
      <c r="O1297" t="s">
        <v>55</v>
      </c>
      <c r="P1297" t="s">
        <v>26</v>
      </c>
      <c r="Q1297" t="s">
        <v>26</v>
      </c>
      <c r="R1297">
        <v>50</v>
      </c>
      <c r="S1297" t="s">
        <v>46</v>
      </c>
      <c r="T1297" t="str">
        <f t="shared" si="40"/>
        <v>Daily</v>
      </c>
      <c r="U1297">
        <f>VLOOKUP(T1297,[1]tablescore!$B$3:$C$8, 2,FALSE)</f>
        <v>30</v>
      </c>
      <c r="V1297" t="str">
        <f t="shared" si="41"/>
        <v>Highly Loyal</v>
      </c>
      <c r="W1297" t="s">
        <v>41</v>
      </c>
    </row>
    <row r="1298" spans="1:23" x14ac:dyDescent="0.25">
      <c r="A1298">
        <v>1297</v>
      </c>
      <c r="B1298">
        <v>48</v>
      </c>
      <c r="C1298" t="str" cm="1">
        <f t="array" ref="C1298">_xlfn.IFS(
  AND(B1298&gt;=18, B1298&lt;=24), "18-24",
  AND(B1298&gt;=25, B1298&lt;=34), "25-34",
  AND(B1298&gt;=35, B1298&lt;=44), "35-44",
  AND(B1298&gt;=45, B1298&lt;=54), "45-54",
  B1298&gt;=55, "55+"
)</f>
        <v>45-54</v>
      </c>
      <c r="D1298" t="s">
        <v>19</v>
      </c>
      <c r="E1298" t="s">
        <v>36</v>
      </c>
      <c r="F1298" t="s">
        <v>21</v>
      </c>
      <c r="G1298">
        <v>29</v>
      </c>
      <c r="H1298" t="s">
        <v>130</v>
      </c>
      <c r="I1298" t="s">
        <v>38</v>
      </c>
      <c r="J1298" t="s">
        <v>86</v>
      </c>
      <c r="K1298" t="s">
        <v>39</v>
      </c>
      <c r="L1298">
        <v>2.8</v>
      </c>
      <c r="M1298" t="s">
        <v>152</v>
      </c>
      <c r="N1298" t="s">
        <v>46</v>
      </c>
      <c r="O1298" t="s">
        <v>28</v>
      </c>
      <c r="P1298" t="s">
        <v>26</v>
      </c>
      <c r="Q1298" t="s">
        <v>26</v>
      </c>
      <c r="R1298">
        <v>16</v>
      </c>
      <c r="S1298" t="s">
        <v>35</v>
      </c>
      <c r="T1298" t="str">
        <f t="shared" si="40"/>
        <v>2-week</v>
      </c>
      <c r="U1298">
        <f>VLOOKUP(T1298,[1]tablescore!$B$3:$C$8, 2,FALSE)</f>
        <v>26</v>
      </c>
      <c r="V1298" t="str">
        <f t="shared" si="41"/>
        <v>Loyal</v>
      </c>
      <c r="W1298" t="s">
        <v>77</v>
      </c>
    </row>
    <row r="1299" spans="1:23" x14ac:dyDescent="0.25">
      <c r="A1299">
        <v>1298</v>
      </c>
      <c r="B1299">
        <v>44</v>
      </c>
      <c r="C1299" t="str" cm="1">
        <f t="array" ref="C1299">_xlfn.IFS(
  AND(B1299&gt;=18, B1299&lt;=24), "18-24",
  AND(B1299&gt;=25, B1299&lt;=34), "25-34",
  AND(B1299&gt;=35, B1299&lt;=44), "35-44",
  AND(B1299&gt;=45, B1299&lt;=54), "45-54",
  B1299&gt;=55, "55+"
)</f>
        <v>35-44</v>
      </c>
      <c r="D1299" t="s">
        <v>19</v>
      </c>
      <c r="E1299" t="s">
        <v>42</v>
      </c>
      <c r="F1299" t="s">
        <v>43</v>
      </c>
      <c r="G1299">
        <v>85</v>
      </c>
      <c r="H1299" t="s">
        <v>137</v>
      </c>
      <c r="I1299" t="s">
        <v>45</v>
      </c>
      <c r="J1299" t="s">
        <v>67</v>
      </c>
      <c r="K1299" t="s">
        <v>54</v>
      </c>
      <c r="L1299">
        <v>4.5999999999999996</v>
      </c>
      <c r="M1299" t="s">
        <v>152</v>
      </c>
      <c r="N1299" t="s">
        <v>59</v>
      </c>
      <c r="O1299" t="s">
        <v>55</v>
      </c>
      <c r="P1299" t="s">
        <v>26</v>
      </c>
      <c r="Q1299" t="s">
        <v>26</v>
      </c>
      <c r="R1299">
        <v>32</v>
      </c>
      <c r="S1299" t="s">
        <v>29</v>
      </c>
      <c r="T1299" t="str">
        <f t="shared" si="40"/>
        <v>Annually</v>
      </c>
      <c r="U1299">
        <f>VLOOKUP(T1299,[1]tablescore!$B$3:$C$8, 2,FALSE)</f>
        <v>1</v>
      </c>
      <c r="V1299" t="str">
        <f t="shared" si="41"/>
        <v>Low Loyalty</v>
      </c>
      <c r="W1299" t="s">
        <v>50</v>
      </c>
    </row>
    <row r="1300" spans="1:23" x14ac:dyDescent="0.25">
      <c r="A1300">
        <v>1299</v>
      </c>
      <c r="B1300">
        <v>29</v>
      </c>
      <c r="C1300" t="str" cm="1">
        <f t="array" ref="C1300">_xlfn.IFS(
  AND(B1300&gt;=18, B1300&lt;=24), "18-24",
  AND(B1300&gt;=25, B1300&lt;=34), "25-34",
  AND(B1300&gt;=35, B1300&lt;=44), "35-44",
  AND(B1300&gt;=45, B1300&lt;=54), "45-54",
  B1300&gt;=55, "55+"
)</f>
        <v>25-34</v>
      </c>
      <c r="D1300" t="s">
        <v>19</v>
      </c>
      <c r="E1300" t="s">
        <v>95</v>
      </c>
      <c r="F1300" t="s">
        <v>21</v>
      </c>
      <c r="G1300">
        <v>81</v>
      </c>
      <c r="H1300" t="s">
        <v>116</v>
      </c>
      <c r="I1300" t="s">
        <v>38</v>
      </c>
      <c r="J1300" t="s">
        <v>129</v>
      </c>
      <c r="K1300" t="s">
        <v>54</v>
      </c>
      <c r="L1300">
        <v>3</v>
      </c>
      <c r="M1300" t="s">
        <v>152</v>
      </c>
      <c r="N1300" t="s">
        <v>35</v>
      </c>
      <c r="O1300" t="s">
        <v>40</v>
      </c>
      <c r="P1300" t="s">
        <v>26</v>
      </c>
      <c r="Q1300" t="s">
        <v>26</v>
      </c>
      <c r="R1300">
        <v>14</v>
      </c>
      <c r="S1300" t="s">
        <v>34</v>
      </c>
      <c r="T1300" t="str">
        <f t="shared" si="40"/>
        <v>2-week</v>
      </c>
      <c r="U1300">
        <f>VLOOKUP(T1300,[1]tablescore!$B$3:$C$8, 2,FALSE)</f>
        <v>26</v>
      </c>
      <c r="V1300" t="str">
        <f t="shared" si="41"/>
        <v>Loyal</v>
      </c>
      <c r="W1300" t="s">
        <v>30</v>
      </c>
    </row>
    <row r="1301" spans="1:23" x14ac:dyDescent="0.25">
      <c r="A1301">
        <v>1300</v>
      </c>
      <c r="B1301">
        <v>29</v>
      </c>
      <c r="C1301" t="str" cm="1">
        <f t="array" ref="C1301">_xlfn.IFS(
  AND(B1301&gt;=18, B1301&lt;=24), "18-24",
  AND(B1301&gt;=25, B1301&lt;=34), "25-34",
  AND(B1301&gt;=35, B1301&lt;=44), "35-44",
  AND(B1301&gt;=45, B1301&lt;=54), "45-54",
  B1301&gt;=55, "55+"
)</f>
        <v>25-34</v>
      </c>
      <c r="D1301" t="s">
        <v>19</v>
      </c>
      <c r="E1301" t="s">
        <v>136</v>
      </c>
      <c r="F1301" t="s">
        <v>69</v>
      </c>
      <c r="G1301">
        <v>23</v>
      </c>
      <c r="H1301" t="s">
        <v>62</v>
      </c>
      <c r="I1301" t="s">
        <v>23</v>
      </c>
      <c r="J1301" t="s">
        <v>86</v>
      </c>
      <c r="K1301" t="s">
        <v>58</v>
      </c>
      <c r="L1301">
        <v>3.6</v>
      </c>
      <c r="M1301" t="s">
        <v>152</v>
      </c>
      <c r="N1301" t="s">
        <v>34</v>
      </c>
      <c r="O1301" t="s">
        <v>72</v>
      </c>
      <c r="P1301" t="s">
        <v>26</v>
      </c>
      <c r="Q1301" t="s">
        <v>26</v>
      </c>
      <c r="R1301">
        <v>42</v>
      </c>
      <c r="S1301" t="s">
        <v>29</v>
      </c>
      <c r="T1301" t="str">
        <f t="shared" si="40"/>
        <v>2-week</v>
      </c>
      <c r="U1301">
        <f>VLOOKUP(T1301,[1]tablescore!$B$3:$C$8, 2,FALSE)</f>
        <v>26</v>
      </c>
      <c r="V1301" t="str">
        <f t="shared" si="41"/>
        <v>Loyal</v>
      </c>
      <c r="W1301" t="s">
        <v>77</v>
      </c>
    </row>
    <row r="1302" spans="1:23" x14ac:dyDescent="0.25">
      <c r="A1302">
        <v>1301</v>
      </c>
      <c r="B1302">
        <v>67</v>
      </c>
      <c r="C1302" t="str" cm="1">
        <f t="array" ref="C1302">_xlfn.IFS(
  AND(B1302&gt;=18, B1302&lt;=24), "18-24",
  AND(B1302&gt;=25, B1302&lt;=34), "25-34",
  AND(B1302&gt;=35, B1302&lt;=44), "35-44",
  AND(B1302&gt;=45, B1302&lt;=54), "45-54",
  B1302&gt;=55, "55+"
)</f>
        <v>55+</v>
      </c>
      <c r="D1302" t="s">
        <v>19</v>
      </c>
      <c r="E1302" t="s">
        <v>113</v>
      </c>
      <c r="F1302" t="s">
        <v>21</v>
      </c>
      <c r="G1302">
        <v>100</v>
      </c>
      <c r="H1302" t="s">
        <v>66</v>
      </c>
      <c r="I1302" t="s">
        <v>45</v>
      </c>
      <c r="J1302" t="s">
        <v>63</v>
      </c>
      <c r="K1302" t="s">
        <v>39</v>
      </c>
      <c r="L1302">
        <v>4.5</v>
      </c>
      <c r="M1302" t="s">
        <v>152</v>
      </c>
      <c r="N1302" t="s">
        <v>35</v>
      </c>
      <c r="O1302" t="s">
        <v>47</v>
      </c>
      <c r="P1302" t="s">
        <v>26</v>
      </c>
      <c r="Q1302" t="s">
        <v>26</v>
      </c>
      <c r="R1302">
        <v>47</v>
      </c>
      <c r="S1302" t="s">
        <v>27</v>
      </c>
      <c r="T1302" t="str">
        <f t="shared" si="40"/>
        <v>Quarterly</v>
      </c>
      <c r="U1302">
        <f>VLOOKUP(T1302,[1]tablescore!$B$3:$C$8, 2,FALSE)</f>
        <v>4</v>
      </c>
      <c r="V1302" t="str">
        <f t="shared" si="41"/>
        <v>Low Loyalty</v>
      </c>
      <c r="W1302" t="s">
        <v>97</v>
      </c>
    </row>
    <row r="1303" spans="1:23" x14ac:dyDescent="0.25">
      <c r="A1303">
        <v>1302</v>
      </c>
      <c r="B1303">
        <v>42</v>
      </c>
      <c r="C1303" t="str" cm="1">
        <f t="array" ref="C1303">_xlfn.IFS(
  AND(B1303&gt;=18, B1303&lt;=24), "18-24",
  AND(B1303&gt;=25, B1303&lt;=34), "25-34",
  AND(B1303&gt;=35, B1303&lt;=44), "35-44",
  AND(B1303&gt;=45, B1303&lt;=54), "45-54",
  B1303&gt;=55, "55+"
)</f>
        <v>35-44</v>
      </c>
      <c r="D1303" t="s">
        <v>19</v>
      </c>
      <c r="E1303" t="s">
        <v>56</v>
      </c>
      <c r="F1303" t="s">
        <v>21</v>
      </c>
      <c r="G1303">
        <v>54</v>
      </c>
      <c r="H1303" t="s">
        <v>32</v>
      </c>
      <c r="I1303" t="s">
        <v>45</v>
      </c>
      <c r="J1303" t="s">
        <v>121</v>
      </c>
      <c r="K1303" t="s">
        <v>58</v>
      </c>
      <c r="L1303">
        <v>5</v>
      </c>
      <c r="M1303" t="s">
        <v>152</v>
      </c>
      <c r="N1303" t="s">
        <v>29</v>
      </c>
      <c r="O1303" t="s">
        <v>28</v>
      </c>
      <c r="P1303" t="s">
        <v>26</v>
      </c>
      <c r="Q1303" t="s">
        <v>26</v>
      </c>
      <c r="R1303">
        <v>21</v>
      </c>
      <c r="S1303" t="s">
        <v>59</v>
      </c>
      <c r="T1303" t="str">
        <f t="shared" si="40"/>
        <v>Daily</v>
      </c>
      <c r="U1303">
        <f>VLOOKUP(T1303,[1]tablescore!$B$3:$C$8, 2,FALSE)</f>
        <v>30</v>
      </c>
      <c r="V1303" t="str">
        <f t="shared" si="41"/>
        <v>Highly Loyal</v>
      </c>
      <c r="W1303" t="s">
        <v>41</v>
      </c>
    </row>
    <row r="1304" spans="1:23" x14ac:dyDescent="0.25">
      <c r="A1304">
        <v>1303</v>
      </c>
      <c r="B1304">
        <v>23</v>
      </c>
      <c r="C1304" t="str" cm="1">
        <f t="array" ref="C1304">_xlfn.IFS(
  AND(B1304&gt;=18, B1304&lt;=24), "18-24",
  AND(B1304&gt;=25, B1304&lt;=34), "25-34",
  AND(B1304&gt;=35, B1304&lt;=44), "35-44",
  AND(B1304&gt;=45, B1304&lt;=54), "45-54",
  B1304&gt;=55, "55+"
)</f>
        <v>18-24</v>
      </c>
      <c r="D1304" t="s">
        <v>19</v>
      </c>
      <c r="E1304" t="s">
        <v>51</v>
      </c>
      <c r="F1304" t="s">
        <v>43</v>
      </c>
      <c r="G1304">
        <v>25</v>
      </c>
      <c r="H1304" t="s">
        <v>144</v>
      </c>
      <c r="I1304" t="s">
        <v>45</v>
      </c>
      <c r="J1304" t="s">
        <v>81</v>
      </c>
      <c r="K1304" t="s">
        <v>58</v>
      </c>
      <c r="L1304">
        <v>2.9</v>
      </c>
      <c r="M1304" t="s">
        <v>152</v>
      </c>
      <c r="N1304" t="s">
        <v>34</v>
      </c>
      <c r="O1304" t="s">
        <v>47</v>
      </c>
      <c r="P1304" t="s">
        <v>26</v>
      </c>
      <c r="Q1304" t="s">
        <v>26</v>
      </c>
      <c r="R1304">
        <v>37</v>
      </c>
      <c r="S1304" t="s">
        <v>27</v>
      </c>
      <c r="T1304" t="str">
        <f t="shared" si="40"/>
        <v>Month</v>
      </c>
      <c r="U1304">
        <f>VLOOKUP(T1304,[1]tablescore!$B$3:$C$8, 2,FALSE)</f>
        <v>12</v>
      </c>
      <c r="V1304" t="str">
        <f t="shared" si="41"/>
        <v>Moderate</v>
      </c>
      <c r="W1304" t="s">
        <v>88</v>
      </c>
    </row>
    <row r="1305" spans="1:23" x14ac:dyDescent="0.25">
      <c r="A1305">
        <v>1304</v>
      </c>
      <c r="B1305">
        <v>34</v>
      </c>
      <c r="C1305" t="str" cm="1">
        <f t="array" ref="C1305">_xlfn.IFS(
  AND(B1305&gt;=18, B1305&lt;=24), "18-24",
  AND(B1305&gt;=25, B1305&lt;=34), "25-34",
  AND(B1305&gt;=35, B1305&lt;=44), "35-44",
  AND(B1305&gt;=45, B1305&lt;=54), "45-54",
  B1305&gt;=55, "55+"
)</f>
        <v>25-34</v>
      </c>
      <c r="D1305" t="s">
        <v>19</v>
      </c>
      <c r="E1305" t="s">
        <v>20</v>
      </c>
      <c r="F1305" t="s">
        <v>21</v>
      </c>
      <c r="G1305">
        <v>32</v>
      </c>
      <c r="H1305" t="s">
        <v>85</v>
      </c>
      <c r="I1305" t="s">
        <v>23</v>
      </c>
      <c r="J1305" t="s">
        <v>67</v>
      </c>
      <c r="K1305" t="s">
        <v>54</v>
      </c>
      <c r="L1305">
        <v>3.1</v>
      </c>
      <c r="M1305" t="s">
        <v>152</v>
      </c>
      <c r="N1305" t="s">
        <v>29</v>
      </c>
      <c r="O1305" t="s">
        <v>47</v>
      </c>
      <c r="P1305" t="s">
        <v>26</v>
      </c>
      <c r="Q1305" t="s">
        <v>26</v>
      </c>
      <c r="R1305">
        <v>10</v>
      </c>
      <c r="S1305" t="s">
        <v>27</v>
      </c>
      <c r="T1305" t="str">
        <f t="shared" si="40"/>
        <v>Annually</v>
      </c>
      <c r="U1305">
        <f>VLOOKUP(T1305,[1]tablescore!$B$3:$C$8, 2,FALSE)</f>
        <v>1</v>
      </c>
      <c r="V1305" t="str">
        <f t="shared" si="41"/>
        <v>Low Loyalty</v>
      </c>
      <c r="W1305" t="s">
        <v>50</v>
      </c>
    </row>
    <row r="1306" spans="1:23" x14ac:dyDescent="0.25">
      <c r="A1306">
        <v>1305</v>
      </c>
      <c r="B1306">
        <v>64</v>
      </c>
      <c r="C1306" t="str" cm="1">
        <f t="array" ref="C1306">_xlfn.IFS(
  AND(B1306&gt;=18, B1306&lt;=24), "18-24",
  AND(B1306&gt;=25, B1306&lt;=34), "25-34",
  AND(B1306&gt;=35, B1306&lt;=44), "35-44",
  AND(B1306&gt;=45, B1306&lt;=54), "45-54",
  B1306&gt;=55, "55+"
)</f>
        <v>55+</v>
      </c>
      <c r="D1306" t="s">
        <v>19</v>
      </c>
      <c r="E1306" t="s">
        <v>133</v>
      </c>
      <c r="F1306" t="s">
        <v>69</v>
      </c>
      <c r="G1306">
        <v>63</v>
      </c>
      <c r="H1306" t="s">
        <v>57</v>
      </c>
      <c r="I1306" t="s">
        <v>38</v>
      </c>
      <c r="J1306" t="s">
        <v>121</v>
      </c>
      <c r="K1306" t="s">
        <v>39</v>
      </c>
      <c r="L1306">
        <v>4</v>
      </c>
      <c r="M1306" t="s">
        <v>152</v>
      </c>
      <c r="N1306" t="s">
        <v>34</v>
      </c>
      <c r="O1306" t="s">
        <v>72</v>
      </c>
      <c r="P1306" t="s">
        <v>26</v>
      </c>
      <c r="Q1306" t="s">
        <v>26</v>
      </c>
      <c r="R1306">
        <v>18</v>
      </c>
      <c r="S1306" t="s">
        <v>46</v>
      </c>
      <c r="T1306" t="str">
        <f t="shared" si="40"/>
        <v>Quarterly</v>
      </c>
      <c r="U1306">
        <f>VLOOKUP(T1306,[1]tablescore!$B$3:$C$8, 2,FALSE)</f>
        <v>4</v>
      </c>
      <c r="V1306" t="str">
        <f t="shared" si="41"/>
        <v>Low Loyalty</v>
      </c>
      <c r="W1306" t="s">
        <v>97</v>
      </c>
    </row>
    <row r="1307" spans="1:23" x14ac:dyDescent="0.25">
      <c r="A1307">
        <v>1306</v>
      </c>
      <c r="B1307">
        <v>31</v>
      </c>
      <c r="C1307" t="str" cm="1">
        <f t="array" ref="C1307">_xlfn.IFS(
  AND(B1307&gt;=18, B1307&lt;=24), "18-24",
  AND(B1307&gt;=25, B1307&lt;=34), "25-34",
  AND(B1307&gt;=35, B1307&lt;=44), "35-44",
  AND(B1307&gt;=45, B1307&lt;=54), "45-54",
  B1307&gt;=55, "55+"
)</f>
        <v>25-34</v>
      </c>
      <c r="D1307" t="s">
        <v>19</v>
      </c>
      <c r="E1307" t="s">
        <v>95</v>
      </c>
      <c r="F1307" t="s">
        <v>21</v>
      </c>
      <c r="G1307">
        <v>56</v>
      </c>
      <c r="H1307" t="s">
        <v>91</v>
      </c>
      <c r="I1307" t="s">
        <v>92</v>
      </c>
      <c r="J1307" t="s">
        <v>100</v>
      </c>
      <c r="K1307" t="s">
        <v>39</v>
      </c>
      <c r="L1307">
        <v>4.5</v>
      </c>
      <c r="M1307" t="s">
        <v>152</v>
      </c>
      <c r="N1307" t="s">
        <v>29</v>
      </c>
      <c r="O1307" t="s">
        <v>28</v>
      </c>
      <c r="P1307" t="s">
        <v>26</v>
      </c>
      <c r="Q1307" t="s">
        <v>26</v>
      </c>
      <c r="R1307">
        <v>2</v>
      </c>
      <c r="S1307" t="s">
        <v>46</v>
      </c>
      <c r="T1307" t="str">
        <f t="shared" si="40"/>
        <v>Quarterly</v>
      </c>
      <c r="U1307">
        <f>VLOOKUP(T1307,[1]tablescore!$B$3:$C$8, 2,FALSE)</f>
        <v>4</v>
      </c>
      <c r="V1307" t="str">
        <f t="shared" si="41"/>
        <v>Low Loyalty</v>
      </c>
      <c r="W1307" t="s">
        <v>97</v>
      </c>
    </row>
    <row r="1308" spans="1:23" x14ac:dyDescent="0.25">
      <c r="A1308">
        <v>1307</v>
      </c>
      <c r="B1308">
        <v>54</v>
      </c>
      <c r="C1308" t="str" cm="1">
        <f t="array" ref="C1308">_xlfn.IFS(
  AND(B1308&gt;=18, B1308&lt;=24), "18-24",
  AND(B1308&gt;=25, B1308&lt;=34), "25-34",
  AND(B1308&gt;=35, B1308&lt;=44), "35-44",
  AND(B1308&gt;=45, B1308&lt;=54), "45-54",
  B1308&gt;=55, "55+"
)</f>
        <v>45-54</v>
      </c>
      <c r="D1308" t="s">
        <v>19</v>
      </c>
      <c r="E1308" t="s">
        <v>31</v>
      </c>
      <c r="F1308" t="s">
        <v>21</v>
      </c>
      <c r="G1308">
        <v>33</v>
      </c>
      <c r="H1308" t="s">
        <v>120</v>
      </c>
      <c r="I1308" t="s">
        <v>23</v>
      </c>
      <c r="J1308" t="s">
        <v>110</v>
      </c>
      <c r="K1308" t="s">
        <v>25</v>
      </c>
      <c r="L1308">
        <v>4.5</v>
      </c>
      <c r="M1308" t="s">
        <v>152</v>
      </c>
      <c r="N1308" t="s">
        <v>35</v>
      </c>
      <c r="O1308" t="s">
        <v>47</v>
      </c>
      <c r="P1308" t="s">
        <v>26</v>
      </c>
      <c r="Q1308" t="s">
        <v>26</v>
      </c>
      <c r="R1308">
        <v>40</v>
      </c>
      <c r="S1308" t="s">
        <v>46</v>
      </c>
      <c r="T1308" t="str">
        <f t="shared" si="40"/>
        <v>Annually</v>
      </c>
      <c r="U1308">
        <f>VLOOKUP(T1308,[1]tablescore!$B$3:$C$8, 2,FALSE)</f>
        <v>1</v>
      </c>
      <c r="V1308" t="str">
        <f t="shared" si="41"/>
        <v>Low Loyalty</v>
      </c>
      <c r="W1308" t="s">
        <v>50</v>
      </c>
    </row>
    <row r="1309" spans="1:23" x14ac:dyDescent="0.25">
      <c r="A1309">
        <v>1308</v>
      </c>
      <c r="B1309">
        <v>23</v>
      </c>
      <c r="C1309" t="str" cm="1">
        <f t="array" ref="C1309">_xlfn.IFS(
  AND(B1309&gt;=18, B1309&lt;=24), "18-24",
  AND(B1309&gt;=25, B1309&lt;=34), "25-34",
  AND(B1309&gt;=35, B1309&lt;=44), "35-44",
  AND(B1309&gt;=45, B1309&lt;=54), "45-54",
  B1309&gt;=55, "55+"
)</f>
        <v>18-24</v>
      </c>
      <c r="D1309" t="s">
        <v>19</v>
      </c>
      <c r="E1309" t="s">
        <v>64</v>
      </c>
      <c r="F1309" t="s">
        <v>65</v>
      </c>
      <c r="G1309">
        <v>32</v>
      </c>
      <c r="H1309" t="s">
        <v>70</v>
      </c>
      <c r="I1309" t="s">
        <v>23</v>
      </c>
      <c r="J1309" t="s">
        <v>94</v>
      </c>
      <c r="K1309" t="s">
        <v>54</v>
      </c>
      <c r="L1309">
        <v>3.1</v>
      </c>
      <c r="M1309" t="s">
        <v>152</v>
      </c>
      <c r="N1309" t="s">
        <v>46</v>
      </c>
      <c r="O1309" t="s">
        <v>28</v>
      </c>
      <c r="P1309" t="s">
        <v>26</v>
      </c>
      <c r="Q1309" t="s">
        <v>26</v>
      </c>
      <c r="R1309">
        <v>43</v>
      </c>
      <c r="S1309" t="s">
        <v>46</v>
      </c>
      <c r="T1309" t="str">
        <f t="shared" si="40"/>
        <v>Annually</v>
      </c>
      <c r="U1309">
        <f>VLOOKUP(T1309,[1]tablescore!$B$3:$C$8, 2,FALSE)</f>
        <v>1</v>
      </c>
      <c r="V1309" t="str">
        <f t="shared" si="41"/>
        <v>Low Loyalty</v>
      </c>
      <c r="W1309" t="s">
        <v>50</v>
      </c>
    </row>
    <row r="1310" spans="1:23" x14ac:dyDescent="0.25">
      <c r="A1310">
        <v>1309</v>
      </c>
      <c r="B1310">
        <v>59</v>
      </c>
      <c r="C1310" t="str" cm="1">
        <f t="array" ref="C1310">_xlfn.IFS(
  AND(B1310&gt;=18, B1310&lt;=24), "18-24",
  AND(B1310&gt;=25, B1310&lt;=34), "25-34",
  AND(B1310&gt;=35, B1310&lt;=44), "35-44",
  AND(B1310&gt;=45, B1310&lt;=54), "45-54",
  B1310&gt;=55, "55+"
)</f>
        <v>55+</v>
      </c>
      <c r="D1310" t="s">
        <v>19</v>
      </c>
      <c r="E1310" t="s">
        <v>82</v>
      </c>
      <c r="F1310" t="s">
        <v>21</v>
      </c>
      <c r="G1310">
        <v>38</v>
      </c>
      <c r="H1310" t="s">
        <v>44</v>
      </c>
      <c r="I1310" t="s">
        <v>23</v>
      </c>
      <c r="J1310" t="s">
        <v>108</v>
      </c>
      <c r="K1310" t="s">
        <v>54</v>
      </c>
      <c r="L1310">
        <v>4.4000000000000004</v>
      </c>
      <c r="M1310" t="s">
        <v>152</v>
      </c>
      <c r="N1310" t="s">
        <v>27</v>
      </c>
      <c r="O1310" t="s">
        <v>47</v>
      </c>
      <c r="P1310" t="s">
        <v>26</v>
      </c>
      <c r="Q1310" t="s">
        <v>26</v>
      </c>
      <c r="R1310">
        <v>14</v>
      </c>
      <c r="S1310" t="s">
        <v>27</v>
      </c>
      <c r="T1310" t="str">
        <f t="shared" si="40"/>
        <v>Quarterly</v>
      </c>
      <c r="U1310">
        <f>VLOOKUP(T1310,[1]tablescore!$B$3:$C$8, 2,FALSE)</f>
        <v>4</v>
      </c>
      <c r="V1310" t="str">
        <f t="shared" si="41"/>
        <v>Low Loyalty</v>
      </c>
      <c r="W1310" t="s">
        <v>97</v>
      </c>
    </row>
    <row r="1311" spans="1:23" x14ac:dyDescent="0.25">
      <c r="A1311">
        <v>1310</v>
      </c>
      <c r="B1311">
        <v>32</v>
      </c>
      <c r="C1311" t="str" cm="1">
        <f t="array" ref="C1311">_xlfn.IFS(
  AND(B1311&gt;=18, B1311&lt;=24), "18-24",
  AND(B1311&gt;=25, B1311&lt;=34), "25-34",
  AND(B1311&gt;=35, B1311&lt;=44), "35-44",
  AND(B1311&gt;=45, B1311&lt;=54), "45-54",
  B1311&gt;=55, "55+"
)</f>
        <v>25-34</v>
      </c>
      <c r="D1311" t="s">
        <v>19</v>
      </c>
      <c r="E1311" t="s">
        <v>20</v>
      </c>
      <c r="F1311" t="s">
        <v>21</v>
      </c>
      <c r="G1311">
        <v>21</v>
      </c>
      <c r="H1311" t="s">
        <v>78</v>
      </c>
      <c r="I1311" t="s">
        <v>23</v>
      </c>
      <c r="J1311" t="s">
        <v>93</v>
      </c>
      <c r="K1311" t="s">
        <v>54</v>
      </c>
      <c r="L1311">
        <v>4.7</v>
      </c>
      <c r="M1311" t="s">
        <v>152</v>
      </c>
      <c r="N1311" t="s">
        <v>34</v>
      </c>
      <c r="O1311" t="s">
        <v>76</v>
      </c>
      <c r="P1311" t="s">
        <v>26</v>
      </c>
      <c r="Q1311" t="s">
        <v>26</v>
      </c>
      <c r="R1311">
        <v>41</v>
      </c>
      <c r="S1311" t="s">
        <v>35</v>
      </c>
      <c r="T1311" t="str">
        <f t="shared" si="40"/>
        <v>Quarterly</v>
      </c>
      <c r="U1311">
        <f>VLOOKUP(T1311,[1]tablescore!$B$3:$C$8, 2,FALSE)</f>
        <v>4</v>
      </c>
      <c r="V1311" t="str">
        <f t="shared" si="41"/>
        <v>Low Loyalty</v>
      </c>
      <c r="W1311" t="s">
        <v>60</v>
      </c>
    </row>
    <row r="1312" spans="1:23" x14ac:dyDescent="0.25">
      <c r="A1312">
        <v>1311</v>
      </c>
      <c r="B1312">
        <v>43</v>
      </c>
      <c r="C1312" t="str" cm="1">
        <f t="array" ref="C1312">_xlfn.IFS(
  AND(B1312&gt;=18, B1312&lt;=24), "18-24",
  AND(B1312&gt;=25, B1312&lt;=34), "25-34",
  AND(B1312&gt;=35, B1312&lt;=44), "35-44",
  AND(B1312&gt;=45, B1312&lt;=54), "45-54",
  B1312&gt;=55, "55+"
)</f>
        <v>35-44</v>
      </c>
      <c r="D1312" t="s">
        <v>19</v>
      </c>
      <c r="E1312" t="s">
        <v>104</v>
      </c>
      <c r="F1312" t="s">
        <v>21</v>
      </c>
      <c r="G1312">
        <v>59</v>
      </c>
      <c r="H1312" t="s">
        <v>126</v>
      </c>
      <c r="I1312" t="s">
        <v>23</v>
      </c>
      <c r="J1312" t="s">
        <v>110</v>
      </c>
      <c r="K1312" t="s">
        <v>25</v>
      </c>
      <c r="L1312">
        <v>3.1</v>
      </c>
      <c r="M1312" t="s">
        <v>152</v>
      </c>
      <c r="N1312" t="s">
        <v>27</v>
      </c>
      <c r="O1312" t="s">
        <v>76</v>
      </c>
      <c r="P1312" t="s">
        <v>26</v>
      </c>
      <c r="Q1312" t="s">
        <v>26</v>
      </c>
      <c r="R1312">
        <v>38</v>
      </c>
      <c r="S1312" t="s">
        <v>27</v>
      </c>
      <c r="T1312" t="str">
        <f t="shared" si="40"/>
        <v>Quarterly</v>
      </c>
      <c r="U1312">
        <f>VLOOKUP(T1312,[1]tablescore!$B$3:$C$8, 2,FALSE)</f>
        <v>4</v>
      </c>
      <c r="V1312" t="str">
        <f t="shared" si="41"/>
        <v>Low Loyalty</v>
      </c>
      <c r="W1312" t="s">
        <v>97</v>
      </c>
    </row>
    <row r="1313" spans="1:23" x14ac:dyDescent="0.25">
      <c r="A1313">
        <v>1312</v>
      </c>
      <c r="B1313">
        <v>32</v>
      </c>
      <c r="C1313" t="str" cm="1">
        <f t="array" ref="C1313">_xlfn.IFS(
  AND(B1313&gt;=18, B1313&lt;=24), "18-24",
  AND(B1313&gt;=25, B1313&lt;=34), "25-34",
  AND(B1313&gt;=35, B1313&lt;=44), "35-44",
  AND(B1313&gt;=45, B1313&lt;=54), "45-54",
  B1313&gt;=55, "55+"
)</f>
        <v>25-34</v>
      </c>
      <c r="D1313" t="s">
        <v>19</v>
      </c>
      <c r="E1313" t="s">
        <v>73</v>
      </c>
      <c r="F1313" t="s">
        <v>43</v>
      </c>
      <c r="G1313">
        <v>87</v>
      </c>
      <c r="H1313" t="s">
        <v>122</v>
      </c>
      <c r="I1313" t="s">
        <v>45</v>
      </c>
      <c r="J1313" t="s">
        <v>33</v>
      </c>
      <c r="K1313" t="s">
        <v>58</v>
      </c>
      <c r="L1313">
        <v>4.2</v>
      </c>
      <c r="M1313" t="s">
        <v>152</v>
      </c>
      <c r="N1313" t="s">
        <v>27</v>
      </c>
      <c r="O1313" t="s">
        <v>28</v>
      </c>
      <c r="P1313" t="s">
        <v>26</v>
      </c>
      <c r="Q1313" t="s">
        <v>26</v>
      </c>
      <c r="R1313">
        <v>12</v>
      </c>
      <c r="S1313" t="s">
        <v>29</v>
      </c>
      <c r="T1313" t="str">
        <f t="shared" si="40"/>
        <v>Annually</v>
      </c>
      <c r="U1313">
        <f>VLOOKUP(T1313,[1]tablescore!$B$3:$C$8, 2,FALSE)</f>
        <v>1</v>
      </c>
      <c r="V1313" t="str">
        <f t="shared" si="41"/>
        <v>Low Loyalty</v>
      </c>
      <c r="W1313" t="s">
        <v>50</v>
      </c>
    </row>
    <row r="1314" spans="1:23" x14ac:dyDescent="0.25">
      <c r="A1314">
        <v>1313</v>
      </c>
      <c r="B1314">
        <v>66</v>
      </c>
      <c r="C1314" t="str" cm="1">
        <f t="array" ref="C1314">_xlfn.IFS(
  AND(B1314&gt;=18, B1314&lt;=24), "18-24",
  AND(B1314&gt;=25, B1314&lt;=34), "25-34",
  AND(B1314&gt;=35, B1314&lt;=44), "35-44",
  AND(B1314&gt;=45, B1314&lt;=54), "45-54",
  B1314&gt;=55, "55+"
)</f>
        <v>55+</v>
      </c>
      <c r="D1314" t="s">
        <v>19</v>
      </c>
      <c r="E1314" t="s">
        <v>113</v>
      </c>
      <c r="F1314" t="s">
        <v>21</v>
      </c>
      <c r="G1314">
        <v>79</v>
      </c>
      <c r="H1314" t="s">
        <v>70</v>
      </c>
      <c r="I1314" t="s">
        <v>45</v>
      </c>
      <c r="J1314" t="s">
        <v>84</v>
      </c>
      <c r="K1314" t="s">
        <v>25</v>
      </c>
      <c r="L1314">
        <v>3</v>
      </c>
      <c r="M1314" t="s">
        <v>152</v>
      </c>
      <c r="N1314" t="s">
        <v>29</v>
      </c>
      <c r="O1314" t="s">
        <v>76</v>
      </c>
      <c r="P1314" t="s">
        <v>26</v>
      </c>
      <c r="Q1314" t="s">
        <v>26</v>
      </c>
      <c r="R1314">
        <v>19</v>
      </c>
      <c r="S1314" t="s">
        <v>34</v>
      </c>
      <c r="T1314" t="str">
        <f t="shared" si="40"/>
        <v>Month</v>
      </c>
      <c r="U1314">
        <f>VLOOKUP(T1314,[1]tablescore!$B$3:$C$8, 2,FALSE)</f>
        <v>12</v>
      </c>
      <c r="V1314" t="str">
        <f t="shared" si="41"/>
        <v>Moderate</v>
      </c>
      <c r="W1314" t="s">
        <v>88</v>
      </c>
    </row>
    <row r="1315" spans="1:23" x14ac:dyDescent="0.25">
      <c r="A1315">
        <v>1314</v>
      </c>
      <c r="B1315">
        <v>70</v>
      </c>
      <c r="C1315" t="str" cm="1">
        <f t="array" ref="C1315">_xlfn.IFS(
  AND(B1315&gt;=18, B1315&lt;=24), "18-24",
  AND(B1315&gt;=25, B1315&lt;=34), "25-34",
  AND(B1315&gt;=35, B1315&lt;=44), "35-44",
  AND(B1315&gt;=45, B1315&lt;=54), "45-54",
  B1315&gt;=55, "55+"
)</f>
        <v>55+</v>
      </c>
      <c r="D1315" t="s">
        <v>19</v>
      </c>
      <c r="E1315" t="s">
        <v>73</v>
      </c>
      <c r="F1315" t="s">
        <v>43</v>
      </c>
      <c r="G1315">
        <v>28</v>
      </c>
      <c r="H1315" t="s">
        <v>70</v>
      </c>
      <c r="I1315" t="s">
        <v>45</v>
      </c>
      <c r="J1315" t="s">
        <v>93</v>
      </c>
      <c r="K1315" t="s">
        <v>54</v>
      </c>
      <c r="L1315">
        <v>2.6</v>
      </c>
      <c r="M1315" t="s">
        <v>152</v>
      </c>
      <c r="N1315" t="s">
        <v>35</v>
      </c>
      <c r="O1315" t="s">
        <v>40</v>
      </c>
      <c r="P1315" t="s">
        <v>26</v>
      </c>
      <c r="Q1315" t="s">
        <v>26</v>
      </c>
      <c r="R1315">
        <v>23</v>
      </c>
      <c r="S1315" t="s">
        <v>27</v>
      </c>
      <c r="T1315" t="str">
        <f t="shared" si="40"/>
        <v>2-week</v>
      </c>
      <c r="U1315">
        <f>VLOOKUP(T1315,[1]tablescore!$B$3:$C$8, 2,FALSE)</f>
        <v>26</v>
      </c>
      <c r="V1315" t="str">
        <f t="shared" si="41"/>
        <v>Loyal</v>
      </c>
      <c r="W1315" t="s">
        <v>77</v>
      </c>
    </row>
    <row r="1316" spans="1:23" x14ac:dyDescent="0.25">
      <c r="A1316">
        <v>1315</v>
      </c>
      <c r="B1316">
        <v>42</v>
      </c>
      <c r="C1316" t="str" cm="1">
        <f t="array" ref="C1316">_xlfn.IFS(
  AND(B1316&gt;=18, B1316&lt;=24), "18-24",
  AND(B1316&gt;=25, B1316&lt;=34), "25-34",
  AND(B1316&gt;=35, B1316&lt;=44), "35-44",
  AND(B1316&gt;=45, B1316&lt;=54), "45-54",
  B1316&gt;=55, "55+"
)</f>
        <v>35-44</v>
      </c>
      <c r="D1316" t="s">
        <v>19</v>
      </c>
      <c r="E1316" t="s">
        <v>132</v>
      </c>
      <c r="F1316" t="s">
        <v>43</v>
      </c>
      <c r="G1316">
        <v>67</v>
      </c>
      <c r="H1316" t="s">
        <v>70</v>
      </c>
      <c r="I1316" t="s">
        <v>38</v>
      </c>
      <c r="J1316" t="s">
        <v>147</v>
      </c>
      <c r="K1316" t="s">
        <v>54</v>
      </c>
      <c r="L1316">
        <v>3.4</v>
      </c>
      <c r="M1316" t="s">
        <v>152</v>
      </c>
      <c r="N1316" t="s">
        <v>29</v>
      </c>
      <c r="O1316" t="s">
        <v>40</v>
      </c>
      <c r="P1316" t="s">
        <v>26</v>
      </c>
      <c r="Q1316" t="s">
        <v>26</v>
      </c>
      <c r="R1316">
        <v>49</v>
      </c>
      <c r="S1316" t="s">
        <v>59</v>
      </c>
      <c r="T1316" t="str">
        <f t="shared" si="40"/>
        <v>Annually</v>
      </c>
      <c r="U1316">
        <f>VLOOKUP(T1316,[1]tablescore!$B$3:$C$8, 2,FALSE)</f>
        <v>1</v>
      </c>
      <c r="V1316" t="str">
        <f t="shared" si="41"/>
        <v>Low Loyalty</v>
      </c>
      <c r="W1316" t="s">
        <v>50</v>
      </c>
    </row>
    <row r="1317" spans="1:23" x14ac:dyDescent="0.25">
      <c r="A1317">
        <v>1316</v>
      </c>
      <c r="B1317">
        <v>56</v>
      </c>
      <c r="C1317" t="str" cm="1">
        <f t="array" ref="C1317">_xlfn.IFS(
  AND(B1317&gt;=18, B1317&lt;=24), "18-24",
  AND(B1317&gt;=25, B1317&lt;=34), "25-34",
  AND(B1317&gt;=35, B1317&lt;=44), "35-44",
  AND(B1317&gt;=45, B1317&lt;=54), "45-54",
  B1317&gt;=55, "55+"
)</f>
        <v>55+</v>
      </c>
      <c r="D1317" t="s">
        <v>19</v>
      </c>
      <c r="E1317" t="s">
        <v>61</v>
      </c>
      <c r="F1317" t="s">
        <v>21</v>
      </c>
      <c r="G1317">
        <v>75</v>
      </c>
      <c r="H1317" t="s">
        <v>91</v>
      </c>
      <c r="I1317" t="s">
        <v>23</v>
      </c>
      <c r="J1317" t="s">
        <v>96</v>
      </c>
      <c r="K1317" t="s">
        <v>39</v>
      </c>
      <c r="L1317">
        <v>4.2</v>
      </c>
      <c r="M1317" t="s">
        <v>152</v>
      </c>
      <c r="N1317" t="s">
        <v>46</v>
      </c>
      <c r="O1317" t="s">
        <v>72</v>
      </c>
      <c r="P1317" t="s">
        <v>26</v>
      </c>
      <c r="Q1317" t="s">
        <v>26</v>
      </c>
      <c r="R1317">
        <v>29</v>
      </c>
      <c r="S1317" t="s">
        <v>59</v>
      </c>
      <c r="T1317" t="str">
        <f t="shared" si="40"/>
        <v>Quarterly</v>
      </c>
      <c r="U1317">
        <f>VLOOKUP(T1317,[1]tablescore!$B$3:$C$8, 2,FALSE)</f>
        <v>4</v>
      </c>
      <c r="V1317" t="str">
        <f t="shared" si="41"/>
        <v>Low Loyalty</v>
      </c>
      <c r="W1317" t="s">
        <v>60</v>
      </c>
    </row>
    <row r="1318" spans="1:23" x14ac:dyDescent="0.25">
      <c r="A1318">
        <v>1317</v>
      </c>
      <c r="B1318">
        <v>28</v>
      </c>
      <c r="C1318" t="str" cm="1">
        <f t="array" ref="C1318">_xlfn.IFS(
  AND(B1318&gt;=18, B1318&lt;=24), "18-24",
  AND(B1318&gt;=25, B1318&lt;=34), "25-34",
  AND(B1318&gt;=35, B1318&lt;=44), "35-44",
  AND(B1318&gt;=45, B1318&lt;=54), "45-54",
  B1318&gt;=55, "55+"
)</f>
        <v>25-34</v>
      </c>
      <c r="D1318" t="s">
        <v>19</v>
      </c>
      <c r="E1318" t="s">
        <v>136</v>
      </c>
      <c r="F1318" t="s">
        <v>69</v>
      </c>
      <c r="G1318">
        <v>32</v>
      </c>
      <c r="H1318" t="s">
        <v>74</v>
      </c>
      <c r="I1318" t="s">
        <v>38</v>
      </c>
      <c r="J1318" t="s">
        <v>93</v>
      </c>
      <c r="K1318" t="s">
        <v>39</v>
      </c>
      <c r="L1318">
        <v>4.5999999999999996</v>
      </c>
      <c r="M1318" t="s">
        <v>152</v>
      </c>
      <c r="N1318" t="s">
        <v>46</v>
      </c>
      <c r="O1318" t="s">
        <v>55</v>
      </c>
      <c r="P1318" t="s">
        <v>26</v>
      </c>
      <c r="Q1318" t="s">
        <v>26</v>
      </c>
      <c r="R1318">
        <v>14</v>
      </c>
      <c r="S1318" t="s">
        <v>59</v>
      </c>
      <c r="T1318" t="str">
        <f t="shared" si="40"/>
        <v>2-week</v>
      </c>
      <c r="U1318">
        <f>VLOOKUP(T1318,[1]tablescore!$B$3:$C$8, 2,FALSE)</f>
        <v>26</v>
      </c>
      <c r="V1318" t="str">
        <f t="shared" si="41"/>
        <v>Loyal</v>
      </c>
      <c r="W1318" t="s">
        <v>77</v>
      </c>
    </row>
    <row r="1319" spans="1:23" x14ac:dyDescent="0.25">
      <c r="A1319">
        <v>1318</v>
      </c>
      <c r="B1319">
        <v>28</v>
      </c>
      <c r="C1319" t="str" cm="1">
        <f t="array" ref="C1319">_xlfn.IFS(
  AND(B1319&gt;=18, B1319&lt;=24), "18-24",
  AND(B1319&gt;=25, B1319&lt;=34), "25-34",
  AND(B1319&gt;=35, B1319&lt;=44), "35-44",
  AND(B1319&gt;=45, B1319&lt;=54), "45-54",
  B1319&gt;=55, "55+"
)</f>
        <v>25-34</v>
      </c>
      <c r="D1319" t="s">
        <v>19</v>
      </c>
      <c r="E1319" t="s">
        <v>95</v>
      </c>
      <c r="F1319" t="s">
        <v>21</v>
      </c>
      <c r="G1319">
        <v>43</v>
      </c>
      <c r="H1319" t="s">
        <v>22</v>
      </c>
      <c r="I1319" t="s">
        <v>45</v>
      </c>
      <c r="J1319" t="s">
        <v>96</v>
      </c>
      <c r="K1319" t="s">
        <v>39</v>
      </c>
      <c r="L1319">
        <v>2.8</v>
      </c>
      <c r="M1319" t="s">
        <v>152</v>
      </c>
      <c r="N1319" t="s">
        <v>27</v>
      </c>
      <c r="O1319" t="s">
        <v>40</v>
      </c>
      <c r="P1319" t="s">
        <v>26</v>
      </c>
      <c r="Q1319" t="s">
        <v>26</v>
      </c>
      <c r="R1319">
        <v>19</v>
      </c>
      <c r="S1319" t="s">
        <v>35</v>
      </c>
      <c r="T1319" t="str">
        <f t="shared" si="40"/>
        <v>Month</v>
      </c>
      <c r="U1319">
        <f>VLOOKUP(T1319,[1]tablescore!$B$3:$C$8, 2,FALSE)</f>
        <v>12</v>
      </c>
      <c r="V1319" t="str">
        <f t="shared" si="41"/>
        <v>Moderate</v>
      </c>
      <c r="W1319" t="s">
        <v>88</v>
      </c>
    </row>
    <row r="1320" spans="1:23" x14ac:dyDescent="0.25">
      <c r="A1320">
        <v>1319</v>
      </c>
      <c r="B1320">
        <v>52</v>
      </c>
      <c r="C1320" t="str" cm="1">
        <f t="array" ref="C1320">_xlfn.IFS(
  AND(B1320&gt;=18, B1320&lt;=24), "18-24",
  AND(B1320&gt;=25, B1320&lt;=34), "25-34",
  AND(B1320&gt;=35, B1320&lt;=44), "35-44",
  AND(B1320&gt;=45, B1320&lt;=54), "45-54",
  B1320&gt;=55, "55+"
)</f>
        <v>45-54</v>
      </c>
      <c r="D1320" t="s">
        <v>19</v>
      </c>
      <c r="E1320" t="s">
        <v>61</v>
      </c>
      <c r="F1320" t="s">
        <v>21</v>
      </c>
      <c r="G1320">
        <v>93</v>
      </c>
      <c r="H1320" t="s">
        <v>146</v>
      </c>
      <c r="I1320" t="s">
        <v>45</v>
      </c>
      <c r="J1320" t="s">
        <v>33</v>
      </c>
      <c r="K1320" t="s">
        <v>39</v>
      </c>
      <c r="L1320">
        <v>2.7</v>
      </c>
      <c r="M1320" t="s">
        <v>152</v>
      </c>
      <c r="N1320" t="s">
        <v>29</v>
      </c>
      <c r="O1320" t="s">
        <v>28</v>
      </c>
      <c r="P1320" t="s">
        <v>26</v>
      </c>
      <c r="Q1320" t="s">
        <v>26</v>
      </c>
      <c r="R1320">
        <v>19</v>
      </c>
      <c r="S1320" t="s">
        <v>27</v>
      </c>
      <c r="T1320" t="str">
        <f t="shared" si="40"/>
        <v>2-week</v>
      </c>
      <c r="U1320">
        <f>VLOOKUP(T1320,[1]tablescore!$B$3:$C$8, 2,FALSE)</f>
        <v>26</v>
      </c>
      <c r="V1320" t="str">
        <f t="shared" si="41"/>
        <v>Loyal</v>
      </c>
      <c r="W1320" t="s">
        <v>77</v>
      </c>
    </row>
    <row r="1321" spans="1:23" x14ac:dyDescent="0.25">
      <c r="A1321">
        <v>1320</v>
      </c>
      <c r="B1321">
        <v>65</v>
      </c>
      <c r="C1321" t="str" cm="1">
        <f t="array" ref="C1321">_xlfn.IFS(
  AND(B1321&gt;=18, B1321&lt;=24), "18-24",
  AND(B1321&gt;=25, B1321&lt;=34), "25-34",
  AND(B1321&gt;=35, B1321&lt;=44), "35-44",
  AND(B1321&gt;=45, B1321&lt;=54), "45-54",
  B1321&gt;=55, "55+"
)</f>
        <v>55+</v>
      </c>
      <c r="D1321" t="s">
        <v>19</v>
      </c>
      <c r="E1321" t="s">
        <v>89</v>
      </c>
      <c r="F1321" t="s">
        <v>69</v>
      </c>
      <c r="G1321">
        <v>24</v>
      </c>
      <c r="H1321" t="s">
        <v>101</v>
      </c>
      <c r="I1321" t="s">
        <v>45</v>
      </c>
      <c r="J1321" t="s">
        <v>147</v>
      </c>
      <c r="K1321" t="s">
        <v>39</v>
      </c>
      <c r="L1321">
        <v>4</v>
      </c>
      <c r="M1321" t="s">
        <v>152</v>
      </c>
      <c r="N1321" t="s">
        <v>27</v>
      </c>
      <c r="O1321" t="s">
        <v>55</v>
      </c>
      <c r="P1321" t="s">
        <v>26</v>
      </c>
      <c r="Q1321" t="s">
        <v>26</v>
      </c>
      <c r="R1321">
        <v>48</v>
      </c>
      <c r="S1321" t="s">
        <v>34</v>
      </c>
      <c r="T1321" t="str">
        <f t="shared" si="40"/>
        <v>Daily</v>
      </c>
      <c r="U1321">
        <f>VLOOKUP(T1321,[1]tablescore!$B$3:$C$8, 2,FALSE)</f>
        <v>30</v>
      </c>
      <c r="V1321" t="str">
        <f t="shared" si="41"/>
        <v>Highly Loyal</v>
      </c>
      <c r="W1321" t="s">
        <v>41</v>
      </c>
    </row>
    <row r="1322" spans="1:23" x14ac:dyDescent="0.25">
      <c r="A1322">
        <v>1321</v>
      </c>
      <c r="B1322">
        <v>56</v>
      </c>
      <c r="C1322" t="str" cm="1">
        <f t="array" ref="C1322">_xlfn.IFS(
  AND(B1322&gt;=18, B1322&lt;=24), "18-24",
  AND(B1322&gt;=25, B1322&lt;=34), "25-34",
  AND(B1322&gt;=35, B1322&lt;=44), "35-44",
  AND(B1322&gt;=45, B1322&lt;=54), "45-54",
  B1322&gt;=55, "55+"
)</f>
        <v>55+</v>
      </c>
      <c r="D1322" t="s">
        <v>19</v>
      </c>
      <c r="E1322" t="s">
        <v>125</v>
      </c>
      <c r="F1322" t="s">
        <v>69</v>
      </c>
      <c r="G1322">
        <v>31</v>
      </c>
      <c r="H1322" t="s">
        <v>99</v>
      </c>
      <c r="I1322" t="s">
        <v>92</v>
      </c>
      <c r="J1322" t="s">
        <v>86</v>
      </c>
      <c r="K1322" t="s">
        <v>58</v>
      </c>
      <c r="L1322">
        <v>3.1</v>
      </c>
      <c r="M1322" t="s">
        <v>152</v>
      </c>
      <c r="N1322" t="s">
        <v>46</v>
      </c>
      <c r="O1322" t="s">
        <v>40</v>
      </c>
      <c r="P1322" t="s">
        <v>26</v>
      </c>
      <c r="Q1322" t="s">
        <v>26</v>
      </c>
      <c r="R1322">
        <v>19</v>
      </c>
      <c r="S1322" t="s">
        <v>59</v>
      </c>
      <c r="T1322" t="str">
        <f t="shared" si="40"/>
        <v>Annually</v>
      </c>
      <c r="U1322">
        <f>VLOOKUP(T1322,[1]tablescore!$B$3:$C$8, 2,FALSE)</f>
        <v>1</v>
      </c>
      <c r="V1322" t="str">
        <f t="shared" si="41"/>
        <v>Low Loyalty</v>
      </c>
      <c r="W1322" t="s">
        <v>50</v>
      </c>
    </row>
    <row r="1323" spans="1:23" x14ac:dyDescent="0.25">
      <c r="A1323">
        <v>1322</v>
      </c>
      <c r="B1323">
        <v>59</v>
      </c>
      <c r="C1323" t="str" cm="1">
        <f t="array" ref="C1323">_xlfn.IFS(
  AND(B1323&gt;=18, B1323&lt;=24), "18-24",
  AND(B1323&gt;=25, B1323&lt;=34), "25-34",
  AND(B1323&gt;=35, B1323&lt;=44), "35-44",
  AND(B1323&gt;=45, B1323&lt;=54), "45-54",
  B1323&gt;=55, "55+"
)</f>
        <v>55+</v>
      </c>
      <c r="D1323" t="s">
        <v>19</v>
      </c>
      <c r="E1323" t="s">
        <v>113</v>
      </c>
      <c r="F1323" t="s">
        <v>21</v>
      </c>
      <c r="G1323">
        <v>84</v>
      </c>
      <c r="H1323" t="s">
        <v>70</v>
      </c>
      <c r="I1323" t="s">
        <v>23</v>
      </c>
      <c r="J1323" t="s">
        <v>121</v>
      </c>
      <c r="K1323" t="s">
        <v>25</v>
      </c>
      <c r="L1323">
        <v>3.7</v>
      </c>
      <c r="M1323" t="s">
        <v>152</v>
      </c>
      <c r="N1323" t="s">
        <v>27</v>
      </c>
      <c r="O1323" t="s">
        <v>28</v>
      </c>
      <c r="P1323" t="s">
        <v>26</v>
      </c>
      <c r="Q1323" t="s">
        <v>26</v>
      </c>
      <c r="R1323">
        <v>45</v>
      </c>
      <c r="S1323" t="s">
        <v>34</v>
      </c>
      <c r="T1323" t="str">
        <f t="shared" si="40"/>
        <v>Quarterly</v>
      </c>
      <c r="U1323">
        <f>VLOOKUP(T1323,[1]tablescore!$B$3:$C$8, 2,FALSE)</f>
        <v>4</v>
      </c>
      <c r="V1323" t="str">
        <f t="shared" si="41"/>
        <v>Low Loyalty</v>
      </c>
      <c r="W1323" t="s">
        <v>97</v>
      </c>
    </row>
    <row r="1324" spans="1:23" x14ac:dyDescent="0.25">
      <c r="A1324">
        <v>1323</v>
      </c>
      <c r="B1324">
        <v>23</v>
      </c>
      <c r="C1324" t="str" cm="1">
        <f t="array" ref="C1324">_xlfn.IFS(
  AND(B1324&gt;=18, B1324&lt;=24), "18-24",
  AND(B1324&gt;=25, B1324&lt;=34), "25-34",
  AND(B1324&gt;=35, B1324&lt;=44), "35-44",
  AND(B1324&gt;=45, B1324&lt;=54), "45-54",
  B1324&gt;=55, "55+"
)</f>
        <v>18-24</v>
      </c>
      <c r="D1324" t="s">
        <v>19</v>
      </c>
      <c r="E1324" t="s">
        <v>95</v>
      </c>
      <c r="F1324" t="s">
        <v>21</v>
      </c>
      <c r="G1324">
        <v>74</v>
      </c>
      <c r="H1324" t="s">
        <v>140</v>
      </c>
      <c r="I1324" t="s">
        <v>45</v>
      </c>
      <c r="J1324" t="s">
        <v>84</v>
      </c>
      <c r="K1324" t="s">
        <v>25</v>
      </c>
      <c r="L1324">
        <v>4</v>
      </c>
      <c r="M1324" t="s">
        <v>152</v>
      </c>
      <c r="N1324" t="s">
        <v>27</v>
      </c>
      <c r="O1324" t="s">
        <v>47</v>
      </c>
      <c r="P1324" t="s">
        <v>26</v>
      </c>
      <c r="Q1324" t="s">
        <v>26</v>
      </c>
      <c r="R1324">
        <v>17</v>
      </c>
      <c r="S1324" t="s">
        <v>34</v>
      </c>
      <c r="T1324" t="str">
        <f t="shared" si="40"/>
        <v>Quarterly</v>
      </c>
      <c r="U1324">
        <f>VLOOKUP(T1324,[1]tablescore!$B$3:$C$8, 2,FALSE)</f>
        <v>4</v>
      </c>
      <c r="V1324" t="str">
        <f t="shared" si="41"/>
        <v>Low Loyalty</v>
      </c>
      <c r="W1324" t="s">
        <v>60</v>
      </c>
    </row>
    <row r="1325" spans="1:23" x14ac:dyDescent="0.25">
      <c r="A1325">
        <v>1324</v>
      </c>
      <c r="B1325">
        <v>58</v>
      </c>
      <c r="C1325" t="str" cm="1">
        <f t="array" ref="C1325">_xlfn.IFS(
  AND(B1325&gt;=18, B1325&lt;=24), "18-24",
  AND(B1325&gt;=25, B1325&lt;=34), "25-34",
  AND(B1325&gt;=35, B1325&lt;=44), "35-44",
  AND(B1325&gt;=45, B1325&lt;=54), "45-54",
  B1325&gt;=55, "55+"
)</f>
        <v>55+</v>
      </c>
      <c r="D1325" t="s">
        <v>19</v>
      </c>
      <c r="E1325" t="s">
        <v>61</v>
      </c>
      <c r="F1325" t="s">
        <v>21</v>
      </c>
      <c r="G1325">
        <v>62</v>
      </c>
      <c r="H1325" t="s">
        <v>85</v>
      </c>
      <c r="I1325" t="s">
        <v>45</v>
      </c>
      <c r="J1325" t="s">
        <v>139</v>
      </c>
      <c r="K1325" t="s">
        <v>39</v>
      </c>
      <c r="L1325">
        <v>4.5999999999999996</v>
      </c>
      <c r="M1325" t="s">
        <v>152</v>
      </c>
      <c r="N1325" t="s">
        <v>35</v>
      </c>
      <c r="O1325" t="s">
        <v>55</v>
      </c>
      <c r="P1325" t="s">
        <v>26</v>
      </c>
      <c r="Q1325" t="s">
        <v>26</v>
      </c>
      <c r="R1325">
        <v>15</v>
      </c>
      <c r="S1325" t="s">
        <v>59</v>
      </c>
      <c r="T1325" t="str">
        <f t="shared" si="40"/>
        <v>Quarterly</v>
      </c>
      <c r="U1325">
        <f>VLOOKUP(T1325,[1]tablescore!$B$3:$C$8, 2,FALSE)</f>
        <v>4</v>
      </c>
      <c r="V1325" t="str">
        <f t="shared" si="41"/>
        <v>Low Loyalty</v>
      </c>
      <c r="W1325" t="s">
        <v>97</v>
      </c>
    </row>
    <row r="1326" spans="1:23" x14ac:dyDescent="0.25">
      <c r="A1326">
        <v>1325</v>
      </c>
      <c r="B1326">
        <v>39</v>
      </c>
      <c r="C1326" t="str" cm="1">
        <f t="array" ref="C1326">_xlfn.IFS(
  AND(B1326&gt;=18, B1326&lt;=24), "18-24",
  AND(B1326&gt;=25, B1326&lt;=34), "25-34",
  AND(B1326&gt;=35, B1326&lt;=44), "35-44",
  AND(B1326&gt;=45, B1326&lt;=54), "45-54",
  B1326&gt;=55, "55+"
)</f>
        <v>35-44</v>
      </c>
      <c r="D1326" t="s">
        <v>19</v>
      </c>
      <c r="E1326" t="s">
        <v>106</v>
      </c>
      <c r="F1326" t="s">
        <v>69</v>
      </c>
      <c r="G1326">
        <v>77</v>
      </c>
      <c r="H1326" t="s">
        <v>116</v>
      </c>
      <c r="I1326" t="s">
        <v>38</v>
      </c>
      <c r="J1326" t="s">
        <v>121</v>
      </c>
      <c r="K1326" t="s">
        <v>54</v>
      </c>
      <c r="L1326">
        <v>3.8</v>
      </c>
      <c r="M1326" t="s">
        <v>152</v>
      </c>
      <c r="N1326" t="s">
        <v>27</v>
      </c>
      <c r="O1326" t="s">
        <v>40</v>
      </c>
      <c r="P1326" t="s">
        <v>26</v>
      </c>
      <c r="Q1326" t="s">
        <v>26</v>
      </c>
      <c r="R1326">
        <v>11</v>
      </c>
      <c r="S1326" t="s">
        <v>27</v>
      </c>
      <c r="T1326" t="str">
        <f t="shared" si="40"/>
        <v>2-week</v>
      </c>
      <c r="U1326">
        <f>VLOOKUP(T1326,[1]tablescore!$B$3:$C$8, 2,FALSE)</f>
        <v>26</v>
      </c>
      <c r="V1326" t="str">
        <f t="shared" si="41"/>
        <v>Loyal</v>
      </c>
      <c r="W1326" t="s">
        <v>30</v>
      </c>
    </row>
    <row r="1327" spans="1:23" x14ac:dyDescent="0.25">
      <c r="A1327">
        <v>1326</v>
      </c>
      <c r="B1327">
        <v>28</v>
      </c>
      <c r="C1327" t="str" cm="1">
        <f t="array" ref="C1327">_xlfn.IFS(
  AND(B1327&gt;=18, B1327&lt;=24), "18-24",
  AND(B1327&gt;=25, B1327&lt;=34), "25-34",
  AND(B1327&gt;=35, B1327&lt;=44), "35-44",
  AND(B1327&gt;=45, B1327&lt;=54), "45-54",
  B1327&gt;=55, "55+"
)</f>
        <v>25-34</v>
      </c>
      <c r="D1327" t="s">
        <v>19</v>
      </c>
      <c r="E1327" t="s">
        <v>133</v>
      </c>
      <c r="F1327" t="s">
        <v>69</v>
      </c>
      <c r="G1327">
        <v>73</v>
      </c>
      <c r="H1327" t="s">
        <v>48</v>
      </c>
      <c r="I1327" t="s">
        <v>23</v>
      </c>
      <c r="J1327" t="s">
        <v>81</v>
      </c>
      <c r="K1327" t="s">
        <v>54</v>
      </c>
      <c r="L1327">
        <v>3.5</v>
      </c>
      <c r="M1327" t="s">
        <v>152</v>
      </c>
      <c r="N1327" t="s">
        <v>29</v>
      </c>
      <c r="O1327" t="s">
        <v>28</v>
      </c>
      <c r="P1327" t="s">
        <v>26</v>
      </c>
      <c r="Q1327" t="s">
        <v>26</v>
      </c>
      <c r="R1327">
        <v>1</v>
      </c>
      <c r="S1327" t="s">
        <v>35</v>
      </c>
      <c r="T1327" t="str">
        <f t="shared" si="40"/>
        <v>Month</v>
      </c>
      <c r="U1327">
        <f>VLOOKUP(T1327,[1]tablescore!$B$3:$C$8, 2,FALSE)</f>
        <v>12</v>
      </c>
      <c r="V1327" t="str">
        <f t="shared" si="41"/>
        <v>Moderate</v>
      </c>
      <c r="W1327" t="s">
        <v>88</v>
      </c>
    </row>
    <row r="1328" spans="1:23" x14ac:dyDescent="0.25">
      <c r="A1328">
        <v>1327</v>
      </c>
      <c r="B1328">
        <v>40</v>
      </c>
      <c r="C1328" t="str" cm="1">
        <f t="array" ref="C1328">_xlfn.IFS(
  AND(B1328&gt;=18, B1328&lt;=24), "18-24",
  AND(B1328&gt;=25, B1328&lt;=34), "25-34",
  AND(B1328&gt;=35, B1328&lt;=44), "35-44",
  AND(B1328&gt;=45, B1328&lt;=54), "45-54",
  B1328&gt;=55, "55+"
)</f>
        <v>35-44</v>
      </c>
      <c r="D1328" t="s">
        <v>19</v>
      </c>
      <c r="E1328" t="s">
        <v>73</v>
      </c>
      <c r="F1328" t="s">
        <v>43</v>
      </c>
      <c r="G1328">
        <v>50</v>
      </c>
      <c r="H1328" t="s">
        <v>105</v>
      </c>
      <c r="I1328" t="s">
        <v>45</v>
      </c>
      <c r="J1328" t="s">
        <v>129</v>
      </c>
      <c r="K1328" t="s">
        <v>39</v>
      </c>
      <c r="L1328">
        <v>4.5999999999999996</v>
      </c>
      <c r="M1328" t="s">
        <v>152</v>
      </c>
      <c r="N1328" t="s">
        <v>34</v>
      </c>
      <c r="O1328" t="s">
        <v>40</v>
      </c>
      <c r="P1328" t="s">
        <v>26</v>
      </c>
      <c r="Q1328" t="s">
        <v>26</v>
      </c>
      <c r="R1328">
        <v>17</v>
      </c>
      <c r="S1328" t="s">
        <v>35</v>
      </c>
      <c r="T1328" t="str">
        <f t="shared" si="40"/>
        <v>Month</v>
      </c>
      <c r="U1328">
        <f>VLOOKUP(T1328,[1]tablescore!$B$3:$C$8, 2,FALSE)</f>
        <v>12</v>
      </c>
      <c r="V1328" t="str">
        <f t="shared" si="41"/>
        <v>Moderate</v>
      </c>
      <c r="W1328" t="s">
        <v>88</v>
      </c>
    </row>
    <row r="1329" spans="1:23" x14ac:dyDescent="0.25">
      <c r="A1329">
        <v>1328</v>
      </c>
      <c r="B1329">
        <v>52</v>
      </c>
      <c r="C1329" t="str" cm="1">
        <f t="array" ref="C1329">_xlfn.IFS(
  AND(B1329&gt;=18, B1329&lt;=24), "18-24",
  AND(B1329&gt;=25, B1329&lt;=34), "25-34",
  AND(B1329&gt;=35, B1329&lt;=44), "35-44",
  AND(B1329&gt;=45, B1329&lt;=54), "45-54",
  B1329&gt;=55, "55+"
)</f>
        <v>45-54</v>
      </c>
      <c r="D1329" t="s">
        <v>19</v>
      </c>
      <c r="E1329" t="s">
        <v>64</v>
      </c>
      <c r="F1329" t="s">
        <v>65</v>
      </c>
      <c r="G1329">
        <v>40</v>
      </c>
      <c r="H1329" t="s">
        <v>103</v>
      </c>
      <c r="I1329" t="s">
        <v>45</v>
      </c>
      <c r="J1329" t="s">
        <v>49</v>
      </c>
      <c r="K1329" t="s">
        <v>25</v>
      </c>
      <c r="L1329">
        <v>2.8</v>
      </c>
      <c r="M1329" t="s">
        <v>152</v>
      </c>
      <c r="N1329" t="s">
        <v>27</v>
      </c>
      <c r="O1329" t="s">
        <v>55</v>
      </c>
      <c r="P1329" t="s">
        <v>26</v>
      </c>
      <c r="Q1329" t="s">
        <v>26</v>
      </c>
      <c r="R1329">
        <v>37</v>
      </c>
      <c r="S1329" t="s">
        <v>35</v>
      </c>
      <c r="T1329" t="str">
        <f t="shared" si="40"/>
        <v>Daily</v>
      </c>
      <c r="U1329">
        <f>VLOOKUP(T1329,[1]tablescore!$B$3:$C$8, 2,FALSE)</f>
        <v>30</v>
      </c>
      <c r="V1329" t="str">
        <f t="shared" si="41"/>
        <v>Highly Loyal</v>
      </c>
      <c r="W1329" t="s">
        <v>41</v>
      </c>
    </row>
    <row r="1330" spans="1:23" x14ac:dyDescent="0.25">
      <c r="A1330">
        <v>1329</v>
      </c>
      <c r="B1330">
        <v>37</v>
      </c>
      <c r="C1330" t="str" cm="1">
        <f t="array" ref="C1330">_xlfn.IFS(
  AND(B1330&gt;=18, B1330&lt;=24), "18-24",
  AND(B1330&gt;=25, B1330&lt;=34), "25-34",
  AND(B1330&gt;=35, B1330&lt;=44), "35-44",
  AND(B1330&gt;=45, B1330&lt;=54), "45-54",
  B1330&gt;=55, "55+"
)</f>
        <v>35-44</v>
      </c>
      <c r="D1330" t="s">
        <v>19</v>
      </c>
      <c r="E1330" t="s">
        <v>31</v>
      </c>
      <c r="F1330" t="s">
        <v>21</v>
      </c>
      <c r="G1330">
        <v>97</v>
      </c>
      <c r="H1330" t="s">
        <v>44</v>
      </c>
      <c r="I1330" t="s">
        <v>45</v>
      </c>
      <c r="J1330" t="s">
        <v>121</v>
      </c>
      <c r="K1330" t="s">
        <v>25</v>
      </c>
      <c r="L1330">
        <v>3.7</v>
      </c>
      <c r="M1330" t="s">
        <v>152</v>
      </c>
      <c r="N1330" t="s">
        <v>59</v>
      </c>
      <c r="O1330" t="s">
        <v>55</v>
      </c>
      <c r="P1330" t="s">
        <v>26</v>
      </c>
      <c r="Q1330" t="s">
        <v>26</v>
      </c>
      <c r="R1330">
        <v>40</v>
      </c>
      <c r="S1330" t="s">
        <v>34</v>
      </c>
      <c r="T1330" t="str">
        <f t="shared" si="40"/>
        <v>Daily</v>
      </c>
      <c r="U1330">
        <f>VLOOKUP(T1330,[1]tablescore!$B$3:$C$8, 2,FALSE)</f>
        <v>30</v>
      </c>
      <c r="V1330" t="str">
        <f t="shared" si="41"/>
        <v>Highly Loyal</v>
      </c>
      <c r="W1330" t="s">
        <v>41</v>
      </c>
    </row>
    <row r="1331" spans="1:23" x14ac:dyDescent="0.25">
      <c r="A1331">
        <v>1330</v>
      </c>
      <c r="B1331">
        <v>70</v>
      </c>
      <c r="C1331" t="str" cm="1">
        <f t="array" ref="C1331">_xlfn.IFS(
  AND(B1331&gt;=18, B1331&lt;=24), "18-24",
  AND(B1331&gt;=25, B1331&lt;=34), "25-34",
  AND(B1331&gt;=35, B1331&lt;=44), "35-44",
  AND(B1331&gt;=45, B1331&lt;=54), "45-54",
  B1331&gt;=55, "55+"
)</f>
        <v>55+</v>
      </c>
      <c r="D1331" t="s">
        <v>19</v>
      </c>
      <c r="E1331" t="s">
        <v>127</v>
      </c>
      <c r="F1331" t="s">
        <v>69</v>
      </c>
      <c r="G1331">
        <v>63</v>
      </c>
      <c r="H1331" t="s">
        <v>105</v>
      </c>
      <c r="I1331" t="s">
        <v>45</v>
      </c>
      <c r="J1331" t="s">
        <v>129</v>
      </c>
      <c r="K1331" t="s">
        <v>58</v>
      </c>
      <c r="L1331">
        <v>3.3</v>
      </c>
      <c r="M1331" t="s">
        <v>152</v>
      </c>
      <c r="N1331" t="s">
        <v>46</v>
      </c>
      <c r="O1331" t="s">
        <v>28</v>
      </c>
      <c r="P1331" t="s">
        <v>26</v>
      </c>
      <c r="Q1331" t="s">
        <v>26</v>
      </c>
      <c r="R1331">
        <v>50</v>
      </c>
      <c r="S1331" t="s">
        <v>46</v>
      </c>
      <c r="T1331" t="str">
        <f t="shared" si="40"/>
        <v>Quarterly</v>
      </c>
      <c r="U1331">
        <f>VLOOKUP(T1331,[1]tablescore!$B$3:$C$8, 2,FALSE)</f>
        <v>4</v>
      </c>
      <c r="V1331" t="str">
        <f t="shared" si="41"/>
        <v>Low Loyalty</v>
      </c>
      <c r="W1331" t="s">
        <v>97</v>
      </c>
    </row>
    <row r="1332" spans="1:23" x14ac:dyDescent="0.25">
      <c r="A1332">
        <v>1331</v>
      </c>
      <c r="B1332">
        <v>30</v>
      </c>
      <c r="C1332" t="str" cm="1">
        <f t="array" ref="C1332">_xlfn.IFS(
  AND(B1332&gt;=18, B1332&lt;=24), "18-24",
  AND(B1332&gt;=25, B1332&lt;=34), "25-34",
  AND(B1332&gt;=35, B1332&lt;=44), "35-44",
  AND(B1332&gt;=45, B1332&lt;=54), "45-54",
  B1332&gt;=55, "55+"
)</f>
        <v>25-34</v>
      </c>
      <c r="D1332" t="s">
        <v>19</v>
      </c>
      <c r="E1332" t="s">
        <v>68</v>
      </c>
      <c r="F1332" t="s">
        <v>69</v>
      </c>
      <c r="G1332">
        <v>65</v>
      </c>
      <c r="H1332" t="s">
        <v>145</v>
      </c>
      <c r="I1332" t="s">
        <v>45</v>
      </c>
      <c r="J1332" t="s">
        <v>63</v>
      </c>
      <c r="K1332" t="s">
        <v>58</v>
      </c>
      <c r="L1332">
        <v>2.9</v>
      </c>
      <c r="M1332" t="s">
        <v>152</v>
      </c>
      <c r="N1332" t="s">
        <v>27</v>
      </c>
      <c r="O1332" t="s">
        <v>55</v>
      </c>
      <c r="P1332" t="s">
        <v>26</v>
      </c>
      <c r="Q1332" t="s">
        <v>26</v>
      </c>
      <c r="R1332">
        <v>20</v>
      </c>
      <c r="S1332" t="s">
        <v>46</v>
      </c>
      <c r="T1332" t="str">
        <f t="shared" si="40"/>
        <v>2-week</v>
      </c>
      <c r="U1332">
        <f>VLOOKUP(T1332,[1]tablescore!$B$3:$C$8, 2,FALSE)</f>
        <v>26</v>
      </c>
      <c r="V1332" t="str">
        <f t="shared" si="41"/>
        <v>Loyal</v>
      </c>
      <c r="W1332" t="s">
        <v>77</v>
      </c>
    </row>
    <row r="1333" spans="1:23" x14ac:dyDescent="0.25">
      <c r="A1333">
        <v>1332</v>
      </c>
      <c r="B1333">
        <v>38</v>
      </c>
      <c r="C1333" t="str" cm="1">
        <f t="array" ref="C1333">_xlfn.IFS(
  AND(B1333&gt;=18, B1333&lt;=24), "18-24",
  AND(B1333&gt;=25, B1333&lt;=34), "25-34",
  AND(B1333&gt;=35, B1333&lt;=44), "35-44",
  AND(B1333&gt;=45, B1333&lt;=54), "45-54",
  B1333&gt;=55, "55+"
)</f>
        <v>35-44</v>
      </c>
      <c r="D1333" t="s">
        <v>19</v>
      </c>
      <c r="E1333" t="s">
        <v>131</v>
      </c>
      <c r="F1333" t="s">
        <v>21</v>
      </c>
      <c r="G1333">
        <v>91</v>
      </c>
      <c r="H1333" t="s">
        <v>135</v>
      </c>
      <c r="I1333" t="s">
        <v>45</v>
      </c>
      <c r="J1333" t="s">
        <v>93</v>
      </c>
      <c r="K1333" t="s">
        <v>39</v>
      </c>
      <c r="L1333">
        <v>3.2</v>
      </c>
      <c r="M1333" t="s">
        <v>152</v>
      </c>
      <c r="N1333" t="s">
        <v>27</v>
      </c>
      <c r="O1333" t="s">
        <v>55</v>
      </c>
      <c r="P1333" t="s">
        <v>26</v>
      </c>
      <c r="Q1333" t="s">
        <v>26</v>
      </c>
      <c r="R1333">
        <v>8</v>
      </c>
      <c r="S1333" t="s">
        <v>46</v>
      </c>
      <c r="T1333" t="str">
        <f t="shared" si="40"/>
        <v>2-week</v>
      </c>
      <c r="U1333">
        <f>VLOOKUP(T1333,[1]tablescore!$B$3:$C$8, 2,FALSE)</f>
        <v>26</v>
      </c>
      <c r="V1333" t="str">
        <f t="shared" si="41"/>
        <v>Loyal</v>
      </c>
      <c r="W1333" t="s">
        <v>77</v>
      </c>
    </row>
    <row r="1334" spans="1:23" x14ac:dyDescent="0.25">
      <c r="A1334">
        <v>1333</v>
      </c>
      <c r="B1334">
        <v>66</v>
      </c>
      <c r="C1334" t="str" cm="1">
        <f t="array" ref="C1334">_xlfn.IFS(
  AND(B1334&gt;=18, B1334&lt;=24), "18-24",
  AND(B1334&gt;=25, B1334&lt;=34), "25-34",
  AND(B1334&gt;=35, B1334&lt;=44), "35-44",
  AND(B1334&gt;=45, B1334&lt;=54), "45-54",
  B1334&gt;=55, "55+"
)</f>
        <v>55+</v>
      </c>
      <c r="D1334" t="s">
        <v>19</v>
      </c>
      <c r="E1334" t="s">
        <v>104</v>
      </c>
      <c r="F1334" t="s">
        <v>21</v>
      </c>
      <c r="G1334">
        <v>60</v>
      </c>
      <c r="H1334" t="s">
        <v>120</v>
      </c>
      <c r="I1334" t="s">
        <v>38</v>
      </c>
      <c r="J1334" t="s">
        <v>81</v>
      </c>
      <c r="K1334" t="s">
        <v>39</v>
      </c>
      <c r="L1334">
        <v>4.3</v>
      </c>
      <c r="M1334" t="s">
        <v>152</v>
      </c>
      <c r="N1334" t="s">
        <v>34</v>
      </c>
      <c r="O1334" t="s">
        <v>76</v>
      </c>
      <c r="P1334" t="s">
        <v>26</v>
      </c>
      <c r="Q1334" t="s">
        <v>26</v>
      </c>
      <c r="R1334">
        <v>16</v>
      </c>
      <c r="S1334" t="s">
        <v>34</v>
      </c>
      <c r="T1334" t="str">
        <f t="shared" si="40"/>
        <v>Quarterly</v>
      </c>
      <c r="U1334">
        <f>VLOOKUP(T1334,[1]tablescore!$B$3:$C$8, 2,FALSE)</f>
        <v>4</v>
      </c>
      <c r="V1334" t="str">
        <f t="shared" si="41"/>
        <v>Low Loyalty</v>
      </c>
      <c r="W1334" t="s">
        <v>60</v>
      </c>
    </row>
    <row r="1335" spans="1:23" x14ac:dyDescent="0.25">
      <c r="A1335">
        <v>1334</v>
      </c>
      <c r="B1335">
        <v>29</v>
      </c>
      <c r="C1335" t="str" cm="1">
        <f t="array" ref="C1335">_xlfn.IFS(
  AND(B1335&gt;=18, B1335&lt;=24), "18-24",
  AND(B1335&gt;=25, B1335&lt;=34), "25-34",
  AND(B1335&gt;=35, B1335&lt;=44), "35-44",
  AND(B1335&gt;=45, B1335&lt;=54), "45-54",
  B1335&gt;=55, "55+"
)</f>
        <v>25-34</v>
      </c>
      <c r="D1335" t="s">
        <v>19</v>
      </c>
      <c r="E1335" t="s">
        <v>95</v>
      </c>
      <c r="F1335" t="s">
        <v>21</v>
      </c>
      <c r="G1335">
        <v>69</v>
      </c>
      <c r="H1335" t="s">
        <v>144</v>
      </c>
      <c r="I1335" t="s">
        <v>45</v>
      </c>
      <c r="J1335" t="s">
        <v>93</v>
      </c>
      <c r="K1335" t="s">
        <v>25</v>
      </c>
      <c r="L1335">
        <v>2.7</v>
      </c>
      <c r="M1335" t="s">
        <v>152</v>
      </c>
      <c r="N1335" t="s">
        <v>35</v>
      </c>
      <c r="O1335" t="s">
        <v>47</v>
      </c>
      <c r="P1335" t="s">
        <v>26</v>
      </c>
      <c r="Q1335" t="s">
        <v>26</v>
      </c>
      <c r="R1335">
        <v>9</v>
      </c>
      <c r="S1335" t="s">
        <v>34</v>
      </c>
      <c r="T1335" t="str">
        <f t="shared" si="40"/>
        <v>Quarterly</v>
      </c>
      <c r="U1335">
        <f>VLOOKUP(T1335,[1]tablescore!$B$3:$C$8, 2,FALSE)</f>
        <v>4</v>
      </c>
      <c r="V1335" t="str">
        <f t="shared" si="41"/>
        <v>Low Loyalty</v>
      </c>
      <c r="W1335" t="s">
        <v>60</v>
      </c>
    </row>
    <row r="1336" spans="1:23" x14ac:dyDescent="0.25">
      <c r="A1336">
        <v>1335</v>
      </c>
      <c r="B1336">
        <v>46</v>
      </c>
      <c r="C1336" t="str" cm="1">
        <f t="array" ref="C1336">_xlfn.IFS(
  AND(B1336&gt;=18, B1336&lt;=24), "18-24",
  AND(B1336&gt;=25, B1336&lt;=34), "25-34",
  AND(B1336&gt;=35, B1336&lt;=44), "35-44",
  AND(B1336&gt;=45, B1336&lt;=54), "45-54",
  B1336&gt;=55, "55+"
)</f>
        <v>45-54</v>
      </c>
      <c r="D1336" t="s">
        <v>19</v>
      </c>
      <c r="E1336" t="s">
        <v>64</v>
      </c>
      <c r="F1336" t="s">
        <v>65</v>
      </c>
      <c r="G1336">
        <v>52</v>
      </c>
      <c r="H1336" t="s">
        <v>66</v>
      </c>
      <c r="I1336" t="s">
        <v>38</v>
      </c>
      <c r="J1336" t="s">
        <v>53</v>
      </c>
      <c r="K1336" t="s">
        <v>39</v>
      </c>
      <c r="L1336">
        <v>4.2</v>
      </c>
      <c r="M1336" t="s">
        <v>152</v>
      </c>
      <c r="N1336" t="s">
        <v>59</v>
      </c>
      <c r="O1336" t="s">
        <v>76</v>
      </c>
      <c r="P1336" t="s">
        <v>26</v>
      </c>
      <c r="Q1336" t="s">
        <v>26</v>
      </c>
      <c r="R1336">
        <v>12</v>
      </c>
      <c r="S1336" t="s">
        <v>29</v>
      </c>
      <c r="T1336" t="str">
        <f t="shared" si="40"/>
        <v>Month</v>
      </c>
      <c r="U1336">
        <f>VLOOKUP(T1336,[1]tablescore!$B$3:$C$8, 2,FALSE)</f>
        <v>12</v>
      </c>
      <c r="V1336" t="str">
        <f t="shared" si="41"/>
        <v>Moderate</v>
      </c>
      <c r="W1336" t="s">
        <v>88</v>
      </c>
    </row>
    <row r="1337" spans="1:23" x14ac:dyDescent="0.25">
      <c r="A1337">
        <v>1336</v>
      </c>
      <c r="B1337">
        <v>56</v>
      </c>
      <c r="C1337" t="str" cm="1">
        <f t="array" ref="C1337">_xlfn.IFS(
  AND(B1337&gt;=18, B1337&lt;=24), "18-24",
  AND(B1337&gt;=25, B1337&lt;=34), "25-34",
  AND(B1337&gt;=35, B1337&lt;=44), "35-44",
  AND(B1337&gt;=45, B1337&lt;=54), "45-54",
  B1337&gt;=55, "55+"
)</f>
        <v>55+</v>
      </c>
      <c r="D1337" t="s">
        <v>19</v>
      </c>
      <c r="E1337" t="s">
        <v>132</v>
      </c>
      <c r="F1337" t="s">
        <v>43</v>
      </c>
      <c r="G1337">
        <v>49</v>
      </c>
      <c r="H1337" t="s">
        <v>107</v>
      </c>
      <c r="I1337" t="s">
        <v>45</v>
      </c>
      <c r="J1337" t="s">
        <v>93</v>
      </c>
      <c r="K1337" t="s">
        <v>58</v>
      </c>
      <c r="L1337">
        <v>4.8</v>
      </c>
      <c r="M1337" t="s">
        <v>152</v>
      </c>
      <c r="N1337" t="s">
        <v>27</v>
      </c>
      <c r="O1337" t="s">
        <v>72</v>
      </c>
      <c r="P1337" t="s">
        <v>26</v>
      </c>
      <c r="Q1337" t="s">
        <v>26</v>
      </c>
      <c r="R1337">
        <v>26</v>
      </c>
      <c r="S1337" t="s">
        <v>27</v>
      </c>
      <c r="T1337" t="str">
        <f t="shared" si="40"/>
        <v>Daily</v>
      </c>
      <c r="U1337">
        <f>VLOOKUP(T1337,[1]tablescore!$B$3:$C$8, 2,FALSE)</f>
        <v>30</v>
      </c>
      <c r="V1337" t="str">
        <f t="shared" si="41"/>
        <v>Highly Loyal</v>
      </c>
      <c r="W1337" t="s">
        <v>41</v>
      </c>
    </row>
    <row r="1338" spans="1:23" x14ac:dyDescent="0.25">
      <c r="A1338">
        <v>1337</v>
      </c>
      <c r="B1338">
        <v>23</v>
      </c>
      <c r="C1338" t="str" cm="1">
        <f t="array" ref="C1338">_xlfn.IFS(
  AND(B1338&gt;=18, B1338&lt;=24), "18-24",
  AND(B1338&gt;=25, B1338&lt;=34), "25-34",
  AND(B1338&gt;=35, B1338&lt;=44), "35-44",
  AND(B1338&gt;=45, B1338&lt;=54), "45-54",
  B1338&gt;=55, "55+"
)</f>
        <v>18-24</v>
      </c>
      <c r="D1338" t="s">
        <v>19</v>
      </c>
      <c r="E1338" t="s">
        <v>51</v>
      </c>
      <c r="F1338" t="s">
        <v>43</v>
      </c>
      <c r="G1338">
        <v>85</v>
      </c>
      <c r="H1338" t="s">
        <v>48</v>
      </c>
      <c r="I1338" t="s">
        <v>45</v>
      </c>
      <c r="J1338" t="s">
        <v>63</v>
      </c>
      <c r="K1338" t="s">
        <v>39</v>
      </c>
      <c r="L1338">
        <v>4.8</v>
      </c>
      <c r="M1338" t="s">
        <v>152</v>
      </c>
      <c r="N1338" t="s">
        <v>46</v>
      </c>
      <c r="O1338" t="s">
        <v>76</v>
      </c>
      <c r="P1338" t="s">
        <v>26</v>
      </c>
      <c r="Q1338" t="s">
        <v>26</v>
      </c>
      <c r="R1338">
        <v>44</v>
      </c>
      <c r="S1338" t="s">
        <v>59</v>
      </c>
      <c r="T1338" t="str">
        <f t="shared" si="40"/>
        <v>2-week</v>
      </c>
      <c r="U1338">
        <f>VLOOKUP(T1338,[1]tablescore!$B$3:$C$8, 2,FALSE)</f>
        <v>26</v>
      </c>
      <c r="V1338" t="str">
        <f t="shared" si="41"/>
        <v>Loyal</v>
      </c>
      <c r="W1338" t="s">
        <v>30</v>
      </c>
    </row>
    <row r="1339" spans="1:23" x14ac:dyDescent="0.25">
      <c r="A1339">
        <v>1338</v>
      </c>
      <c r="B1339">
        <v>37</v>
      </c>
      <c r="C1339" t="str" cm="1">
        <f t="array" ref="C1339">_xlfn.IFS(
  AND(B1339&gt;=18, B1339&lt;=24), "18-24",
  AND(B1339&gt;=25, B1339&lt;=34), "25-34",
  AND(B1339&gt;=35, B1339&lt;=44), "35-44",
  AND(B1339&gt;=45, B1339&lt;=54), "45-54",
  B1339&gt;=55, "55+"
)</f>
        <v>35-44</v>
      </c>
      <c r="D1339" t="s">
        <v>19</v>
      </c>
      <c r="E1339" t="s">
        <v>31</v>
      </c>
      <c r="F1339" t="s">
        <v>21</v>
      </c>
      <c r="G1339">
        <v>86</v>
      </c>
      <c r="H1339" t="s">
        <v>122</v>
      </c>
      <c r="I1339" t="s">
        <v>23</v>
      </c>
      <c r="J1339" t="s">
        <v>67</v>
      </c>
      <c r="K1339" t="s">
        <v>39</v>
      </c>
      <c r="L1339">
        <v>3.4</v>
      </c>
      <c r="M1339" t="s">
        <v>152</v>
      </c>
      <c r="N1339" t="s">
        <v>29</v>
      </c>
      <c r="O1339" t="s">
        <v>28</v>
      </c>
      <c r="P1339" t="s">
        <v>26</v>
      </c>
      <c r="Q1339" t="s">
        <v>26</v>
      </c>
      <c r="R1339">
        <v>19</v>
      </c>
      <c r="S1339" t="s">
        <v>27</v>
      </c>
      <c r="T1339" t="str">
        <f t="shared" si="40"/>
        <v>2-week</v>
      </c>
      <c r="U1339">
        <f>VLOOKUP(T1339,[1]tablescore!$B$3:$C$8, 2,FALSE)</f>
        <v>26</v>
      </c>
      <c r="V1339" t="str">
        <f t="shared" si="41"/>
        <v>Loyal</v>
      </c>
      <c r="W1339" t="s">
        <v>77</v>
      </c>
    </row>
    <row r="1340" spans="1:23" x14ac:dyDescent="0.25">
      <c r="A1340">
        <v>1339</v>
      </c>
      <c r="B1340">
        <v>56</v>
      </c>
      <c r="C1340" t="str" cm="1">
        <f t="array" ref="C1340">_xlfn.IFS(
  AND(B1340&gt;=18, B1340&lt;=24), "18-24",
  AND(B1340&gt;=25, B1340&lt;=34), "25-34",
  AND(B1340&gt;=35, B1340&lt;=44), "35-44",
  AND(B1340&gt;=45, B1340&lt;=54), "45-54",
  B1340&gt;=55, "55+"
)</f>
        <v>55+</v>
      </c>
      <c r="D1340" t="s">
        <v>19</v>
      </c>
      <c r="E1340" t="s">
        <v>68</v>
      </c>
      <c r="F1340" t="s">
        <v>69</v>
      </c>
      <c r="G1340">
        <v>51</v>
      </c>
      <c r="H1340" t="s">
        <v>90</v>
      </c>
      <c r="I1340" t="s">
        <v>38</v>
      </c>
      <c r="J1340" t="s">
        <v>139</v>
      </c>
      <c r="K1340" t="s">
        <v>25</v>
      </c>
      <c r="L1340">
        <v>2.6</v>
      </c>
      <c r="M1340" t="s">
        <v>152</v>
      </c>
      <c r="N1340" t="s">
        <v>34</v>
      </c>
      <c r="O1340" t="s">
        <v>55</v>
      </c>
      <c r="P1340" t="s">
        <v>26</v>
      </c>
      <c r="Q1340" t="s">
        <v>26</v>
      </c>
      <c r="R1340">
        <v>43</v>
      </c>
      <c r="S1340" t="s">
        <v>46</v>
      </c>
      <c r="T1340" t="str">
        <f t="shared" si="40"/>
        <v>2-week</v>
      </c>
      <c r="U1340">
        <f>VLOOKUP(T1340,[1]tablescore!$B$3:$C$8, 2,FALSE)</f>
        <v>26</v>
      </c>
      <c r="V1340" t="str">
        <f t="shared" si="41"/>
        <v>Loyal</v>
      </c>
      <c r="W1340" t="s">
        <v>30</v>
      </c>
    </row>
    <row r="1341" spans="1:23" x14ac:dyDescent="0.25">
      <c r="A1341">
        <v>1340</v>
      </c>
      <c r="B1341">
        <v>36</v>
      </c>
      <c r="C1341" t="str" cm="1">
        <f t="array" ref="C1341">_xlfn.IFS(
  AND(B1341&gt;=18, B1341&lt;=24), "18-24",
  AND(B1341&gt;=25, B1341&lt;=34), "25-34",
  AND(B1341&gt;=35, B1341&lt;=44), "35-44",
  AND(B1341&gt;=45, B1341&lt;=54), "45-54",
  B1341&gt;=55, "55+"
)</f>
        <v>35-44</v>
      </c>
      <c r="D1341" t="s">
        <v>19</v>
      </c>
      <c r="E1341" t="s">
        <v>136</v>
      </c>
      <c r="F1341" t="s">
        <v>69</v>
      </c>
      <c r="G1341">
        <v>56</v>
      </c>
      <c r="H1341" t="s">
        <v>116</v>
      </c>
      <c r="I1341" t="s">
        <v>23</v>
      </c>
      <c r="J1341" t="s">
        <v>79</v>
      </c>
      <c r="K1341" t="s">
        <v>25</v>
      </c>
      <c r="L1341">
        <v>5</v>
      </c>
      <c r="M1341" t="s">
        <v>152</v>
      </c>
      <c r="N1341" t="s">
        <v>46</v>
      </c>
      <c r="O1341" t="s">
        <v>47</v>
      </c>
      <c r="P1341" t="s">
        <v>26</v>
      </c>
      <c r="Q1341" t="s">
        <v>26</v>
      </c>
      <c r="R1341">
        <v>5</v>
      </c>
      <c r="S1341" t="s">
        <v>34</v>
      </c>
      <c r="T1341" t="str">
        <f t="shared" si="40"/>
        <v>Quarterly</v>
      </c>
      <c r="U1341">
        <f>VLOOKUP(T1341,[1]tablescore!$B$3:$C$8, 2,FALSE)</f>
        <v>4</v>
      </c>
      <c r="V1341" t="str">
        <f t="shared" si="41"/>
        <v>Low Loyalty</v>
      </c>
      <c r="W1341" t="s">
        <v>97</v>
      </c>
    </row>
    <row r="1342" spans="1:23" x14ac:dyDescent="0.25">
      <c r="A1342">
        <v>1341</v>
      </c>
      <c r="B1342">
        <v>40</v>
      </c>
      <c r="C1342" t="str" cm="1">
        <f t="array" ref="C1342">_xlfn.IFS(
  AND(B1342&gt;=18, B1342&lt;=24), "18-24",
  AND(B1342&gt;=25, B1342&lt;=34), "25-34",
  AND(B1342&gt;=35, B1342&lt;=44), "35-44",
  AND(B1342&gt;=45, B1342&lt;=54), "45-54",
  B1342&gt;=55, "55+"
)</f>
        <v>35-44</v>
      </c>
      <c r="D1342" t="s">
        <v>19</v>
      </c>
      <c r="E1342" t="s">
        <v>136</v>
      </c>
      <c r="F1342" t="s">
        <v>69</v>
      </c>
      <c r="G1342">
        <v>72</v>
      </c>
      <c r="H1342" t="s">
        <v>144</v>
      </c>
      <c r="I1342" t="s">
        <v>45</v>
      </c>
      <c r="J1342" t="s">
        <v>100</v>
      </c>
      <c r="K1342" t="s">
        <v>58</v>
      </c>
      <c r="L1342">
        <v>4.4000000000000004</v>
      </c>
      <c r="M1342" t="s">
        <v>152</v>
      </c>
      <c r="N1342" t="s">
        <v>27</v>
      </c>
      <c r="O1342" t="s">
        <v>47</v>
      </c>
      <c r="P1342" t="s">
        <v>26</v>
      </c>
      <c r="Q1342" t="s">
        <v>26</v>
      </c>
      <c r="R1342">
        <v>5</v>
      </c>
      <c r="S1342" t="s">
        <v>59</v>
      </c>
      <c r="T1342" t="str">
        <f t="shared" si="40"/>
        <v>Quarterly</v>
      </c>
      <c r="U1342">
        <f>VLOOKUP(T1342,[1]tablescore!$B$3:$C$8, 2,FALSE)</f>
        <v>4</v>
      </c>
      <c r="V1342" t="str">
        <f t="shared" si="41"/>
        <v>Low Loyalty</v>
      </c>
      <c r="W1342" t="s">
        <v>97</v>
      </c>
    </row>
    <row r="1343" spans="1:23" x14ac:dyDescent="0.25">
      <c r="A1343">
        <v>1342</v>
      </c>
      <c r="B1343">
        <v>26</v>
      </c>
      <c r="C1343" t="str" cm="1">
        <f t="array" ref="C1343">_xlfn.IFS(
  AND(B1343&gt;=18, B1343&lt;=24), "18-24",
  AND(B1343&gt;=25, B1343&lt;=34), "25-34",
  AND(B1343&gt;=35, B1343&lt;=44), "35-44",
  AND(B1343&gt;=45, B1343&lt;=54), "45-54",
  B1343&gt;=55, "55+"
)</f>
        <v>25-34</v>
      </c>
      <c r="D1343" t="s">
        <v>19</v>
      </c>
      <c r="E1343" t="s">
        <v>104</v>
      </c>
      <c r="F1343" t="s">
        <v>21</v>
      </c>
      <c r="G1343">
        <v>27</v>
      </c>
      <c r="H1343" t="s">
        <v>44</v>
      </c>
      <c r="I1343" t="s">
        <v>92</v>
      </c>
      <c r="J1343" t="s">
        <v>139</v>
      </c>
      <c r="K1343" t="s">
        <v>58</v>
      </c>
      <c r="L1343">
        <v>2.9</v>
      </c>
      <c r="M1343" t="s">
        <v>152</v>
      </c>
      <c r="N1343" t="s">
        <v>59</v>
      </c>
      <c r="O1343" t="s">
        <v>55</v>
      </c>
      <c r="P1343" t="s">
        <v>26</v>
      </c>
      <c r="Q1343" t="s">
        <v>26</v>
      </c>
      <c r="R1343">
        <v>31</v>
      </c>
      <c r="S1343" t="s">
        <v>34</v>
      </c>
      <c r="T1343" t="str">
        <f t="shared" si="40"/>
        <v>Quarterly</v>
      </c>
      <c r="U1343">
        <f>VLOOKUP(T1343,[1]tablescore!$B$3:$C$8, 2,FALSE)</f>
        <v>4</v>
      </c>
      <c r="V1343" t="str">
        <f t="shared" si="41"/>
        <v>Low Loyalty</v>
      </c>
      <c r="W1343" t="s">
        <v>60</v>
      </c>
    </row>
    <row r="1344" spans="1:23" x14ac:dyDescent="0.25">
      <c r="A1344">
        <v>1343</v>
      </c>
      <c r="B1344">
        <v>57</v>
      </c>
      <c r="C1344" t="str" cm="1">
        <f t="array" ref="C1344">_xlfn.IFS(
  AND(B1344&gt;=18, B1344&lt;=24), "18-24",
  AND(B1344&gt;=25, B1344&lt;=34), "25-34",
  AND(B1344&gt;=35, B1344&lt;=44), "35-44",
  AND(B1344&gt;=45, B1344&lt;=54), "45-54",
  B1344&gt;=55, "55+"
)</f>
        <v>55+</v>
      </c>
      <c r="D1344" t="s">
        <v>19</v>
      </c>
      <c r="E1344" t="s">
        <v>89</v>
      </c>
      <c r="F1344" t="s">
        <v>69</v>
      </c>
      <c r="G1344">
        <v>43</v>
      </c>
      <c r="H1344" t="s">
        <v>117</v>
      </c>
      <c r="I1344" t="s">
        <v>92</v>
      </c>
      <c r="J1344" t="s">
        <v>139</v>
      </c>
      <c r="K1344" t="s">
        <v>54</v>
      </c>
      <c r="L1344">
        <v>3.4</v>
      </c>
      <c r="M1344" t="s">
        <v>152</v>
      </c>
      <c r="N1344" t="s">
        <v>35</v>
      </c>
      <c r="O1344" t="s">
        <v>72</v>
      </c>
      <c r="P1344" t="s">
        <v>26</v>
      </c>
      <c r="Q1344" t="s">
        <v>26</v>
      </c>
      <c r="R1344">
        <v>11</v>
      </c>
      <c r="S1344" t="s">
        <v>34</v>
      </c>
      <c r="T1344" t="str">
        <f t="shared" si="40"/>
        <v>Month</v>
      </c>
      <c r="U1344">
        <f>VLOOKUP(T1344,[1]tablescore!$B$3:$C$8, 2,FALSE)</f>
        <v>12</v>
      </c>
      <c r="V1344" t="str">
        <f t="shared" si="41"/>
        <v>Moderate</v>
      </c>
      <c r="W1344" t="s">
        <v>88</v>
      </c>
    </row>
    <row r="1345" spans="1:23" x14ac:dyDescent="0.25">
      <c r="A1345">
        <v>1344</v>
      </c>
      <c r="B1345">
        <v>68</v>
      </c>
      <c r="C1345" t="str" cm="1">
        <f t="array" ref="C1345">_xlfn.IFS(
  AND(B1345&gt;=18, B1345&lt;=24), "18-24",
  AND(B1345&gt;=25, B1345&lt;=34), "25-34",
  AND(B1345&gt;=35, B1345&lt;=44), "35-44",
  AND(B1345&gt;=45, B1345&lt;=54), "45-54",
  B1345&gt;=55, "55+"
)</f>
        <v>55+</v>
      </c>
      <c r="D1345" t="s">
        <v>19</v>
      </c>
      <c r="E1345" t="s">
        <v>51</v>
      </c>
      <c r="F1345" t="s">
        <v>43</v>
      </c>
      <c r="G1345">
        <v>56</v>
      </c>
      <c r="H1345" t="s">
        <v>103</v>
      </c>
      <c r="I1345" t="s">
        <v>45</v>
      </c>
      <c r="J1345" t="s">
        <v>129</v>
      </c>
      <c r="K1345" t="s">
        <v>39</v>
      </c>
      <c r="L1345">
        <v>3.4</v>
      </c>
      <c r="M1345" t="s">
        <v>152</v>
      </c>
      <c r="N1345" t="s">
        <v>29</v>
      </c>
      <c r="O1345" t="s">
        <v>55</v>
      </c>
      <c r="P1345" t="s">
        <v>26</v>
      </c>
      <c r="Q1345" t="s">
        <v>26</v>
      </c>
      <c r="R1345">
        <v>34</v>
      </c>
      <c r="S1345" t="s">
        <v>34</v>
      </c>
      <c r="T1345" t="str">
        <f t="shared" si="40"/>
        <v>Month</v>
      </c>
      <c r="U1345">
        <f>VLOOKUP(T1345,[1]tablescore!$B$3:$C$8, 2,FALSE)</f>
        <v>12</v>
      </c>
      <c r="V1345" t="str">
        <f t="shared" si="41"/>
        <v>Moderate</v>
      </c>
      <c r="W1345" t="s">
        <v>88</v>
      </c>
    </row>
    <row r="1346" spans="1:23" x14ac:dyDescent="0.25">
      <c r="A1346">
        <v>1345</v>
      </c>
      <c r="B1346">
        <v>56</v>
      </c>
      <c r="C1346" t="str" cm="1">
        <f t="array" ref="C1346">_xlfn.IFS(
  AND(B1346&gt;=18, B1346&lt;=24), "18-24",
  AND(B1346&gt;=25, B1346&lt;=34), "25-34",
  AND(B1346&gt;=35, B1346&lt;=44), "35-44",
  AND(B1346&gt;=45, B1346&lt;=54), "45-54",
  B1346&gt;=55, "55+"
)</f>
        <v>55+</v>
      </c>
      <c r="D1346" t="s">
        <v>19</v>
      </c>
      <c r="E1346" t="s">
        <v>113</v>
      </c>
      <c r="F1346" t="s">
        <v>21</v>
      </c>
      <c r="G1346">
        <v>37</v>
      </c>
      <c r="H1346" t="s">
        <v>85</v>
      </c>
      <c r="I1346" t="s">
        <v>38</v>
      </c>
      <c r="J1346" t="s">
        <v>84</v>
      </c>
      <c r="K1346" t="s">
        <v>58</v>
      </c>
      <c r="L1346">
        <v>4.9000000000000004</v>
      </c>
      <c r="M1346" t="s">
        <v>152</v>
      </c>
      <c r="N1346" t="s">
        <v>27</v>
      </c>
      <c r="O1346" t="s">
        <v>47</v>
      </c>
      <c r="P1346" t="s">
        <v>26</v>
      </c>
      <c r="Q1346" t="s">
        <v>26</v>
      </c>
      <c r="R1346">
        <v>14</v>
      </c>
      <c r="S1346" t="s">
        <v>35</v>
      </c>
      <c r="T1346" t="str">
        <f t="shared" si="40"/>
        <v>Annually</v>
      </c>
      <c r="U1346">
        <f>VLOOKUP(T1346,[1]tablescore!$B$3:$C$8, 2,FALSE)</f>
        <v>1</v>
      </c>
      <c r="V1346" t="str">
        <f t="shared" si="41"/>
        <v>Low Loyalty</v>
      </c>
      <c r="W1346" t="s">
        <v>50</v>
      </c>
    </row>
    <row r="1347" spans="1:23" x14ac:dyDescent="0.25">
      <c r="A1347">
        <v>1346</v>
      </c>
      <c r="B1347">
        <v>40</v>
      </c>
      <c r="C1347" t="str" cm="1">
        <f t="array" ref="C1347">_xlfn.IFS(
  AND(B1347&gt;=18, B1347&lt;=24), "18-24",
  AND(B1347&gt;=25, B1347&lt;=34), "25-34",
  AND(B1347&gt;=35, B1347&lt;=44), "35-44",
  AND(B1347&gt;=45, B1347&lt;=54), "45-54",
  B1347&gt;=55, "55+"
)</f>
        <v>35-44</v>
      </c>
      <c r="D1347" t="s">
        <v>19</v>
      </c>
      <c r="E1347" t="s">
        <v>82</v>
      </c>
      <c r="F1347" t="s">
        <v>21</v>
      </c>
      <c r="G1347">
        <v>21</v>
      </c>
      <c r="H1347" t="s">
        <v>143</v>
      </c>
      <c r="I1347" t="s">
        <v>45</v>
      </c>
      <c r="J1347" t="s">
        <v>53</v>
      </c>
      <c r="K1347" t="s">
        <v>58</v>
      </c>
      <c r="L1347">
        <v>3.6</v>
      </c>
      <c r="M1347" t="s">
        <v>152</v>
      </c>
      <c r="N1347" t="s">
        <v>27</v>
      </c>
      <c r="O1347" t="s">
        <v>55</v>
      </c>
      <c r="P1347" t="s">
        <v>26</v>
      </c>
      <c r="Q1347" t="s">
        <v>26</v>
      </c>
      <c r="R1347">
        <v>42</v>
      </c>
      <c r="S1347" t="s">
        <v>29</v>
      </c>
      <c r="T1347" t="str">
        <f t="shared" ref="T1347:T1410" si="42">IF(TRIM(W1347)="Every 3 months","Quarterly",IF(TRIM(W1347)="Fortnightly","2-week",IF(TRIM(W1347)="Bi-Weekly","2-week",IF(TRIM(W1347)="Weekly","Daily",IF(TRIM(W1347)="Monthly","Month",TRIM(W1347))))))</f>
        <v>Daily</v>
      </c>
      <c r="U1347">
        <f>VLOOKUP(T1347,[1]tablescore!$B$3:$C$8, 2,FALSE)</f>
        <v>30</v>
      </c>
      <c r="V1347" t="str">
        <f t="shared" ref="V1347:V1410" si="43">_xlfn.IFS(U1347&gt;=30, "Highly Loyal", U1347&gt;=26, "Loyal", U1347&gt;=12, "Moderate", U1347&lt;5, "Low Loyalty")</f>
        <v>Highly Loyal</v>
      </c>
      <c r="W1347" t="s">
        <v>41</v>
      </c>
    </row>
    <row r="1348" spans="1:23" x14ac:dyDescent="0.25">
      <c r="A1348">
        <v>1347</v>
      </c>
      <c r="B1348">
        <v>44</v>
      </c>
      <c r="C1348" t="str" cm="1">
        <f t="array" ref="C1348">_xlfn.IFS(
  AND(B1348&gt;=18, B1348&lt;=24), "18-24",
  AND(B1348&gt;=25, B1348&lt;=34), "25-34",
  AND(B1348&gt;=35, B1348&lt;=44), "35-44",
  AND(B1348&gt;=45, B1348&lt;=54), "45-54",
  B1348&gt;=55, "55+"
)</f>
        <v>35-44</v>
      </c>
      <c r="D1348" t="s">
        <v>19</v>
      </c>
      <c r="E1348" t="s">
        <v>104</v>
      </c>
      <c r="F1348" t="s">
        <v>21</v>
      </c>
      <c r="G1348">
        <v>91</v>
      </c>
      <c r="H1348" t="s">
        <v>91</v>
      </c>
      <c r="I1348" t="s">
        <v>23</v>
      </c>
      <c r="J1348" t="s">
        <v>53</v>
      </c>
      <c r="K1348" t="s">
        <v>25</v>
      </c>
      <c r="L1348">
        <v>3</v>
      </c>
      <c r="M1348" t="s">
        <v>152</v>
      </c>
      <c r="N1348" t="s">
        <v>27</v>
      </c>
      <c r="O1348" t="s">
        <v>40</v>
      </c>
      <c r="P1348" t="s">
        <v>26</v>
      </c>
      <c r="Q1348" t="s">
        <v>26</v>
      </c>
      <c r="R1348">
        <v>15</v>
      </c>
      <c r="S1348" t="s">
        <v>29</v>
      </c>
      <c r="T1348" t="str">
        <f t="shared" si="42"/>
        <v>2-week</v>
      </c>
      <c r="U1348">
        <f>VLOOKUP(T1348,[1]tablescore!$B$3:$C$8, 2,FALSE)</f>
        <v>26</v>
      </c>
      <c r="V1348" t="str">
        <f t="shared" si="43"/>
        <v>Loyal</v>
      </c>
      <c r="W1348" t="s">
        <v>77</v>
      </c>
    </row>
    <row r="1349" spans="1:23" x14ac:dyDescent="0.25">
      <c r="A1349">
        <v>1348</v>
      </c>
      <c r="B1349">
        <v>44</v>
      </c>
      <c r="C1349" t="str" cm="1">
        <f t="array" ref="C1349">_xlfn.IFS(
  AND(B1349&gt;=18, B1349&lt;=24), "18-24",
  AND(B1349&gt;=25, B1349&lt;=34), "25-34",
  AND(B1349&gt;=35, B1349&lt;=44), "35-44",
  AND(B1349&gt;=45, B1349&lt;=54), "45-54",
  B1349&gt;=55, "55+"
)</f>
        <v>35-44</v>
      </c>
      <c r="D1349" t="s">
        <v>19</v>
      </c>
      <c r="E1349" t="s">
        <v>31</v>
      </c>
      <c r="F1349" t="s">
        <v>21</v>
      </c>
      <c r="G1349">
        <v>95</v>
      </c>
      <c r="H1349" t="s">
        <v>145</v>
      </c>
      <c r="I1349" t="s">
        <v>45</v>
      </c>
      <c r="J1349" t="s">
        <v>109</v>
      </c>
      <c r="K1349" t="s">
        <v>54</v>
      </c>
      <c r="L1349">
        <v>3.9</v>
      </c>
      <c r="M1349" t="s">
        <v>152</v>
      </c>
      <c r="N1349" t="s">
        <v>29</v>
      </c>
      <c r="O1349" t="s">
        <v>72</v>
      </c>
      <c r="P1349" t="s">
        <v>26</v>
      </c>
      <c r="Q1349" t="s">
        <v>26</v>
      </c>
      <c r="R1349">
        <v>47</v>
      </c>
      <c r="S1349" t="s">
        <v>34</v>
      </c>
      <c r="T1349" t="str">
        <f t="shared" si="42"/>
        <v>Month</v>
      </c>
      <c r="U1349">
        <f>VLOOKUP(T1349,[1]tablescore!$B$3:$C$8, 2,FALSE)</f>
        <v>12</v>
      </c>
      <c r="V1349" t="str">
        <f t="shared" si="43"/>
        <v>Moderate</v>
      </c>
      <c r="W1349" t="s">
        <v>88</v>
      </c>
    </row>
    <row r="1350" spans="1:23" x14ac:dyDescent="0.25">
      <c r="A1350">
        <v>1349</v>
      </c>
      <c r="B1350">
        <v>19</v>
      </c>
      <c r="C1350" t="str" cm="1">
        <f t="array" ref="C1350">_xlfn.IFS(
  AND(B1350&gt;=18, B1350&lt;=24), "18-24",
  AND(B1350&gt;=25, B1350&lt;=34), "25-34",
  AND(B1350&gt;=35, B1350&lt;=44), "35-44",
  AND(B1350&gt;=45, B1350&lt;=54), "45-54",
  B1350&gt;=55, "55+"
)</f>
        <v>18-24</v>
      </c>
      <c r="D1350" t="s">
        <v>19</v>
      </c>
      <c r="E1350" t="s">
        <v>136</v>
      </c>
      <c r="F1350" t="s">
        <v>69</v>
      </c>
      <c r="G1350">
        <v>54</v>
      </c>
      <c r="H1350" t="s">
        <v>143</v>
      </c>
      <c r="I1350" t="s">
        <v>92</v>
      </c>
      <c r="J1350" t="s">
        <v>75</v>
      </c>
      <c r="K1350" t="s">
        <v>39</v>
      </c>
      <c r="L1350">
        <v>3.2</v>
      </c>
      <c r="M1350" t="s">
        <v>152</v>
      </c>
      <c r="N1350" t="s">
        <v>46</v>
      </c>
      <c r="O1350" t="s">
        <v>55</v>
      </c>
      <c r="P1350" t="s">
        <v>26</v>
      </c>
      <c r="Q1350" t="s">
        <v>26</v>
      </c>
      <c r="R1350">
        <v>23</v>
      </c>
      <c r="S1350" t="s">
        <v>27</v>
      </c>
      <c r="T1350" t="str">
        <f t="shared" si="42"/>
        <v>2-week</v>
      </c>
      <c r="U1350">
        <f>VLOOKUP(T1350,[1]tablescore!$B$3:$C$8, 2,FALSE)</f>
        <v>26</v>
      </c>
      <c r="V1350" t="str">
        <f t="shared" si="43"/>
        <v>Loyal</v>
      </c>
      <c r="W1350" t="s">
        <v>30</v>
      </c>
    </row>
    <row r="1351" spans="1:23" x14ac:dyDescent="0.25">
      <c r="A1351">
        <v>1350</v>
      </c>
      <c r="B1351">
        <v>21</v>
      </c>
      <c r="C1351" t="str" cm="1">
        <f t="array" ref="C1351">_xlfn.IFS(
  AND(B1351&gt;=18, B1351&lt;=24), "18-24",
  AND(B1351&gt;=25, B1351&lt;=34), "25-34",
  AND(B1351&gt;=35, B1351&lt;=44), "35-44",
  AND(B1351&gt;=45, B1351&lt;=54), "45-54",
  B1351&gt;=55, "55+"
)</f>
        <v>18-24</v>
      </c>
      <c r="D1351" t="s">
        <v>19</v>
      </c>
      <c r="E1351" t="s">
        <v>131</v>
      </c>
      <c r="F1351" t="s">
        <v>21</v>
      </c>
      <c r="G1351">
        <v>36</v>
      </c>
      <c r="H1351" t="s">
        <v>126</v>
      </c>
      <c r="I1351" t="s">
        <v>92</v>
      </c>
      <c r="J1351" t="s">
        <v>94</v>
      </c>
      <c r="K1351" t="s">
        <v>39</v>
      </c>
      <c r="L1351">
        <v>3.2</v>
      </c>
      <c r="M1351" t="s">
        <v>152</v>
      </c>
      <c r="N1351" t="s">
        <v>34</v>
      </c>
      <c r="O1351" t="s">
        <v>47</v>
      </c>
      <c r="P1351" t="s">
        <v>26</v>
      </c>
      <c r="Q1351" t="s">
        <v>26</v>
      </c>
      <c r="R1351">
        <v>23</v>
      </c>
      <c r="S1351" t="s">
        <v>35</v>
      </c>
      <c r="T1351" t="str">
        <f t="shared" si="42"/>
        <v>2-week</v>
      </c>
      <c r="U1351">
        <f>VLOOKUP(T1351,[1]tablescore!$B$3:$C$8, 2,FALSE)</f>
        <v>26</v>
      </c>
      <c r="V1351" t="str">
        <f t="shared" si="43"/>
        <v>Loyal</v>
      </c>
      <c r="W1351" t="s">
        <v>77</v>
      </c>
    </row>
    <row r="1352" spans="1:23" x14ac:dyDescent="0.25">
      <c r="A1352">
        <v>1351</v>
      </c>
      <c r="B1352">
        <v>31</v>
      </c>
      <c r="C1352" t="str" cm="1">
        <f t="array" ref="C1352">_xlfn.IFS(
  AND(B1352&gt;=18, B1352&lt;=24), "18-24",
  AND(B1352&gt;=25, B1352&lt;=34), "25-34",
  AND(B1352&gt;=35, B1352&lt;=44), "35-44",
  AND(B1352&gt;=45, B1352&lt;=54), "45-54",
  B1352&gt;=55, "55+"
)</f>
        <v>25-34</v>
      </c>
      <c r="D1352" t="s">
        <v>19</v>
      </c>
      <c r="E1352" t="s">
        <v>89</v>
      </c>
      <c r="F1352" t="s">
        <v>69</v>
      </c>
      <c r="G1352">
        <v>71</v>
      </c>
      <c r="H1352" t="s">
        <v>80</v>
      </c>
      <c r="I1352" t="s">
        <v>45</v>
      </c>
      <c r="J1352" t="s">
        <v>121</v>
      </c>
      <c r="K1352" t="s">
        <v>58</v>
      </c>
      <c r="L1352">
        <v>4.3</v>
      </c>
      <c r="M1352" t="s">
        <v>152</v>
      </c>
      <c r="N1352" t="s">
        <v>35</v>
      </c>
      <c r="O1352" t="s">
        <v>47</v>
      </c>
      <c r="P1352" t="s">
        <v>26</v>
      </c>
      <c r="Q1352" t="s">
        <v>26</v>
      </c>
      <c r="R1352">
        <v>1</v>
      </c>
      <c r="S1352" t="s">
        <v>35</v>
      </c>
      <c r="T1352" t="str">
        <f t="shared" si="42"/>
        <v>Quarterly</v>
      </c>
      <c r="U1352">
        <f>VLOOKUP(T1352,[1]tablescore!$B$3:$C$8, 2,FALSE)</f>
        <v>4</v>
      </c>
      <c r="V1352" t="str">
        <f t="shared" si="43"/>
        <v>Low Loyalty</v>
      </c>
      <c r="W1352" t="s">
        <v>97</v>
      </c>
    </row>
    <row r="1353" spans="1:23" x14ac:dyDescent="0.25">
      <c r="A1353">
        <v>1352</v>
      </c>
      <c r="B1353">
        <v>30</v>
      </c>
      <c r="C1353" t="str" cm="1">
        <f t="array" ref="C1353">_xlfn.IFS(
  AND(B1353&gt;=18, B1353&lt;=24), "18-24",
  AND(B1353&gt;=25, B1353&lt;=34), "25-34",
  AND(B1353&gt;=35, B1353&lt;=44), "35-44",
  AND(B1353&gt;=45, B1353&lt;=54), "45-54",
  B1353&gt;=55, "55+"
)</f>
        <v>25-34</v>
      </c>
      <c r="D1353" t="s">
        <v>19</v>
      </c>
      <c r="E1353" t="s">
        <v>64</v>
      </c>
      <c r="F1353" t="s">
        <v>65</v>
      </c>
      <c r="G1353">
        <v>31</v>
      </c>
      <c r="H1353" t="s">
        <v>145</v>
      </c>
      <c r="I1353" t="s">
        <v>23</v>
      </c>
      <c r="J1353" t="s">
        <v>33</v>
      </c>
      <c r="K1353" t="s">
        <v>54</v>
      </c>
      <c r="L1353">
        <v>2.8</v>
      </c>
      <c r="M1353" t="s">
        <v>152</v>
      </c>
      <c r="N1353" t="s">
        <v>27</v>
      </c>
      <c r="O1353" t="s">
        <v>72</v>
      </c>
      <c r="P1353" t="s">
        <v>26</v>
      </c>
      <c r="Q1353" t="s">
        <v>26</v>
      </c>
      <c r="R1353">
        <v>28</v>
      </c>
      <c r="S1353" t="s">
        <v>34</v>
      </c>
      <c r="T1353" t="str">
        <f t="shared" si="42"/>
        <v>Quarterly</v>
      </c>
      <c r="U1353">
        <f>VLOOKUP(T1353,[1]tablescore!$B$3:$C$8, 2,FALSE)</f>
        <v>4</v>
      </c>
      <c r="V1353" t="str">
        <f t="shared" si="43"/>
        <v>Low Loyalty</v>
      </c>
      <c r="W1353" t="s">
        <v>60</v>
      </c>
    </row>
    <row r="1354" spans="1:23" x14ac:dyDescent="0.25">
      <c r="A1354">
        <v>1353</v>
      </c>
      <c r="B1354">
        <v>65</v>
      </c>
      <c r="C1354" t="str" cm="1">
        <f t="array" ref="C1354">_xlfn.IFS(
  AND(B1354&gt;=18, B1354&lt;=24), "18-24",
  AND(B1354&gt;=25, B1354&lt;=34), "25-34",
  AND(B1354&gt;=35, B1354&lt;=44), "35-44",
  AND(B1354&gt;=45, B1354&lt;=54), "45-54",
  B1354&gt;=55, "55+"
)</f>
        <v>55+</v>
      </c>
      <c r="D1354" t="s">
        <v>19</v>
      </c>
      <c r="E1354" t="s">
        <v>125</v>
      </c>
      <c r="F1354" t="s">
        <v>69</v>
      </c>
      <c r="G1354">
        <v>89</v>
      </c>
      <c r="H1354" t="s">
        <v>116</v>
      </c>
      <c r="I1354" t="s">
        <v>92</v>
      </c>
      <c r="J1354" t="s">
        <v>121</v>
      </c>
      <c r="K1354" t="s">
        <v>39</v>
      </c>
      <c r="L1354">
        <v>4.5</v>
      </c>
      <c r="M1354" t="s">
        <v>152</v>
      </c>
      <c r="N1354" t="s">
        <v>34</v>
      </c>
      <c r="O1354" t="s">
        <v>47</v>
      </c>
      <c r="P1354" t="s">
        <v>26</v>
      </c>
      <c r="Q1354" t="s">
        <v>26</v>
      </c>
      <c r="R1354">
        <v>37</v>
      </c>
      <c r="S1354" t="s">
        <v>27</v>
      </c>
      <c r="T1354" t="str">
        <f t="shared" si="42"/>
        <v>2-week</v>
      </c>
      <c r="U1354">
        <f>VLOOKUP(T1354,[1]tablescore!$B$3:$C$8, 2,FALSE)</f>
        <v>26</v>
      </c>
      <c r="V1354" t="str">
        <f t="shared" si="43"/>
        <v>Loyal</v>
      </c>
      <c r="W1354" t="s">
        <v>77</v>
      </c>
    </row>
    <row r="1355" spans="1:23" x14ac:dyDescent="0.25">
      <c r="A1355">
        <v>1354</v>
      </c>
      <c r="B1355">
        <v>39</v>
      </c>
      <c r="C1355" t="str" cm="1">
        <f t="array" ref="C1355">_xlfn.IFS(
  AND(B1355&gt;=18, B1355&lt;=24), "18-24",
  AND(B1355&gt;=25, B1355&lt;=34), "25-34",
  AND(B1355&gt;=35, B1355&lt;=44), "35-44",
  AND(B1355&gt;=45, B1355&lt;=54), "45-54",
  B1355&gt;=55, "55+"
)</f>
        <v>35-44</v>
      </c>
      <c r="D1355" t="s">
        <v>19</v>
      </c>
      <c r="E1355" t="s">
        <v>95</v>
      </c>
      <c r="F1355" t="s">
        <v>21</v>
      </c>
      <c r="G1355">
        <v>83</v>
      </c>
      <c r="H1355" t="s">
        <v>48</v>
      </c>
      <c r="I1355" t="s">
        <v>45</v>
      </c>
      <c r="J1355" t="s">
        <v>86</v>
      </c>
      <c r="K1355" t="s">
        <v>25</v>
      </c>
      <c r="L1355">
        <v>4.0999999999999996</v>
      </c>
      <c r="M1355" t="s">
        <v>152</v>
      </c>
      <c r="N1355" t="s">
        <v>34</v>
      </c>
      <c r="O1355" t="s">
        <v>47</v>
      </c>
      <c r="P1355" t="s">
        <v>26</v>
      </c>
      <c r="Q1355" t="s">
        <v>26</v>
      </c>
      <c r="R1355">
        <v>4</v>
      </c>
      <c r="S1355" t="s">
        <v>35</v>
      </c>
      <c r="T1355" t="str">
        <f t="shared" si="42"/>
        <v>Quarterly</v>
      </c>
      <c r="U1355">
        <f>VLOOKUP(T1355,[1]tablescore!$B$3:$C$8, 2,FALSE)</f>
        <v>4</v>
      </c>
      <c r="V1355" t="str">
        <f t="shared" si="43"/>
        <v>Low Loyalty</v>
      </c>
      <c r="W1355" t="s">
        <v>97</v>
      </c>
    </row>
    <row r="1356" spans="1:23" x14ac:dyDescent="0.25">
      <c r="A1356">
        <v>1355</v>
      </c>
      <c r="B1356">
        <v>64</v>
      </c>
      <c r="C1356" t="str" cm="1">
        <f t="array" ref="C1356">_xlfn.IFS(
  AND(B1356&gt;=18, B1356&lt;=24), "18-24",
  AND(B1356&gt;=25, B1356&lt;=34), "25-34",
  AND(B1356&gt;=35, B1356&lt;=44), "35-44",
  AND(B1356&gt;=45, B1356&lt;=54), "45-54",
  B1356&gt;=55, "55+"
)</f>
        <v>55+</v>
      </c>
      <c r="D1356" t="s">
        <v>19</v>
      </c>
      <c r="E1356" t="s">
        <v>133</v>
      </c>
      <c r="F1356" t="s">
        <v>69</v>
      </c>
      <c r="G1356">
        <v>42</v>
      </c>
      <c r="H1356" t="s">
        <v>135</v>
      </c>
      <c r="I1356" t="s">
        <v>45</v>
      </c>
      <c r="J1356" t="s">
        <v>24</v>
      </c>
      <c r="K1356" t="s">
        <v>39</v>
      </c>
      <c r="L1356">
        <v>3.6</v>
      </c>
      <c r="M1356" t="s">
        <v>152</v>
      </c>
      <c r="N1356" t="s">
        <v>59</v>
      </c>
      <c r="O1356" t="s">
        <v>72</v>
      </c>
      <c r="P1356" t="s">
        <v>26</v>
      </c>
      <c r="Q1356" t="s">
        <v>26</v>
      </c>
      <c r="R1356">
        <v>21</v>
      </c>
      <c r="S1356" t="s">
        <v>34</v>
      </c>
      <c r="T1356" t="str">
        <f t="shared" si="42"/>
        <v>Quarterly</v>
      </c>
      <c r="U1356">
        <f>VLOOKUP(T1356,[1]tablescore!$B$3:$C$8, 2,FALSE)</f>
        <v>4</v>
      </c>
      <c r="V1356" t="str">
        <f t="shared" si="43"/>
        <v>Low Loyalty</v>
      </c>
      <c r="W1356" t="s">
        <v>60</v>
      </c>
    </row>
    <row r="1357" spans="1:23" x14ac:dyDescent="0.25">
      <c r="A1357">
        <v>1356</v>
      </c>
      <c r="B1357">
        <v>59</v>
      </c>
      <c r="C1357" t="str" cm="1">
        <f t="array" ref="C1357">_xlfn.IFS(
  AND(B1357&gt;=18, B1357&lt;=24), "18-24",
  AND(B1357&gt;=25, B1357&lt;=34), "25-34",
  AND(B1357&gt;=35, B1357&lt;=44), "35-44",
  AND(B1357&gt;=45, B1357&lt;=54), "45-54",
  B1357&gt;=55, "55+"
)</f>
        <v>55+</v>
      </c>
      <c r="D1357" t="s">
        <v>19</v>
      </c>
      <c r="E1357" t="s">
        <v>61</v>
      </c>
      <c r="F1357" t="s">
        <v>21</v>
      </c>
      <c r="G1357">
        <v>91</v>
      </c>
      <c r="H1357" t="s">
        <v>103</v>
      </c>
      <c r="I1357" t="s">
        <v>45</v>
      </c>
      <c r="J1357" t="s">
        <v>138</v>
      </c>
      <c r="K1357" t="s">
        <v>54</v>
      </c>
      <c r="L1357">
        <v>3</v>
      </c>
      <c r="M1357" t="s">
        <v>152</v>
      </c>
      <c r="N1357" t="s">
        <v>29</v>
      </c>
      <c r="O1357" t="s">
        <v>72</v>
      </c>
      <c r="P1357" t="s">
        <v>26</v>
      </c>
      <c r="Q1357" t="s">
        <v>26</v>
      </c>
      <c r="R1357">
        <v>50</v>
      </c>
      <c r="S1357" t="s">
        <v>46</v>
      </c>
      <c r="T1357" t="str">
        <f t="shared" si="42"/>
        <v>2-week</v>
      </c>
      <c r="U1357">
        <f>VLOOKUP(T1357,[1]tablescore!$B$3:$C$8, 2,FALSE)</f>
        <v>26</v>
      </c>
      <c r="V1357" t="str">
        <f t="shared" si="43"/>
        <v>Loyal</v>
      </c>
      <c r="W1357" t="s">
        <v>77</v>
      </c>
    </row>
    <row r="1358" spans="1:23" x14ac:dyDescent="0.25">
      <c r="A1358">
        <v>1357</v>
      </c>
      <c r="B1358">
        <v>49</v>
      </c>
      <c r="C1358" t="str" cm="1">
        <f t="array" ref="C1358">_xlfn.IFS(
  AND(B1358&gt;=18, B1358&lt;=24), "18-24",
  AND(B1358&gt;=25, B1358&lt;=34), "25-34",
  AND(B1358&gt;=35, B1358&lt;=44), "35-44",
  AND(B1358&gt;=45, B1358&lt;=54), "45-54",
  B1358&gt;=55, "55+"
)</f>
        <v>45-54</v>
      </c>
      <c r="D1358" t="s">
        <v>19</v>
      </c>
      <c r="E1358" t="s">
        <v>102</v>
      </c>
      <c r="F1358" t="s">
        <v>65</v>
      </c>
      <c r="G1358">
        <v>61</v>
      </c>
      <c r="H1358" t="s">
        <v>116</v>
      </c>
      <c r="I1358" t="s">
        <v>45</v>
      </c>
      <c r="J1358" t="s">
        <v>109</v>
      </c>
      <c r="K1358" t="s">
        <v>39</v>
      </c>
      <c r="L1358">
        <v>4</v>
      </c>
      <c r="M1358" t="s">
        <v>152</v>
      </c>
      <c r="N1358" t="s">
        <v>59</v>
      </c>
      <c r="O1358" t="s">
        <v>40</v>
      </c>
      <c r="P1358" t="s">
        <v>26</v>
      </c>
      <c r="Q1358" t="s">
        <v>26</v>
      </c>
      <c r="R1358">
        <v>34</v>
      </c>
      <c r="S1358" t="s">
        <v>34</v>
      </c>
      <c r="T1358" t="str">
        <f t="shared" si="42"/>
        <v>Annually</v>
      </c>
      <c r="U1358">
        <f>VLOOKUP(T1358,[1]tablescore!$B$3:$C$8, 2,FALSE)</f>
        <v>1</v>
      </c>
      <c r="V1358" t="str">
        <f t="shared" si="43"/>
        <v>Low Loyalty</v>
      </c>
      <c r="W1358" t="s">
        <v>50</v>
      </c>
    </row>
    <row r="1359" spans="1:23" x14ac:dyDescent="0.25">
      <c r="A1359">
        <v>1358</v>
      </c>
      <c r="B1359">
        <v>24</v>
      </c>
      <c r="C1359" t="str" cm="1">
        <f t="array" ref="C1359">_xlfn.IFS(
  AND(B1359&gt;=18, B1359&lt;=24), "18-24",
  AND(B1359&gt;=25, B1359&lt;=34), "25-34",
  AND(B1359&gt;=35, B1359&lt;=44), "35-44",
  AND(B1359&gt;=45, B1359&lt;=54), "45-54",
  B1359&gt;=55, "55+"
)</f>
        <v>18-24</v>
      </c>
      <c r="D1359" t="s">
        <v>19</v>
      </c>
      <c r="E1359" t="s">
        <v>133</v>
      </c>
      <c r="F1359" t="s">
        <v>69</v>
      </c>
      <c r="G1359">
        <v>66</v>
      </c>
      <c r="H1359" t="s">
        <v>105</v>
      </c>
      <c r="I1359" t="s">
        <v>38</v>
      </c>
      <c r="J1359" t="s">
        <v>108</v>
      </c>
      <c r="K1359" t="s">
        <v>54</v>
      </c>
      <c r="L1359">
        <v>3.5</v>
      </c>
      <c r="M1359" t="s">
        <v>152</v>
      </c>
      <c r="N1359" t="s">
        <v>29</v>
      </c>
      <c r="O1359" t="s">
        <v>47</v>
      </c>
      <c r="P1359" t="s">
        <v>26</v>
      </c>
      <c r="Q1359" t="s">
        <v>26</v>
      </c>
      <c r="R1359">
        <v>20</v>
      </c>
      <c r="S1359" t="s">
        <v>35</v>
      </c>
      <c r="T1359" t="str">
        <f t="shared" si="42"/>
        <v>Quarterly</v>
      </c>
      <c r="U1359">
        <f>VLOOKUP(T1359,[1]tablescore!$B$3:$C$8, 2,FALSE)</f>
        <v>4</v>
      </c>
      <c r="V1359" t="str">
        <f t="shared" si="43"/>
        <v>Low Loyalty</v>
      </c>
      <c r="W1359" t="s">
        <v>60</v>
      </c>
    </row>
    <row r="1360" spans="1:23" x14ac:dyDescent="0.25">
      <c r="A1360">
        <v>1359</v>
      </c>
      <c r="B1360">
        <v>19</v>
      </c>
      <c r="C1360" t="str" cm="1">
        <f t="array" ref="C1360">_xlfn.IFS(
  AND(B1360&gt;=18, B1360&lt;=24), "18-24",
  AND(B1360&gt;=25, B1360&lt;=34), "25-34",
  AND(B1360&gt;=35, B1360&lt;=44), "35-44",
  AND(B1360&gt;=45, B1360&lt;=54), "45-54",
  B1360&gt;=55, "55+"
)</f>
        <v>18-24</v>
      </c>
      <c r="D1360" t="s">
        <v>19</v>
      </c>
      <c r="E1360" t="s">
        <v>119</v>
      </c>
      <c r="F1360" t="s">
        <v>69</v>
      </c>
      <c r="G1360">
        <v>22</v>
      </c>
      <c r="H1360" t="s">
        <v>143</v>
      </c>
      <c r="I1360" t="s">
        <v>92</v>
      </c>
      <c r="J1360" t="s">
        <v>71</v>
      </c>
      <c r="K1360" t="s">
        <v>39</v>
      </c>
      <c r="L1360">
        <v>2.5</v>
      </c>
      <c r="M1360" t="s">
        <v>152</v>
      </c>
      <c r="N1360" t="s">
        <v>59</v>
      </c>
      <c r="O1360" t="s">
        <v>76</v>
      </c>
      <c r="P1360" t="s">
        <v>26</v>
      </c>
      <c r="Q1360" t="s">
        <v>26</v>
      </c>
      <c r="R1360">
        <v>25</v>
      </c>
      <c r="S1360" t="s">
        <v>29</v>
      </c>
      <c r="T1360" t="str">
        <f t="shared" si="42"/>
        <v>Quarterly</v>
      </c>
      <c r="U1360">
        <f>VLOOKUP(T1360,[1]tablescore!$B$3:$C$8, 2,FALSE)</f>
        <v>4</v>
      </c>
      <c r="V1360" t="str">
        <f t="shared" si="43"/>
        <v>Low Loyalty</v>
      </c>
      <c r="W1360" t="s">
        <v>97</v>
      </c>
    </row>
    <row r="1361" spans="1:23" x14ac:dyDescent="0.25">
      <c r="A1361">
        <v>1360</v>
      </c>
      <c r="B1361">
        <v>27</v>
      </c>
      <c r="C1361" t="str" cm="1">
        <f t="array" ref="C1361">_xlfn.IFS(
  AND(B1361&gt;=18, B1361&lt;=24), "18-24",
  AND(B1361&gt;=25, B1361&lt;=34), "25-34",
  AND(B1361&gt;=35, B1361&lt;=44), "35-44",
  AND(B1361&gt;=45, B1361&lt;=54), "45-54",
  B1361&gt;=55, "55+"
)</f>
        <v>25-34</v>
      </c>
      <c r="D1361" t="s">
        <v>19</v>
      </c>
      <c r="E1361" t="s">
        <v>104</v>
      </c>
      <c r="F1361" t="s">
        <v>21</v>
      </c>
      <c r="G1361">
        <v>68</v>
      </c>
      <c r="H1361" t="s">
        <v>98</v>
      </c>
      <c r="I1361" t="s">
        <v>38</v>
      </c>
      <c r="J1361" t="s">
        <v>109</v>
      </c>
      <c r="K1361" t="s">
        <v>25</v>
      </c>
      <c r="L1361">
        <v>4.3</v>
      </c>
      <c r="M1361" t="s">
        <v>152</v>
      </c>
      <c r="N1361" t="s">
        <v>59</v>
      </c>
      <c r="O1361" t="s">
        <v>76</v>
      </c>
      <c r="P1361" t="s">
        <v>26</v>
      </c>
      <c r="Q1361" t="s">
        <v>26</v>
      </c>
      <c r="R1361">
        <v>26</v>
      </c>
      <c r="S1361" t="s">
        <v>34</v>
      </c>
      <c r="T1361" t="str">
        <f t="shared" si="42"/>
        <v>2-week</v>
      </c>
      <c r="U1361">
        <f>VLOOKUP(T1361,[1]tablescore!$B$3:$C$8, 2,FALSE)</f>
        <v>26</v>
      </c>
      <c r="V1361" t="str">
        <f t="shared" si="43"/>
        <v>Loyal</v>
      </c>
      <c r="W1361" t="s">
        <v>30</v>
      </c>
    </row>
    <row r="1362" spans="1:23" x14ac:dyDescent="0.25">
      <c r="A1362">
        <v>1361</v>
      </c>
      <c r="B1362">
        <v>56</v>
      </c>
      <c r="C1362" t="str" cm="1">
        <f t="array" ref="C1362">_xlfn.IFS(
  AND(B1362&gt;=18, B1362&lt;=24), "18-24",
  AND(B1362&gt;=25, B1362&lt;=34), "25-34",
  AND(B1362&gt;=35, B1362&lt;=44), "35-44",
  AND(B1362&gt;=45, B1362&lt;=54), "45-54",
  B1362&gt;=55, "55+"
)</f>
        <v>55+</v>
      </c>
      <c r="D1362" t="s">
        <v>19</v>
      </c>
      <c r="E1362" t="s">
        <v>87</v>
      </c>
      <c r="F1362" t="s">
        <v>21</v>
      </c>
      <c r="G1362">
        <v>43</v>
      </c>
      <c r="H1362" t="s">
        <v>90</v>
      </c>
      <c r="I1362" t="s">
        <v>23</v>
      </c>
      <c r="J1362" t="s">
        <v>94</v>
      </c>
      <c r="K1362" t="s">
        <v>58</v>
      </c>
      <c r="L1362">
        <v>2.8</v>
      </c>
      <c r="M1362" t="s">
        <v>152</v>
      </c>
      <c r="N1362" t="s">
        <v>34</v>
      </c>
      <c r="O1362" t="s">
        <v>28</v>
      </c>
      <c r="P1362" t="s">
        <v>26</v>
      </c>
      <c r="Q1362" t="s">
        <v>26</v>
      </c>
      <c r="R1362">
        <v>4</v>
      </c>
      <c r="S1362" t="s">
        <v>34</v>
      </c>
      <c r="T1362" t="str">
        <f t="shared" si="42"/>
        <v>Annually</v>
      </c>
      <c r="U1362">
        <f>VLOOKUP(T1362,[1]tablescore!$B$3:$C$8, 2,FALSE)</f>
        <v>1</v>
      </c>
      <c r="V1362" t="str">
        <f t="shared" si="43"/>
        <v>Low Loyalty</v>
      </c>
      <c r="W1362" t="s">
        <v>50</v>
      </c>
    </row>
    <row r="1363" spans="1:23" x14ac:dyDescent="0.25">
      <c r="A1363">
        <v>1362</v>
      </c>
      <c r="B1363">
        <v>49</v>
      </c>
      <c r="C1363" t="str" cm="1">
        <f t="array" ref="C1363">_xlfn.IFS(
  AND(B1363&gt;=18, B1363&lt;=24), "18-24",
  AND(B1363&gt;=25, B1363&lt;=34), "25-34",
  AND(B1363&gt;=35, B1363&lt;=44), "35-44",
  AND(B1363&gt;=45, B1363&lt;=54), "45-54",
  B1363&gt;=55, "55+"
)</f>
        <v>45-54</v>
      </c>
      <c r="D1363" t="s">
        <v>19</v>
      </c>
      <c r="E1363" t="s">
        <v>82</v>
      </c>
      <c r="F1363" t="s">
        <v>21</v>
      </c>
      <c r="G1363">
        <v>32</v>
      </c>
      <c r="H1363" t="s">
        <v>90</v>
      </c>
      <c r="I1363" t="s">
        <v>45</v>
      </c>
      <c r="J1363" t="s">
        <v>118</v>
      </c>
      <c r="K1363" t="s">
        <v>58</v>
      </c>
      <c r="L1363">
        <v>3.7</v>
      </c>
      <c r="M1363" t="s">
        <v>152</v>
      </c>
      <c r="N1363" t="s">
        <v>35</v>
      </c>
      <c r="O1363" t="s">
        <v>47</v>
      </c>
      <c r="P1363" t="s">
        <v>26</v>
      </c>
      <c r="Q1363" t="s">
        <v>26</v>
      </c>
      <c r="R1363">
        <v>39</v>
      </c>
      <c r="S1363" t="s">
        <v>59</v>
      </c>
      <c r="T1363" t="str">
        <f t="shared" si="42"/>
        <v>Month</v>
      </c>
      <c r="U1363">
        <f>VLOOKUP(T1363,[1]tablescore!$B$3:$C$8, 2,FALSE)</f>
        <v>12</v>
      </c>
      <c r="V1363" t="str">
        <f t="shared" si="43"/>
        <v>Moderate</v>
      </c>
      <c r="W1363" t="s">
        <v>88</v>
      </c>
    </row>
    <row r="1364" spans="1:23" x14ac:dyDescent="0.25">
      <c r="A1364">
        <v>1363</v>
      </c>
      <c r="B1364">
        <v>41</v>
      </c>
      <c r="C1364" t="str" cm="1">
        <f t="array" ref="C1364">_xlfn.IFS(
  AND(B1364&gt;=18, B1364&lt;=24), "18-24",
  AND(B1364&gt;=25, B1364&lt;=34), "25-34",
  AND(B1364&gt;=35, B1364&lt;=44), "35-44",
  AND(B1364&gt;=45, B1364&lt;=54), "45-54",
  B1364&gt;=55, "55+"
)</f>
        <v>35-44</v>
      </c>
      <c r="D1364" t="s">
        <v>19</v>
      </c>
      <c r="E1364" t="s">
        <v>64</v>
      </c>
      <c r="F1364" t="s">
        <v>65</v>
      </c>
      <c r="G1364">
        <v>46</v>
      </c>
      <c r="H1364" t="s">
        <v>112</v>
      </c>
      <c r="I1364" t="s">
        <v>45</v>
      </c>
      <c r="J1364" t="s">
        <v>24</v>
      </c>
      <c r="K1364" t="s">
        <v>58</v>
      </c>
      <c r="L1364">
        <v>4.3</v>
      </c>
      <c r="M1364" t="s">
        <v>152</v>
      </c>
      <c r="N1364" t="s">
        <v>35</v>
      </c>
      <c r="O1364" t="s">
        <v>28</v>
      </c>
      <c r="P1364" t="s">
        <v>26</v>
      </c>
      <c r="Q1364" t="s">
        <v>26</v>
      </c>
      <c r="R1364">
        <v>29</v>
      </c>
      <c r="S1364" t="s">
        <v>35</v>
      </c>
      <c r="T1364" t="str">
        <f t="shared" si="42"/>
        <v>Daily</v>
      </c>
      <c r="U1364">
        <f>VLOOKUP(T1364,[1]tablescore!$B$3:$C$8, 2,FALSE)</f>
        <v>30</v>
      </c>
      <c r="V1364" t="str">
        <f t="shared" si="43"/>
        <v>Highly Loyal</v>
      </c>
      <c r="W1364" t="s">
        <v>41</v>
      </c>
    </row>
    <row r="1365" spans="1:23" x14ac:dyDescent="0.25">
      <c r="A1365">
        <v>1364</v>
      </c>
      <c r="B1365">
        <v>36</v>
      </c>
      <c r="C1365" t="str" cm="1">
        <f t="array" ref="C1365">_xlfn.IFS(
  AND(B1365&gt;=18, B1365&lt;=24), "18-24",
  AND(B1365&gt;=25, B1365&lt;=34), "25-34",
  AND(B1365&gt;=35, B1365&lt;=44), "35-44",
  AND(B1365&gt;=45, B1365&lt;=54), "45-54",
  B1365&gt;=55, "55+"
)</f>
        <v>35-44</v>
      </c>
      <c r="D1365" t="s">
        <v>19</v>
      </c>
      <c r="E1365" t="s">
        <v>20</v>
      </c>
      <c r="F1365" t="s">
        <v>21</v>
      </c>
      <c r="G1365">
        <v>90</v>
      </c>
      <c r="H1365" t="s">
        <v>148</v>
      </c>
      <c r="I1365" t="s">
        <v>23</v>
      </c>
      <c r="J1365" t="s">
        <v>108</v>
      </c>
      <c r="K1365" t="s">
        <v>54</v>
      </c>
      <c r="L1365">
        <v>4</v>
      </c>
      <c r="M1365" t="s">
        <v>152</v>
      </c>
      <c r="N1365" t="s">
        <v>34</v>
      </c>
      <c r="O1365" t="s">
        <v>28</v>
      </c>
      <c r="P1365" t="s">
        <v>26</v>
      </c>
      <c r="Q1365" t="s">
        <v>26</v>
      </c>
      <c r="R1365">
        <v>47</v>
      </c>
      <c r="S1365" t="s">
        <v>46</v>
      </c>
      <c r="T1365" t="str">
        <f t="shared" si="42"/>
        <v>Quarterly</v>
      </c>
      <c r="U1365">
        <f>VLOOKUP(T1365,[1]tablescore!$B$3:$C$8, 2,FALSE)</f>
        <v>4</v>
      </c>
      <c r="V1365" t="str">
        <f t="shared" si="43"/>
        <v>Low Loyalty</v>
      </c>
      <c r="W1365" t="s">
        <v>60</v>
      </c>
    </row>
    <row r="1366" spans="1:23" x14ac:dyDescent="0.25">
      <c r="A1366">
        <v>1365</v>
      </c>
      <c r="B1366">
        <v>68</v>
      </c>
      <c r="C1366" t="str" cm="1">
        <f t="array" ref="C1366">_xlfn.IFS(
  AND(B1366&gt;=18, B1366&lt;=24), "18-24",
  AND(B1366&gt;=25, B1366&lt;=34), "25-34",
  AND(B1366&gt;=35, B1366&lt;=44), "35-44",
  AND(B1366&gt;=45, B1366&lt;=54), "45-54",
  B1366&gt;=55, "55+"
)</f>
        <v>55+</v>
      </c>
      <c r="D1366" t="s">
        <v>19</v>
      </c>
      <c r="E1366" t="s">
        <v>125</v>
      </c>
      <c r="F1366" t="s">
        <v>69</v>
      </c>
      <c r="G1366">
        <v>75</v>
      </c>
      <c r="H1366" t="s">
        <v>80</v>
      </c>
      <c r="I1366" t="s">
        <v>23</v>
      </c>
      <c r="J1366" t="s">
        <v>139</v>
      </c>
      <c r="K1366" t="s">
        <v>58</v>
      </c>
      <c r="L1366">
        <v>4.7</v>
      </c>
      <c r="M1366" t="s">
        <v>152</v>
      </c>
      <c r="N1366" t="s">
        <v>35</v>
      </c>
      <c r="O1366" t="s">
        <v>28</v>
      </c>
      <c r="P1366" t="s">
        <v>26</v>
      </c>
      <c r="Q1366" t="s">
        <v>26</v>
      </c>
      <c r="R1366">
        <v>5</v>
      </c>
      <c r="S1366" t="s">
        <v>35</v>
      </c>
      <c r="T1366" t="str">
        <f t="shared" si="42"/>
        <v>Quarterly</v>
      </c>
      <c r="U1366">
        <f>VLOOKUP(T1366,[1]tablescore!$B$3:$C$8, 2,FALSE)</f>
        <v>4</v>
      </c>
      <c r="V1366" t="str">
        <f t="shared" si="43"/>
        <v>Low Loyalty</v>
      </c>
      <c r="W1366" t="s">
        <v>97</v>
      </c>
    </row>
    <row r="1367" spans="1:23" x14ac:dyDescent="0.25">
      <c r="A1367">
        <v>1366</v>
      </c>
      <c r="B1367">
        <v>28</v>
      </c>
      <c r="C1367" t="str" cm="1">
        <f t="array" ref="C1367">_xlfn.IFS(
  AND(B1367&gt;=18, B1367&lt;=24), "18-24",
  AND(B1367&gt;=25, B1367&lt;=34), "25-34",
  AND(B1367&gt;=35, B1367&lt;=44), "35-44",
  AND(B1367&gt;=45, B1367&lt;=54), "45-54",
  B1367&gt;=55, "55+"
)</f>
        <v>25-34</v>
      </c>
      <c r="D1367" t="s">
        <v>19</v>
      </c>
      <c r="E1367" t="s">
        <v>68</v>
      </c>
      <c r="F1367" t="s">
        <v>69</v>
      </c>
      <c r="G1367">
        <v>69</v>
      </c>
      <c r="H1367" t="s">
        <v>116</v>
      </c>
      <c r="I1367" t="s">
        <v>45</v>
      </c>
      <c r="J1367" t="s">
        <v>147</v>
      </c>
      <c r="K1367" t="s">
        <v>25</v>
      </c>
      <c r="L1367">
        <v>4.5</v>
      </c>
      <c r="M1367" t="s">
        <v>152</v>
      </c>
      <c r="N1367" t="s">
        <v>46</v>
      </c>
      <c r="O1367" t="s">
        <v>76</v>
      </c>
      <c r="P1367" t="s">
        <v>26</v>
      </c>
      <c r="Q1367" t="s">
        <v>26</v>
      </c>
      <c r="R1367">
        <v>18</v>
      </c>
      <c r="S1367" t="s">
        <v>34</v>
      </c>
      <c r="T1367" t="str">
        <f t="shared" si="42"/>
        <v>2-week</v>
      </c>
      <c r="U1367">
        <f>VLOOKUP(T1367,[1]tablescore!$B$3:$C$8, 2,FALSE)</f>
        <v>26</v>
      </c>
      <c r="V1367" t="str">
        <f t="shared" si="43"/>
        <v>Loyal</v>
      </c>
      <c r="W1367" t="s">
        <v>30</v>
      </c>
    </row>
    <row r="1368" spans="1:23" x14ac:dyDescent="0.25">
      <c r="A1368">
        <v>1367</v>
      </c>
      <c r="B1368">
        <v>45</v>
      </c>
      <c r="C1368" t="str" cm="1">
        <f t="array" ref="C1368">_xlfn.IFS(
  AND(B1368&gt;=18, B1368&lt;=24), "18-24",
  AND(B1368&gt;=25, B1368&lt;=34), "25-34",
  AND(B1368&gt;=35, B1368&lt;=44), "35-44",
  AND(B1368&gt;=45, B1368&lt;=54), "45-54",
  B1368&gt;=55, "55+"
)</f>
        <v>45-54</v>
      </c>
      <c r="D1368" t="s">
        <v>19</v>
      </c>
      <c r="E1368" t="s">
        <v>136</v>
      </c>
      <c r="F1368" t="s">
        <v>69</v>
      </c>
      <c r="G1368">
        <v>40</v>
      </c>
      <c r="H1368" t="s">
        <v>150</v>
      </c>
      <c r="I1368" t="s">
        <v>45</v>
      </c>
      <c r="J1368" t="s">
        <v>147</v>
      </c>
      <c r="K1368" t="s">
        <v>58</v>
      </c>
      <c r="L1368">
        <v>3.1</v>
      </c>
      <c r="M1368" t="s">
        <v>152</v>
      </c>
      <c r="N1368" t="s">
        <v>59</v>
      </c>
      <c r="O1368" t="s">
        <v>40</v>
      </c>
      <c r="P1368" t="s">
        <v>26</v>
      </c>
      <c r="Q1368" t="s">
        <v>26</v>
      </c>
      <c r="R1368">
        <v>10</v>
      </c>
      <c r="S1368" t="s">
        <v>27</v>
      </c>
      <c r="T1368" t="str">
        <f t="shared" si="42"/>
        <v>2-week</v>
      </c>
      <c r="U1368">
        <f>VLOOKUP(T1368,[1]tablescore!$B$3:$C$8, 2,FALSE)</f>
        <v>26</v>
      </c>
      <c r="V1368" t="str">
        <f t="shared" si="43"/>
        <v>Loyal</v>
      </c>
      <c r="W1368" t="s">
        <v>30</v>
      </c>
    </row>
    <row r="1369" spans="1:23" x14ac:dyDescent="0.25">
      <c r="A1369">
        <v>1368</v>
      </c>
      <c r="B1369">
        <v>60</v>
      </c>
      <c r="C1369" t="str" cm="1">
        <f t="array" ref="C1369">_xlfn.IFS(
  AND(B1369&gt;=18, B1369&lt;=24), "18-24",
  AND(B1369&gt;=25, B1369&lt;=34), "25-34",
  AND(B1369&gt;=35, B1369&lt;=44), "35-44",
  AND(B1369&gt;=45, B1369&lt;=54), "45-54",
  B1369&gt;=55, "55+"
)</f>
        <v>55+</v>
      </c>
      <c r="D1369" t="s">
        <v>19</v>
      </c>
      <c r="E1369" t="s">
        <v>136</v>
      </c>
      <c r="F1369" t="s">
        <v>69</v>
      </c>
      <c r="G1369">
        <v>63</v>
      </c>
      <c r="H1369" t="s">
        <v>150</v>
      </c>
      <c r="I1369" t="s">
        <v>38</v>
      </c>
      <c r="J1369" t="s">
        <v>94</v>
      </c>
      <c r="K1369" t="s">
        <v>58</v>
      </c>
      <c r="L1369">
        <v>3.8</v>
      </c>
      <c r="M1369" t="s">
        <v>152</v>
      </c>
      <c r="N1369" t="s">
        <v>29</v>
      </c>
      <c r="O1369" t="s">
        <v>28</v>
      </c>
      <c r="P1369" t="s">
        <v>26</v>
      </c>
      <c r="Q1369" t="s">
        <v>26</v>
      </c>
      <c r="R1369">
        <v>25</v>
      </c>
      <c r="S1369" t="s">
        <v>35</v>
      </c>
      <c r="T1369" t="str">
        <f t="shared" si="42"/>
        <v>Quarterly</v>
      </c>
      <c r="U1369">
        <f>VLOOKUP(T1369,[1]tablescore!$B$3:$C$8, 2,FALSE)</f>
        <v>4</v>
      </c>
      <c r="V1369" t="str">
        <f t="shared" si="43"/>
        <v>Low Loyalty</v>
      </c>
      <c r="W1369" t="s">
        <v>60</v>
      </c>
    </row>
    <row r="1370" spans="1:23" x14ac:dyDescent="0.25">
      <c r="A1370">
        <v>1369</v>
      </c>
      <c r="B1370">
        <v>21</v>
      </c>
      <c r="C1370" t="str" cm="1">
        <f t="array" ref="C1370">_xlfn.IFS(
  AND(B1370&gt;=18, B1370&lt;=24), "18-24",
  AND(B1370&gt;=25, B1370&lt;=34), "25-34",
  AND(B1370&gt;=35, B1370&lt;=44), "35-44",
  AND(B1370&gt;=45, B1370&lt;=54), "45-54",
  B1370&gt;=55, "55+"
)</f>
        <v>18-24</v>
      </c>
      <c r="D1370" t="s">
        <v>19</v>
      </c>
      <c r="E1370" t="s">
        <v>56</v>
      </c>
      <c r="F1370" t="s">
        <v>21</v>
      </c>
      <c r="G1370">
        <v>36</v>
      </c>
      <c r="H1370" t="s">
        <v>148</v>
      </c>
      <c r="I1370" t="s">
        <v>23</v>
      </c>
      <c r="J1370" t="s">
        <v>121</v>
      </c>
      <c r="K1370" t="s">
        <v>54</v>
      </c>
      <c r="L1370">
        <v>4.9000000000000004</v>
      </c>
      <c r="M1370" t="s">
        <v>152</v>
      </c>
      <c r="N1370" t="s">
        <v>29</v>
      </c>
      <c r="O1370" t="s">
        <v>28</v>
      </c>
      <c r="P1370" t="s">
        <v>26</v>
      </c>
      <c r="Q1370" t="s">
        <v>26</v>
      </c>
      <c r="R1370">
        <v>2</v>
      </c>
      <c r="S1370" t="s">
        <v>35</v>
      </c>
      <c r="T1370" t="str">
        <f t="shared" si="42"/>
        <v>Daily</v>
      </c>
      <c r="U1370">
        <f>VLOOKUP(T1370,[1]tablescore!$B$3:$C$8, 2,FALSE)</f>
        <v>30</v>
      </c>
      <c r="V1370" t="str">
        <f t="shared" si="43"/>
        <v>Highly Loyal</v>
      </c>
      <c r="W1370" t="s">
        <v>41</v>
      </c>
    </row>
    <row r="1371" spans="1:23" x14ac:dyDescent="0.25">
      <c r="A1371">
        <v>1370</v>
      </c>
      <c r="B1371">
        <v>32</v>
      </c>
      <c r="C1371" t="str" cm="1">
        <f t="array" ref="C1371">_xlfn.IFS(
  AND(B1371&gt;=18, B1371&lt;=24), "18-24",
  AND(B1371&gt;=25, B1371&lt;=34), "25-34",
  AND(B1371&gt;=35, B1371&lt;=44), "35-44",
  AND(B1371&gt;=45, B1371&lt;=54), "45-54",
  B1371&gt;=55, "55+"
)</f>
        <v>25-34</v>
      </c>
      <c r="D1371" t="s">
        <v>19</v>
      </c>
      <c r="E1371" t="s">
        <v>73</v>
      </c>
      <c r="F1371" t="s">
        <v>43</v>
      </c>
      <c r="G1371">
        <v>75</v>
      </c>
      <c r="H1371" t="s">
        <v>150</v>
      </c>
      <c r="I1371" t="s">
        <v>45</v>
      </c>
      <c r="J1371" t="s">
        <v>96</v>
      </c>
      <c r="K1371" t="s">
        <v>25</v>
      </c>
      <c r="L1371">
        <v>3.2</v>
      </c>
      <c r="M1371" t="s">
        <v>152</v>
      </c>
      <c r="N1371" t="s">
        <v>35</v>
      </c>
      <c r="O1371" t="s">
        <v>55</v>
      </c>
      <c r="P1371" t="s">
        <v>26</v>
      </c>
      <c r="Q1371" t="s">
        <v>26</v>
      </c>
      <c r="R1371">
        <v>48</v>
      </c>
      <c r="S1371" t="s">
        <v>29</v>
      </c>
      <c r="T1371" t="str">
        <f t="shared" si="42"/>
        <v>2-week</v>
      </c>
      <c r="U1371">
        <f>VLOOKUP(T1371,[1]tablescore!$B$3:$C$8, 2,FALSE)</f>
        <v>26</v>
      </c>
      <c r="V1371" t="str">
        <f t="shared" si="43"/>
        <v>Loyal</v>
      </c>
      <c r="W1371" t="s">
        <v>30</v>
      </c>
    </row>
    <row r="1372" spans="1:23" x14ac:dyDescent="0.25">
      <c r="A1372">
        <v>1371</v>
      </c>
      <c r="B1372">
        <v>27</v>
      </c>
      <c r="C1372" t="str" cm="1">
        <f t="array" ref="C1372">_xlfn.IFS(
  AND(B1372&gt;=18, B1372&lt;=24), "18-24",
  AND(B1372&gt;=25, B1372&lt;=34), "25-34",
  AND(B1372&gt;=35, B1372&lt;=44), "35-44",
  AND(B1372&gt;=45, B1372&lt;=54), "45-54",
  B1372&gt;=55, "55+"
)</f>
        <v>25-34</v>
      </c>
      <c r="D1372" t="s">
        <v>19</v>
      </c>
      <c r="E1372" t="s">
        <v>119</v>
      </c>
      <c r="F1372" t="s">
        <v>69</v>
      </c>
      <c r="G1372">
        <v>67</v>
      </c>
      <c r="H1372" t="s">
        <v>57</v>
      </c>
      <c r="I1372" t="s">
        <v>23</v>
      </c>
      <c r="J1372" t="s">
        <v>100</v>
      </c>
      <c r="K1372" t="s">
        <v>54</v>
      </c>
      <c r="L1372">
        <v>2.9</v>
      </c>
      <c r="M1372" t="s">
        <v>152</v>
      </c>
      <c r="N1372" t="s">
        <v>46</v>
      </c>
      <c r="O1372" t="s">
        <v>72</v>
      </c>
      <c r="P1372" t="s">
        <v>26</v>
      </c>
      <c r="Q1372" t="s">
        <v>26</v>
      </c>
      <c r="R1372">
        <v>41</v>
      </c>
      <c r="S1372" t="s">
        <v>34</v>
      </c>
      <c r="T1372" t="str">
        <f t="shared" si="42"/>
        <v>Quarterly</v>
      </c>
      <c r="U1372">
        <f>VLOOKUP(T1372,[1]tablescore!$B$3:$C$8, 2,FALSE)</f>
        <v>4</v>
      </c>
      <c r="V1372" t="str">
        <f t="shared" si="43"/>
        <v>Low Loyalty</v>
      </c>
      <c r="W1372" t="s">
        <v>97</v>
      </c>
    </row>
    <row r="1373" spans="1:23" x14ac:dyDescent="0.25">
      <c r="A1373">
        <v>1372</v>
      </c>
      <c r="B1373">
        <v>40</v>
      </c>
      <c r="C1373" t="str" cm="1">
        <f t="array" ref="C1373">_xlfn.IFS(
  AND(B1373&gt;=18, B1373&lt;=24), "18-24",
  AND(B1373&gt;=25, B1373&lt;=34), "25-34",
  AND(B1373&gt;=35, B1373&lt;=44), "35-44",
  AND(B1373&gt;=45, B1373&lt;=54), "45-54",
  B1373&gt;=55, "55+"
)</f>
        <v>35-44</v>
      </c>
      <c r="D1373" t="s">
        <v>19</v>
      </c>
      <c r="E1373" t="s">
        <v>95</v>
      </c>
      <c r="F1373" t="s">
        <v>21</v>
      </c>
      <c r="G1373">
        <v>64</v>
      </c>
      <c r="H1373" t="s">
        <v>91</v>
      </c>
      <c r="I1373" t="s">
        <v>45</v>
      </c>
      <c r="J1373" t="s">
        <v>63</v>
      </c>
      <c r="K1373" t="s">
        <v>39</v>
      </c>
      <c r="L1373">
        <v>2.8</v>
      </c>
      <c r="M1373" t="s">
        <v>152</v>
      </c>
      <c r="N1373" t="s">
        <v>46</v>
      </c>
      <c r="O1373" t="s">
        <v>76</v>
      </c>
      <c r="P1373" t="s">
        <v>26</v>
      </c>
      <c r="Q1373" t="s">
        <v>26</v>
      </c>
      <c r="R1373">
        <v>42</v>
      </c>
      <c r="S1373" t="s">
        <v>27</v>
      </c>
      <c r="T1373" t="str">
        <f t="shared" si="42"/>
        <v>Month</v>
      </c>
      <c r="U1373">
        <f>VLOOKUP(T1373,[1]tablescore!$B$3:$C$8, 2,FALSE)</f>
        <v>12</v>
      </c>
      <c r="V1373" t="str">
        <f t="shared" si="43"/>
        <v>Moderate</v>
      </c>
      <c r="W1373" t="s">
        <v>88</v>
      </c>
    </row>
    <row r="1374" spans="1:23" x14ac:dyDescent="0.25">
      <c r="A1374">
        <v>1373</v>
      </c>
      <c r="B1374">
        <v>64</v>
      </c>
      <c r="C1374" t="str" cm="1">
        <f t="array" ref="C1374">_xlfn.IFS(
  AND(B1374&gt;=18, B1374&lt;=24), "18-24",
  AND(B1374&gt;=25, B1374&lt;=34), "25-34",
  AND(B1374&gt;=35, B1374&lt;=44), "35-44",
  AND(B1374&gt;=45, B1374&lt;=54), "45-54",
  B1374&gt;=55, "55+"
)</f>
        <v>55+</v>
      </c>
      <c r="D1374" t="s">
        <v>19</v>
      </c>
      <c r="E1374" t="s">
        <v>20</v>
      </c>
      <c r="F1374" t="s">
        <v>21</v>
      </c>
      <c r="G1374">
        <v>61</v>
      </c>
      <c r="H1374" t="s">
        <v>151</v>
      </c>
      <c r="I1374" t="s">
        <v>45</v>
      </c>
      <c r="J1374" t="s">
        <v>24</v>
      </c>
      <c r="K1374" t="s">
        <v>58</v>
      </c>
      <c r="L1374">
        <v>4</v>
      </c>
      <c r="M1374" t="s">
        <v>152</v>
      </c>
      <c r="N1374" t="s">
        <v>27</v>
      </c>
      <c r="O1374" t="s">
        <v>72</v>
      </c>
      <c r="P1374" t="s">
        <v>26</v>
      </c>
      <c r="Q1374" t="s">
        <v>26</v>
      </c>
      <c r="R1374">
        <v>44</v>
      </c>
      <c r="S1374" t="s">
        <v>46</v>
      </c>
      <c r="T1374" t="str">
        <f t="shared" si="42"/>
        <v>2-week</v>
      </c>
      <c r="U1374">
        <f>VLOOKUP(T1374,[1]tablescore!$B$3:$C$8, 2,FALSE)</f>
        <v>26</v>
      </c>
      <c r="V1374" t="str">
        <f t="shared" si="43"/>
        <v>Loyal</v>
      </c>
      <c r="W1374" t="s">
        <v>77</v>
      </c>
    </row>
    <row r="1375" spans="1:23" x14ac:dyDescent="0.25">
      <c r="A1375">
        <v>1374</v>
      </c>
      <c r="B1375">
        <v>18</v>
      </c>
      <c r="C1375" t="str" cm="1">
        <f t="array" ref="C1375">_xlfn.IFS(
  AND(B1375&gt;=18, B1375&lt;=24), "18-24",
  AND(B1375&gt;=25, B1375&lt;=34), "25-34",
  AND(B1375&gt;=35, B1375&lt;=44), "35-44",
  AND(B1375&gt;=45, B1375&lt;=54), "45-54",
  B1375&gt;=55, "55+"
)</f>
        <v>18-24</v>
      </c>
      <c r="D1375" t="s">
        <v>19</v>
      </c>
      <c r="E1375" t="s">
        <v>127</v>
      </c>
      <c r="F1375" t="s">
        <v>69</v>
      </c>
      <c r="G1375">
        <v>40</v>
      </c>
      <c r="H1375" t="s">
        <v>128</v>
      </c>
      <c r="I1375" t="s">
        <v>23</v>
      </c>
      <c r="J1375" t="s">
        <v>49</v>
      </c>
      <c r="K1375" t="s">
        <v>25</v>
      </c>
      <c r="L1375">
        <v>2.6</v>
      </c>
      <c r="M1375" t="s">
        <v>152</v>
      </c>
      <c r="N1375" t="s">
        <v>27</v>
      </c>
      <c r="O1375" t="s">
        <v>76</v>
      </c>
      <c r="P1375" t="s">
        <v>26</v>
      </c>
      <c r="Q1375" t="s">
        <v>26</v>
      </c>
      <c r="R1375">
        <v>6</v>
      </c>
      <c r="S1375" t="s">
        <v>35</v>
      </c>
      <c r="T1375" t="str">
        <f t="shared" si="42"/>
        <v>Quarterly</v>
      </c>
      <c r="U1375">
        <f>VLOOKUP(T1375,[1]tablescore!$B$3:$C$8, 2,FALSE)</f>
        <v>4</v>
      </c>
      <c r="V1375" t="str">
        <f t="shared" si="43"/>
        <v>Low Loyalty</v>
      </c>
      <c r="W1375" t="s">
        <v>60</v>
      </c>
    </row>
    <row r="1376" spans="1:23" x14ac:dyDescent="0.25">
      <c r="A1376">
        <v>1375</v>
      </c>
      <c r="B1376">
        <v>22</v>
      </c>
      <c r="C1376" t="str" cm="1">
        <f t="array" ref="C1376">_xlfn.IFS(
  AND(B1376&gt;=18, B1376&lt;=24), "18-24",
  AND(B1376&gt;=25, B1376&lt;=34), "25-34",
  AND(B1376&gt;=35, B1376&lt;=44), "35-44",
  AND(B1376&gt;=45, B1376&lt;=54), "45-54",
  B1376&gt;=55, "55+"
)</f>
        <v>18-24</v>
      </c>
      <c r="D1376" t="s">
        <v>19</v>
      </c>
      <c r="E1376" t="s">
        <v>68</v>
      </c>
      <c r="F1376" t="s">
        <v>69</v>
      </c>
      <c r="G1376">
        <v>97</v>
      </c>
      <c r="H1376" t="s">
        <v>85</v>
      </c>
      <c r="I1376" t="s">
        <v>45</v>
      </c>
      <c r="J1376" t="s">
        <v>108</v>
      </c>
      <c r="K1376" t="s">
        <v>58</v>
      </c>
      <c r="L1376">
        <v>2.7</v>
      </c>
      <c r="M1376" t="s">
        <v>152</v>
      </c>
      <c r="N1376" t="s">
        <v>59</v>
      </c>
      <c r="O1376" t="s">
        <v>40</v>
      </c>
      <c r="P1376" t="s">
        <v>26</v>
      </c>
      <c r="Q1376" t="s">
        <v>26</v>
      </c>
      <c r="R1376">
        <v>5</v>
      </c>
      <c r="S1376" t="s">
        <v>34</v>
      </c>
      <c r="T1376" t="str">
        <f t="shared" si="42"/>
        <v>Quarterly</v>
      </c>
      <c r="U1376">
        <f>VLOOKUP(T1376,[1]tablescore!$B$3:$C$8, 2,FALSE)</f>
        <v>4</v>
      </c>
      <c r="V1376" t="str">
        <f t="shared" si="43"/>
        <v>Low Loyalty</v>
      </c>
      <c r="W1376" t="s">
        <v>60</v>
      </c>
    </row>
    <row r="1377" spans="1:23" x14ac:dyDescent="0.25">
      <c r="A1377">
        <v>1376</v>
      </c>
      <c r="B1377">
        <v>42</v>
      </c>
      <c r="C1377" t="str" cm="1">
        <f t="array" ref="C1377">_xlfn.IFS(
  AND(B1377&gt;=18, B1377&lt;=24), "18-24",
  AND(B1377&gt;=25, B1377&lt;=34), "25-34",
  AND(B1377&gt;=35, B1377&lt;=44), "35-44",
  AND(B1377&gt;=45, B1377&lt;=54), "45-54",
  B1377&gt;=55, "55+"
)</f>
        <v>35-44</v>
      </c>
      <c r="D1377" t="s">
        <v>19</v>
      </c>
      <c r="E1377" t="s">
        <v>51</v>
      </c>
      <c r="F1377" t="s">
        <v>43</v>
      </c>
      <c r="G1377">
        <v>31</v>
      </c>
      <c r="H1377" t="s">
        <v>32</v>
      </c>
      <c r="I1377" t="s">
        <v>23</v>
      </c>
      <c r="J1377" t="s">
        <v>110</v>
      </c>
      <c r="K1377" t="s">
        <v>39</v>
      </c>
      <c r="L1377">
        <v>4.0999999999999996</v>
      </c>
      <c r="M1377" t="s">
        <v>152</v>
      </c>
      <c r="N1377" t="s">
        <v>29</v>
      </c>
      <c r="O1377" t="s">
        <v>72</v>
      </c>
      <c r="P1377" t="s">
        <v>26</v>
      </c>
      <c r="Q1377" t="s">
        <v>26</v>
      </c>
      <c r="R1377">
        <v>8</v>
      </c>
      <c r="S1377" t="s">
        <v>27</v>
      </c>
      <c r="T1377" t="str">
        <f t="shared" si="42"/>
        <v>Annually</v>
      </c>
      <c r="U1377">
        <f>VLOOKUP(T1377,[1]tablescore!$B$3:$C$8, 2,FALSE)</f>
        <v>1</v>
      </c>
      <c r="V1377" t="str">
        <f t="shared" si="43"/>
        <v>Low Loyalty</v>
      </c>
      <c r="W1377" t="s">
        <v>50</v>
      </c>
    </row>
    <row r="1378" spans="1:23" x14ac:dyDescent="0.25">
      <c r="A1378">
        <v>1377</v>
      </c>
      <c r="B1378">
        <v>57</v>
      </c>
      <c r="C1378" t="str" cm="1">
        <f t="array" ref="C1378">_xlfn.IFS(
  AND(B1378&gt;=18, B1378&lt;=24), "18-24",
  AND(B1378&gt;=25, B1378&lt;=34), "25-34",
  AND(B1378&gt;=35, B1378&lt;=44), "35-44",
  AND(B1378&gt;=45, B1378&lt;=54), "45-54",
  B1378&gt;=55, "55+"
)</f>
        <v>55+</v>
      </c>
      <c r="D1378" t="s">
        <v>19</v>
      </c>
      <c r="E1378" t="s">
        <v>42</v>
      </c>
      <c r="F1378" t="s">
        <v>43</v>
      </c>
      <c r="G1378">
        <v>65</v>
      </c>
      <c r="H1378" t="s">
        <v>137</v>
      </c>
      <c r="I1378" t="s">
        <v>23</v>
      </c>
      <c r="J1378" t="s">
        <v>71</v>
      </c>
      <c r="K1378" t="s">
        <v>39</v>
      </c>
      <c r="L1378">
        <v>5</v>
      </c>
      <c r="M1378" t="s">
        <v>152</v>
      </c>
      <c r="N1378" t="s">
        <v>35</v>
      </c>
      <c r="O1378" t="s">
        <v>40</v>
      </c>
      <c r="P1378" t="s">
        <v>26</v>
      </c>
      <c r="Q1378" t="s">
        <v>26</v>
      </c>
      <c r="R1378">
        <v>24</v>
      </c>
      <c r="S1378" t="s">
        <v>46</v>
      </c>
      <c r="T1378" t="str">
        <f t="shared" si="42"/>
        <v>Annually</v>
      </c>
      <c r="U1378">
        <f>VLOOKUP(T1378,[1]tablescore!$B$3:$C$8, 2,FALSE)</f>
        <v>1</v>
      </c>
      <c r="V1378" t="str">
        <f t="shared" si="43"/>
        <v>Low Loyalty</v>
      </c>
      <c r="W1378" t="s">
        <v>50</v>
      </c>
    </row>
    <row r="1379" spans="1:23" x14ac:dyDescent="0.25">
      <c r="A1379">
        <v>1378</v>
      </c>
      <c r="B1379">
        <v>33</v>
      </c>
      <c r="C1379" t="str" cm="1">
        <f t="array" ref="C1379">_xlfn.IFS(
  AND(B1379&gt;=18, B1379&lt;=24), "18-24",
  AND(B1379&gt;=25, B1379&lt;=34), "25-34",
  AND(B1379&gt;=35, B1379&lt;=44), "35-44",
  AND(B1379&gt;=45, B1379&lt;=54), "45-54",
  B1379&gt;=55, "55+"
)</f>
        <v>25-34</v>
      </c>
      <c r="D1379" t="s">
        <v>19</v>
      </c>
      <c r="E1379" t="s">
        <v>89</v>
      </c>
      <c r="F1379" t="s">
        <v>69</v>
      </c>
      <c r="G1379">
        <v>54</v>
      </c>
      <c r="H1379" t="s">
        <v>135</v>
      </c>
      <c r="I1379" t="s">
        <v>23</v>
      </c>
      <c r="J1379" t="s">
        <v>79</v>
      </c>
      <c r="K1379" t="s">
        <v>39</v>
      </c>
      <c r="L1379">
        <v>3</v>
      </c>
      <c r="M1379" t="s">
        <v>152</v>
      </c>
      <c r="N1379" t="s">
        <v>27</v>
      </c>
      <c r="O1379" t="s">
        <v>47</v>
      </c>
      <c r="P1379" t="s">
        <v>26</v>
      </c>
      <c r="Q1379" t="s">
        <v>26</v>
      </c>
      <c r="R1379">
        <v>42</v>
      </c>
      <c r="S1379" t="s">
        <v>29</v>
      </c>
      <c r="T1379" t="str">
        <f t="shared" si="42"/>
        <v>Month</v>
      </c>
      <c r="U1379">
        <f>VLOOKUP(T1379,[1]tablescore!$B$3:$C$8, 2,FALSE)</f>
        <v>12</v>
      </c>
      <c r="V1379" t="str">
        <f t="shared" si="43"/>
        <v>Moderate</v>
      </c>
      <c r="W1379" t="s">
        <v>88</v>
      </c>
    </row>
    <row r="1380" spans="1:23" x14ac:dyDescent="0.25">
      <c r="A1380">
        <v>1379</v>
      </c>
      <c r="B1380">
        <v>37</v>
      </c>
      <c r="C1380" t="str" cm="1">
        <f t="array" ref="C1380">_xlfn.IFS(
  AND(B1380&gt;=18, B1380&lt;=24), "18-24",
  AND(B1380&gt;=25, B1380&lt;=34), "25-34",
  AND(B1380&gt;=35, B1380&lt;=44), "35-44",
  AND(B1380&gt;=45, B1380&lt;=54), "45-54",
  B1380&gt;=55, "55+"
)</f>
        <v>35-44</v>
      </c>
      <c r="D1380" t="s">
        <v>19</v>
      </c>
      <c r="E1380" t="s">
        <v>102</v>
      </c>
      <c r="F1380" t="s">
        <v>65</v>
      </c>
      <c r="G1380">
        <v>49</v>
      </c>
      <c r="H1380" t="s">
        <v>22</v>
      </c>
      <c r="I1380" t="s">
        <v>92</v>
      </c>
      <c r="J1380" t="s">
        <v>93</v>
      </c>
      <c r="K1380" t="s">
        <v>58</v>
      </c>
      <c r="L1380">
        <v>3.6</v>
      </c>
      <c r="M1380" t="s">
        <v>152</v>
      </c>
      <c r="N1380" t="s">
        <v>46</v>
      </c>
      <c r="O1380" t="s">
        <v>40</v>
      </c>
      <c r="P1380" t="s">
        <v>26</v>
      </c>
      <c r="Q1380" t="s">
        <v>26</v>
      </c>
      <c r="R1380">
        <v>24</v>
      </c>
      <c r="S1380" t="s">
        <v>29</v>
      </c>
      <c r="T1380" t="str">
        <f t="shared" si="42"/>
        <v>Daily</v>
      </c>
      <c r="U1380">
        <f>VLOOKUP(T1380,[1]tablescore!$B$3:$C$8, 2,FALSE)</f>
        <v>30</v>
      </c>
      <c r="V1380" t="str">
        <f t="shared" si="43"/>
        <v>Highly Loyal</v>
      </c>
      <c r="W1380" t="s">
        <v>41</v>
      </c>
    </row>
    <row r="1381" spans="1:23" x14ac:dyDescent="0.25">
      <c r="A1381">
        <v>1380</v>
      </c>
      <c r="B1381">
        <v>21</v>
      </c>
      <c r="C1381" t="str" cm="1">
        <f t="array" ref="C1381">_xlfn.IFS(
  AND(B1381&gt;=18, B1381&lt;=24), "18-24",
  AND(B1381&gt;=25, B1381&lt;=34), "25-34",
  AND(B1381&gt;=35, B1381&lt;=44), "35-44",
  AND(B1381&gt;=45, B1381&lt;=54), "45-54",
  B1381&gt;=55, "55+"
)</f>
        <v>18-24</v>
      </c>
      <c r="D1381" t="s">
        <v>19</v>
      </c>
      <c r="E1381" t="s">
        <v>113</v>
      </c>
      <c r="F1381" t="s">
        <v>21</v>
      </c>
      <c r="G1381">
        <v>64</v>
      </c>
      <c r="H1381" t="s">
        <v>134</v>
      </c>
      <c r="I1381" t="s">
        <v>23</v>
      </c>
      <c r="J1381" t="s">
        <v>75</v>
      </c>
      <c r="K1381" t="s">
        <v>58</v>
      </c>
      <c r="L1381">
        <v>2.8</v>
      </c>
      <c r="M1381" t="s">
        <v>152</v>
      </c>
      <c r="N1381" t="s">
        <v>29</v>
      </c>
      <c r="O1381" t="s">
        <v>72</v>
      </c>
      <c r="P1381" t="s">
        <v>26</v>
      </c>
      <c r="Q1381" t="s">
        <v>26</v>
      </c>
      <c r="R1381">
        <v>38</v>
      </c>
      <c r="S1381" t="s">
        <v>29</v>
      </c>
      <c r="T1381" t="str">
        <f t="shared" si="42"/>
        <v>2-week</v>
      </c>
      <c r="U1381">
        <f>VLOOKUP(T1381,[1]tablescore!$B$3:$C$8, 2,FALSE)</f>
        <v>26</v>
      </c>
      <c r="V1381" t="str">
        <f t="shared" si="43"/>
        <v>Loyal</v>
      </c>
      <c r="W1381" t="s">
        <v>77</v>
      </c>
    </row>
    <row r="1382" spans="1:23" x14ac:dyDescent="0.25">
      <c r="A1382">
        <v>1381</v>
      </c>
      <c r="B1382">
        <v>51</v>
      </c>
      <c r="C1382" t="str" cm="1">
        <f t="array" ref="C1382">_xlfn.IFS(
  AND(B1382&gt;=18, B1382&lt;=24), "18-24",
  AND(B1382&gt;=25, B1382&lt;=34), "25-34",
  AND(B1382&gt;=35, B1382&lt;=44), "35-44",
  AND(B1382&gt;=45, B1382&lt;=54), "45-54",
  B1382&gt;=55, "55+"
)</f>
        <v>45-54</v>
      </c>
      <c r="D1382" t="s">
        <v>19</v>
      </c>
      <c r="E1382" t="s">
        <v>51</v>
      </c>
      <c r="F1382" t="s">
        <v>43</v>
      </c>
      <c r="G1382">
        <v>35</v>
      </c>
      <c r="H1382" t="s">
        <v>37</v>
      </c>
      <c r="I1382" t="s">
        <v>38</v>
      </c>
      <c r="J1382" t="s">
        <v>118</v>
      </c>
      <c r="K1382" t="s">
        <v>25</v>
      </c>
      <c r="L1382">
        <v>4.5999999999999996</v>
      </c>
      <c r="M1382" t="s">
        <v>152</v>
      </c>
      <c r="N1382" t="s">
        <v>34</v>
      </c>
      <c r="O1382" t="s">
        <v>55</v>
      </c>
      <c r="P1382" t="s">
        <v>26</v>
      </c>
      <c r="Q1382" t="s">
        <v>26</v>
      </c>
      <c r="R1382">
        <v>41</v>
      </c>
      <c r="S1382" t="s">
        <v>35</v>
      </c>
      <c r="T1382" t="str">
        <f t="shared" si="42"/>
        <v>2-week</v>
      </c>
      <c r="U1382">
        <f>VLOOKUP(T1382,[1]tablescore!$B$3:$C$8, 2,FALSE)</f>
        <v>26</v>
      </c>
      <c r="V1382" t="str">
        <f t="shared" si="43"/>
        <v>Loyal</v>
      </c>
      <c r="W1382" t="s">
        <v>30</v>
      </c>
    </row>
    <row r="1383" spans="1:23" x14ac:dyDescent="0.25">
      <c r="A1383">
        <v>1382</v>
      </c>
      <c r="B1383">
        <v>30</v>
      </c>
      <c r="C1383" t="str" cm="1">
        <f t="array" ref="C1383">_xlfn.IFS(
  AND(B1383&gt;=18, B1383&lt;=24), "18-24",
  AND(B1383&gt;=25, B1383&lt;=34), "25-34",
  AND(B1383&gt;=35, B1383&lt;=44), "35-44",
  AND(B1383&gt;=45, B1383&lt;=54), "45-54",
  B1383&gt;=55, "55+"
)</f>
        <v>25-34</v>
      </c>
      <c r="D1383" t="s">
        <v>19</v>
      </c>
      <c r="E1383" t="s">
        <v>73</v>
      </c>
      <c r="F1383" t="s">
        <v>43</v>
      </c>
      <c r="G1383">
        <v>86</v>
      </c>
      <c r="H1383" t="s">
        <v>115</v>
      </c>
      <c r="I1383" t="s">
        <v>23</v>
      </c>
      <c r="J1383" t="s">
        <v>96</v>
      </c>
      <c r="K1383" t="s">
        <v>25</v>
      </c>
      <c r="L1383">
        <v>2.9</v>
      </c>
      <c r="M1383" t="s">
        <v>152</v>
      </c>
      <c r="N1383" t="s">
        <v>35</v>
      </c>
      <c r="O1383" t="s">
        <v>55</v>
      </c>
      <c r="P1383" t="s">
        <v>26</v>
      </c>
      <c r="Q1383" t="s">
        <v>26</v>
      </c>
      <c r="R1383">
        <v>48</v>
      </c>
      <c r="S1383" t="s">
        <v>29</v>
      </c>
      <c r="T1383" t="str">
        <f t="shared" si="42"/>
        <v>Quarterly</v>
      </c>
      <c r="U1383">
        <f>VLOOKUP(T1383,[1]tablescore!$B$3:$C$8, 2,FALSE)</f>
        <v>4</v>
      </c>
      <c r="V1383" t="str">
        <f t="shared" si="43"/>
        <v>Low Loyalty</v>
      </c>
      <c r="W1383" t="s">
        <v>60</v>
      </c>
    </row>
    <row r="1384" spans="1:23" x14ac:dyDescent="0.25">
      <c r="A1384">
        <v>1383</v>
      </c>
      <c r="B1384">
        <v>68</v>
      </c>
      <c r="C1384" t="str" cm="1">
        <f t="array" ref="C1384">_xlfn.IFS(
  AND(B1384&gt;=18, B1384&lt;=24), "18-24",
  AND(B1384&gt;=25, B1384&lt;=34), "25-34",
  AND(B1384&gt;=35, B1384&lt;=44), "35-44",
  AND(B1384&gt;=45, B1384&lt;=54), "45-54",
  B1384&gt;=55, "55+"
)</f>
        <v>55+</v>
      </c>
      <c r="D1384" t="s">
        <v>19</v>
      </c>
      <c r="E1384" t="s">
        <v>102</v>
      </c>
      <c r="F1384" t="s">
        <v>65</v>
      </c>
      <c r="G1384">
        <v>55</v>
      </c>
      <c r="H1384" t="s">
        <v>151</v>
      </c>
      <c r="I1384" t="s">
        <v>23</v>
      </c>
      <c r="J1384" t="s">
        <v>110</v>
      </c>
      <c r="K1384" t="s">
        <v>25</v>
      </c>
      <c r="L1384">
        <v>4.8</v>
      </c>
      <c r="M1384" t="s">
        <v>152</v>
      </c>
      <c r="N1384" t="s">
        <v>29</v>
      </c>
      <c r="O1384" t="s">
        <v>28</v>
      </c>
      <c r="P1384" t="s">
        <v>26</v>
      </c>
      <c r="Q1384" t="s">
        <v>26</v>
      </c>
      <c r="R1384">
        <v>16</v>
      </c>
      <c r="S1384" t="s">
        <v>34</v>
      </c>
      <c r="T1384" t="str">
        <f t="shared" si="42"/>
        <v>Quarterly</v>
      </c>
      <c r="U1384">
        <f>VLOOKUP(T1384,[1]tablescore!$B$3:$C$8, 2,FALSE)</f>
        <v>4</v>
      </c>
      <c r="V1384" t="str">
        <f t="shared" si="43"/>
        <v>Low Loyalty</v>
      </c>
      <c r="W1384" t="s">
        <v>60</v>
      </c>
    </row>
    <row r="1385" spans="1:23" x14ac:dyDescent="0.25">
      <c r="A1385">
        <v>1384</v>
      </c>
      <c r="B1385">
        <v>36</v>
      </c>
      <c r="C1385" t="str" cm="1">
        <f t="array" ref="C1385">_xlfn.IFS(
  AND(B1385&gt;=18, B1385&lt;=24), "18-24",
  AND(B1385&gt;=25, B1385&lt;=34), "25-34",
  AND(B1385&gt;=35, B1385&lt;=44), "35-44",
  AND(B1385&gt;=45, B1385&lt;=54), "45-54",
  B1385&gt;=55, "55+"
)</f>
        <v>35-44</v>
      </c>
      <c r="D1385" t="s">
        <v>19</v>
      </c>
      <c r="E1385" t="s">
        <v>119</v>
      </c>
      <c r="F1385" t="s">
        <v>69</v>
      </c>
      <c r="G1385">
        <v>58</v>
      </c>
      <c r="H1385" t="s">
        <v>148</v>
      </c>
      <c r="I1385" t="s">
        <v>45</v>
      </c>
      <c r="J1385" t="s">
        <v>118</v>
      </c>
      <c r="K1385" t="s">
        <v>39</v>
      </c>
      <c r="L1385">
        <v>3.3</v>
      </c>
      <c r="M1385" t="s">
        <v>152</v>
      </c>
      <c r="N1385" t="s">
        <v>34</v>
      </c>
      <c r="O1385" t="s">
        <v>28</v>
      </c>
      <c r="P1385" t="s">
        <v>26</v>
      </c>
      <c r="Q1385" t="s">
        <v>26</v>
      </c>
      <c r="R1385">
        <v>4</v>
      </c>
      <c r="S1385" t="s">
        <v>29</v>
      </c>
      <c r="T1385" t="str">
        <f t="shared" si="42"/>
        <v>Month</v>
      </c>
      <c r="U1385">
        <f>VLOOKUP(T1385,[1]tablescore!$B$3:$C$8, 2,FALSE)</f>
        <v>12</v>
      </c>
      <c r="V1385" t="str">
        <f t="shared" si="43"/>
        <v>Moderate</v>
      </c>
      <c r="W1385" t="s">
        <v>88</v>
      </c>
    </row>
    <row r="1386" spans="1:23" x14ac:dyDescent="0.25">
      <c r="A1386">
        <v>1385</v>
      </c>
      <c r="B1386">
        <v>46</v>
      </c>
      <c r="C1386" t="str" cm="1">
        <f t="array" ref="C1386">_xlfn.IFS(
  AND(B1386&gt;=18, B1386&lt;=24), "18-24",
  AND(B1386&gt;=25, B1386&lt;=34), "25-34",
  AND(B1386&gt;=35, B1386&lt;=44), "35-44",
  AND(B1386&gt;=45, B1386&lt;=54), "45-54",
  B1386&gt;=55, "55+"
)</f>
        <v>45-54</v>
      </c>
      <c r="D1386" t="s">
        <v>19</v>
      </c>
      <c r="E1386" t="s">
        <v>51</v>
      </c>
      <c r="F1386" t="s">
        <v>43</v>
      </c>
      <c r="G1386">
        <v>96</v>
      </c>
      <c r="H1386" t="s">
        <v>120</v>
      </c>
      <c r="I1386" t="s">
        <v>45</v>
      </c>
      <c r="J1386" t="s">
        <v>118</v>
      </c>
      <c r="K1386" t="s">
        <v>58</v>
      </c>
      <c r="L1386">
        <v>4.5999999999999996</v>
      </c>
      <c r="M1386" t="s">
        <v>152</v>
      </c>
      <c r="N1386" t="s">
        <v>35</v>
      </c>
      <c r="O1386" t="s">
        <v>55</v>
      </c>
      <c r="P1386" t="s">
        <v>26</v>
      </c>
      <c r="Q1386" t="s">
        <v>26</v>
      </c>
      <c r="R1386">
        <v>8</v>
      </c>
      <c r="S1386" t="s">
        <v>34</v>
      </c>
      <c r="T1386" t="str">
        <f t="shared" si="42"/>
        <v>Daily</v>
      </c>
      <c r="U1386">
        <f>VLOOKUP(T1386,[1]tablescore!$B$3:$C$8, 2,FALSE)</f>
        <v>30</v>
      </c>
      <c r="V1386" t="str">
        <f t="shared" si="43"/>
        <v>Highly Loyal</v>
      </c>
      <c r="W1386" t="s">
        <v>41</v>
      </c>
    </row>
    <row r="1387" spans="1:23" x14ac:dyDescent="0.25">
      <c r="A1387">
        <v>1386</v>
      </c>
      <c r="B1387">
        <v>41</v>
      </c>
      <c r="C1387" t="str" cm="1">
        <f t="array" ref="C1387">_xlfn.IFS(
  AND(B1387&gt;=18, B1387&lt;=24), "18-24",
  AND(B1387&gt;=25, B1387&lt;=34), "25-34",
  AND(B1387&gt;=35, B1387&lt;=44), "35-44",
  AND(B1387&gt;=45, B1387&lt;=54), "45-54",
  B1387&gt;=55, "55+"
)</f>
        <v>35-44</v>
      </c>
      <c r="D1387" t="s">
        <v>19</v>
      </c>
      <c r="E1387" t="s">
        <v>106</v>
      </c>
      <c r="F1387" t="s">
        <v>69</v>
      </c>
      <c r="G1387">
        <v>64</v>
      </c>
      <c r="H1387" t="s">
        <v>91</v>
      </c>
      <c r="I1387" t="s">
        <v>45</v>
      </c>
      <c r="J1387" t="s">
        <v>129</v>
      </c>
      <c r="K1387" t="s">
        <v>58</v>
      </c>
      <c r="L1387">
        <v>2.6</v>
      </c>
      <c r="M1387" t="s">
        <v>152</v>
      </c>
      <c r="N1387" t="s">
        <v>59</v>
      </c>
      <c r="O1387" t="s">
        <v>76</v>
      </c>
      <c r="P1387" t="s">
        <v>26</v>
      </c>
      <c r="Q1387" t="s">
        <v>26</v>
      </c>
      <c r="R1387">
        <v>1</v>
      </c>
      <c r="S1387" t="s">
        <v>34</v>
      </c>
      <c r="T1387" t="str">
        <f t="shared" si="42"/>
        <v>2-week</v>
      </c>
      <c r="U1387">
        <f>VLOOKUP(T1387,[1]tablescore!$B$3:$C$8, 2,FALSE)</f>
        <v>26</v>
      </c>
      <c r="V1387" t="str">
        <f t="shared" si="43"/>
        <v>Loyal</v>
      </c>
      <c r="W1387" t="s">
        <v>77</v>
      </c>
    </row>
    <row r="1388" spans="1:23" x14ac:dyDescent="0.25">
      <c r="A1388">
        <v>1387</v>
      </c>
      <c r="B1388">
        <v>68</v>
      </c>
      <c r="C1388" t="str" cm="1">
        <f t="array" ref="C1388">_xlfn.IFS(
  AND(B1388&gt;=18, B1388&lt;=24), "18-24",
  AND(B1388&gt;=25, B1388&lt;=34), "25-34",
  AND(B1388&gt;=35, B1388&lt;=44), "35-44",
  AND(B1388&gt;=45, B1388&lt;=54), "45-54",
  B1388&gt;=55, "55+"
)</f>
        <v>55+</v>
      </c>
      <c r="D1388" t="s">
        <v>19</v>
      </c>
      <c r="E1388" t="s">
        <v>102</v>
      </c>
      <c r="F1388" t="s">
        <v>65</v>
      </c>
      <c r="G1388">
        <v>56</v>
      </c>
      <c r="H1388" t="s">
        <v>48</v>
      </c>
      <c r="I1388" t="s">
        <v>45</v>
      </c>
      <c r="J1388" t="s">
        <v>67</v>
      </c>
      <c r="K1388" t="s">
        <v>58</v>
      </c>
      <c r="L1388">
        <v>4</v>
      </c>
      <c r="M1388" t="s">
        <v>152</v>
      </c>
      <c r="N1388" t="s">
        <v>34</v>
      </c>
      <c r="O1388" t="s">
        <v>47</v>
      </c>
      <c r="P1388" t="s">
        <v>26</v>
      </c>
      <c r="Q1388" t="s">
        <v>26</v>
      </c>
      <c r="R1388">
        <v>4</v>
      </c>
      <c r="S1388" t="s">
        <v>59</v>
      </c>
      <c r="T1388" t="str">
        <f t="shared" si="42"/>
        <v>Quarterly</v>
      </c>
      <c r="U1388">
        <f>VLOOKUP(T1388,[1]tablescore!$B$3:$C$8, 2,FALSE)</f>
        <v>4</v>
      </c>
      <c r="V1388" t="str">
        <f t="shared" si="43"/>
        <v>Low Loyalty</v>
      </c>
      <c r="W1388" t="s">
        <v>60</v>
      </c>
    </row>
    <row r="1389" spans="1:23" x14ac:dyDescent="0.25">
      <c r="A1389">
        <v>1388</v>
      </c>
      <c r="B1389">
        <v>21</v>
      </c>
      <c r="C1389" t="str" cm="1">
        <f t="array" ref="C1389">_xlfn.IFS(
  AND(B1389&gt;=18, B1389&lt;=24), "18-24",
  AND(B1389&gt;=25, B1389&lt;=34), "25-34",
  AND(B1389&gt;=35, B1389&lt;=44), "35-44",
  AND(B1389&gt;=45, B1389&lt;=54), "45-54",
  B1389&gt;=55, "55+"
)</f>
        <v>18-24</v>
      </c>
      <c r="D1389" t="s">
        <v>19</v>
      </c>
      <c r="E1389" t="s">
        <v>20</v>
      </c>
      <c r="F1389" t="s">
        <v>21</v>
      </c>
      <c r="G1389">
        <v>85</v>
      </c>
      <c r="H1389" t="s">
        <v>135</v>
      </c>
      <c r="I1389" t="s">
        <v>45</v>
      </c>
      <c r="J1389" t="s">
        <v>81</v>
      </c>
      <c r="K1389" t="s">
        <v>25</v>
      </c>
      <c r="L1389">
        <v>3.8</v>
      </c>
      <c r="M1389" t="s">
        <v>152</v>
      </c>
      <c r="N1389" t="s">
        <v>27</v>
      </c>
      <c r="O1389" t="s">
        <v>55</v>
      </c>
      <c r="P1389" t="s">
        <v>26</v>
      </c>
      <c r="Q1389" t="s">
        <v>26</v>
      </c>
      <c r="R1389">
        <v>20</v>
      </c>
      <c r="S1389" t="s">
        <v>27</v>
      </c>
      <c r="T1389" t="str">
        <f t="shared" si="42"/>
        <v>Month</v>
      </c>
      <c r="U1389">
        <f>VLOOKUP(T1389,[1]tablescore!$B$3:$C$8, 2,FALSE)</f>
        <v>12</v>
      </c>
      <c r="V1389" t="str">
        <f t="shared" si="43"/>
        <v>Moderate</v>
      </c>
      <c r="W1389" t="s">
        <v>88</v>
      </c>
    </row>
    <row r="1390" spans="1:23" x14ac:dyDescent="0.25">
      <c r="A1390">
        <v>1389</v>
      </c>
      <c r="B1390">
        <v>62</v>
      </c>
      <c r="C1390" t="str" cm="1">
        <f t="array" ref="C1390">_xlfn.IFS(
  AND(B1390&gt;=18, B1390&lt;=24), "18-24",
  AND(B1390&gt;=25, B1390&lt;=34), "25-34",
  AND(B1390&gt;=35, B1390&lt;=44), "35-44",
  AND(B1390&gt;=45, B1390&lt;=54), "45-54",
  B1390&gt;=55, "55+"
)</f>
        <v>55+</v>
      </c>
      <c r="D1390" t="s">
        <v>19</v>
      </c>
      <c r="E1390" t="s">
        <v>82</v>
      </c>
      <c r="F1390" t="s">
        <v>21</v>
      </c>
      <c r="G1390">
        <v>23</v>
      </c>
      <c r="H1390" t="s">
        <v>74</v>
      </c>
      <c r="I1390" t="s">
        <v>45</v>
      </c>
      <c r="J1390" t="s">
        <v>93</v>
      </c>
      <c r="K1390" t="s">
        <v>39</v>
      </c>
      <c r="L1390">
        <v>3.9</v>
      </c>
      <c r="M1390" t="s">
        <v>152</v>
      </c>
      <c r="N1390" t="s">
        <v>35</v>
      </c>
      <c r="O1390" t="s">
        <v>28</v>
      </c>
      <c r="P1390" t="s">
        <v>26</v>
      </c>
      <c r="Q1390" t="s">
        <v>26</v>
      </c>
      <c r="R1390">
        <v>40</v>
      </c>
      <c r="S1390" t="s">
        <v>35</v>
      </c>
      <c r="T1390" t="str">
        <f t="shared" si="42"/>
        <v>Quarterly</v>
      </c>
      <c r="U1390">
        <f>VLOOKUP(T1390,[1]tablescore!$B$3:$C$8, 2,FALSE)</f>
        <v>4</v>
      </c>
      <c r="V1390" t="str">
        <f t="shared" si="43"/>
        <v>Low Loyalty</v>
      </c>
      <c r="W1390" t="s">
        <v>60</v>
      </c>
    </row>
    <row r="1391" spans="1:23" x14ac:dyDescent="0.25">
      <c r="A1391">
        <v>1390</v>
      </c>
      <c r="B1391">
        <v>59</v>
      </c>
      <c r="C1391" t="str" cm="1">
        <f t="array" ref="C1391">_xlfn.IFS(
  AND(B1391&gt;=18, B1391&lt;=24), "18-24",
  AND(B1391&gt;=25, B1391&lt;=34), "25-34",
  AND(B1391&gt;=35, B1391&lt;=44), "35-44",
  AND(B1391&gt;=45, B1391&lt;=54), "45-54",
  B1391&gt;=55, "55+"
)</f>
        <v>55+</v>
      </c>
      <c r="D1391" t="s">
        <v>19</v>
      </c>
      <c r="E1391" t="s">
        <v>119</v>
      </c>
      <c r="F1391" t="s">
        <v>69</v>
      </c>
      <c r="G1391">
        <v>72</v>
      </c>
      <c r="H1391" t="s">
        <v>115</v>
      </c>
      <c r="I1391" t="s">
        <v>23</v>
      </c>
      <c r="J1391" t="s">
        <v>121</v>
      </c>
      <c r="K1391" t="s">
        <v>58</v>
      </c>
      <c r="L1391">
        <v>2.6</v>
      </c>
      <c r="M1391" t="s">
        <v>152</v>
      </c>
      <c r="N1391" t="s">
        <v>59</v>
      </c>
      <c r="O1391" t="s">
        <v>76</v>
      </c>
      <c r="P1391" t="s">
        <v>26</v>
      </c>
      <c r="Q1391" t="s">
        <v>26</v>
      </c>
      <c r="R1391">
        <v>8</v>
      </c>
      <c r="S1391" t="s">
        <v>59</v>
      </c>
      <c r="T1391" t="str">
        <f t="shared" si="42"/>
        <v>2-week</v>
      </c>
      <c r="U1391">
        <f>VLOOKUP(T1391,[1]tablescore!$B$3:$C$8, 2,FALSE)</f>
        <v>26</v>
      </c>
      <c r="V1391" t="str">
        <f t="shared" si="43"/>
        <v>Loyal</v>
      </c>
      <c r="W1391" t="s">
        <v>30</v>
      </c>
    </row>
    <row r="1392" spans="1:23" x14ac:dyDescent="0.25">
      <c r="A1392">
        <v>1391</v>
      </c>
      <c r="B1392">
        <v>25</v>
      </c>
      <c r="C1392" t="str" cm="1">
        <f t="array" ref="C1392">_xlfn.IFS(
  AND(B1392&gt;=18, B1392&lt;=24), "18-24",
  AND(B1392&gt;=25, B1392&lt;=34), "25-34",
  AND(B1392&gt;=35, B1392&lt;=44), "35-44",
  AND(B1392&gt;=45, B1392&lt;=54), "45-54",
  B1392&gt;=55, "55+"
)</f>
        <v>25-34</v>
      </c>
      <c r="D1392" t="s">
        <v>19</v>
      </c>
      <c r="E1392" t="s">
        <v>125</v>
      </c>
      <c r="F1392" t="s">
        <v>69</v>
      </c>
      <c r="G1392">
        <v>38</v>
      </c>
      <c r="H1392" t="s">
        <v>74</v>
      </c>
      <c r="I1392" t="s">
        <v>45</v>
      </c>
      <c r="J1392" t="s">
        <v>33</v>
      </c>
      <c r="K1392" t="s">
        <v>54</v>
      </c>
      <c r="L1392">
        <v>4.3</v>
      </c>
      <c r="M1392" t="s">
        <v>152</v>
      </c>
      <c r="N1392" t="s">
        <v>29</v>
      </c>
      <c r="O1392" t="s">
        <v>55</v>
      </c>
      <c r="P1392" t="s">
        <v>26</v>
      </c>
      <c r="Q1392" t="s">
        <v>26</v>
      </c>
      <c r="R1392">
        <v>42</v>
      </c>
      <c r="S1392" t="s">
        <v>59</v>
      </c>
      <c r="T1392" t="str">
        <f t="shared" si="42"/>
        <v>Daily</v>
      </c>
      <c r="U1392">
        <f>VLOOKUP(T1392,[1]tablescore!$B$3:$C$8, 2,FALSE)</f>
        <v>30</v>
      </c>
      <c r="V1392" t="str">
        <f t="shared" si="43"/>
        <v>Highly Loyal</v>
      </c>
      <c r="W1392" t="s">
        <v>41</v>
      </c>
    </row>
    <row r="1393" spans="1:23" x14ac:dyDescent="0.25">
      <c r="A1393">
        <v>1392</v>
      </c>
      <c r="B1393">
        <v>53</v>
      </c>
      <c r="C1393" t="str" cm="1">
        <f t="array" ref="C1393">_xlfn.IFS(
  AND(B1393&gt;=18, B1393&lt;=24), "18-24",
  AND(B1393&gt;=25, B1393&lt;=34), "25-34",
  AND(B1393&gt;=35, B1393&lt;=44), "35-44",
  AND(B1393&gt;=45, B1393&lt;=54), "45-54",
  B1393&gt;=55, "55+"
)</f>
        <v>45-54</v>
      </c>
      <c r="D1393" t="s">
        <v>19</v>
      </c>
      <c r="E1393" t="s">
        <v>20</v>
      </c>
      <c r="F1393" t="s">
        <v>21</v>
      </c>
      <c r="G1393">
        <v>29</v>
      </c>
      <c r="H1393" t="s">
        <v>91</v>
      </c>
      <c r="I1393" t="s">
        <v>38</v>
      </c>
      <c r="J1393" t="s">
        <v>53</v>
      </c>
      <c r="K1393" t="s">
        <v>25</v>
      </c>
      <c r="L1393">
        <v>3.6</v>
      </c>
      <c r="M1393" t="s">
        <v>152</v>
      </c>
      <c r="N1393" t="s">
        <v>34</v>
      </c>
      <c r="O1393" t="s">
        <v>28</v>
      </c>
      <c r="P1393" t="s">
        <v>26</v>
      </c>
      <c r="Q1393" t="s">
        <v>26</v>
      </c>
      <c r="R1393">
        <v>38</v>
      </c>
      <c r="S1393" t="s">
        <v>27</v>
      </c>
      <c r="T1393" t="str">
        <f t="shared" si="42"/>
        <v>Annually</v>
      </c>
      <c r="U1393">
        <f>VLOOKUP(T1393,[1]tablescore!$B$3:$C$8, 2,FALSE)</f>
        <v>1</v>
      </c>
      <c r="V1393" t="str">
        <f t="shared" si="43"/>
        <v>Low Loyalty</v>
      </c>
      <c r="W1393" t="s">
        <v>50</v>
      </c>
    </row>
    <row r="1394" spans="1:23" x14ac:dyDescent="0.25">
      <c r="A1394">
        <v>1393</v>
      </c>
      <c r="B1394">
        <v>31</v>
      </c>
      <c r="C1394" t="str" cm="1">
        <f t="array" ref="C1394">_xlfn.IFS(
  AND(B1394&gt;=18, B1394&lt;=24), "18-24",
  AND(B1394&gt;=25, B1394&lt;=34), "25-34",
  AND(B1394&gt;=35, B1394&lt;=44), "35-44",
  AND(B1394&gt;=45, B1394&lt;=54), "45-54",
  B1394&gt;=55, "55+"
)</f>
        <v>25-34</v>
      </c>
      <c r="D1394" t="s">
        <v>19</v>
      </c>
      <c r="E1394" t="s">
        <v>127</v>
      </c>
      <c r="F1394" t="s">
        <v>69</v>
      </c>
      <c r="G1394">
        <v>46</v>
      </c>
      <c r="H1394" t="s">
        <v>74</v>
      </c>
      <c r="I1394" t="s">
        <v>45</v>
      </c>
      <c r="J1394" t="s">
        <v>139</v>
      </c>
      <c r="K1394" t="s">
        <v>39</v>
      </c>
      <c r="L1394">
        <v>4.2</v>
      </c>
      <c r="M1394" t="s">
        <v>152</v>
      </c>
      <c r="N1394" t="s">
        <v>59</v>
      </c>
      <c r="O1394" t="s">
        <v>28</v>
      </c>
      <c r="P1394" t="s">
        <v>26</v>
      </c>
      <c r="Q1394" t="s">
        <v>26</v>
      </c>
      <c r="R1394">
        <v>34</v>
      </c>
      <c r="S1394" t="s">
        <v>29</v>
      </c>
      <c r="T1394" t="str">
        <f t="shared" si="42"/>
        <v>Quarterly</v>
      </c>
      <c r="U1394">
        <f>VLOOKUP(T1394,[1]tablescore!$B$3:$C$8, 2,FALSE)</f>
        <v>4</v>
      </c>
      <c r="V1394" t="str">
        <f t="shared" si="43"/>
        <v>Low Loyalty</v>
      </c>
      <c r="W1394" t="s">
        <v>97</v>
      </c>
    </row>
    <row r="1395" spans="1:23" x14ac:dyDescent="0.25">
      <c r="A1395">
        <v>1394</v>
      </c>
      <c r="B1395">
        <v>46</v>
      </c>
      <c r="C1395" t="str" cm="1">
        <f t="array" ref="C1395">_xlfn.IFS(
  AND(B1395&gt;=18, B1395&lt;=24), "18-24",
  AND(B1395&gt;=25, B1395&lt;=34), "25-34",
  AND(B1395&gt;=35, B1395&lt;=44), "35-44",
  AND(B1395&gt;=45, B1395&lt;=54), "45-54",
  B1395&gt;=55, "55+"
)</f>
        <v>45-54</v>
      </c>
      <c r="D1395" t="s">
        <v>19</v>
      </c>
      <c r="E1395" t="s">
        <v>127</v>
      </c>
      <c r="F1395" t="s">
        <v>69</v>
      </c>
      <c r="G1395">
        <v>58</v>
      </c>
      <c r="H1395" t="s">
        <v>144</v>
      </c>
      <c r="I1395" t="s">
        <v>23</v>
      </c>
      <c r="J1395" t="s">
        <v>139</v>
      </c>
      <c r="K1395" t="s">
        <v>39</v>
      </c>
      <c r="L1395">
        <v>3.9</v>
      </c>
      <c r="M1395" t="s">
        <v>152</v>
      </c>
      <c r="N1395" t="s">
        <v>34</v>
      </c>
      <c r="O1395" t="s">
        <v>28</v>
      </c>
      <c r="P1395" t="s">
        <v>26</v>
      </c>
      <c r="Q1395" t="s">
        <v>26</v>
      </c>
      <c r="R1395">
        <v>14</v>
      </c>
      <c r="S1395" t="s">
        <v>46</v>
      </c>
      <c r="T1395" t="str">
        <f t="shared" si="42"/>
        <v>2-week</v>
      </c>
      <c r="U1395">
        <f>VLOOKUP(T1395,[1]tablescore!$B$3:$C$8, 2,FALSE)</f>
        <v>26</v>
      </c>
      <c r="V1395" t="str">
        <f t="shared" si="43"/>
        <v>Loyal</v>
      </c>
      <c r="W1395" t="s">
        <v>30</v>
      </c>
    </row>
    <row r="1396" spans="1:23" x14ac:dyDescent="0.25">
      <c r="A1396">
        <v>1395</v>
      </c>
      <c r="B1396">
        <v>26</v>
      </c>
      <c r="C1396" t="str" cm="1">
        <f t="array" ref="C1396">_xlfn.IFS(
  AND(B1396&gt;=18, B1396&lt;=24), "18-24",
  AND(B1396&gt;=25, B1396&lt;=34), "25-34",
  AND(B1396&gt;=35, B1396&lt;=44), "35-44",
  AND(B1396&gt;=45, B1396&lt;=54), "45-54",
  B1396&gt;=55, "55+"
)</f>
        <v>25-34</v>
      </c>
      <c r="D1396" t="s">
        <v>19</v>
      </c>
      <c r="E1396" t="s">
        <v>64</v>
      </c>
      <c r="F1396" t="s">
        <v>65</v>
      </c>
      <c r="G1396">
        <v>43</v>
      </c>
      <c r="H1396" t="s">
        <v>150</v>
      </c>
      <c r="I1396" t="s">
        <v>23</v>
      </c>
      <c r="J1396" t="s">
        <v>147</v>
      </c>
      <c r="K1396" t="s">
        <v>58</v>
      </c>
      <c r="L1396">
        <v>4.7</v>
      </c>
      <c r="M1396" t="s">
        <v>152</v>
      </c>
      <c r="N1396" t="s">
        <v>46</v>
      </c>
      <c r="O1396" t="s">
        <v>47</v>
      </c>
      <c r="P1396" t="s">
        <v>26</v>
      </c>
      <c r="Q1396" t="s">
        <v>26</v>
      </c>
      <c r="R1396">
        <v>39</v>
      </c>
      <c r="S1396" t="s">
        <v>35</v>
      </c>
      <c r="T1396" t="str">
        <f t="shared" si="42"/>
        <v>Daily</v>
      </c>
      <c r="U1396">
        <f>VLOOKUP(T1396,[1]tablescore!$B$3:$C$8, 2,FALSE)</f>
        <v>30</v>
      </c>
      <c r="V1396" t="str">
        <f t="shared" si="43"/>
        <v>Highly Loyal</v>
      </c>
      <c r="W1396" t="s">
        <v>41</v>
      </c>
    </row>
    <row r="1397" spans="1:23" x14ac:dyDescent="0.25">
      <c r="A1397">
        <v>1396</v>
      </c>
      <c r="B1397">
        <v>47</v>
      </c>
      <c r="C1397" t="str" cm="1">
        <f t="array" ref="C1397">_xlfn.IFS(
  AND(B1397&gt;=18, B1397&lt;=24), "18-24",
  AND(B1397&gt;=25, B1397&lt;=34), "25-34",
  AND(B1397&gt;=35, B1397&lt;=44), "35-44",
  AND(B1397&gt;=45, B1397&lt;=54), "45-54",
  B1397&gt;=55, "55+"
)</f>
        <v>45-54</v>
      </c>
      <c r="D1397" t="s">
        <v>19</v>
      </c>
      <c r="E1397" t="s">
        <v>119</v>
      </c>
      <c r="F1397" t="s">
        <v>69</v>
      </c>
      <c r="G1397">
        <v>32</v>
      </c>
      <c r="H1397" t="s">
        <v>66</v>
      </c>
      <c r="I1397" t="s">
        <v>23</v>
      </c>
      <c r="J1397" t="s">
        <v>49</v>
      </c>
      <c r="K1397" t="s">
        <v>39</v>
      </c>
      <c r="L1397">
        <v>2.8</v>
      </c>
      <c r="M1397" t="s">
        <v>152</v>
      </c>
      <c r="N1397" t="s">
        <v>35</v>
      </c>
      <c r="O1397" t="s">
        <v>47</v>
      </c>
      <c r="P1397" t="s">
        <v>26</v>
      </c>
      <c r="Q1397" t="s">
        <v>26</v>
      </c>
      <c r="R1397">
        <v>40</v>
      </c>
      <c r="S1397" t="s">
        <v>46</v>
      </c>
      <c r="T1397" t="str">
        <f t="shared" si="42"/>
        <v>2-week</v>
      </c>
      <c r="U1397">
        <f>VLOOKUP(T1397,[1]tablescore!$B$3:$C$8, 2,FALSE)</f>
        <v>26</v>
      </c>
      <c r="V1397" t="str">
        <f t="shared" si="43"/>
        <v>Loyal</v>
      </c>
      <c r="W1397" t="s">
        <v>77</v>
      </c>
    </row>
    <row r="1398" spans="1:23" x14ac:dyDescent="0.25">
      <c r="A1398">
        <v>1397</v>
      </c>
      <c r="B1398">
        <v>37</v>
      </c>
      <c r="C1398" t="str" cm="1">
        <f t="array" ref="C1398">_xlfn.IFS(
  AND(B1398&gt;=18, B1398&lt;=24), "18-24",
  AND(B1398&gt;=25, B1398&lt;=34), "25-34",
  AND(B1398&gt;=35, B1398&lt;=44), "35-44",
  AND(B1398&gt;=45, B1398&lt;=54), "45-54",
  B1398&gt;=55, "55+"
)</f>
        <v>35-44</v>
      </c>
      <c r="D1398" t="s">
        <v>19</v>
      </c>
      <c r="E1398" t="s">
        <v>95</v>
      </c>
      <c r="F1398" t="s">
        <v>21</v>
      </c>
      <c r="G1398">
        <v>30</v>
      </c>
      <c r="H1398" t="s">
        <v>148</v>
      </c>
      <c r="I1398" t="s">
        <v>92</v>
      </c>
      <c r="J1398" t="s">
        <v>93</v>
      </c>
      <c r="K1398" t="s">
        <v>25</v>
      </c>
      <c r="L1398">
        <v>3</v>
      </c>
      <c r="M1398" t="s">
        <v>152</v>
      </c>
      <c r="N1398" t="s">
        <v>35</v>
      </c>
      <c r="O1398" t="s">
        <v>47</v>
      </c>
      <c r="P1398" t="s">
        <v>26</v>
      </c>
      <c r="Q1398" t="s">
        <v>26</v>
      </c>
      <c r="R1398">
        <v>49</v>
      </c>
      <c r="S1398" t="s">
        <v>59</v>
      </c>
      <c r="T1398" t="str">
        <f t="shared" si="42"/>
        <v>Month</v>
      </c>
      <c r="U1398">
        <f>VLOOKUP(T1398,[1]tablescore!$B$3:$C$8, 2,FALSE)</f>
        <v>12</v>
      </c>
      <c r="V1398" t="str">
        <f t="shared" si="43"/>
        <v>Moderate</v>
      </c>
      <c r="W1398" t="s">
        <v>88</v>
      </c>
    </row>
    <row r="1399" spans="1:23" x14ac:dyDescent="0.25">
      <c r="A1399">
        <v>1398</v>
      </c>
      <c r="B1399">
        <v>55</v>
      </c>
      <c r="C1399" t="str" cm="1">
        <f t="array" ref="C1399">_xlfn.IFS(
  AND(B1399&gt;=18, B1399&lt;=24), "18-24",
  AND(B1399&gt;=25, B1399&lt;=34), "25-34",
  AND(B1399&gt;=35, B1399&lt;=44), "35-44",
  AND(B1399&gt;=45, B1399&lt;=54), "45-54",
  B1399&gt;=55, "55+"
)</f>
        <v>55+</v>
      </c>
      <c r="D1399" t="s">
        <v>19</v>
      </c>
      <c r="E1399" t="s">
        <v>89</v>
      </c>
      <c r="F1399" t="s">
        <v>69</v>
      </c>
      <c r="G1399">
        <v>67</v>
      </c>
      <c r="H1399" t="s">
        <v>37</v>
      </c>
      <c r="I1399" t="s">
        <v>38</v>
      </c>
      <c r="J1399" t="s">
        <v>147</v>
      </c>
      <c r="K1399" t="s">
        <v>54</v>
      </c>
      <c r="L1399">
        <v>4.7</v>
      </c>
      <c r="M1399" t="s">
        <v>152</v>
      </c>
      <c r="N1399" t="s">
        <v>35</v>
      </c>
      <c r="O1399" t="s">
        <v>76</v>
      </c>
      <c r="P1399" t="s">
        <v>26</v>
      </c>
      <c r="Q1399" t="s">
        <v>26</v>
      </c>
      <c r="R1399">
        <v>33</v>
      </c>
      <c r="S1399" t="s">
        <v>46</v>
      </c>
      <c r="T1399" t="str">
        <f t="shared" si="42"/>
        <v>Annually</v>
      </c>
      <c r="U1399">
        <f>VLOOKUP(T1399,[1]tablescore!$B$3:$C$8, 2,FALSE)</f>
        <v>1</v>
      </c>
      <c r="V1399" t="str">
        <f t="shared" si="43"/>
        <v>Low Loyalty</v>
      </c>
      <c r="W1399" t="s">
        <v>50</v>
      </c>
    </row>
    <row r="1400" spans="1:23" x14ac:dyDescent="0.25">
      <c r="A1400">
        <v>1399</v>
      </c>
      <c r="B1400">
        <v>30</v>
      </c>
      <c r="C1400" t="str" cm="1">
        <f t="array" ref="C1400">_xlfn.IFS(
  AND(B1400&gt;=18, B1400&lt;=24), "18-24",
  AND(B1400&gt;=25, B1400&lt;=34), "25-34",
  AND(B1400&gt;=35, B1400&lt;=44), "35-44",
  AND(B1400&gt;=45, B1400&lt;=54), "45-54",
  B1400&gt;=55, "55+"
)</f>
        <v>25-34</v>
      </c>
      <c r="D1400" t="s">
        <v>19</v>
      </c>
      <c r="E1400" t="s">
        <v>82</v>
      </c>
      <c r="F1400" t="s">
        <v>21</v>
      </c>
      <c r="G1400">
        <v>45</v>
      </c>
      <c r="H1400" t="s">
        <v>105</v>
      </c>
      <c r="I1400" t="s">
        <v>45</v>
      </c>
      <c r="J1400" t="s">
        <v>109</v>
      </c>
      <c r="K1400" t="s">
        <v>54</v>
      </c>
      <c r="L1400">
        <v>2.5</v>
      </c>
      <c r="M1400" t="s">
        <v>152</v>
      </c>
      <c r="N1400" t="s">
        <v>34</v>
      </c>
      <c r="O1400" t="s">
        <v>40</v>
      </c>
      <c r="P1400" t="s">
        <v>26</v>
      </c>
      <c r="Q1400" t="s">
        <v>26</v>
      </c>
      <c r="R1400">
        <v>25</v>
      </c>
      <c r="S1400" t="s">
        <v>27</v>
      </c>
      <c r="T1400" t="str">
        <f t="shared" si="42"/>
        <v>Daily</v>
      </c>
      <c r="U1400">
        <f>VLOOKUP(T1400,[1]tablescore!$B$3:$C$8, 2,FALSE)</f>
        <v>30</v>
      </c>
      <c r="V1400" t="str">
        <f t="shared" si="43"/>
        <v>Highly Loyal</v>
      </c>
      <c r="W1400" t="s">
        <v>41</v>
      </c>
    </row>
    <row r="1401" spans="1:23" x14ac:dyDescent="0.25">
      <c r="A1401">
        <v>1400</v>
      </c>
      <c r="B1401">
        <v>19</v>
      </c>
      <c r="C1401" t="str" cm="1">
        <f t="array" ref="C1401">_xlfn.IFS(
  AND(B1401&gt;=18, B1401&lt;=24), "18-24",
  AND(B1401&gt;=25, B1401&lt;=34), "25-34",
  AND(B1401&gt;=35, B1401&lt;=44), "35-44",
  AND(B1401&gt;=45, B1401&lt;=54), "45-54",
  B1401&gt;=55, "55+"
)</f>
        <v>18-24</v>
      </c>
      <c r="D1401" t="s">
        <v>19</v>
      </c>
      <c r="E1401" t="s">
        <v>125</v>
      </c>
      <c r="F1401" t="s">
        <v>69</v>
      </c>
      <c r="G1401">
        <v>81</v>
      </c>
      <c r="H1401" t="s">
        <v>143</v>
      </c>
      <c r="I1401" t="s">
        <v>45</v>
      </c>
      <c r="J1401" t="s">
        <v>79</v>
      </c>
      <c r="K1401" t="s">
        <v>25</v>
      </c>
      <c r="L1401">
        <v>3.1</v>
      </c>
      <c r="M1401" t="s">
        <v>152</v>
      </c>
      <c r="N1401" t="s">
        <v>34</v>
      </c>
      <c r="O1401" t="s">
        <v>76</v>
      </c>
      <c r="P1401" t="s">
        <v>26</v>
      </c>
      <c r="Q1401" t="s">
        <v>26</v>
      </c>
      <c r="R1401">
        <v>48</v>
      </c>
      <c r="S1401" t="s">
        <v>29</v>
      </c>
      <c r="T1401" t="str">
        <f t="shared" si="42"/>
        <v>Annually</v>
      </c>
      <c r="U1401">
        <f>VLOOKUP(T1401,[1]tablescore!$B$3:$C$8, 2,FALSE)</f>
        <v>1</v>
      </c>
      <c r="V1401" t="str">
        <f t="shared" si="43"/>
        <v>Low Loyalty</v>
      </c>
      <c r="W1401" t="s">
        <v>50</v>
      </c>
    </row>
    <row r="1402" spans="1:23" x14ac:dyDescent="0.25">
      <c r="A1402">
        <v>1401</v>
      </c>
      <c r="B1402">
        <v>36</v>
      </c>
      <c r="C1402" t="str" cm="1">
        <f t="array" ref="C1402">_xlfn.IFS(
  AND(B1402&gt;=18, B1402&lt;=24), "18-24",
  AND(B1402&gt;=25, B1402&lt;=34), "25-34",
  AND(B1402&gt;=35, B1402&lt;=44), "35-44",
  AND(B1402&gt;=45, B1402&lt;=54), "45-54",
  B1402&gt;=55, "55+"
)</f>
        <v>35-44</v>
      </c>
      <c r="D1402" t="s">
        <v>19</v>
      </c>
      <c r="E1402" t="s">
        <v>133</v>
      </c>
      <c r="F1402" t="s">
        <v>69</v>
      </c>
      <c r="G1402">
        <v>23</v>
      </c>
      <c r="H1402" t="s">
        <v>107</v>
      </c>
      <c r="I1402" t="s">
        <v>45</v>
      </c>
      <c r="J1402" t="s">
        <v>108</v>
      </c>
      <c r="K1402" t="s">
        <v>58</v>
      </c>
      <c r="L1402">
        <v>3.6</v>
      </c>
      <c r="M1402" t="s">
        <v>152</v>
      </c>
      <c r="N1402" t="s">
        <v>29</v>
      </c>
      <c r="O1402" t="s">
        <v>47</v>
      </c>
      <c r="P1402" t="s">
        <v>26</v>
      </c>
      <c r="Q1402" t="s">
        <v>26</v>
      </c>
      <c r="R1402">
        <v>22</v>
      </c>
      <c r="S1402" t="s">
        <v>27</v>
      </c>
      <c r="T1402" t="str">
        <f t="shared" si="42"/>
        <v>Quarterly</v>
      </c>
      <c r="U1402">
        <f>VLOOKUP(T1402,[1]tablescore!$B$3:$C$8, 2,FALSE)</f>
        <v>4</v>
      </c>
      <c r="V1402" t="str">
        <f t="shared" si="43"/>
        <v>Low Loyalty</v>
      </c>
      <c r="W1402" t="s">
        <v>97</v>
      </c>
    </row>
    <row r="1403" spans="1:23" x14ac:dyDescent="0.25">
      <c r="A1403">
        <v>1402</v>
      </c>
      <c r="B1403">
        <v>23</v>
      </c>
      <c r="C1403" t="str" cm="1">
        <f t="array" ref="C1403">_xlfn.IFS(
  AND(B1403&gt;=18, B1403&lt;=24), "18-24",
  AND(B1403&gt;=25, B1403&lt;=34), "25-34",
  AND(B1403&gt;=35, B1403&lt;=44), "35-44",
  AND(B1403&gt;=45, B1403&lt;=54), "45-54",
  B1403&gt;=55, "55+"
)</f>
        <v>18-24</v>
      </c>
      <c r="D1403" t="s">
        <v>19</v>
      </c>
      <c r="E1403" t="s">
        <v>42</v>
      </c>
      <c r="F1403" t="s">
        <v>43</v>
      </c>
      <c r="G1403">
        <v>59</v>
      </c>
      <c r="H1403" t="s">
        <v>116</v>
      </c>
      <c r="I1403" t="s">
        <v>45</v>
      </c>
      <c r="J1403" t="s">
        <v>138</v>
      </c>
      <c r="K1403" t="s">
        <v>58</v>
      </c>
      <c r="L1403">
        <v>3.5</v>
      </c>
      <c r="M1403" t="s">
        <v>152</v>
      </c>
      <c r="N1403" t="s">
        <v>35</v>
      </c>
      <c r="O1403" t="s">
        <v>72</v>
      </c>
      <c r="P1403" t="s">
        <v>26</v>
      </c>
      <c r="Q1403" t="s">
        <v>26</v>
      </c>
      <c r="R1403">
        <v>1</v>
      </c>
      <c r="S1403" t="s">
        <v>46</v>
      </c>
      <c r="T1403" t="str">
        <f t="shared" si="42"/>
        <v>Daily</v>
      </c>
      <c r="U1403">
        <f>VLOOKUP(T1403,[1]tablescore!$B$3:$C$8, 2,FALSE)</f>
        <v>30</v>
      </c>
      <c r="V1403" t="str">
        <f t="shared" si="43"/>
        <v>Highly Loyal</v>
      </c>
      <c r="W1403" t="s">
        <v>41</v>
      </c>
    </row>
    <row r="1404" spans="1:23" x14ac:dyDescent="0.25">
      <c r="A1404">
        <v>1403</v>
      </c>
      <c r="B1404">
        <v>62</v>
      </c>
      <c r="C1404" t="str" cm="1">
        <f t="array" ref="C1404">_xlfn.IFS(
  AND(B1404&gt;=18, B1404&lt;=24), "18-24",
  AND(B1404&gt;=25, B1404&lt;=34), "25-34",
  AND(B1404&gt;=35, B1404&lt;=44), "35-44",
  AND(B1404&gt;=45, B1404&lt;=54), "45-54",
  B1404&gt;=55, "55+"
)</f>
        <v>55+</v>
      </c>
      <c r="D1404" t="s">
        <v>19</v>
      </c>
      <c r="E1404" t="s">
        <v>89</v>
      </c>
      <c r="F1404" t="s">
        <v>69</v>
      </c>
      <c r="G1404">
        <v>21</v>
      </c>
      <c r="H1404" t="s">
        <v>114</v>
      </c>
      <c r="I1404" t="s">
        <v>23</v>
      </c>
      <c r="J1404" t="s">
        <v>53</v>
      </c>
      <c r="K1404" t="s">
        <v>54</v>
      </c>
      <c r="L1404">
        <v>3.1</v>
      </c>
      <c r="M1404" t="s">
        <v>152</v>
      </c>
      <c r="N1404" t="s">
        <v>34</v>
      </c>
      <c r="O1404" t="s">
        <v>28</v>
      </c>
      <c r="P1404" t="s">
        <v>26</v>
      </c>
      <c r="Q1404" t="s">
        <v>26</v>
      </c>
      <c r="R1404">
        <v>47</v>
      </c>
      <c r="S1404" t="s">
        <v>46</v>
      </c>
      <c r="T1404" t="str">
        <f t="shared" si="42"/>
        <v>Month</v>
      </c>
      <c r="U1404">
        <f>VLOOKUP(T1404,[1]tablescore!$B$3:$C$8, 2,FALSE)</f>
        <v>12</v>
      </c>
      <c r="V1404" t="str">
        <f t="shared" si="43"/>
        <v>Moderate</v>
      </c>
      <c r="W1404" t="s">
        <v>88</v>
      </c>
    </row>
    <row r="1405" spans="1:23" x14ac:dyDescent="0.25">
      <c r="A1405">
        <v>1404</v>
      </c>
      <c r="B1405">
        <v>26</v>
      </c>
      <c r="C1405" t="str" cm="1">
        <f t="array" ref="C1405">_xlfn.IFS(
  AND(B1405&gt;=18, B1405&lt;=24), "18-24",
  AND(B1405&gt;=25, B1405&lt;=34), "25-34",
  AND(B1405&gt;=35, B1405&lt;=44), "35-44",
  AND(B1405&gt;=45, B1405&lt;=54), "45-54",
  B1405&gt;=55, "55+"
)</f>
        <v>25-34</v>
      </c>
      <c r="D1405" t="s">
        <v>19</v>
      </c>
      <c r="E1405" t="s">
        <v>133</v>
      </c>
      <c r="F1405" t="s">
        <v>69</v>
      </c>
      <c r="G1405">
        <v>20</v>
      </c>
      <c r="H1405" t="s">
        <v>142</v>
      </c>
      <c r="I1405" t="s">
        <v>45</v>
      </c>
      <c r="J1405" t="s">
        <v>100</v>
      </c>
      <c r="K1405" t="s">
        <v>39</v>
      </c>
      <c r="L1405">
        <v>3.6</v>
      </c>
      <c r="M1405" t="s">
        <v>152</v>
      </c>
      <c r="N1405" t="s">
        <v>34</v>
      </c>
      <c r="O1405" t="s">
        <v>76</v>
      </c>
      <c r="P1405" t="s">
        <v>26</v>
      </c>
      <c r="Q1405" t="s">
        <v>26</v>
      </c>
      <c r="R1405">
        <v>20</v>
      </c>
      <c r="S1405" t="s">
        <v>27</v>
      </c>
      <c r="T1405" t="str">
        <f t="shared" si="42"/>
        <v>2-week</v>
      </c>
      <c r="U1405">
        <f>VLOOKUP(T1405,[1]tablescore!$B$3:$C$8, 2,FALSE)</f>
        <v>26</v>
      </c>
      <c r="V1405" t="str">
        <f t="shared" si="43"/>
        <v>Loyal</v>
      </c>
      <c r="W1405" t="s">
        <v>77</v>
      </c>
    </row>
    <row r="1406" spans="1:23" x14ac:dyDescent="0.25">
      <c r="A1406">
        <v>1405</v>
      </c>
      <c r="B1406">
        <v>36</v>
      </c>
      <c r="C1406" t="str" cm="1">
        <f t="array" ref="C1406">_xlfn.IFS(
  AND(B1406&gt;=18, B1406&lt;=24), "18-24",
  AND(B1406&gt;=25, B1406&lt;=34), "25-34",
  AND(B1406&gt;=35, B1406&lt;=44), "35-44",
  AND(B1406&gt;=45, B1406&lt;=54), "45-54",
  B1406&gt;=55, "55+"
)</f>
        <v>35-44</v>
      </c>
      <c r="D1406" t="s">
        <v>19</v>
      </c>
      <c r="E1406" t="s">
        <v>106</v>
      </c>
      <c r="F1406" t="s">
        <v>69</v>
      </c>
      <c r="G1406">
        <v>28</v>
      </c>
      <c r="H1406" t="s">
        <v>123</v>
      </c>
      <c r="I1406" t="s">
        <v>45</v>
      </c>
      <c r="J1406" t="s">
        <v>63</v>
      </c>
      <c r="K1406" t="s">
        <v>25</v>
      </c>
      <c r="L1406">
        <v>3.5</v>
      </c>
      <c r="M1406" t="s">
        <v>152</v>
      </c>
      <c r="N1406" t="s">
        <v>29</v>
      </c>
      <c r="O1406" t="s">
        <v>47</v>
      </c>
      <c r="P1406" t="s">
        <v>26</v>
      </c>
      <c r="Q1406" t="s">
        <v>26</v>
      </c>
      <c r="R1406">
        <v>10</v>
      </c>
      <c r="S1406" t="s">
        <v>59</v>
      </c>
      <c r="T1406" t="str">
        <f t="shared" si="42"/>
        <v>Daily</v>
      </c>
      <c r="U1406">
        <f>VLOOKUP(T1406,[1]tablescore!$B$3:$C$8, 2,FALSE)</f>
        <v>30</v>
      </c>
      <c r="V1406" t="str">
        <f t="shared" si="43"/>
        <v>Highly Loyal</v>
      </c>
      <c r="W1406" t="s">
        <v>41</v>
      </c>
    </row>
    <row r="1407" spans="1:23" x14ac:dyDescent="0.25">
      <c r="A1407">
        <v>1406</v>
      </c>
      <c r="B1407">
        <v>33</v>
      </c>
      <c r="C1407" t="str" cm="1">
        <f t="array" ref="C1407">_xlfn.IFS(
  AND(B1407&gt;=18, B1407&lt;=24), "18-24",
  AND(B1407&gt;=25, B1407&lt;=34), "25-34",
  AND(B1407&gt;=35, B1407&lt;=44), "35-44",
  AND(B1407&gt;=45, B1407&lt;=54), "45-54",
  B1407&gt;=55, "55+"
)</f>
        <v>25-34</v>
      </c>
      <c r="D1407" t="s">
        <v>19</v>
      </c>
      <c r="E1407" t="s">
        <v>131</v>
      </c>
      <c r="F1407" t="s">
        <v>21</v>
      </c>
      <c r="G1407">
        <v>100</v>
      </c>
      <c r="H1407" t="s">
        <v>83</v>
      </c>
      <c r="I1407" t="s">
        <v>45</v>
      </c>
      <c r="J1407" t="s">
        <v>100</v>
      </c>
      <c r="K1407" t="s">
        <v>25</v>
      </c>
      <c r="L1407">
        <v>2.7</v>
      </c>
      <c r="M1407" t="s">
        <v>152</v>
      </c>
      <c r="N1407" t="s">
        <v>35</v>
      </c>
      <c r="O1407" t="s">
        <v>76</v>
      </c>
      <c r="P1407" t="s">
        <v>26</v>
      </c>
      <c r="Q1407" t="s">
        <v>26</v>
      </c>
      <c r="R1407">
        <v>39</v>
      </c>
      <c r="S1407" t="s">
        <v>27</v>
      </c>
      <c r="T1407" t="str">
        <f t="shared" si="42"/>
        <v>Month</v>
      </c>
      <c r="U1407">
        <f>VLOOKUP(T1407,[1]tablescore!$B$3:$C$8, 2,FALSE)</f>
        <v>12</v>
      </c>
      <c r="V1407" t="str">
        <f t="shared" si="43"/>
        <v>Moderate</v>
      </c>
      <c r="W1407" t="s">
        <v>88</v>
      </c>
    </row>
    <row r="1408" spans="1:23" x14ac:dyDescent="0.25">
      <c r="A1408">
        <v>1407</v>
      </c>
      <c r="B1408">
        <v>32</v>
      </c>
      <c r="C1408" t="str" cm="1">
        <f t="array" ref="C1408">_xlfn.IFS(
  AND(B1408&gt;=18, B1408&lt;=24), "18-24",
  AND(B1408&gt;=25, B1408&lt;=34), "25-34",
  AND(B1408&gt;=35, B1408&lt;=44), "35-44",
  AND(B1408&gt;=45, B1408&lt;=54), "45-54",
  B1408&gt;=55, "55+"
)</f>
        <v>25-34</v>
      </c>
      <c r="D1408" t="s">
        <v>19</v>
      </c>
      <c r="E1408" t="s">
        <v>56</v>
      </c>
      <c r="F1408" t="s">
        <v>21</v>
      </c>
      <c r="G1408">
        <v>46</v>
      </c>
      <c r="H1408" t="s">
        <v>140</v>
      </c>
      <c r="I1408" t="s">
        <v>23</v>
      </c>
      <c r="J1408" t="s">
        <v>49</v>
      </c>
      <c r="K1408" t="s">
        <v>39</v>
      </c>
      <c r="L1408">
        <v>3.6</v>
      </c>
      <c r="M1408" t="s">
        <v>152</v>
      </c>
      <c r="N1408" t="s">
        <v>29</v>
      </c>
      <c r="O1408" t="s">
        <v>28</v>
      </c>
      <c r="P1408" t="s">
        <v>26</v>
      </c>
      <c r="Q1408" t="s">
        <v>26</v>
      </c>
      <c r="R1408">
        <v>15</v>
      </c>
      <c r="S1408" t="s">
        <v>59</v>
      </c>
      <c r="T1408" t="str">
        <f t="shared" si="42"/>
        <v>Month</v>
      </c>
      <c r="U1408">
        <f>VLOOKUP(T1408,[1]tablescore!$B$3:$C$8, 2,FALSE)</f>
        <v>12</v>
      </c>
      <c r="V1408" t="str">
        <f t="shared" si="43"/>
        <v>Moderate</v>
      </c>
      <c r="W1408" t="s">
        <v>88</v>
      </c>
    </row>
    <row r="1409" spans="1:23" x14ac:dyDescent="0.25">
      <c r="A1409">
        <v>1408</v>
      </c>
      <c r="B1409">
        <v>56</v>
      </c>
      <c r="C1409" t="str" cm="1">
        <f t="array" ref="C1409">_xlfn.IFS(
  AND(B1409&gt;=18, B1409&lt;=24), "18-24",
  AND(B1409&gt;=25, B1409&lt;=34), "25-34",
  AND(B1409&gt;=35, B1409&lt;=44), "35-44",
  AND(B1409&gt;=45, B1409&lt;=54), "45-54",
  B1409&gt;=55, "55+"
)</f>
        <v>55+</v>
      </c>
      <c r="D1409" t="s">
        <v>19</v>
      </c>
      <c r="E1409" t="s">
        <v>68</v>
      </c>
      <c r="F1409" t="s">
        <v>69</v>
      </c>
      <c r="G1409">
        <v>61</v>
      </c>
      <c r="H1409" t="s">
        <v>107</v>
      </c>
      <c r="I1409" t="s">
        <v>92</v>
      </c>
      <c r="J1409" t="s">
        <v>63</v>
      </c>
      <c r="K1409" t="s">
        <v>39</v>
      </c>
      <c r="L1409">
        <v>4.5</v>
      </c>
      <c r="M1409" t="s">
        <v>152</v>
      </c>
      <c r="N1409" t="s">
        <v>35</v>
      </c>
      <c r="O1409" t="s">
        <v>28</v>
      </c>
      <c r="P1409" t="s">
        <v>26</v>
      </c>
      <c r="Q1409" t="s">
        <v>26</v>
      </c>
      <c r="R1409">
        <v>11</v>
      </c>
      <c r="S1409" t="s">
        <v>27</v>
      </c>
      <c r="T1409" t="str">
        <f t="shared" si="42"/>
        <v>Annually</v>
      </c>
      <c r="U1409">
        <f>VLOOKUP(T1409,[1]tablescore!$B$3:$C$8, 2,FALSE)</f>
        <v>1</v>
      </c>
      <c r="V1409" t="str">
        <f t="shared" si="43"/>
        <v>Low Loyalty</v>
      </c>
      <c r="W1409" t="s">
        <v>50</v>
      </c>
    </row>
    <row r="1410" spans="1:23" x14ac:dyDescent="0.25">
      <c r="A1410">
        <v>1409</v>
      </c>
      <c r="B1410">
        <v>58</v>
      </c>
      <c r="C1410" t="str" cm="1">
        <f t="array" ref="C1410">_xlfn.IFS(
  AND(B1410&gt;=18, B1410&lt;=24), "18-24",
  AND(B1410&gt;=25, B1410&lt;=34), "25-34",
  AND(B1410&gt;=35, B1410&lt;=44), "35-44",
  AND(B1410&gt;=45, B1410&lt;=54), "45-54",
  B1410&gt;=55, "55+"
)</f>
        <v>55+</v>
      </c>
      <c r="D1410" t="s">
        <v>19</v>
      </c>
      <c r="E1410" t="s">
        <v>20</v>
      </c>
      <c r="F1410" t="s">
        <v>21</v>
      </c>
      <c r="G1410">
        <v>58</v>
      </c>
      <c r="H1410" t="s">
        <v>32</v>
      </c>
      <c r="I1410" t="s">
        <v>45</v>
      </c>
      <c r="J1410" t="s">
        <v>139</v>
      </c>
      <c r="K1410" t="s">
        <v>25</v>
      </c>
      <c r="L1410">
        <v>4.0999999999999996</v>
      </c>
      <c r="M1410" t="s">
        <v>152</v>
      </c>
      <c r="N1410" t="s">
        <v>59</v>
      </c>
      <c r="O1410" t="s">
        <v>40</v>
      </c>
      <c r="P1410" t="s">
        <v>26</v>
      </c>
      <c r="Q1410" t="s">
        <v>26</v>
      </c>
      <c r="R1410">
        <v>38</v>
      </c>
      <c r="S1410" t="s">
        <v>29</v>
      </c>
      <c r="T1410" t="str">
        <f t="shared" si="42"/>
        <v>Daily</v>
      </c>
      <c r="U1410">
        <f>VLOOKUP(T1410,[1]tablescore!$B$3:$C$8, 2,FALSE)</f>
        <v>30</v>
      </c>
      <c r="V1410" t="str">
        <f t="shared" si="43"/>
        <v>Highly Loyal</v>
      </c>
      <c r="W1410" t="s">
        <v>41</v>
      </c>
    </row>
    <row r="1411" spans="1:23" x14ac:dyDescent="0.25">
      <c r="A1411">
        <v>1410</v>
      </c>
      <c r="B1411">
        <v>34</v>
      </c>
      <c r="C1411" t="str" cm="1">
        <f t="array" ref="C1411">_xlfn.IFS(
  AND(B1411&gt;=18, B1411&lt;=24), "18-24",
  AND(B1411&gt;=25, B1411&lt;=34), "25-34",
  AND(B1411&gt;=35, B1411&lt;=44), "35-44",
  AND(B1411&gt;=45, B1411&lt;=54), "45-54",
  B1411&gt;=55, "55+"
)</f>
        <v>25-34</v>
      </c>
      <c r="D1411" t="s">
        <v>19</v>
      </c>
      <c r="E1411" t="s">
        <v>133</v>
      </c>
      <c r="F1411" t="s">
        <v>69</v>
      </c>
      <c r="G1411">
        <v>50</v>
      </c>
      <c r="H1411" t="s">
        <v>144</v>
      </c>
      <c r="I1411" t="s">
        <v>45</v>
      </c>
      <c r="J1411" t="s">
        <v>138</v>
      </c>
      <c r="K1411" t="s">
        <v>39</v>
      </c>
      <c r="L1411">
        <v>4.2</v>
      </c>
      <c r="M1411" t="s">
        <v>152</v>
      </c>
      <c r="N1411" t="s">
        <v>27</v>
      </c>
      <c r="O1411" t="s">
        <v>55</v>
      </c>
      <c r="P1411" t="s">
        <v>26</v>
      </c>
      <c r="Q1411" t="s">
        <v>26</v>
      </c>
      <c r="R1411">
        <v>41</v>
      </c>
      <c r="S1411" t="s">
        <v>35</v>
      </c>
      <c r="T1411" t="str">
        <f t="shared" ref="T1411:T1474" si="44">IF(TRIM(W1411)="Every 3 months","Quarterly",IF(TRIM(W1411)="Fortnightly","2-week",IF(TRIM(W1411)="Bi-Weekly","2-week",IF(TRIM(W1411)="Weekly","Daily",IF(TRIM(W1411)="Monthly","Month",TRIM(W1411))))))</f>
        <v>2-week</v>
      </c>
      <c r="U1411">
        <f>VLOOKUP(T1411,[1]tablescore!$B$3:$C$8, 2,FALSE)</f>
        <v>26</v>
      </c>
      <c r="V1411" t="str">
        <f t="shared" ref="V1411:V1474" si="45">_xlfn.IFS(U1411&gt;=30, "Highly Loyal", U1411&gt;=26, "Loyal", U1411&gt;=12, "Moderate", U1411&lt;5, "Low Loyalty")</f>
        <v>Loyal</v>
      </c>
      <c r="W1411" t="s">
        <v>30</v>
      </c>
    </row>
    <row r="1412" spans="1:23" x14ac:dyDescent="0.25">
      <c r="A1412">
        <v>1411</v>
      </c>
      <c r="B1412">
        <v>61</v>
      </c>
      <c r="C1412" t="str" cm="1">
        <f t="array" ref="C1412">_xlfn.IFS(
  AND(B1412&gt;=18, B1412&lt;=24), "18-24",
  AND(B1412&gt;=25, B1412&lt;=34), "25-34",
  AND(B1412&gt;=35, B1412&lt;=44), "35-44",
  AND(B1412&gt;=45, B1412&lt;=54), "45-54",
  B1412&gt;=55, "55+"
)</f>
        <v>55+</v>
      </c>
      <c r="D1412" t="s">
        <v>19</v>
      </c>
      <c r="E1412" t="s">
        <v>125</v>
      </c>
      <c r="F1412" t="s">
        <v>69</v>
      </c>
      <c r="G1412">
        <v>93</v>
      </c>
      <c r="H1412" t="s">
        <v>122</v>
      </c>
      <c r="I1412" t="s">
        <v>45</v>
      </c>
      <c r="J1412" t="s">
        <v>75</v>
      </c>
      <c r="K1412" t="s">
        <v>54</v>
      </c>
      <c r="L1412">
        <v>4</v>
      </c>
      <c r="M1412" t="s">
        <v>152</v>
      </c>
      <c r="N1412" t="s">
        <v>29</v>
      </c>
      <c r="O1412" t="s">
        <v>76</v>
      </c>
      <c r="P1412" t="s">
        <v>26</v>
      </c>
      <c r="Q1412" t="s">
        <v>26</v>
      </c>
      <c r="R1412">
        <v>18</v>
      </c>
      <c r="S1412" t="s">
        <v>59</v>
      </c>
      <c r="T1412" t="str">
        <f t="shared" si="44"/>
        <v>Annually</v>
      </c>
      <c r="U1412">
        <f>VLOOKUP(T1412,[1]tablescore!$B$3:$C$8, 2,FALSE)</f>
        <v>1</v>
      </c>
      <c r="V1412" t="str">
        <f t="shared" si="45"/>
        <v>Low Loyalty</v>
      </c>
      <c r="W1412" t="s">
        <v>50</v>
      </c>
    </row>
    <row r="1413" spans="1:23" x14ac:dyDescent="0.25">
      <c r="A1413">
        <v>1412</v>
      </c>
      <c r="B1413">
        <v>48</v>
      </c>
      <c r="C1413" t="str" cm="1">
        <f t="array" ref="C1413">_xlfn.IFS(
  AND(B1413&gt;=18, B1413&lt;=24), "18-24",
  AND(B1413&gt;=25, B1413&lt;=34), "25-34",
  AND(B1413&gt;=35, B1413&lt;=44), "35-44",
  AND(B1413&gt;=45, B1413&lt;=54), "45-54",
  B1413&gt;=55, "55+"
)</f>
        <v>45-54</v>
      </c>
      <c r="D1413" t="s">
        <v>19</v>
      </c>
      <c r="E1413" t="s">
        <v>87</v>
      </c>
      <c r="F1413" t="s">
        <v>21</v>
      </c>
      <c r="G1413">
        <v>24</v>
      </c>
      <c r="H1413" t="s">
        <v>62</v>
      </c>
      <c r="I1413" t="s">
        <v>23</v>
      </c>
      <c r="J1413" t="s">
        <v>96</v>
      </c>
      <c r="K1413" t="s">
        <v>54</v>
      </c>
      <c r="L1413">
        <v>2.8</v>
      </c>
      <c r="M1413" t="s">
        <v>152</v>
      </c>
      <c r="N1413" t="s">
        <v>46</v>
      </c>
      <c r="O1413" t="s">
        <v>76</v>
      </c>
      <c r="P1413" t="s">
        <v>26</v>
      </c>
      <c r="Q1413" t="s">
        <v>26</v>
      </c>
      <c r="R1413">
        <v>13</v>
      </c>
      <c r="S1413" t="s">
        <v>29</v>
      </c>
      <c r="T1413" t="str">
        <f t="shared" si="44"/>
        <v>Quarterly</v>
      </c>
      <c r="U1413">
        <f>VLOOKUP(T1413,[1]tablescore!$B$3:$C$8, 2,FALSE)</f>
        <v>4</v>
      </c>
      <c r="V1413" t="str">
        <f t="shared" si="45"/>
        <v>Low Loyalty</v>
      </c>
      <c r="W1413" t="s">
        <v>60</v>
      </c>
    </row>
    <row r="1414" spans="1:23" x14ac:dyDescent="0.25">
      <c r="A1414">
        <v>1413</v>
      </c>
      <c r="B1414">
        <v>25</v>
      </c>
      <c r="C1414" t="str" cm="1">
        <f t="array" ref="C1414">_xlfn.IFS(
  AND(B1414&gt;=18, B1414&lt;=24), "18-24",
  AND(B1414&gt;=25, B1414&lt;=34), "25-34",
  AND(B1414&gt;=35, B1414&lt;=44), "35-44",
  AND(B1414&gt;=45, B1414&lt;=54), "45-54",
  B1414&gt;=55, "55+"
)</f>
        <v>25-34</v>
      </c>
      <c r="D1414" t="s">
        <v>19</v>
      </c>
      <c r="E1414" t="s">
        <v>61</v>
      </c>
      <c r="F1414" t="s">
        <v>21</v>
      </c>
      <c r="G1414">
        <v>100</v>
      </c>
      <c r="H1414" t="s">
        <v>151</v>
      </c>
      <c r="I1414" t="s">
        <v>45</v>
      </c>
      <c r="J1414" t="s">
        <v>63</v>
      </c>
      <c r="K1414" t="s">
        <v>54</v>
      </c>
      <c r="L1414">
        <v>2.6</v>
      </c>
      <c r="M1414" t="s">
        <v>152</v>
      </c>
      <c r="N1414" t="s">
        <v>59</v>
      </c>
      <c r="O1414" t="s">
        <v>72</v>
      </c>
      <c r="P1414" t="s">
        <v>26</v>
      </c>
      <c r="Q1414" t="s">
        <v>26</v>
      </c>
      <c r="R1414">
        <v>43</v>
      </c>
      <c r="S1414" t="s">
        <v>29</v>
      </c>
      <c r="T1414" t="str">
        <f t="shared" si="44"/>
        <v>Annually</v>
      </c>
      <c r="U1414">
        <f>VLOOKUP(T1414,[1]tablescore!$B$3:$C$8, 2,FALSE)</f>
        <v>1</v>
      </c>
      <c r="V1414" t="str">
        <f t="shared" si="45"/>
        <v>Low Loyalty</v>
      </c>
      <c r="W1414" t="s">
        <v>50</v>
      </c>
    </row>
    <row r="1415" spans="1:23" x14ac:dyDescent="0.25">
      <c r="A1415">
        <v>1414</v>
      </c>
      <c r="B1415">
        <v>51</v>
      </c>
      <c r="C1415" t="str" cm="1">
        <f t="array" ref="C1415">_xlfn.IFS(
  AND(B1415&gt;=18, B1415&lt;=24), "18-24",
  AND(B1415&gt;=25, B1415&lt;=34), "25-34",
  AND(B1415&gt;=35, B1415&lt;=44), "35-44",
  AND(B1415&gt;=45, B1415&lt;=54), "45-54",
  B1415&gt;=55, "55+"
)</f>
        <v>45-54</v>
      </c>
      <c r="D1415" t="s">
        <v>19</v>
      </c>
      <c r="E1415" t="s">
        <v>20</v>
      </c>
      <c r="F1415" t="s">
        <v>21</v>
      </c>
      <c r="G1415">
        <v>79</v>
      </c>
      <c r="H1415" t="s">
        <v>83</v>
      </c>
      <c r="I1415" t="s">
        <v>38</v>
      </c>
      <c r="J1415" t="s">
        <v>129</v>
      </c>
      <c r="K1415" t="s">
        <v>58</v>
      </c>
      <c r="L1415">
        <v>2.7</v>
      </c>
      <c r="M1415" t="s">
        <v>152</v>
      </c>
      <c r="N1415" t="s">
        <v>29</v>
      </c>
      <c r="O1415" t="s">
        <v>76</v>
      </c>
      <c r="P1415" t="s">
        <v>26</v>
      </c>
      <c r="Q1415" t="s">
        <v>26</v>
      </c>
      <c r="R1415">
        <v>12</v>
      </c>
      <c r="S1415" t="s">
        <v>34</v>
      </c>
      <c r="T1415" t="str">
        <f t="shared" si="44"/>
        <v>Quarterly</v>
      </c>
      <c r="U1415">
        <f>VLOOKUP(T1415,[1]tablescore!$B$3:$C$8, 2,FALSE)</f>
        <v>4</v>
      </c>
      <c r="V1415" t="str">
        <f t="shared" si="45"/>
        <v>Low Loyalty</v>
      </c>
      <c r="W1415" t="s">
        <v>60</v>
      </c>
    </row>
    <row r="1416" spans="1:23" x14ac:dyDescent="0.25">
      <c r="A1416">
        <v>1415</v>
      </c>
      <c r="B1416">
        <v>29</v>
      </c>
      <c r="C1416" t="str" cm="1">
        <f t="array" ref="C1416">_xlfn.IFS(
  AND(B1416&gt;=18, B1416&lt;=24), "18-24",
  AND(B1416&gt;=25, B1416&lt;=34), "25-34",
  AND(B1416&gt;=35, B1416&lt;=44), "35-44",
  AND(B1416&gt;=45, B1416&lt;=54), "45-54",
  B1416&gt;=55, "55+"
)</f>
        <v>25-34</v>
      </c>
      <c r="D1416" t="s">
        <v>19</v>
      </c>
      <c r="E1416" t="s">
        <v>131</v>
      </c>
      <c r="F1416" t="s">
        <v>21</v>
      </c>
      <c r="G1416">
        <v>51</v>
      </c>
      <c r="H1416" t="s">
        <v>134</v>
      </c>
      <c r="I1416" t="s">
        <v>45</v>
      </c>
      <c r="J1416" t="s">
        <v>94</v>
      </c>
      <c r="K1416" t="s">
        <v>54</v>
      </c>
      <c r="L1416">
        <v>4.5</v>
      </c>
      <c r="M1416" t="s">
        <v>152</v>
      </c>
      <c r="N1416" t="s">
        <v>59</v>
      </c>
      <c r="O1416" t="s">
        <v>76</v>
      </c>
      <c r="P1416" t="s">
        <v>26</v>
      </c>
      <c r="Q1416" t="s">
        <v>26</v>
      </c>
      <c r="R1416">
        <v>3</v>
      </c>
      <c r="S1416" t="s">
        <v>27</v>
      </c>
      <c r="T1416" t="str">
        <f t="shared" si="44"/>
        <v>2-week</v>
      </c>
      <c r="U1416">
        <f>VLOOKUP(T1416,[1]tablescore!$B$3:$C$8, 2,FALSE)</f>
        <v>26</v>
      </c>
      <c r="V1416" t="str">
        <f t="shared" si="45"/>
        <v>Loyal</v>
      </c>
      <c r="W1416" t="s">
        <v>77</v>
      </c>
    </row>
    <row r="1417" spans="1:23" x14ac:dyDescent="0.25">
      <c r="A1417">
        <v>1416</v>
      </c>
      <c r="B1417">
        <v>54</v>
      </c>
      <c r="C1417" t="str" cm="1">
        <f t="array" ref="C1417">_xlfn.IFS(
  AND(B1417&gt;=18, B1417&lt;=24), "18-24",
  AND(B1417&gt;=25, B1417&lt;=34), "25-34",
  AND(B1417&gt;=35, B1417&lt;=44), "35-44",
  AND(B1417&gt;=45, B1417&lt;=54), "45-54",
  B1417&gt;=55, "55+"
)</f>
        <v>45-54</v>
      </c>
      <c r="D1417" t="s">
        <v>19</v>
      </c>
      <c r="E1417" t="s">
        <v>136</v>
      </c>
      <c r="F1417" t="s">
        <v>69</v>
      </c>
      <c r="G1417">
        <v>90</v>
      </c>
      <c r="H1417" t="s">
        <v>115</v>
      </c>
      <c r="I1417" t="s">
        <v>45</v>
      </c>
      <c r="J1417" t="s">
        <v>138</v>
      </c>
      <c r="K1417" t="s">
        <v>25</v>
      </c>
      <c r="L1417">
        <v>3.7</v>
      </c>
      <c r="M1417" t="s">
        <v>152</v>
      </c>
      <c r="N1417" t="s">
        <v>34</v>
      </c>
      <c r="O1417" t="s">
        <v>40</v>
      </c>
      <c r="P1417" t="s">
        <v>26</v>
      </c>
      <c r="Q1417" t="s">
        <v>26</v>
      </c>
      <c r="R1417">
        <v>12</v>
      </c>
      <c r="S1417" t="s">
        <v>27</v>
      </c>
      <c r="T1417" t="str">
        <f t="shared" si="44"/>
        <v>Quarterly</v>
      </c>
      <c r="U1417">
        <f>VLOOKUP(T1417,[1]tablescore!$B$3:$C$8, 2,FALSE)</f>
        <v>4</v>
      </c>
      <c r="V1417" t="str">
        <f t="shared" si="45"/>
        <v>Low Loyalty</v>
      </c>
      <c r="W1417" t="s">
        <v>97</v>
      </c>
    </row>
    <row r="1418" spans="1:23" x14ac:dyDescent="0.25">
      <c r="A1418">
        <v>1417</v>
      </c>
      <c r="B1418">
        <v>48</v>
      </c>
      <c r="C1418" t="str" cm="1">
        <f t="array" ref="C1418">_xlfn.IFS(
  AND(B1418&gt;=18, B1418&lt;=24), "18-24",
  AND(B1418&gt;=25, B1418&lt;=34), "25-34",
  AND(B1418&gt;=35, B1418&lt;=44), "35-44",
  AND(B1418&gt;=45, B1418&lt;=54), "45-54",
  B1418&gt;=55, "55+"
)</f>
        <v>45-54</v>
      </c>
      <c r="D1418" t="s">
        <v>19</v>
      </c>
      <c r="E1418" t="s">
        <v>132</v>
      </c>
      <c r="F1418" t="s">
        <v>43</v>
      </c>
      <c r="G1418">
        <v>56</v>
      </c>
      <c r="H1418" t="s">
        <v>144</v>
      </c>
      <c r="I1418" t="s">
        <v>23</v>
      </c>
      <c r="J1418" t="s">
        <v>67</v>
      </c>
      <c r="K1418" t="s">
        <v>54</v>
      </c>
      <c r="L1418">
        <v>3.4</v>
      </c>
      <c r="M1418" t="s">
        <v>152</v>
      </c>
      <c r="N1418" t="s">
        <v>46</v>
      </c>
      <c r="O1418" t="s">
        <v>40</v>
      </c>
      <c r="P1418" t="s">
        <v>26</v>
      </c>
      <c r="Q1418" t="s">
        <v>26</v>
      </c>
      <c r="R1418">
        <v>46</v>
      </c>
      <c r="S1418" t="s">
        <v>35</v>
      </c>
      <c r="T1418" t="str">
        <f t="shared" si="44"/>
        <v>Quarterly</v>
      </c>
      <c r="U1418">
        <f>VLOOKUP(T1418,[1]tablescore!$B$3:$C$8, 2,FALSE)</f>
        <v>4</v>
      </c>
      <c r="V1418" t="str">
        <f t="shared" si="45"/>
        <v>Low Loyalty</v>
      </c>
      <c r="W1418" t="s">
        <v>60</v>
      </c>
    </row>
    <row r="1419" spans="1:23" x14ac:dyDescent="0.25">
      <c r="A1419">
        <v>1418</v>
      </c>
      <c r="B1419">
        <v>62</v>
      </c>
      <c r="C1419" t="str" cm="1">
        <f t="array" ref="C1419">_xlfn.IFS(
  AND(B1419&gt;=18, B1419&lt;=24), "18-24",
  AND(B1419&gt;=25, B1419&lt;=34), "25-34",
  AND(B1419&gt;=35, B1419&lt;=44), "35-44",
  AND(B1419&gt;=45, B1419&lt;=54), "45-54",
  B1419&gt;=55, "55+"
)</f>
        <v>55+</v>
      </c>
      <c r="D1419" t="s">
        <v>19</v>
      </c>
      <c r="E1419" t="s">
        <v>61</v>
      </c>
      <c r="F1419" t="s">
        <v>21</v>
      </c>
      <c r="G1419">
        <v>25</v>
      </c>
      <c r="H1419" t="s">
        <v>57</v>
      </c>
      <c r="I1419" t="s">
        <v>38</v>
      </c>
      <c r="J1419" t="s">
        <v>110</v>
      </c>
      <c r="K1419" t="s">
        <v>39</v>
      </c>
      <c r="L1419">
        <v>4.5999999999999996</v>
      </c>
      <c r="M1419" t="s">
        <v>152</v>
      </c>
      <c r="N1419" t="s">
        <v>35</v>
      </c>
      <c r="O1419" t="s">
        <v>55</v>
      </c>
      <c r="P1419" t="s">
        <v>26</v>
      </c>
      <c r="Q1419" t="s">
        <v>26</v>
      </c>
      <c r="R1419">
        <v>21</v>
      </c>
      <c r="S1419" t="s">
        <v>59</v>
      </c>
      <c r="T1419" t="str">
        <f t="shared" si="44"/>
        <v>2-week</v>
      </c>
      <c r="U1419">
        <f>VLOOKUP(T1419,[1]tablescore!$B$3:$C$8, 2,FALSE)</f>
        <v>26</v>
      </c>
      <c r="V1419" t="str">
        <f t="shared" si="45"/>
        <v>Loyal</v>
      </c>
      <c r="W1419" t="s">
        <v>30</v>
      </c>
    </row>
    <row r="1420" spans="1:23" x14ac:dyDescent="0.25">
      <c r="A1420">
        <v>1419</v>
      </c>
      <c r="B1420">
        <v>18</v>
      </c>
      <c r="C1420" t="str" cm="1">
        <f t="array" ref="C1420">_xlfn.IFS(
  AND(B1420&gt;=18, B1420&lt;=24), "18-24",
  AND(B1420&gt;=25, B1420&lt;=34), "25-34",
  AND(B1420&gt;=35, B1420&lt;=44), "35-44",
  AND(B1420&gt;=45, B1420&lt;=54), "45-54",
  B1420&gt;=55, "55+"
)</f>
        <v>18-24</v>
      </c>
      <c r="D1420" t="s">
        <v>19</v>
      </c>
      <c r="E1420" t="s">
        <v>56</v>
      </c>
      <c r="F1420" t="s">
        <v>21</v>
      </c>
      <c r="G1420">
        <v>75</v>
      </c>
      <c r="H1420" t="s">
        <v>90</v>
      </c>
      <c r="I1420" t="s">
        <v>45</v>
      </c>
      <c r="J1420" t="s">
        <v>84</v>
      </c>
      <c r="K1420" t="s">
        <v>54</v>
      </c>
      <c r="L1420">
        <v>4.0999999999999996</v>
      </c>
      <c r="M1420" t="s">
        <v>152</v>
      </c>
      <c r="N1420" t="s">
        <v>34</v>
      </c>
      <c r="O1420" t="s">
        <v>72</v>
      </c>
      <c r="P1420" t="s">
        <v>26</v>
      </c>
      <c r="Q1420" t="s">
        <v>26</v>
      </c>
      <c r="R1420">
        <v>23</v>
      </c>
      <c r="S1420" t="s">
        <v>29</v>
      </c>
      <c r="T1420" t="str">
        <f t="shared" si="44"/>
        <v>Quarterly</v>
      </c>
      <c r="U1420">
        <f>VLOOKUP(T1420,[1]tablescore!$B$3:$C$8, 2,FALSE)</f>
        <v>4</v>
      </c>
      <c r="V1420" t="str">
        <f t="shared" si="45"/>
        <v>Low Loyalty</v>
      </c>
      <c r="W1420" t="s">
        <v>97</v>
      </c>
    </row>
    <row r="1421" spans="1:23" x14ac:dyDescent="0.25">
      <c r="A1421">
        <v>1420</v>
      </c>
      <c r="B1421">
        <v>43</v>
      </c>
      <c r="C1421" t="str" cm="1">
        <f t="array" ref="C1421">_xlfn.IFS(
  AND(B1421&gt;=18, B1421&lt;=24), "18-24",
  AND(B1421&gt;=25, B1421&lt;=34), "25-34",
  AND(B1421&gt;=35, B1421&lt;=44), "35-44",
  AND(B1421&gt;=45, B1421&lt;=54), "45-54",
  B1421&gt;=55, "55+"
)</f>
        <v>35-44</v>
      </c>
      <c r="D1421" t="s">
        <v>19</v>
      </c>
      <c r="E1421" t="s">
        <v>68</v>
      </c>
      <c r="F1421" t="s">
        <v>69</v>
      </c>
      <c r="G1421">
        <v>75</v>
      </c>
      <c r="H1421" t="s">
        <v>57</v>
      </c>
      <c r="I1421" t="s">
        <v>45</v>
      </c>
      <c r="J1421" t="s">
        <v>121</v>
      </c>
      <c r="K1421" t="s">
        <v>54</v>
      </c>
      <c r="L1421">
        <v>2.6</v>
      </c>
      <c r="M1421" t="s">
        <v>152</v>
      </c>
      <c r="N1421" t="s">
        <v>59</v>
      </c>
      <c r="O1421" t="s">
        <v>40</v>
      </c>
      <c r="P1421" t="s">
        <v>26</v>
      </c>
      <c r="Q1421" t="s">
        <v>26</v>
      </c>
      <c r="R1421">
        <v>4</v>
      </c>
      <c r="S1421" t="s">
        <v>59</v>
      </c>
      <c r="T1421" t="str">
        <f t="shared" si="44"/>
        <v>Quarterly</v>
      </c>
      <c r="U1421">
        <f>VLOOKUP(T1421,[1]tablescore!$B$3:$C$8, 2,FALSE)</f>
        <v>4</v>
      </c>
      <c r="V1421" t="str">
        <f t="shared" si="45"/>
        <v>Low Loyalty</v>
      </c>
      <c r="W1421" t="s">
        <v>60</v>
      </c>
    </row>
    <row r="1422" spans="1:23" x14ac:dyDescent="0.25">
      <c r="A1422">
        <v>1421</v>
      </c>
      <c r="B1422">
        <v>22</v>
      </c>
      <c r="C1422" t="str" cm="1">
        <f t="array" ref="C1422">_xlfn.IFS(
  AND(B1422&gt;=18, B1422&lt;=24), "18-24",
  AND(B1422&gt;=25, B1422&lt;=34), "25-34",
  AND(B1422&gt;=35, B1422&lt;=44), "35-44",
  AND(B1422&gt;=45, B1422&lt;=54), "45-54",
  B1422&gt;=55, "55+"
)</f>
        <v>18-24</v>
      </c>
      <c r="D1422" t="s">
        <v>19</v>
      </c>
      <c r="E1422" t="s">
        <v>36</v>
      </c>
      <c r="F1422" t="s">
        <v>21</v>
      </c>
      <c r="G1422">
        <v>53</v>
      </c>
      <c r="H1422" t="s">
        <v>99</v>
      </c>
      <c r="I1422" t="s">
        <v>92</v>
      </c>
      <c r="J1422" t="s">
        <v>24</v>
      </c>
      <c r="K1422" t="s">
        <v>54</v>
      </c>
      <c r="L1422">
        <v>4.5999999999999996</v>
      </c>
      <c r="M1422" t="s">
        <v>152</v>
      </c>
      <c r="N1422" t="s">
        <v>35</v>
      </c>
      <c r="O1422" t="s">
        <v>76</v>
      </c>
      <c r="P1422" t="s">
        <v>26</v>
      </c>
      <c r="Q1422" t="s">
        <v>26</v>
      </c>
      <c r="R1422">
        <v>45</v>
      </c>
      <c r="S1422" t="s">
        <v>46</v>
      </c>
      <c r="T1422" t="str">
        <f t="shared" si="44"/>
        <v>Quarterly</v>
      </c>
      <c r="U1422">
        <f>VLOOKUP(T1422,[1]tablescore!$B$3:$C$8, 2,FALSE)</f>
        <v>4</v>
      </c>
      <c r="V1422" t="str">
        <f t="shared" si="45"/>
        <v>Low Loyalty</v>
      </c>
      <c r="W1422" t="s">
        <v>97</v>
      </c>
    </row>
    <row r="1423" spans="1:23" x14ac:dyDescent="0.25">
      <c r="A1423">
        <v>1422</v>
      </c>
      <c r="B1423">
        <v>68</v>
      </c>
      <c r="C1423" t="str" cm="1">
        <f t="array" ref="C1423">_xlfn.IFS(
  AND(B1423&gt;=18, B1423&lt;=24), "18-24",
  AND(B1423&gt;=25, B1423&lt;=34), "25-34",
  AND(B1423&gt;=35, B1423&lt;=44), "35-44",
  AND(B1423&gt;=45, B1423&lt;=54), "45-54",
  B1423&gt;=55, "55+"
)</f>
        <v>55+</v>
      </c>
      <c r="D1423" t="s">
        <v>19</v>
      </c>
      <c r="E1423" t="s">
        <v>82</v>
      </c>
      <c r="F1423" t="s">
        <v>21</v>
      </c>
      <c r="G1423">
        <v>100</v>
      </c>
      <c r="H1423" t="s">
        <v>141</v>
      </c>
      <c r="I1423" t="s">
        <v>38</v>
      </c>
      <c r="J1423" t="s">
        <v>81</v>
      </c>
      <c r="K1423" t="s">
        <v>39</v>
      </c>
      <c r="L1423">
        <v>3</v>
      </c>
      <c r="M1423" t="s">
        <v>152</v>
      </c>
      <c r="N1423" t="s">
        <v>27</v>
      </c>
      <c r="O1423" t="s">
        <v>55</v>
      </c>
      <c r="P1423" t="s">
        <v>26</v>
      </c>
      <c r="Q1423" t="s">
        <v>26</v>
      </c>
      <c r="R1423">
        <v>24</v>
      </c>
      <c r="S1423" t="s">
        <v>34</v>
      </c>
      <c r="T1423" t="str">
        <f t="shared" si="44"/>
        <v>2-week</v>
      </c>
      <c r="U1423">
        <f>VLOOKUP(T1423,[1]tablescore!$B$3:$C$8, 2,FALSE)</f>
        <v>26</v>
      </c>
      <c r="V1423" t="str">
        <f t="shared" si="45"/>
        <v>Loyal</v>
      </c>
      <c r="W1423" t="s">
        <v>30</v>
      </c>
    </row>
    <row r="1424" spans="1:23" x14ac:dyDescent="0.25">
      <c r="A1424">
        <v>1423</v>
      </c>
      <c r="B1424">
        <v>44</v>
      </c>
      <c r="C1424" t="str" cm="1">
        <f t="array" ref="C1424">_xlfn.IFS(
  AND(B1424&gt;=18, B1424&lt;=24), "18-24",
  AND(B1424&gt;=25, B1424&lt;=34), "25-34",
  AND(B1424&gt;=35, B1424&lt;=44), "35-44",
  AND(B1424&gt;=45, B1424&lt;=54), "45-54",
  B1424&gt;=55, "55+"
)</f>
        <v>35-44</v>
      </c>
      <c r="D1424" t="s">
        <v>19</v>
      </c>
      <c r="E1424" t="s">
        <v>82</v>
      </c>
      <c r="F1424" t="s">
        <v>21</v>
      </c>
      <c r="G1424">
        <v>27</v>
      </c>
      <c r="H1424" t="s">
        <v>105</v>
      </c>
      <c r="I1424" t="s">
        <v>23</v>
      </c>
      <c r="J1424" t="s">
        <v>63</v>
      </c>
      <c r="K1424" t="s">
        <v>58</v>
      </c>
      <c r="L1424">
        <v>3.4</v>
      </c>
      <c r="M1424" t="s">
        <v>152</v>
      </c>
      <c r="N1424" t="s">
        <v>46</v>
      </c>
      <c r="O1424" t="s">
        <v>40</v>
      </c>
      <c r="P1424" t="s">
        <v>26</v>
      </c>
      <c r="Q1424" t="s">
        <v>26</v>
      </c>
      <c r="R1424">
        <v>3</v>
      </c>
      <c r="S1424" t="s">
        <v>46</v>
      </c>
      <c r="T1424" t="str">
        <f t="shared" si="44"/>
        <v>2-week</v>
      </c>
      <c r="U1424">
        <f>VLOOKUP(T1424,[1]tablescore!$B$3:$C$8, 2,FALSE)</f>
        <v>26</v>
      </c>
      <c r="V1424" t="str">
        <f t="shared" si="45"/>
        <v>Loyal</v>
      </c>
      <c r="W1424" t="s">
        <v>77</v>
      </c>
    </row>
    <row r="1425" spans="1:23" x14ac:dyDescent="0.25">
      <c r="A1425">
        <v>1424</v>
      </c>
      <c r="B1425">
        <v>51</v>
      </c>
      <c r="C1425" t="str" cm="1">
        <f t="array" ref="C1425">_xlfn.IFS(
  AND(B1425&gt;=18, B1425&lt;=24), "18-24",
  AND(B1425&gt;=25, B1425&lt;=34), "25-34",
  AND(B1425&gt;=35, B1425&lt;=44), "35-44",
  AND(B1425&gt;=45, B1425&lt;=54), "45-54",
  B1425&gt;=55, "55+"
)</f>
        <v>45-54</v>
      </c>
      <c r="D1425" t="s">
        <v>19</v>
      </c>
      <c r="E1425" t="s">
        <v>42</v>
      </c>
      <c r="F1425" t="s">
        <v>43</v>
      </c>
      <c r="G1425">
        <v>60</v>
      </c>
      <c r="H1425" t="s">
        <v>151</v>
      </c>
      <c r="I1425" t="s">
        <v>38</v>
      </c>
      <c r="J1425" t="s">
        <v>94</v>
      </c>
      <c r="K1425" t="s">
        <v>58</v>
      </c>
      <c r="L1425">
        <v>3.5</v>
      </c>
      <c r="M1425" t="s">
        <v>152</v>
      </c>
      <c r="N1425" t="s">
        <v>46</v>
      </c>
      <c r="O1425" t="s">
        <v>40</v>
      </c>
      <c r="P1425" t="s">
        <v>26</v>
      </c>
      <c r="Q1425" t="s">
        <v>26</v>
      </c>
      <c r="R1425">
        <v>12</v>
      </c>
      <c r="S1425" t="s">
        <v>29</v>
      </c>
      <c r="T1425" t="str">
        <f t="shared" si="44"/>
        <v>Quarterly</v>
      </c>
      <c r="U1425">
        <f>VLOOKUP(T1425,[1]tablescore!$B$3:$C$8, 2,FALSE)</f>
        <v>4</v>
      </c>
      <c r="V1425" t="str">
        <f t="shared" si="45"/>
        <v>Low Loyalty</v>
      </c>
      <c r="W1425" t="s">
        <v>97</v>
      </c>
    </row>
    <row r="1426" spans="1:23" x14ac:dyDescent="0.25">
      <c r="A1426">
        <v>1425</v>
      </c>
      <c r="B1426">
        <v>66</v>
      </c>
      <c r="C1426" t="str" cm="1">
        <f t="array" ref="C1426">_xlfn.IFS(
  AND(B1426&gt;=18, B1426&lt;=24), "18-24",
  AND(B1426&gt;=25, B1426&lt;=34), "25-34",
  AND(B1426&gt;=35, B1426&lt;=44), "35-44",
  AND(B1426&gt;=45, B1426&lt;=54), "45-54",
  B1426&gt;=55, "55+"
)</f>
        <v>55+</v>
      </c>
      <c r="D1426" t="s">
        <v>19</v>
      </c>
      <c r="E1426" t="s">
        <v>102</v>
      </c>
      <c r="F1426" t="s">
        <v>65</v>
      </c>
      <c r="G1426">
        <v>23</v>
      </c>
      <c r="H1426" t="s">
        <v>146</v>
      </c>
      <c r="I1426" t="s">
        <v>38</v>
      </c>
      <c r="J1426" t="s">
        <v>129</v>
      </c>
      <c r="K1426" t="s">
        <v>58</v>
      </c>
      <c r="L1426">
        <v>3.5</v>
      </c>
      <c r="M1426" t="s">
        <v>152</v>
      </c>
      <c r="N1426" t="s">
        <v>35</v>
      </c>
      <c r="O1426" t="s">
        <v>55</v>
      </c>
      <c r="P1426" t="s">
        <v>26</v>
      </c>
      <c r="Q1426" t="s">
        <v>26</v>
      </c>
      <c r="R1426">
        <v>34</v>
      </c>
      <c r="S1426" t="s">
        <v>34</v>
      </c>
      <c r="T1426" t="str">
        <f t="shared" si="44"/>
        <v>Quarterly</v>
      </c>
      <c r="U1426">
        <f>VLOOKUP(T1426,[1]tablescore!$B$3:$C$8, 2,FALSE)</f>
        <v>4</v>
      </c>
      <c r="V1426" t="str">
        <f t="shared" si="45"/>
        <v>Low Loyalty</v>
      </c>
      <c r="W1426" t="s">
        <v>97</v>
      </c>
    </row>
    <row r="1427" spans="1:23" x14ac:dyDescent="0.25">
      <c r="A1427">
        <v>1426</v>
      </c>
      <c r="B1427">
        <v>59</v>
      </c>
      <c r="C1427" t="str" cm="1">
        <f t="array" ref="C1427">_xlfn.IFS(
  AND(B1427&gt;=18, B1427&lt;=24), "18-24",
  AND(B1427&gt;=25, B1427&lt;=34), "25-34",
  AND(B1427&gt;=35, B1427&lt;=44), "35-44",
  AND(B1427&gt;=45, B1427&lt;=54), "45-54",
  B1427&gt;=55, "55+"
)</f>
        <v>55+</v>
      </c>
      <c r="D1427" t="s">
        <v>19</v>
      </c>
      <c r="E1427" t="s">
        <v>64</v>
      </c>
      <c r="F1427" t="s">
        <v>65</v>
      </c>
      <c r="G1427">
        <v>40</v>
      </c>
      <c r="H1427" t="s">
        <v>52</v>
      </c>
      <c r="I1427" t="s">
        <v>38</v>
      </c>
      <c r="J1427" t="s">
        <v>53</v>
      </c>
      <c r="K1427" t="s">
        <v>25</v>
      </c>
      <c r="L1427">
        <v>3.7</v>
      </c>
      <c r="M1427" t="s">
        <v>152</v>
      </c>
      <c r="N1427" t="s">
        <v>59</v>
      </c>
      <c r="O1427" t="s">
        <v>47</v>
      </c>
      <c r="P1427" t="s">
        <v>26</v>
      </c>
      <c r="Q1427" t="s">
        <v>26</v>
      </c>
      <c r="R1427">
        <v>39</v>
      </c>
      <c r="S1427" t="s">
        <v>27</v>
      </c>
      <c r="T1427" t="str">
        <f t="shared" si="44"/>
        <v>Annually</v>
      </c>
      <c r="U1427">
        <f>VLOOKUP(T1427,[1]tablescore!$B$3:$C$8, 2,FALSE)</f>
        <v>1</v>
      </c>
      <c r="V1427" t="str">
        <f t="shared" si="45"/>
        <v>Low Loyalty</v>
      </c>
      <c r="W1427" t="s">
        <v>50</v>
      </c>
    </row>
    <row r="1428" spans="1:23" x14ac:dyDescent="0.25">
      <c r="A1428">
        <v>1427</v>
      </c>
      <c r="B1428">
        <v>60</v>
      </c>
      <c r="C1428" t="str" cm="1">
        <f t="array" ref="C1428">_xlfn.IFS(
  AND(B1428&gt;=18, B1428&lt;=24), "18-24",
  AND(B1428&gt;=25, B1428&lt;=34), "25-34",
  AND(B1428&gt;=35, B1428&lt;=44), "35-44",
  AND(B1428&gt;=45, B1428&lt;=54), "45-54",
  B1428&gt;=55, "55+"
)</f>
        <v>55+</v>
      </c>
      <c r="D1428" t="s">
        <v>19</v>
      </c>
      <c r="E1428" t="s">
        <v>95</v>
      </c>
      <c r="F1428" t="s">
        <v>21</v>
      </c>
      <c r="G1428">
        <v>38</v>
      </c>
      <c r="H1428" t="s">
        <v>151</v>
      </c>
      <c r="I1428" t="s">
        <v>45</v>
      </c>
      <c r="J1428" t="s">
        <v>139</v>
      </c>
      <c r="K1428" t="s">
        <v>54</v>
      </c>
      <c r="L1428">
        <v>4.8</v>
      </c>
      <c r="M1428" t="s">
        <v>152</v>
      </c>
      <c r="N1428" t="s">
        <v>27</v>
      </c>
      <c r="O1428" t="s">
        <v>40</v>
      </c>
      <c r="P1428" t="s">
        <v>26</v>
      </c>
      <c r="Q1428" t="s">
        <v>26</v>
      </c>
      <c r="R1428">
        <v>35</v>
      </c>
      <c r="S1428" t="s">
        <v>46</v>
      </c>
      <c r="T1428" t="str">
        <f t="shared" si="44"/>
        <v>Quarterly</v>
      </c>
      <c r="U1428">
        <f>VLOOKUP(T1428,[1]tablescore!$B$3:$C$8, 2,FALSE)</f>
        <v>4</v>
      </c>
      <c r="V1428" t="str">
        <f t="shared" si="45"/>
        <v>Low Loyalty</v>
      </c>
      <c r="W1428" t="s">
        <v>97</v>
      </c>
    </row>
    <row r="1429" spans="1:23" x14ac:dyDescent="0.25">
      <c r="A1429">
        <v>1428</v>
      </c>
      <c r="B1429">
        <v>31</v>
      </c>
      <c r="C1429" t="str" cm="1">
        <f t="array" ref="C1429">_xlfn.IFS(
  AND(B1429&gt;=18, B1429&lt;=24), "18-24",
  AND(B1429&gt;=25, B1429&lt;=34), "25-34",
  AND(B1429&gt;=35, B1429&lt;=44), "35-44",
  AND(B1429&gt;=45, B1429&lt;=54), "45-54",
  B1429&gt;=55, "55+"
)</f>
        <v>25-34</v>
      </c>
      <c r="D1429" t="s">
        <v>19</v>
      </c>
      <c r="E1429" t="s">
        <v>133</v>
      </c>
      <c r="F1429" t="s">
        <v>69</v>
      </c>
      <c r="G1429">
        <v>90</v>
      </c>
      <c r="H1429" t="s">
        <v>130</v>
      </c>
      <c r="I1429" t="s">
        <v>38</v>
      </c>
      <c r="J1429" t="s">
        <v>121</v>
      </c>
      <c r="K1429" t="s">
        <v>54</v>
      </c>
      <c r="L1429">
        <v>4.9000000000000004</v>
      </c>
      <c r="M1429" t="s">
        <v>152</v>
      </c>
      <c r="N1429" t="s">
        <v>46</v>
      </c>
      <c r="O1429" t="s">
        <v>76</v>
      </c>
      <c r="P1429" t="s">
        <v>26</v>
      </c>
      <c r="Q1429" t="s">
        <v>26</v>
      </c>
      <c r="R1429">
        <v>8</v>
      </c>
      <c r="S1429" t="s">
        <v>27</v>
      </c>
      <c r="T1429" t="str">
        <f t="shared" si="44"/>
        <v>Annually</v>
      </c>
      <c r="U1429">
        <f>VLOOKUP(T1429,[1]tablescore!$B$3:$C$8, 2,FALSE)</f>
        <v>1</v>
      </c>
      <c r="V1429" t="str">
        <f t="shared" si="45"/>
        <v>Low Loyalty</v>
      </c>
      <c r="W1429" t="s">
        <v>50</v>
      </c>
    </row>
    <row r="1430" spans="1:23" x14ac:dyDescent="0.25">
      <c r="A1430">
        <v>1429</v>
      </c>
      <c r="B1430">
        <v>20</v>
      </c>
      <c r="C1430" t="str" cm="1">
        <f t="array" ref="C1430">_xlfn.IFS(
  AND(B1430&gt;=18, B1430&lt;=24), "18-24",
  AND(B1430&gt;=25, B1430&lt;=34), "25-34",
  AND(B1430&gt;=35, B1430&lt;=44), "35-44",
  AND(B1430&gt;=45, B1430&lt;=54), "45-54",
  B1430&gt;=55, "55+"
)</f>
        <v>18-24</v>
      </c>
      <c r="D1430" t="s">
        <v>19</v>
      </c>
      <c r="E1430" t="s">
        <v>20</v>
      </c>
      <c r="F1430" t="s">
        <v>21</v>
      </c>
      <c r="G1430">
        <v>97</v>
      </c>
      <c r="H1430" t="s">
        <v>114</v>
      </c>
      <c r="I1430" t="s">
        <v>38</v>
      </c>
      <c r="J1430" t="s">
        <v>96</v>
      </c>
      <c r="K1430" t="s">
        <v>54</v>
      </c>
      <c r="L1430">
        <v>4.9000000000000004</v>
      </c>
      <c r="M1430" t="s">
        <v>152</v>
      </c>
      <c r="N1430" t="s">
        <v>59</v>
      </c>
      <c r="O1430" t="s">
        <v>28</v>
      </c>
      <c r="P1430" t="s">
        <v>26</v>
      </c>
      <c r="Q1430" t="s">
        <v>26</v>
      </c>
      <c r="R1430">
        <v>42</v>
      </c>
      <c r="S1430" t="s">
        <v>46</v>
      </c>
      <c r="T1430" t="str">
        <f t="shared" si="44"/>
        <v>Quarterly</v>
      </c>
      <c r="U1430">
        <f>VLOOKUP(T1430,[1]tablescore!$B$3:$C$8, 2,FALSE)</f>
        <v>4</v>
      </c>
      <c r="V1430" t="str">
        <f t="shared" si="45"/>
        <v>Low Loyalty</v>
      </c>
      <c r="W1430" t="s">
        <v>60</v>
      </c>
    </row>
    <row r="1431" spans="1:23" x14ac:dyDescent="0.25">
      <c r="A1431">
        <v>1430</v>
      </c>
      <c r="B1431">
        <v>24</v>
      </c>
      <c r="C1431" t="str" cm="1">
        <f t="array" ref="C1431">_xlfn.IFS(
  AND(B1431&gt;=18, B1431&lt;=24), "18-24",
  AND(B1431&gt;=25, B1431&lt;=34), "25-34",
  AND(B1431&gt;=35, B1431&lt;=44), "35-44",
  AND(B1431&gt;=45, B1431&lt;=54), "45-54",
  B1431&gt;=55, "55+"
)</f>
        <v>18-24</v>
      </c>
      <c r="D1431" t="s">
        <v>19</v>
      </c>
      <c r="E1431" t="s">
        <v>87</v>
      </c>
      <c r="F1431" t="s">
        <v>21</v>
      </c>
      <c r="G1431">
        <v>38</v>
      </c>
      <c r="H1431" t="s">
        <v>135</v>
      </c>
      <c r="I1431" t="s">
        <v>23</v>
      </c>
      <c r="J1431" t="s">
        <v>81</v>
      </c>
      <c r="K1431" t="s">
        <v>58</v>
      </c>
      <c r="L1431">
        <v>4.7</v>
      </c>
      <c r="M1431" t="s">
        <v>152</v>
      </c>
      <c r="N1431" t="s">
        <v>29</v>
      </c>
      <c r="O1431" t="s">
        <v>55</v>
      </c>
      <c r="P1431" t="s">
        <v>26</v>
      </c>
      <c r="Q1431" t="s">
        <v>26</v>
      </c>
      <c r="R1431">
        <v>6</v>
      </c>
      <c r="S1431" t="s">
        <v>27</v>
      </c>
      <c r="T1431" t="str">
        <f t="shared" si="44"/>
        <v>Quarterly</v>
      </c>
      <c r="U1431">
        <f>VLOOKUP(T1431,[1]tablescore!$B$3:$C$8, 2,FALSE)</f>
        <v>4</v>
      </c>
      <c r="V1431" t="str">
        <f t="shared" si="45"/>
        <v>Low Loyalty</v>
      </c>
      <c r="W1431" t="s">
        <v>97</v>
      </c>
    </row>
    <row r="1432" spans="1:23" x14ac:dyDescent="0.25">
      <c r="A1432">
        <v>1431</v>
      </c>
      <c r="B1432">
        <v>48</v>
      </c>
      <c r="C1432" t="str" cm="1">
        <f t="array" ref="C1432">_xlfn.IFS(
  AND(B1432&gt;=18, B1432&lt;=24), "18-24",
  AND(B1432&gt;=25, B1432&lt;=34), "25-34",
  AND(B1432&gt;=35, B1432&lt;=44), "35-44",
  AND(B1432&gt;=45, B1432&lt;=54), "45-54",
  B1432&gt;=55, "55+"
)</f>
        <v>45-54</v>
      </c>
      <c r="D1432" t="s">
        <v>19</v>
      </c>
      <c r="E1432" t="s">
        <v>42</v>
      </c>
      <c r="F1432" t="s">
        <v>43</v>
      </c>
      <c r="G1432">
        <v>30</v>
      </c>
      <c r="H1432" t="s">
        <v>151</v>
      </c>
      <c r="I1432" t="s">
        <v>38</v>
      </c>
      <c r="J1432" t="s">
        <v>121</v>
      </c>
      <c r="K1432" t="s">
        <v>54</v>
      </c>
      <c r="L1432">
        <v>4.9000000000000004</v>
      </c>
      <c r="M1432" t="s">
        <v>152</v>
      </c>
      <c r="N1432" t="s">
        <v>46</v>
      </c>
      <c r="O1432" t="s">
        <v>40</v>
      </c>
      <c r="P1432" t="s">
        <v>26</v>
      </c>
      <c r="Q1432" t="s">
        <v>26</v>
      </c>
      <c r="R1432">
        <v>3</v>
      </c>
      <c r="S1432" t="s">
        <v>27</v>
      </c>
      <c r="T1432" t="str">
        <f t="shared" si="44"/>
        <v>2-week</v>
      </c>
      <c r="U1432">
        <f>VLOOKUP(T1432,[1]tablescore!$B$3:$C$8, 2,FALSE)</f>
        <v>26</v>
      </c>
      <c r="V1432" t="str">
        <f t="shared" si="45"/>
        <v>Loyal</v>
      </c>
      <c r="W1432" t="s">
        <v>30</v>
      </c>
    </row>
    <row r="1433" spans="1:23" x14ac:dyDescent="0.25">
      <c r="A1433">
        <v>1432</v>
      </c>
      <c r="B1433">
        <v>39</v>
      </c>
      <c r="C1433" t="str" cm="1">
        <f t="array" ref="C1433">_xlfn.IFS(
  AND(B1433&gt;=18, B1433&lt;=24), "18-24",
  AND(B1433&gt;=25, B1433&lt;=34), "25-34",
  AND(B1433&gt;=35, B1433&lt;=44), "35-44",
  AND(B1433&gt;=45, B1433&lt;=54), "45-54",
  B1433&gt;=55, "55+"
)</f>
        <v>35-44</v>
      </c>
      <c r="D1433" t="s">
        <v>19</v>
      </c>
      <c r="E1433" t="s">
        <v>95</v>
      </c>
      <c r="F1433" t="s">
        <v>21</v>
      </c>
      <c r="G1433">
        <v>88</v>
      </c>
      <c r="H1433" t="s">
        <v>130</v>
      </c>
      <c r="I1433" t="s">
        <v>45</v>
      </c>
      <c r="J1433" t="s">
        <v>109</v>
      </c>
      <c r="K1433" t="s">
        <v>58</v>
      </c>
      <c r="L1433">
        <v>2.9</v>
      </c>
      <c r="M1433" t="s">
        <v>152</v>
      </c>
      <c r="N1433" t="s">
        <v>34</v>
      </c>
      <c r="O1433" t="s">
        <v>28</v>
      </c>
      <c r="P1433" t="s">
        <v>26</v>
      </c>
      <c r="Q1433" t="s">
        <v>26</v>
      </c>
      <c r="R1433">
        <v>29</v>
      </c>
      <c r="S1433" t="s">
        <v>29</v>
      </c>
      <c r="T1433" t="str">
        <f t="shared" si="44"/>
        <v>Quarterly</v>
      </c>
      <c r="U1433">
        <f>VLOOKUP(T1433,[1]tablescore!$B$3:$C$8, 2,FALSE)</f>
        <v>4</v>
      </c>
      <c r="V1433" t="str">
        <f t="shared" si="45"/>
        <v>Low Loyalty</v>
      </c>
      <c r="W1433" t="s">
        <v>60</v>
      </c>
    </row>
    <row r="1434" spans="1:23" x14ac:dyDescent="0.25">
      <c r="A1434">
        <v>1433</v>
      </c>
      <c r="B1434">
        <v>34</v>
      </c>
      <c r="C1434" t="str" cm="1">
        <f t="array" ref="C1434">_xlfn.IFS(
  AND(B1434&gt;=18, B1434&lt;=24), "18-24",
  AND(B1434&gt;=25, B1434&lt;=34), "25-34",
  AND(B1434&gt;=35, B1434&lt;=44), "35-44",
  AND(B1434&gt;=45, B1434&lt;=54), "45-54",
  B1434&gt;=55, "55+"
)</f>
        <v>25-34</v>
      </c>
      <c r="D1434" t="s">
        <v>19</v>
      </c>
      <c r="E1434" t="s">
        <v>125</v>
      </c>
      <c r="F1434" t="s">
        <v>69</v>
      </c>
      <c r="G1434">
        <v>33</v>
      </c>
      <c r="H1434" t="s">
        <v>103</v>
      </c>
      <c r="I1434" t="s">
        <v>23</v>
      </c>
      <c r="J1434" t="s">
        <v>94</v>
      </c>
      <c r="K1434" t="s">
        <v>25</v>
      </c>
      <c r="L1434">
        <v>4.4000000000000004</v>
      </c>
      <c r="M1434" t="s">
        <v>152</v>
      </c>
      <c r="N1434" t="s">
        <v>35</v>
      </c>
      <c r="O1434" t="s">
        <v>28</v>
      </c>
      <c r="P1434" t="s">
        <v>26</v>
      </c>
      <c r="Q1434" t="s">
        <v>26</v>
      </c>
      <c r="R1434">
        <v>32</v>
      </c>
      <c r="S1434" t="s">
        <v>59</v>
      </c>
      <c r="T1434" t="str">
        <f t="shared" si="44"/>
        <v>Quarterly</v>
      </c>
      <c r="U1434">
        <f>VLOOKUP(T1434,[1]tablescore!$B$3:$C$8, 2,FALSE)</f>
        <v>4</v>
      </c>
      <c r="V1434" t="str">
        <f t="shared" si="45"/>
        <v>Low Loyalty</v>
      </c>
      <c r="W1434" t="s">
        <v>60</v>
      </c>
    </row>
    <row r="1435" spans="1:23" x14ac:dyDescent="0.25">
      <c r="A1435">
        <v>1434</v>
      </c>
      <c r="B1435">
        <v>70</v>
      </c>
      <c r="C1435" t="str" cm="1">
        <f t="array" ref="C1435">_xlfn.IFS(
  AND(B1435&gt;=18, B1435&lt;=24), "18-24",
  AND(B1435&gt;=25, B1435&lt;=34), "25-34",
  AND(B1435&gt;=35, B1435&lt;=44), "35-44",
  AND(B1435&gt;=45, B1435&lt;=54), "45-54",
  B1435&gt;=55, "55+"
)</f>
        <v>55+</v>
      </c>
      <c r="D1435" t="s">
        <v>19</v>
      </c>
      <c r="E1435" t="s">
        <v>104</v>
      </c>
      <c r="F1435" t="s">
        <v>21</v>
      </c>
      <c r="G1435">
        <v>60</v>
      </c>
      <c r="H1435" t="s">
        <v>134</v>
      </c>
      <c r="I1435" t="s">
        <v>23</v>
      </c>
      <c r="J1435" t="s">
        <v>139</v>
      </c>
      <c r="K1435" t="s">
        <v>25</v>
      </c>
      <c r="L1435">
        <v>3.2</v>
      </c>
      <c r="M1435" t="s">
        <v>152</v>
      </c>
      <c r="N1435" t="s">
        <v>29</v>
      </c>
      <c r="O1435" t="s">
        <v>47</v>
      </c>
      <c r="P1435" t="s">
        <v>26</v>
      </c>
      <c r="Q1435" t="s">
        <v>26</v>
      </c>
      <c r="R1435">
        <v>45</v>
      </c>
      <c r="S1435" t="s">
        <v>59</v>
      </c>
      <c r="T1435" t="str">
        <f t="shared" si="44"/>
        <v>Daily</v>
      </c>
      <c r="U1435">
        <f>VLOOKUP(T1435,[1]tablescore!$B$3:$C$8, 2,FALSE)</f>
        <v>30</v>
      </c>
      <c r="V1435" t="str">
        <f t="shared" si="45"/>
        <v>Highly Loyal</v>
      </c>
      <c r="W1435" t="s">
        <v>41</v>
      </c>
    </row>
    <row r="1436" spans="1:23" x14ac:dyDescent="0.25">
      <c r="A1436">
        <v>1435</v>
      </c>
      <c r="B1436">
        <v>59</v>
      </c>
      <c r="C1436" t="str" cm="1">
        <f t="array" ref="C1436">_xlfn.IFS(
  AND(B1436&gt;=18, B1436&lt;=24), "18-24",
  AND(B1436&gt;=25, B1436&lt;=34), "25-34",
  AND(B1436&gt;=35, B1436&lt;=44), "35-44",
  AND(B1436&gt;=45, B1436&lt;=54), "45-54",
  B1436&gt;=55, "55+"
)</f>
        <v>55+</v>
      </c>
      <c r="D1436" t="s">
        <v>19</v>
      </c>
      <c r="E1436" t="s">
        <v>31</v>
      </c>
      <c r="F1436" t="s">
        <v>21</v>
      </c>
      <c r="G1436">
        <v>64</v>
      </c>
      <c r="H1436" t="s">
        <v>85</v>
      </c>
      <c r="I1436" t="s">
        <v>23</v>
      </c>
      <c r="J1436" t="s">
        <v>33</v>
      </c>
      <c r="K1436" t="s">
        <v>54</v>
      </c>
      <c r="L1436">
        <v>4.5999999999999996</v>
      </c>
      <c r="M1436" t="s">
        <v>152</v>
      </c>
      <c r="N1436" t="s">
        <v>46</v>
      </c>
      <c r="O1436" t="s">
        <v>40</v>
      </c>
      <c r="P1436" t="s">
        <v>26</v>
      </c>
      <c r="Q1436" t="s">
        <v>26</v>
      </c>
      <c r="R1436">
        <v>21</v>
      </c>
      <c r="S1436" t="s">
        <v>59</v>
      </c>
      <c r="T1436" t="str">
        <f t="shared" si="44"/>
        <v>2-week</v>
      </c>
      <c r="U1436">
        <f>VLOOKUP(T1436,[1]tablescore!$B$3:$C$8, 2,FALSE)</f>
        <v>26</v>
      </c>
      <c r="V1436" t="str">
        <f t="shared" si="45"/>
        <v>Loyal</v>
      </c>
      <c r="W1436" t="s">
        <v>77</v>
      </c>
    </row>
    <row r="1437" spans="1:23" x14ac:dyDescent="0.25">
      <c r="A1437">
        <v>1436</v>
      </c>
      <c r="B1437">
        <v>45</v>
      </c>
      <c r="C1437" t="str" cm="1">
        <f t="array" ref="C1437">_xlfn.IFS(
  AND(B1437&gt;=18, B1437&lt;=24), "18-24",
  AND(B1437&gt;=25, B1437&lt;=34), "25-34",
  AND(B1437&gt;=35, B1437&lt;=44), "35-44",
  AND(B1437&gt;=45, B1437&lt;=54), "45-54",
  B1437&gt;=55, "55+"
)</f>
        <v>45-54</v>
      </c>
      <c r="D1437" t="s">
        <v>19</v>
      </c>
      <c r="E1437" t="s">
        <v>119</v>
      </c>
      <c r="F1437" t="s">
        <v>69</v>
      </c>
      <c r="G1437">
        <v>95</v>
      </c>
      <c r="H1437" t="s">
        <v>48</v>
      </c>
      <c r="I1437" t="s">
        <v>92</v>
      </c>
      <c r="J1437" t="s">
        <v>94</v>
      </c>
      <c r="K1437" t="s">
        <v>58</v>
      </c>
      <c r="L1437">
        <v>4</v>
      </c>
      <c r="M1437" t="s">
        <v>152</v>
      </c>
      <c r="N1437" t="s">
        <v>59</v>
      </c>
      <c r="O1437" t="s">
        <v>55</v>
      </c>
      <c r="P1437" t="s">
        <v>26</v>
      </c>
      <c r="Q1437" t="s">
        <v>26</v>
      </c>
      <c r="R1437">
        <v>41</v>
      </c>
      <c r="S1437" t="s">
        <v>35</v>
      </c>
      <c r="T1437" t="str">
        <f t="shared" si="44"/>
        <v>Daily</v>
      </c>
      <c r="U1437">
        <f>VLOOKUP(T1437,[1]tablescore!$B$3:$C$8, 2,FALSE)</f>
        <v>30</v>
      </c>
      <c r="V1437" t="str">
        <f t="shared" si="45"/>
        <v>Highly Loyal</v>
      </c>
      <c r="W1437" t="s">
        <v>41</v>
      </c>
    </row>
    <row r="1438" spans="1:23" x14ac:dyDescent="0.25">
      <c r="A1438">
        <v>1437</v>
      </c>
      <c r="B1438">
        <v>35</v>
      </c>
      <c r="C1438" t="str" cm="1">
        <f t="array" ref="C1438">_xlfn.IFS(
  AND(B1438&gt;=18, B1438&lt;=24), "18-24",
  AND(B1438&gt;=25, B1438&lt;=34), "25-34",
  AND(B1438&gt;=35, B1438&lt;=44), "35-44",
  AND(B1438&gt;=45, B1438&lt;=54), "45-54",
  B1438&gt;=55, "55+"
)</f>
        <v>35-44</v>
      </c>
      <c r="D1438" t="s">
        <v>19</v>
      </c>
      <c r="E1438" t="s">
        <v>51</v>
      </c>
      <c r="F1438" t="s">
        <v>43</v>
      </c>
      <c r="G1438">
        <v>83</v>
      </c>
      <c r="H1438" t="s">
        <v>134</v>
      </c>
      <c r="I1438" t="s">
        <v>45</v>
      </c>
      <c r="J1438" t="s">
        <v>24</v>
      </c>
      <c r="K1438" t="s">
        <v>25</v>
      </c>
      <c r="L1438">
        <v>3.7</v>
      </c>
      <c r="M1438" t="s">
        <v>152</v>
      </c>
      <c r="N1438" t="s">
        <v>29</v>
      </c>
      <c r="O1438" t="s">
        <v>40</v>
      </c>
      <c r="P1438" t="s">
        <v>26</v>
      </c>
      <c r="Q1438" t="s">
        <v>26</v>
      </c>
      <c r="R1438">
        <v>23</v>
      </c>
      <c r="S1438" t="s">
        <v>46</v>
      </c>
      <c r="T1438" t="str">
        <f t="shared" si="44"/>
        <v>2-week</v>
      </c>
      <c r="U1438">
        <f>VLOOKUP(T1438,[1]tablescore!$B$3:$C$8, 2,FALSE)</f>
        <v>26</v>
      </c>
      <c r="V1438" t="str">
        <f t="shared" si="45"/>
        <v>Loyal</v>
      </c>
      <c r="W1438" t="s">
        <v>30</v>
      </c>
    </row>
    <row r="1439" spans="1:23" x14ac:dyDescent="0.25">
      <c r="A1439">
        <v>1438</v>
      </c>
      <c r="B1439">
        <v>69</v>
      </c>
      <c r="C1439" t="str" cm="1">
        <f t="array" ref="C1439">_xlfn.IFS(
  AND(B1439&gt;=18, B1439&lt;=24), "18-24",
  AND(B1439&gt;=25, B1439&lt;=34), "25-34",
  AND(B1439&gt;=35, B1439&lt;=44), "35-44",
  AND(B1439&gt;=45, B1439&lt;=54), "45-54",
  B1439&gt;=55, "55+"
)</f>
        <v>55+</v>
      </c>
      <c r="D1439" t="s">
        <v>19</v>
      </c>
      <c r="E1439" t="s">
        <v>132</v>
      </c>
      <c r="F1439" t="s">
        <v>43</v>
      </c>
      <c r="G1439">
        <v>97</v>
      </c>
      <c r="H1439" t="s">
        <v>57</v>
      </c>
      <c r="I1439" t="s">
        <v>92</v>
      </c>
      <c r="J1439" t="s">
        <v>121</v>
      </c>
      <c r="K1439" t="s">
        <v>25</v>
      </c>
      <c r="L1439">
        <v>4.2</v>
      </c>
      <c r="M1439" t="s">
        <v>152</v>
      </c>
      <c r="N1439" t="s">
        <v>59</v>
      </c>
      <c r="O1439" t="s">
        <v>40</v>
      </c>
      <c r="P1439" t="s">
        <v>26</v>
      </c>
      <c r="Q1439" t="s">
        <v>26</v>
      </c>
      <c r="R1439">
        <v>14</v>
      </c>
      <c r="S1439" t="s">
        <v>35</v>
      </c>
      <c r="T1439" t="str">
        <f t="shared" si="44"/>
        <v>Annually</v>
      </c>
      <c r="U1439">
        <f>VLOOKUP(T1439,[1]tablescore!$B$3:$C$8, 2,FALSE)</f>
        <v>1</v>
      </c>
      <c r="V1439" t="str">
        <f t="shared" si="45"/>
        <v>Low Loyalty</v>
      </c>
      <c r="W1439" t="s">
        <v>50</v>
      </c>
    </row>
    <row r="1440" spans="1:23" x14ac:dyDescent="0.25">
      <c r="A1440">
        <v>1439</v>
      </c>
      <c r="B1440">
        <v>58</v>
      </c>
      <c r="C1440" t="str" cm="1">
        <f t="array" ref="C1440">_xlfn.IFS(
  AND(B1440&gt;=18, B1440&lt;=24), "18-24",
  AND(B1440&gt;=25, B1440&lt;=34), "25-34",
  AND(B1440&gt;=35, B1440&lt;=44), "35-44",
  AND(B1440&gt;=45, B1440&lt;=54), "45-54",
  B1440&gt;=55, "55+"
)</f>
        <v>55+</v>
      </c>
      <c r="D1440" t="s">
        <v>19</v>
      </c>
      <c r="E1440" t="s">
        <v>64</v>
      </c>
      <c r="F1440" t="s">
        <v>65</v>
      </c>
      <c r="G1440">
        <v>38</v>
      </c>
      <c r="H1440" t="s">
        <v>140</v>
      </c>
      <c r="I1440" t="s">
        <v>45</v>
      </c>
      <c r="J1440" t="s">
        <v>109</v>
      </c>
      <c r="K1440" t="s">
        <v>39</v>
      </c>
      <c r="L1440">
        <v>2.9</v>
      </c>
      <c r="M1440" t="s">
        <v>152</v>
      </c>
      <c r="N1440" t="s">
        <v>35</v>
      </c>
      <c r="O1440" t="s">
        <v>55</v>
      </c>
      <c r="P1440" t="s">
        <v>26</v>
      </c>
      <c r="Q1440" t="s">
        <v>26</v>
      </c>
      <c r="R1440">
        <v>24</v>
      </c>
      <c r="S1440" t="s">
        <v>59</v>
      </c>
      <c r="T1440" t="str">
        <f t="shared" si="44"/>
        <v>Month</v>
      </c>
      <c r="U1440">
        <f>VLOOKUP(T1440,[1]tablescore!$B$3:$C$8, 2,FALSE)</f>
        <v>12</v>
      </c>
      <c r="V1440" t="str">
        <f t="shared" si="45"/>
        <v>Moderate</v>
      </c>
      <c r="W1440" t="s">
        <v>88</v>
      </c>
    </row>
    <row r="1441" spans="1:23" x14ac:dyDescent="0.25">
      <c r="A1441">
        <v>1440</v>
      </c>
      <c r="B1441">
        <v>25</v>
      </c>
      <c r="C1441" t="str" cm="1">
        <f t="array" ref="C1441">_xlfn.IFS(
  AND(B1441&gt;=18, B1441&lt;=24), "18-24",
  AND(B1441&gt;=25, B1441&lt;=34), "25-34",
  AND(B1441&gt;=35, B1441&lt;=44), "35-44",
  AND(B1441&gt;=45, B1441&lt;=54), "45-54",
  B1441&gt;=55, "55+"
)</f>
        <v>25-34</v>
      </c>
      <c r="D1441" t="s">
        <v>19</v>
      </c>
      <c r="E1441" t="s">
        <v>132</v>
      </c>
      <c r="F1441" t="s">
        <v>43</v>
      </c>
      <c r="G1441">
        <v>48</v>
      </c>
      <c r="H1441" t="s">
        <v>123</v>
      </c>
      <c r="I1441" t="s">
        <v>45</v>
      </c>
      <c r="J1441" t="s">
        <v>147</v>
      </c>
      <c r="K1441" t="s">
        <v>54</v>
      </c>
      <c r="L1441">
        <v>4.8</v>
      </c>
      <c r="M1441" t="s">
        <v>152</v>
      </c>
      <c r="N1441" t="s">
        <v>27</v>
      </c>
      <c r="O1441" t="s">
        <v>47</v>
      </c>
      <c r="P1441" t="s">
        <v>26</v>
      </c>
      <c r="Q1441" t="s">
        <v>26</v>
      </c>
      <c r="R1441">
        <v>25</v>
      </c>
      <c r="S1441" t="s">
        <v>35</v>
      </c>
      <c r="T1441" t="str">
        <f t="shared" si="44"/>
        <v>2-week</v>
      </c>
      <c r="U1441">
        <f>VLOOKUP(T1441,[1]tablescore!$B$3:$C$8, 2,FALSE)</f>
        <v>26</v>
      </c>
      <c r="V1441" t="str">
        <f t="shared" si="45"/>
        <v>Loyal</v>
      </c>
      <c r="W1441" t="s">
        <v>30</v>
      </c>
    </row>
    <row r="1442" spans="1:23" x14ac:dyDescent="0.25">
      <c r="A1442">
        <v>1441</v>
      </c>
      <c r="B1442">
        <v>27</v>
      </c>
      <c r="C1442" t="str" cm="1">
        <f t="array" ref="C1442">_xlfn.IFS(
  AND(B1442&gt;=18, B1442&lt;=24), "18-24",
  AND(B1442&gt;=25, B1442&lt;=34), "25-34",
  AND(B1442&gt;=35, B1442&lt;=44), "35-44",
  AND(B1442&gt;=45, B1442&lt;=54), "45-54",
  B1442&gt;=55, "55+"
)</f>
        <v>25-34</v>
      </c>
      <c r="D1442" t="s">
        <v>19</v>
      </c>
      <c r="E1442" t="s">
        <v>42</v>
      </c>
      <c r="F1442" t="s">
        <v>43</v>
      </c>
      <c r="G1442">
        <v>76</v>
      </c>
      <c r="H1442" t="s">
        <v>117</v>
      </c>
      <c r="I1442" t="s">
        <v>45</v>
      </c>
      <c r="J1442" t="s">
        <v>71</v>
      </c>
      <c r="K1442" t="s">
        <v>39</v>
      </c>
      <c r="L1442">
        <v>4.4000000000000004</v>
      </c>
      <c r="M1442" t="s">
        <v>152</v>
      </c>
      <c r="N1442" t="s">
        <v>34</v>
      </c>
      <c r="O1442" t="s">
        <v>55</v>
      </c>
      <c r="P1442" t="s">
        <v>26</v>
      </c>
      <c r="Q1442" t="s">
        <v>26</v>
      </c>
      <c r="R1442">
        <v>13</v>
      </c>
      <c r="S1442" t="s">
        <v>29</v>
      </c>
      <c r="T1442" t="str">
        <f t="shared" si="44"/>
        <v>Month</v>
      </c>
      <c r="U1442">
        <f>VLOOKUP(T1442,[1]tablescore!$B$3:$C$8, 2,FALSE)</f>
        <v>12</v>
      </c>
      <c r="V1442" t="str">
        <f t="shared" si="45"/>
        <v>Moderate</v>
      </c>
      <c r="W1442" t="s">
        <v>88</v>
      </c>
    </row>
    <row r="1443" spans="1:23" x14ac:dyDescent="0.25">
      <c r="A1443">
        <v>1442</v>
      </c>
      <c r="B1443">
        <v>34</v>
      </c>
      <c r="C1443" t="str" cm="1">
        <f t="array" ref="C1443">_xlfn.IFS(
  AND(B1443&gt;=18, B1443&lt;=24), "18-24",
  AND(B1443&gt;=25, B1443&lt;=34), "25-34",
  AND(B1443&gt;=35, B1443&lt;=44), "35-44",
  AND(B1443&gt;=45, B1443&lt;=54), "45-54",
  B1443&gt;=55, "55+"
)</f>
        <v>25-34</v>
      </c>
      <c r="D1443" t="s">
        <v>19</v>
      </c>
      <c r="E1443" t="s">
        <v>95</v>
      </c>
      <c r="F1443" t="s">
        <v>21</v>
      </c>
      <c r="G1443">
        <v>25</v>
      </c>
      <c r="H1443" t="s">
        <v>143</v>
      </c>
      <c r="I1443" t="s">
        <v>38</v>
      </c>
      <c r="J1443" t="s">
        <v>49</v>
      </c>
      <c r="K1443" t="s">
        <v>54</v>
      </c>
      <c r="L1443">
        <v>3.4</v>
      </c>
      <c r="M1443" t="s">
        <v>152</v>
      </c>
      <c r="N1443" t="s">
        <v>59</v>
      </c>
      <c r="O1443" t="s">
        <v>40</v>
      </c>
      <c r="P1443" t="s">
        <v>26</v>
      </c>
      <c r="Q1443" t="s">
        <v>26</v>
      </c>
      <c r="R1443">
        <v>3</v>
      </c>
      <c r="S1443" t="s">
        <v>29</v>
      </c>
      <c r="T1443" t="str">
        <f t="shared" si="44"/>
        <v>Quarterly</v>
      </c>
      <c r="U1443">
        <f>VLOOKUP(T1443,[1]tablescore!$B$3:$C$8, 2,FALSE)</f>
        <v>4</v>
      </c>
      <c r="V1443" t="str">
        <f t="shared" si="45"/>
        <v>Low Loyalty</v>
      </c>
      <c r="W1443" t="s">
        <v>97</v>
      </c>
    </row>
    <row r="1444" spans="1:23" x14ac:dyDescent="0.25">
      <c r="A1444">
        <v>1443</v>
      </c>
      <c r="B1444">
        <v>53</v>
      </c>
      <c r="C1444" t="str" cm="1">
        <f t="array" ref="C1444">_xlfn.IFS(
  AND(B1444&gt;=18, B1444&lt;=24), "18-24",
  AND(B1444&gt;=25, B1444&lt;=34), "25-34",
  AND(B1444&gt;=35, B1444&lt;=44), "35-44",
  AND(B1444&gt;=45, B1444&lt;=54), "45-54",
  B1444&gt;=55, "55+"
)</f>
        <v>45-54</v>
      </c>
      <c r="D1444" t="s">
        <v>19</v>
      </c>
      <c r="E1444" t="s">
        <v>104</v>
      </c>
      <c r="F1444" t="s">
        <v>21</v>
      </c>
      <c r="G1444">
        <v>92</v>
      </c>
      <c r="H1444" t="s">
        <v>144</v>
      </c>
      <c r="I1444" t="s">
        <v>38</v>
      </c>
      <c r="J1444" t="s">
        <v>84</v>
      </c>
      <c r="K1444" t="s">
        <v>39</v>
      </c>
      <c r="L1444">
        <v>2.8</v>
      </c>
      <c r="M1444" t="s">
        <v>152</v>
      </c>
      <c r="N1444" t="s">
        <v>35</v>
      </c>
      <c r="O1444" t="s">
        <v>72</v>
      </c>
      <c r="P1444" t="s">
        <v>26</v>
      </c>
      <c r="Q1444" t="s">
        <v>26</v>
      </c>
      <c r="R1444">
        <v>42</v>
      </c>
      <c r="S1444" t="s">
        <v>27</v>
      </c>
      <c r="T1444" t="str">
        <f t="shared" si="44"/>
        <v>Annually</v>
      </c>
      <c r="U1444">
        <f>VLOOKUP(T1444,[1]tablescore!$B$3:$C$8, 2,FALSE)</f>
        <v>1</v>
      </c>
      <c r="V1444" t="str">
        <f t="shared" si="45"/>
        <v>Low Loyalty</v>
      </c>
      <c r="W1444" t="s">
        <v>50</v>
      </c>
    </row>
    <row r="1445" spans="1:23" x14ac:dyDescent="0.25">
      <c r="A1445">
        <v>1444</v>
      </c>
      <c r="B1445">
        <v>58</v>
      </c>
      <c r="C1445" t="str" cm="1">
        <f t="array" ref="C1445">_xlfn.IFS(
  AND(B1445&gt;=18, B1445&lt;=24), "18-24",
  AND(B1445&gt;=25, B1445&lt;=34), "25-34",
  AND(B1445&gt;=35, B1445&lt;=44), "35-44",
  AND(B1445&gt;=45, B1445&lt;=54), "45-54",
  B1445&gt;=55, "55+"
)</f>
        <v>55+</v>
      </c>
      <c r="D1445" t="s">
        <v>19</v>
      </c>
      <c r="E1445" t="s">
        <v>42</v>
      </c>
      <c r="F1445" t="s">
        <v>43</v>
      </c>
      <c r="G1445">
        <v>47</v>
      </c>
      <c r="H1445" t="s">
        <v>144</v>
      </c>
      <c r="I1445" t="s">
        <v>23</v>
      </c>
      <c r="J1445" t="s">
        <v>86</v>
      </c>
      <c r="K1445" t="s">
        <v>58</v>
      </c>
      <c r="L1445">
        <v>4.2</v>
      </c>
      <c r="M1445" t="s">
        <v>152</v>
      </c>
      <c r="N1445" t="s">
        <v>46</v>
      </c>
      <c r="O1445" t="s">
        <v>47</v>
      </c>
      <c r="P1445" t="s">
        <v>26</v>
      </c>
      <c r="Q1445" t="s">
        <v>26</v>
      </c>
      <c r="R1445">
        <v>2</v>
      </c>
      <c r="S1445" t="s">
        <v>35</v>
      </c>
      <c r="T1445" t="str">
        <f t="shared" si="44"/>
        <v>Month</v>
      </c>
      <c r="U1445">
        <f>VLOOKUP(T1445,[1]tablescore!$B$3:$C$8, 2,FALSE)</f>
        <v>12</v>
      </c>
      <c r="V1445" t="str">
        <f t="shared" si="45"/>
        <v>Moderate</v>
      </c>
      <c r="W1445" t="s">
        <v>88</v>
      </c>
    </row>
    <row r="1446" spans="1:23" x14ac:dyDescent="0.25">
      <c r="A1446">
        <v>1445</v>
      </c>
      <c r="B1446">
        <v>32</v>
      </c>
      <c r="C1446" t="str" cm="1">
        <f t="array" ref="C1446">_xlfn.IFS(
  AND(B1446&gt;=18, B1446&lt;=24), "18-24",
  AND(B1446&gt;=25, B1446&lt;=34), "25-34",
  AND(B1446&gt;=35, B1446&lt;=44), "35-44",
  AND(B1446&gt;=45, B1446&lt;=54), "45-54",
  B1446&gt;=55, "55+"
)</f>
        <v>25-34</v>
      </c>
      <c r="D1446" t="s">
        <v>19</v>
      </c>
      <c r="E1446" t="s">
        <v>31</v>
      </c>
      <c r="F1446" t="s">
        <v>21</v>
      </c>
      <c r="G1446">
        <v>36</v>
      </c>
      <c r="H1446" t="s">
        <v>145</v>
      </c>
      <c r="I1446" t="s">
        <v>23</v>
      </c>
      <c r="J1446" t="s">
        <v>71</v>
      </c>
      <c r="K1446" t="s">
        <v>58</v>
      </c>
      <c r="L1446">
        <v>3.8</v>
      </c>
      <c r="M1446" t="s">
        <v>152</v>
      </c>
      <c r="N1446" t="s">
        <v>29</v>
      </c>
      <c r="O1446" t="s">
        <v>28</v>
      </c>
      <c r="P1446" t="s">
        <v>26</v>
      </c>
      <c r="Q1446" t="s">
        <v>26</v>
      </c>
      <c r="R1446">
        <v>26</v>
      </c>
      <c r="S1446" t="s">
        <v>35</v>
      </c>
      <c r="T1446" t="str">
        <f t="shared" si="44"/>
        <v>Quarterly</v>
      </c>
      <c r="U1446">
        <f>VLOOKUP(T1446,[1]tablescore!$B$3:$C$8, 2,FALSE)</f>
        <v>4</v>
      </c>
      <c r="V1446" t="str">
        <f t="shared" si="45"/>
        <v>Low Loyalty</v>
      </c>
      <c r="W1446" t="s">
        <v>60</v>
      </c>
    </row>
    <row r="1447" spans="1:23" x14ac:dyDescent="0.25">
      <c r="A1447">
        <v>1446</v>
      </c>
      <c r="B1447">
        <v>64</v>
      </c>
      <c r="C1447" t="str" cm="1">
        <f t="array" ref="C1447">_xlfn.IFS(
  AND(B1447&gt;=18, B1447&lt;=24), "18-24",
  AND(B1447&gt;=25, B1447&lt;=34), "25-34",
  AND(B1447&gt;=35, B1447&lt;=44), "35-44",
  AND(B1447&gt;=45, B1447&lt;=54), "45-54",
  B1447&gt;=55, "55+"
)</f>
        <v>55+</v>
      </c>
      <c r="D1447" t="s">
        <v>19</v>
      </c>
      <c r="E1447" t="s">
        <v>136</v>
      </c>
      <c r="F1447" t="s">
        <v>69</v>
      </c>
      <c r="G1447">
        <v>51</v>
      </c>
      <c r="H1447" t="s">
        <v>74</v>
      </c>
      <c r="I1447" t="s">
        <v>45</v>
      </c>
      <c r="J1447" t="s">
        <v>81</v>
      </c>
      <c r="K1447" t="s">
        <v>58</v>
      </c>
      <c r="L1447">
        <v>3.1</v>
      </c>
      <c r="M1447" t="s">
        <v>152</v>
      </c>
      <c r="N1447" t="s">
        <v>29</v>
      </c>
      <c r="O1447" t="s">
        <v>72</v>
      </c>
      <c r="P1447" t="s">
        <v>26</v>
      </c>
      <c r="Q1447" t="s">
        <v>26</v>
      </c>
      <c r="R1447">
        <v>24</v>
      </c>
      <c r="S1447" t="s">
        <v>27</v>
      </c>
      <c r="T1447" t="str">
        <f t="shared" si="44"/>
        <v>Annually</v>
      </c>
      <c r="U1447">
        <f>VLOOKUP(T1447,[1]tablescore!$B$3:$C$8, 2,FALSE)</f>
        <v>1</v>
      </c>
      <c r="V1447" t="str">
        <f t="shared" si="45"/>
        <v>Low Loyalty</v>
      </c>
      <c r="W1447" t="s">
        <v>50</v>
      </c>
    </row>
    <row r="1448" spans="1:23" x14ac:dyDescent="0.25">
      <c r="A1448">
        <v>1447</v>
      </c>
      <c r="B1448">
        <v>63</v>
      </c>
      <c r="C1448" t="str" cm="1">
        <f t="array" ref="C1448">_xlfn.IFS(
  AND(B1448&gt;=18, B1448&lt;=24), "18-24",
  AND(B1448&gt;=25, B1448&lt;=34), "25-34",
  AND(B1448&gt;=35, B1448&lt;=44), "35-44",
  AND(B1448&gt;=45, B1448&lt;=54), "45-54",
  B1448&gt;=55, "55+"
)</f>
        <v>55+</v>
      </c>
      <c r="D1448" t="s">
        <v>19</v>
      </c>
      <c r="E1448" t="s">
        <v>36</v>
      </c>
      <c r="F1448" t="s">
        <v>21</v>
      </c>
      <c r="G1448">
        <v>35</v>
      </c>
      <c r="H1448" t="s">
        <v>52</v>
      </c>
      <c r="I1448" t="s">
        <v>92</v>
      </c>
      <c r="J1448" t="s">
        <v>108</v>
      </c>
      <c r="K1448" t="s">
        <v>54</v>
      </c>
      <c r="L1448">
        <v>3.2</v>
      </c>
      <c r="M1448" t="s">
        <v>152</v>
      </c>
      <c r="N1448" t="s">
        <v>59</v>
      </c>
      <c r="O1448" t="s">
        <v>28</v>
      </c>
      <c r="P1448" t="s">
        <v>26</v>
      </c>
      <c r="Q1448" t="s">
        <v>26</v>
      </c>
      <c r="R1448">
        <v>6</v>
      </c>
      <c r="S1448" t="s">
        <v>27</v>
      </c>
      <c r="T1448" t="str">
        <f t="shared" si="44"/>
        <v>Quarterly</v>
      </c>
      <c r="U1448">
        <f>VLOOKUP(T1448,[1]tablescore!$B$3:$C$8, 2,FALSE)</f>
        <v>4</v>
      </c>
      <c r="V1448" t="str">
        <f t="shared" si="45"/>
        <v>Low Loyalty</v>
      </c>
      <c r="W1448" t="s">
        <v>60</v>
      </c>
    </row>
    <row r="1449" spans="1:23" x14ac:dyDescent="0.25">
      <c r="A1449">
        <v>1448</v>
      </c>
      <c r="B1449">
        <v>23</v>
      </c>
      <c r="C1449" t="str" cm="1">
        <f t="array" ref="C1449">_xlfn.IFS(
  AND(B1449&gt;=18, B1449&lt;=24), "18-24",
  AND(B1449&gt;=25, B1449&lt;=34), "25-34",
  AND(B1449&gt;=35, B1449&lt;=44), "35-44",
  AND(B1449&gt;=45, B1449&lt;=54), "45-54",
  B1449&gt;=55, "55+"
)</f>
        <v>18-24</v>
      </c>
      <c r="D1449" t="s">
        <v>19</v>
      </c>
      <c r="E1449" t="s">
        <v>104</v>
      </c>
      <c r="F1449" t="s">
        <v>21</v>
      </c>
      <c r="G1449">
        <v>57</v>
      </c>
      <c r="H1449" t="s">
        <v>123</v>
      </c>
      <c r="I1449" t="s">
        <v>38</v>
      </c>
      <c r="J1449" t="s">
        <v>118</v>
      </c>
      <c r="K1449" t="s">
        <v>54</v>
      </c>
      <c r="L1449">
        <v>3</v>
      </c>
      <c r="M1449" t="s">
        <v>152</v>
      </c>
      <c r="N1449" t="s">
        <v>27</v>
      </c>
      <c r="O1449" t="s">
        <v>47</v>
      </c>
      <c r="P1449" t="s">
        <v>26</v>
      </c>
      <c r="Q1449" t="s">
        <v>26</v>
      </c>
      <c r="R1449">
        <v>25</v>
      </c>
      <c r="S1449" t="s">
        <v>46</v>
      </c>
      <c r="T1449" t="str">
        <f t="shared" si="44"/>
        <v>Month</v>
      </c>
      <c r="U1449">
        <f>VLOOKUP(T1449,[1]tablescore!$B$3:$C$8, 2,FALSE)</f>
        <v>12</v>
      </c>
      <c r="V1449" t="str">
        <f t="shared" si="45"/>
        <v>Moderate</v>
      </c>
      <c r="W1449" t="s">
        <v>88</v>
      </c>
    </row>
    <row r="1450" spans="1:23" x14ac:dyDescent="0.25">
      <c r="A1450">
        <v>1449</v>
      </c>
      <c r="B1450">
        <v>64</v>
      </c>
      <c r="C1450" t="str" cm="1">
        <f t="array" ref="C1450">_xlfn.IFS(
  AND(B1450&gt;=18, B1450&lt;=24), "18-24",
  AND(B1450&gt;=25, B1450&lt;=34), "25-34",
  AND(B1450&gt;=35, B1450&lt;=44), "35-44",
  AND(B1450&gt;=45, B1450&lt;=54), "45-54",
  B1450&gt;=55, "55+"
)</f>
        <v>55+</v>
      </c>
      <c r="D1450" t="s">
        <v>19</v>
      </c>
      <c r="E1450" t="s">
        <v>132</v>
      </c>
      <c r="F1450" t="s">
        <v>43</v>
      </c>
      <c r="G1450">
        <v>95</v>
      </c>
      <c r="H1450" t="s">
        <v>66</v>
      </c>
      <c r="I1450" t="s">
        <v>45</v>
      </c>
      <c r="J1450" t="s">
        <v>94</v>
      </c>
      <c r="K1450" t="s">
        <v>54</v>
      </c>
      <c r="L1450">
        <v>3.6</v>
      </c>
      <c r="M1450" t="s">
        <v>152</v>
      </c>
      <c r="N1450" t="s">
        <v>34</v>
      </c>
      <c r="O1450" t="s">
        <v>40</v>
      </c>
      <c r="P1450" t="s">
        <v>26</v>
      </c>
      <c r="Q1450" t="s">
        <v>26</v>
      </c>
      <c r="R1450">
        <v>11</v>
      </c>
      <c r="S1450" t="s">
        <v>27</v>
      </c>
      <c r="T1450" t="str">
        <f t="shared" si="44"/>
        <v>Quarterly</v>
      </c>
      <c r="U1450">
        <f>VLOOKUP(T1450,[1]tablescore!$B$3:$C$8, 2,FALSE)</f>
        <v>4</v>
      </c>
      <c r="V1450" t="str">
        <f t="shared" si="45"/>
        <v>Low Loyalty</v>
      </c>
      <c r="W1450" t="s">
        <v>97</v>
      </c>
    </row>
    <row r="1451" spans="1:23" x14ac:dyDescent="0.25">
      <c r="A1451">
        <v>1450</v>
      </c>
      <c r="B1451">
        <v>18</v>
      </c>
      <c r="C1451" t="str" cm="1">
        <f t="array" ref="C1451">_xlfn.IFS(
  AND(B1451&gt;=18, B1451&lt;=24), "18-24",
  AND(B1451&gt;=25, B1451&lt;=34), "25-34",
  AND(B1451&gt;=35, B1451&lt;=44), "35-44",
  AND(B1451&gt;=45, B1451&lt;=54), "45-54",
  B1451&gt;=55, "55+"
)</f>
        <v>18-24</v>
      </c>
      <c r="D1451" t="s">
        <v>19</v>
      </c>
      <c r="E1451" t="s">
        <v>131</v>
      </c>
      <c r="F1451" t="s">
        <v>21</v>
      </c>
      <c r="G1451">
        <v>41</v>
      </c>
      <c r="H1451" t="s">
        <v>85</v>
      </c>
      <c r="I1451" t="s">
        <v>23</v>
      </c>
      <c r="J1451" t="s">
        <v>93</v>
      </c>
      <c r="K1451" t="s">
        <v>25</v>
      </c>
      <c r="L1451">
        <v>2.5</v>
      </c>
      <c r="M1451" t="s">
        <v>152</v>
      </c>
      <c r="N1451" t="s">
        <v>59</v>
      </c>
      <c r="O1451" t="s">
        <v>76</v>
      </c>
      <c r="P1451" t="s">
        <v>26</v>
      </c>
      <c r="Q1451" t="s">
        <v>26</v>
      </c>
      <c r="R1451">
        <v>20</v>
      </c>
      <c r="S1451" t="s">
        <v>35</v>
      </c>
      <c r="T1451" t="str">
        <f t="shared" si="44"/>
        <v>Quarterly</v>
      </c>
      <c r="U1451">
        <f>VLOOKUP(T1451,[1]tablescore!$B$3:$C$8, 2,FALSE)</f>
        <v>4</v>
      </c>
      <c r="V1451" t="str">
        <f t="shared" si="45"/>
        <v>Low Loyalty</v>
      </c>
      <c r="W1451" t="s">
        <v>97</v>
      </c>
    </row>
    <row r="1452" spans="1:23" x14ac:dyDescent="0.25">
      <c r="A1452">
        <v>1451</v>
      </c>
      <c r="B1452">
        <v>25</v>
      </c>
      <c r="C1452" t="str" cm="1">
        <f t="array" ref="C1452">_xlfn.IFS(
  AND(B1452&gt;=18, B1452&lt;=24), "18-24",
  AND(B1452&gt;=25, B1452&lt;=34), "25-34",
  AND(B1452&gt;=35, B1452&lt;=44), "35-44",
  AND(B1452&gt;=45, B1452&lt;=54), "45-54",
  B1452&gt;=55, "55+"
)</f>
        <v>25-34</v>
      </c>
      <c r="D1452" t="s">
        <v>19</v>
      </c>
      <c r="E1452" t="s">
        <v>82</v>
      </c>
      <c r="F1452" t="s">
        <v>21</v>
      </c>
      <c r="G1452">
        <v>44</v>
      </c>
      <c r="H1452" t="s">
        <v>115</v>
      </c>
      <c r="I1452" t="s">
        <v>38</v>
      </c>
      <c r="J1452" t="s">
        <v>86</v>
      </c>
      <c r="K1452" t="s">
        <v>25</v>
      </c>
      <c r="L1452">
        <v>3.4</v>
      </c>
      <c r="M1452" t="s">
        <v>152</v>
      </c>
      <c r="N1452" t="s">
        <v>46</v>
      </c>
      <c r="O1452" t="s">
        <v>40</v>
      </c>
      <c r="P1452" t="s">
        <v>26</v>
      </c>
      <c r="Q1452" t="s">
        <v>26</v>
      </c>
      <c r="R1452">
        <v>25</v>
      </c>
      <c r="S1452" t="s">
        <v>35</v>
      </c>
      <c r="T1452" t="str">
        <f t="shared" si="44"/>
        <v>Quarterly</v>
      </c>
      <c r="U1452">
        <f>VLOOKUP(T1452,[1]tablescore!$B$3:$C$8, 2,FALSE)</f>
        <v>4</v>
      </c>
      <c r="V1452" t="str">
        <f t="shared" si="45"/>
        <v>Low Loyalty</v>
      </c>
      <c r="W1452" t="s">
        <v>60</v>
      </c>
    </row>
    <row r="1453" spans="1:23" x14ac:dyDescent="0.25">
      <c r="A1453">
        <v>1452</v>
      </c>
      <c r="B1453">
        <v>54</v>
      </c>
      <c r="C1453" t="str" cm="1">
        <f t="array" ref="C1453">_xlfn.IFS(
  AND(B1453&gt;=18, B1453&lt;=24), "18-24",
  AND(B1453&gt;=25, B1453&lt;=34), "25-34",
  AND(B1453&gt;=35, B1453&lt;=44), "35-44",
  AND(B1453&gt;=45, B1453&lt;=54), "45-54",
  B1453&gt;=55, "55+"
)</f>
        <v>45-54</v>
      </c>
      <c r="D1453" t="s">
        <v>19</v>
      </c>
      <c r="E1453" t="s">
        <v>102</v>
      </c>
      <c r="F1453" t="s">
        <v>65</v>
      </c>
      <c r="G1453">
        <v>34</v>
      </c>
      <c r="H1453" t="s">
        <v>149</v>
      </c>
      <c r="I1453" t="s">
        <v>45</v>
      </c>
      <c r="J1453" t="s">
        <v>33</v>
      </c>
      <c r="K1453" t="s">
        <v>58</v>
      </c>
      <c r="L1453">
        <v>2.5</v>
      </c>
      <c r="M1453" t="s">
        <v>152</v>
      </c>
      <c r="N1453" t="s">
        <v>29</v>
      </c>
      <c r="O1453" t="s">
        <v>47</v>
      </c>
      <c r="P1453" t="s">
        <v>26</v>
      </c>
      <c r="Q1453" t="s">
        <v>26</v>
      </c>
      <c r="R1453">
        <v>35</v>
      </c>
      <c r="S1453" t="s">
        <v>46</v>
      </c>
      <c r="T1453" t="str">
        <f t="shared" si="44"/>
        <v>Quarterly</v>
      </c>
      <c r="U1453">
        <f>VLOOKUP(T1453,[1]tablescore!$B$3:$C$8, 2,FALSE)</f>
        <v>4</v>
      </c>
      <c r="V1453" t="str">
        <f t="shared" si="45"/>
        <v>Low Loyalty</v>
      </c>
      <c r="W1453" t="s">
        <v>60</v>
      </c>
    </row>
    <row r="1454" spans="1:23" x14ac:dyDescent="0.25">
      <c r="A1454">
        <v>1453</v>
      </c>
      <c r="B1454">
        <v>60</v>
      </c>
      <c r="C1454" t="str" cm="1">
        <f t="array" ref="C1454">_xlfn.IFS(
  AND(B1454&gt;=18, B1454&lt;=24), "18-24",
  AND(B1454&gt;=25, B1454&lt;=34), "25-34",
  AND(B1454&gt;=35, B1454&lt;=44), "35-44",
  AND(B1454&gt;=45, B1454&lt;=54), "45-54",
  B1454&gt;=55, "55+"
)</f>
        <v>55+</v>
      </c>
      <c r="D1454" t="s">
        <v>19</v>
      </c>
      <c r="E1454" t="s">
        <v>102</v>
      </c>
      <c r="F1454" t="s">
        <v>65</v>
      </c>
      <c r="G1454">
        <v>25</v>
      </c>
      <c r="H1454" t="s">
        <v>112</v>
      </c>
      <c r="I1454" t="s">
        <v>23</v>
      </c>
      <c r="J1454" t="s">
        <v>138</v>
      </c>
      <c r="K1454" t="s">
        <v>39</v>
      </c>
      <c r="L1454">
        <v>4.7</v>
      </c>
      <c r="M1454" t="s">
        <v>152</v>
      </c>
      <c r="N1454" t="s">
        <v>29</v>
      </c>
      <c r="O1454" t="s">
        <v>72</v>
      </c>
      <c r="P1454" t="s">
        <v>26</v>
      </c>
      <c r="Q1454" t="s">
        <v>26</v>
      </c>
      <c r="R1454">
        <v>11</v>
      </c>
      <c r="S1454" t="s">
        <v>34</v>
      </c>
      <c r="T1454" t="str">
        <f t="shared" si="44"/>
        <v>Quarterly</v>
      </c>
      <c r="U1454">
        <f>VLOOKUP(T1454,[1]tablescore!$B$3:$C$8, 2,FALSE)</f>
        <v>4</v>
      </c>
      <c r="V1454" t="str">
        <f t="shared" si="45"/>
        <v>Low Loyalty</v>
      </c>
      <c r="W1454" t="s">
        <v>60</v>
      </c>
    </row>
    <row r="1455" spans="1:23" x14ac:dyDescent="0.25">
      <c r="A1455">
        <v>1454</v>
      </c>
      <c r="B1455">
        <v>36</v>
      </c>
      <c r="C1455" t="str" cm="1">
        <f t="array" ref="C1455">_xlfn.IFS(
  AND(B1455&gt;=18, B1455&lt;=24), "18-24",
  AND(B1455&gt;=25, B1455&lt;=34), "25-34",
  AND(B1455&gt;=35, B1455&lt;=44), "35-44",
  AND(B1455&gt;=45, B1455&lt;=54), "45-54",
  B1455&gt;=55, "55+"
)</f>
        <v>35-44</v>
      </c>
      <c r="D1455" t="s">
        <v>19</v>
      </c>
      <c r="E1455" t="s">
        <v>132</v>
      </c>
      <c r="F1455" t="s">
        <v>43</v>
      </c>
      <c r="G1455">
        <v>93</v>
      </c>
      <c r="H1455" t="s">
        <v>128</v>
      </c>
      <c r="I1455" t="s">
        <v>38</v>
      </c>
      <c r="J1455" t="s">
        <v>86</v>
      </c>
      <c r="K1455" t="s">
        <v>25</v>
      </c>
      <c r="L1455">
        <v>3.2</v>
      </c>
      <c r="M1455" t="s">
        <v>152</v>
      </c>
      <c r="N1455" t="s">
        <v>46</v>
      </c>
      <c r="O1455" t="s">
        <v>72</v>
      </c>
      <c r="P1455" t="s">
        <v>26</v>
      </c>
      <c r="Q1455" t="s">
        <v>26</v>
      </c>
      <c r="R1455">
        <v>41</v>
      </c>
      <c r="S1455" t="s">
        <v>34</v>
      </c>
      <c r="T1455" t="str">
        <f t="shared" si="44"/>
        <v>2-week</v>
      </c>
      <c r="U1455">
        <f>VLOOKUP(T1455,[1]tablescore!$B$3:$C$8, 2,FALSE)</f>
        <v>26</v>
      </c>
      <c r="V1455" t="str">
        <f t="shared" si="45"/>
        <v>Loyal</v>
      </c>
      <c r="W1455" t="s">
        <v>30</v>
      </c>
    </row>
    <row r="1456" spans="1:23" x14ac:dyDescent="0.25">
      <c r="A1456">
        <v>1455</v>
      </c>
      <c r="B1456">
        <v>66</v>
      </c>
      <c r="C1456" t="str" cm="1">
        <f t="array" ref="C1456">_xlfn.IFS(
  AND(B1456&gt;=18, B1456&lt;=24), "18-24",
  AND(B1456&gt;=25, B1456&lt;=34), "25-34",
  AND(B1456&gt;=35, B1456&lt;=44), "35-44",
  AND(B1456&gt;=45, B1456&lt;=54), "45-54",
  B1456&gt;=55, "55+"
)</f>
        <v>55+</v>
      </c>
      <c r="D1456" t="s">
        <v>19</v>
      </c>
      <c r="E1456" t="s">
        <v>51</v>
      </c>
      <c r="F1456" t="s">
        <v>43</v>
      </c>
      <c r="G1456">
        <v>50</v>
      </c>
      <c r="H1456" t="s">
        <v>142</v>
      </c>
      <c r="I1456" t="s">
        <v>23</v>
      </c>
      <c r="J1456" t="s">
        <v>33</v>
      </c>
      <c r="K1456" t="s">
        <v>25</v>
      </c>
      <c r="L1456">
        <v>2.9</v>
      </c>
      <c r="M1456" t="s">
        <v>152</v>
      </c>
      <c r="N1456" t="s">
        <v>34</v>
      </c>
      <c r="O1456" t="s">
        <v>40</v>
      </c>
      <c r="P1456" t="s">
        <v>26</v>
      </c>
      <c r="Q1456" t="s">
        <v>26</v>
      </c>
      <c r="R1456">
        <v>17</v>
      </c>
      <c r="S1456" t="s">
        <v>27</v>
      </c>
      <c r="T1456" t="str">
        <f t="shared" si="44"/>
        <v>Annually</v>
      </c>
      <c r="U1456">
        <f>VLOOKUP(T1456,[1]tablescore!$B$3:$C$8, 2,FALSE)</f>
        <v>1</v>
      </c>
      <c r="V1456" t="str">
        <f t="shared" si="45"/>
        <v>Low Loyalty</v>
      </c>
      <c r="W1456" t="s">
        <v>50</v>
      </c>
    </row>
    <row r="1457" spans="1:23" x14ac:dyDescent="0.25">
      <c r="A1457">
        <v>1456</v>
      </c>
      <c r="B1457">
        <v>60</v>
      </c>
      <c r="C1457" t="str" cm="1">
        <f t="array" ref="C1457">_xlfn.IFS(
  AND(B1457&gt;=18, B1457&lt;=24), "18-24",
  AND(B1457&gt;=25, B1457&lt;=34), "25-34",
  AND(B1457&gt;=35, B1457&lt;=44), "35-44",
  AND(B1457&gt;=45, B1457&lt;=54), "45-54",
  B1457&gt;=55, "55+"
)</f>
        <v>55+</v>
      </c>
      <c r="D1457" t="s">
        <v>19</v>
      </c>
      <c r="E1457" t="s">
        <v>95</v>
      </c>
      <c r="F1457" t="s">
        <v>21</v>
      </c>
      <c r="G1457">
        <v>79</v>
      </c>
      <c r="H1457" t="s">
        <v>90</v>
      </c>
      <c r="I1457" t="s">
        <v>23</v>
      </c>
      <c r="J1457" t="s">
        <v>67</v>
      </c>
      <c r="K1457" t="s">
        <v>58</v>
      </c>
      <c r="L1457">
        <v>4.9000000000000004</v>
      </c>
      <c r="M1457" t="s">
        <v>152</v>
      </c>
      <c r="N1457" t="s">
        <v>59</v>
      </c>
      <c r="O1457" t="s">
        <v>28</v>
      </c>
      <c r="P1457" t="s">
        <v>26</v>
      </c>
      <c r="Q1457" t="s">
        <v>26</v>
      </c>
      <c r="R1457">
        <v>1</v>
      </c>
      <c r="S1457" t="s">
        <v>46</v>
      </c>
      <c r="T1457" t="str">
        <f t="shared" si="44"/>
        <v>Quarterly</v>
      </c>
      <c r="U1457">
        <f>VLOOKUP(T1457,[1]tablescore!$B$3:$C$8, 2,FALSE)</f>
        <v>4</v>
      </c>
      <c r="V1457" t="str">
        <f t="shared" si="45"/>
        <v>Low Loyalty</v>
      </c>
      <c r="W1457" t="s">
        <v>97</v>
      </c>
    </row>
    <row r="1458" spans="1:23" x14ac:dyDescent="0.25">
      <c r="A1458">
        <v>1457</v>
      </c>
      <c r="B1458">
        <v>59</v>
      </c>
      <c r="C1458" t="str" cm="1">
        <f t="array" ref="C1458">_xlfn.IFS(
  AND(B1458&gt;=18, B1458&lt;=24), "18-24",
  AND(B1458&gt;=25, B1458&lt;=34), "25-34",
  AND(B1458&gt;=35, B1458&lt;=44), "35-44",
  AND(B1458&gt;=45, B1458&lt;=54), "45-54",
  B1458&gt;=55, "55+"
)</f>
        <v>55+</v>
      </c>
      <c r="D1458" t="s">
        <v>19</v>
      </c>
      <c r="E1458" t="s">
        <v>64</v>
      </c>
      <c r="F1458" t="s">
        <v>65</v>
      </c>
      <c r="G1458">
        <v>100</v>
      </c>
      <c r="H1458" t="s">
        <v>57</v>
      </c>
      <c r="I1458" t="s">
        <v>38</v>
      </c>
      <c r="J1458" t="s">
        <v>79</v>
      </c>
      <c r="K1458" t="s">
        <v>39</v>
      </c>
      <c r="L1458">
        <v>2.7</v>
      </c>
      <c r="M1458" t="s">
        <v>152</v>
      </c>
      <c r="N1458" t="s">
        <v>29</v>
      </c>
      <c r="O1458" t="s">
        <v>76</v>
      </c>
      <c r="P1458" t="s">
        <v>26</v>
      </c>
      <c r="Q1458" t="s">
        <v>26</v>
      </c>
      <c r="R1458">
        <v>30</v>
      </c>
      <c r="S1458" t="s">
        <v>46</v>
      </c>
      <c r="T1458" t="str">
        <f t="shared" si="44"/>
        <v>Quarterly</v>
      </c>
      <c r="U1458">
        <f>VLOOKUP(T1458,[1]tablescore!$B$3:$C$8, 2,FALSE)</f>
        <v>4</v>
      </c>
      <c r="V1458" t="str">
        <f t="shared" si="45"/>
        <v>Low Loyalty</v>
      </c>
      <c r="W1458" t="s">
        <v>97</v>
      </c>
    </row>
    <row r="1459" spans="1:23" x14ac:dyDescent="0.25">
      <c r="A1459">
        <v>1458</v>
      </c>
      <c r="B1459">
        <v>58</v>
      </c>
      <c r="C1459" t="str" cm="1">
        <f t="array" ref="C1459">_xlfn.IFS(
  AND(B1459&gt;=18, B1459&lt;=24), "18-24",
  AND(B1459&gt;=25, B1459&lt;=34), "25-34",
  AND(B1459&gt;=35, B1459&lt;=44), "35-44",
  AND(B1459&gt;=45, B1459&lt;=54), "45-54",
  B1459&gt;=55, "55+"
)</f>
        <v>55+</v>
      </c>
      <c r="D1459" t="s">
        <v>19</v>
      </c>
      <c r="E1459" t="s">
        <v>56</v>
      </c>
      <c r="F1459" t="s">
        <v>21</v>
      </c>
      <c r="G1459">
        <v>57</v>
      </c>
      <c r="H1459" t="s">
        <v>141</v>
      </c>
      <c r="I1459" t="s">
        <v>38</v>
      </c>
      <c r="J1459" t="s">
        <v>24</v>
      </c>
      <c r="K1459" t="s">
        <v>39</v>
      </c>
      <c r="L1459">
        <v>4.7</v>
      </c>
      <c r="M1459" t="s">
        <v>152</v>
      </c>
      <c r="N1459" t="s">
        <v>34</v>
      </c>
      <c r="O1459" t="s">
        <v>28</v>
      </c>
      <c r="P1459" t="s">
        <v>26</v>
      </c>
      <c r="Q1459" t="s">
        <v>26</v>
      </c>
      <c r="R1459">
        <v>47</v>
      </c>
      <c r="S1459" t="s">
        <v>29</v>
      </c>
      <c r="T1459" t="str">
        <f t="shared" si="44"/>
        <v>2-week</v>
      </c>
      <c r="U1459">
        <f>VLOOKUP(T1459,[1]tablescore!$B$3:$C$8, 2,FALSE)</f>
        <v>26</v>
      </c>
      <c r="V1459" t="str">
        <f t="shared" si="45"/>
        <v>Loyal</v>
      </c>
      <c r="W1459" t="s">
        <v>30</v>
      </c>
    </row>
    <row r="1460" spans="1:23" x14ac:dyDescent="0.25">
      <c r="A1460">
        <v>1459</v>
      </c>
      <c r="B1460">
        <v>35</v>
      </c>
      <c r="C1460" t="str" cm="1">
        <f t="array" ref="C1460">_xlfn.IFS(
  AND(B1460&gt;=18, B1460&lt;=24), "18-24",
  AND(B1460&gt;=25, B1460&lt;=34), "25-34",
  AND(B1460&gt;=35, B1460&lt;=44), "35-44",
  AND(B1460&gt;=45, B1460&lt;=54), "45-54",
  B1460&gt;=55, "55+"
)</f>
        <v>35-44</v>
      </c>
      <c r="D1460" t="s">
        <v>19</v>
      </c>
      <c r="E1460" t="s">
        <v>31</v>
      </c>
      <c r="F1460" t="s">
        <v>21</v>
      </c>
      <c r="G1460">
        <v>28</v>
      </c>
      <c r="H1460" t="s">
        <v>70</v>
      </c>
      <c r="I1460" t="s">
        <v>45</v>
      </c>
      <c r="J1460" t="s">
        <v>100</v>
      </c>
      <c r="K1460" t="s">
        <v>39</v>
      </c>
      <c r="L1460">
        <v>2.9</v>
      </c>
      <c r="M1460" t="s">
        <v>152</v>
      </c>
      <c r="N1460" t="s">
        <v>59</v>
      </c>
      <c r="O1460" t="s">
        <v>72</v>
      </c>
      <c r="P1460" t="s">
        <v>26</v>
      </c>
      <c r="Q1460" t="s">
        <v>26</v>
      </c>
      <c r="R1460">
        <v>34</v>
      </c>
      <c r="S1460" t="s">
        <v>29</v>
      </c>
      <c r="T1460" t="str">
        <f t="shared" si="44"/>
        <v>Daily</v>
      </c>
      <c r="U1460">
        <f>VLOOKUP(T1460,[1]tablescore!$B$3:$C$8, 2,FALSE)</f>
        <v>30</v>
      </c>
      <c r="V1460" t="str">
        <f t="shared" si="45"/>
        <v>Highly Loyal</v>
      </c>
      <c r="W1460" t="s">
        <v>41</v>
      </c>
    </row>
    <row r="1461" spans="1:23" x14ac:dyDescent="0.25">
      <c r="A1461">
        <v>1460</v>
      </c>
      <c r="B1461">
        <v>20</v>
      </c>
      <c r="C1461" t="str" cm="1">
        <f t="array" ref="C1461">_xlfn.IFS(
  AND(B1461&gt;=18, B1461&lt;=24), "18-24",
  AND(B1461&gt;=25, B1461&lt;=34), "25-34",
  AND(B1461&gt;=35, B1461&lt;=44), "35-44",
  AND(B1461&gt;=45, B1461&lt;=54), "45-54",
  B1461&gt;=55, "55+"
)</f>
        <v>18-24</v>
      </c>
      <c r="D1461" t="s">
        <v>19</v>
      </c>
      <c r="E1461" t="s">
        <v>73</v>
      </c>
      <c r="F1461" t="s">
        <v>43</v>
      </c>
      <c r="G1461">
        <v>35</v>
      </c>
      <c r="H1461" t="s">
        <v>32</v>
      </c>
      <c r="I1461" t="s">
        <v>23</v>
      </c>
      <c r="J1461" t="s">
        <v>139</v>
      </c>
      <c r="K1461" t="s">
        <v>25</v>
      </c>
      <c r="L1461">
        <v>4.8</v>
      </c>
      <c r="M1461" t="s">
        <v>152</v>
      </c>
      <c r="N1461" t="s">
        <v>46</v>
      </c>
      <c r="O1461" t="s">
        <v>28</v>
      </c>
      <c r="P1461" t="s">
        <v>26</v>
      </c>
      <c r="Q1461" t="s">
        <v>26</v>
      </c>
      <c r="R1461">
        <v>18</v>
      </c>
      <c r="S1461" t="s">
        <v>29</v>
      </c>
      <c r="T1461" t="str">
        <f t="shared" si="44"/>
        <v>2-week</v>
      </c>
      <c r="U1461">
        <f>VLOOKUP(T1461,[1]tablescore!$B$3:$C$8, 2,FALSE)</f>
        <v>26</v>
      </c>
      <c r="V1461" t="str">
        <f t="shared" si="45"/>
        <v>Loyal</v>
      </c>
      <c r="W1461" t="s">
        <v>30</v>
      </c>
    </row>
    <row r="1462" spans="1:23" x14ac:dyDescent="0.25">
      <c r="A1462">
        <v>1461</v>
      </c>
      <c r="B1462">
        <v>70</v>
      </c>
      <c r="C1462" t="str" cm="1">
        <f t="array" ref="C1462">_xlfn.IFS(
  AND(B1462&gt;=18, B1462&lt;=24), "18-24",
  AND(B1462&gt;=25, B1462&lt;=34), "25-34",
  AND(B1462&gt;=35, B1462&lt;=44), "35-44",
  AND(B1462&gt;=45, B1462&lt;=54), "45-54",
  B1462&gt;=55, "55+"
)</f>
        <v>55+</v>
      </c>
      <c r="D1462" t="s">
        <v>19</v>
      </c>
      <c r="E1462" t="s">
        <v>132</v>
      </c>
      <c r="F1462" t="s">
        <v>43</v>
      </c>
      <c r="G1462">
        <v>85</v>
      </c>
      <c r="H1462" t="s">
        <v>141</v>
      </c>
      <c r="I1462" t="s">
        <v>23</v>
      </c>
      <c r="J1462" t="s">
        <v>84</v>
      </c>
      <c r="K1462" t="s">
        <v>58</v>
      </c>
      <c r="L1462">
        <v>4.5999999999999996</v>
      </c>
      <c r="M1462" t="s">
        <v>152</v>
      </c>
      <c r="N1462" t="s">
        <v>29</v>
      </c>
      <c r="O1462" t="s">
        <v>55</v>
      </c>
      <c r="P1462" t="s">
        <v>26</v>
      </c>
      <c r="Q1462" t="s">
        <v>26</v>
      </c>
      <c r="R1462">
        <v>33</v>
      </c>
      <c r="S1462" t="s">
        <v>29</v>
      </c>
      <c r="T1462" t="str">
        <f t="shared" si="44"/>
        <v>2-week</v>
      </c>
      <c r="U1462">
        <f>VLOOKUP(T1462,[1]tablescore!$B$3:$C$8, 2,FALSE)</f>
        <v>26</v>
      </c>
      <c r="V1462" t="str">
        <f t="shared" si="45"/>
        <v>Loyal</v>
      </c>
      <c r="W1462" t="s">
        <v>77</v>
      </c>
    </row>
    <row r="1463" spans="1:23" x14ac:dyDescent="0.25">
      <c r="A1463">
        <v>1462</v>
      </c>
      <c r="B1463">
        <v>54</v>
      </c>
      <c r="C1463" t="str" cm="1">
        <f t="array" ref="C1463">_xlfn.IFS(
  AND(B1463&gt;=18, B1463&lt;=24), "18-24",
  AND(B1463&gt;=25, B1463&lt;=34), "25-34",
  AND(B1463&gt;=35, B1463&lt;=44), "35-44",
  AND(B1463&gt;=45, B1463&lt;=54), "45-54",
  B1463&gt;=55, "55+"
)</f>
        <v>45-54</v>
      </c>
      <c r="D1463" t="s">
        <v>19</v>
      </c>
      <c r="E1463" t="s">
        <v>89</v>
      </c>
      <c r="F1463" t="s">
        <v>69</v>
      </c>
      <c r="G1463">
        <v>95</v>
      </c>
      <c r="H1463" t="s">
        <v>48</v>
      </c>
      <c r="I1463" t="s">
        <v>38</v>
      </c>
      <c r="J1463" t="s">
        <v>108</v>
      </c>
      <c r="K1463" t="s">
        <v>54</v>
      </c>
      <c r="L1463">
        <v>5</v>
      </c>
      <c r="M1463" t="s">
        <v>152</v>
      </c>
      <c r="N1463" t="s">
        <v>46</v>
      </c>
      <c r="O1463" t="s">
        <v>72</v>
      </c>
      <c r="P1463" t="s">
        <v>26</v>
      </c>
      <c r="Q1463" t="s">
        <v>26</v>
      </c>
      <c r="R1463">
        <v>42</v>
      </c>
      <c r="S1463" t="s">
        <v>29</v>
      </c>
      <c r="T1463" t="str">
        <f t="shared" si="44"/>
        <v>Quarterly</v>
      </c>
      <c r="U1463">
        <f>VLOOKUP(T1463,[1]tablescore!$B$3:$C$8, 2,FALSE)</f>
        <v>4</v>
      </c>
      <c r="V1463" t="str">
        <f t="shared" si="45"/>
        <v>Low Loyalty</v>
      </c>
      <c r="W1463" t="s">
        <v>60</v>
      </c>
    </row>
    <row r="1464" spans="1:23" x14ac:dyDescent="0.25">
      <c r="A1464">
        <v>1463</v>
      </c>
      <c r="B1464">
        <v>38</v>
      </c>
      <c r="C1464" t="str" cm="1">
        <f t="array" ref="C1464">_xlfn.IFS(
  AND(B1464&gt;=18, B1464&lt;=24), "18-24",
  AND(B1464&gt;=25, B1464&lt;=34), "25-34",
  AND(B1464&gt;=35, B1464&lt;=44), "35-44",
  AND(B1464&gt;=45, B1464&lt;=54), "45-54",
  B1464&gt;=55, "55+"
)</f>
        <v>35-44</v>
      </c>
      <c r="D1464" t="s">
        <v>19</v>
      </c>
      <c r="E1464" t="s">
        <v>51</v>
      </c>
      <c r="F1464" t="s">
        <v>43</v>
      </c>
      <c r="G1464">
        <v>90</v>
      </c>
      <c r="H1464" t="s">
        <v>149</v>
      </c>
      <c r="I1464" t="s">
        <v>38</v>
      </c>
      <c r="J1464" t="s">
        <v>63</v>
      </c>
      <c r="K1464" t="s">
        <v>54</v>
      </c>
      <c r="L1464">
        <v>4.8</v>
      </c>
      <c r="M1464" t="s">
        <v>152</v>
      </c>
      <c r="N1464" t="s">
        <v>29</v>
      </c>
      <c r="O1464" t="s">
        <v>72</v>
      </c>
      <c r="P1464" t="s">
        <v>26</v>
      </c>
      <c r="Q1464" t="s">
        <v>26</v>
      </c>
      <c r="R1464">
        <v>2</v>
      </c>
      <c r="S1464" t="s">
        <v>29</v>
      </c>
      <c r="T1464" t="str">
        <f t="shared" si="44"/>
        <v>Quarterly</v>
      </c>
      <c r="U1464">
        <f>VLOOKUP(T1464,[1]tablescore!$B$3:$C$8, 2,FALSE)</f>
        <v>4</v>
      </c>
      <c r="V1464" t="str">
        <f t="shared" si="45"/>
        <v>Low Loyalty</v>
      </c>
      <c r="W1464" t="s">
        <v>60</v>
      </c>
    </row>
    <row r="1465" spans="1:23" x14ac:dyDescent="0.25">
      <c r="A1465">
        <v>1464</v>
      </c>
      <c r="B1465">
        <v>54</v>
      </c>
      <c r="C1465" t="str" cm="1">
        <f t="array" ref="C1465">_xlfn.IFS(
  AND(B1465&gt;=18, B1465&lt;=24), "18-24",
  AND(B1465&gt;=25, B1465&lt;=34), "25-34",
  AND(B1465&gt;=35, B1465&lt;=44), "35-44",
  AND(B1465&gt;=45, B1465&lt;=54), "45-54",
  B1465&gt;=55, "55+"
)</f>
        <v>45-54</v>
      </c>
      <c r="D1465" t="s">
        <v>19</v>
      </c>
      <c r="E1465" t="s">
        <v>106</v>
      </c>
      <c r="F1465" t="s">
        <v>69</v>
      </c>
      <c r="G1465">
        <v>49</v>
      </c>
      <c r="H1465" t="s">
        <v>101</v>
      </c>
      <c r="I1465" t="s">
        <v>45</v>
      </c>
      <c r="J1465" t="s">
        <v>118</v>
      </c>
      <c r="K1465" t="s">
        <v>54</v>
      </c>
      <c r="L1465">
        <v>4.9000000000000004</v>
      </c>
      <c r="M1465" t="s">
        <v>152</v>
      </c>
      <c r="N1465" t="s">
        <v>27</v>
      </c>
      <c r="O1465" t="s">
        <v>76</v>
      </c>
      <c r="P1465" t="s">
        <v>26</v>
      </c>
      <c r="Q1465" t="s">
        <v>26</v>
      </c>
      <c r="R1465">
        <v>1</v>
      </c>
      <c r="S1465" t="s">
        <v>34</v>
      </c>
      <c r="T1465" t="str">
        <f t="shared" si="44"/>
        <v>Month</v>
      </c>
      <c r="U1465">
        <f>VLOOKUP(T1465,[1]tablescore!$B$3:$C$8, 2,FALSE)</f>
        <v>12</v>
      </c>
      <c r="V1465" t="str">
        <f t="shared" si="45"/>
        <v>Moderate</v>
      </c>
      <c r="W1465" t="s">
        <v>88</v>
      </c>
    </row>
    <row r="1466" spans="1:23" x14ac:dyDescent="0.25">
      <c r="A1466">
        <v>1465</v>
      </c>
      <c r="B1466">
        <v>33</v>
      </c>
      <c r="C1466" t="str" cm="1">
        <f t="array" ref="C1466">_xlfn.IFS(
  AND(B1466&gt;=18, B1466&lt;=24), "18-24",
  AND(B1466&gt;=25, B1466&lt;=34), "25-34",
  AND(B1466&gt;=35, B1466&lt;=44), "35-44",
  AND(B1466&gt;=45, B1466&lt;=54), "45-54",
  B1466&gt;=55, "55+"
)</f>
        <v>25-34</v>
      </c>
      <c r="D1466" t="s">
        <v>19</v>
      </c>
      <c r="E1466" t="s">
        <v>136</v>
      </c>
      <c r="F1466" t="s">
        <v>69</v>
      </c>
      <c r="G1466">
        <v>92</v>
      </c>
      <c r="H1466" t="s">
        <v>57</v>
      </c>
      <c r="I1466" t="s">
        <v>45</v>
      </c>
      <c r="J1466" t="s">
        <v>100</v>
      </c>
      <c r="K1466" t="s">
        <v>25</v>
      </c>
      <c r="L1466">
        <v>4.5999999999999996</v>
      </c>
      <c r="M1466" t="s">
        <v>152</v>
      </c>
      <c r="N1466" t="s">
        <v>34</v>
      </c>
      <c r="O1466" t="s">
        <v>72</v>
      </c>
      <c r="P1466" t="s">
        <v>26</v>
      </c>
      <c r="Q1466" t="s">
        <v>26</v>
      </c>
      <c r="R1466">
        <v>23</v>
      </c>
      <c r="S1466" t="s">
        <v>34</v>
      </c>
      <c r="T1466" t="str">
        <f t="shared" si="44"/>
        <v>Quarterly</v>
      </c>
      <c r="U1466">
        <f>VLOOKUP(T1466,[1]tablescore!$B$3:$C$8, 2,FALSE)</f>
        <v>4</v>
      </c>
      <c r="V1466" t="str">
        <f t="shared" si="45"/>
        <v>Low Loyalty</v>
      </c>
      <c r="W1466" t="s">
        <v>60</v>
      </c>
    </row>
    <row r="1467" spans="1:23" x14ac:dyDescent="0.25">
      <c r="A1467">
        <v>1466</v>
      </c>
      <c r="B1467">
        <v>46</v>
      </c>
      <c r="C1467" t="str" cm="1">
        <f t="array" ref="C1467">_xlfn.IFS(
  AND(B1467&gt;=18, B1467&lt;=24), "18-24",
  AND(B1467&gt;=25, B1467&lt;=34), "25-34",
  AND(B1467&gt;=35, B1467&lt;=44), "35-44",
  AND(B1467&gt;=45, B1467&lt;=54), "45-54",
  B1467&gt;=55, "55+"
)</f>
        <v>45-54</v>
      </c>
      <c r="D1467" t="s">
        <v>19</v>
      </c>
      <c r="E1467" t="s">
        <v>127</v>
      </c>
      <c r="F1467" t="s">
        <v>69</v>
      </c>
      <c r="G1467">
        <v>72</v>
      </c>
      <c r="H1467" t="s">
        <v>143</v>
      </c>
      <c r="I1467" t="s">
        <v>92</v>
      </c>
      <c r="J1467" t="s">
        <v>84</v>
      </c>
      <c r="K1467" t="s">
        <v>25</v>
      </c>
      <c r="L1467">
        <v>3.9</v>
      </c>
      <c r="M1467" t="s">
        <v>152</v>
      </c>
      <c r="N1467" t="s">
        <v>34</v>
      </c>
      <c r="O1467" t="s">
        <v>76</v>
      </c>
      <c r="P1467" t="s">
        <v>26</v>
      </c>
      <c r="Q1467" t="s">
        <v>26</v>
      </c>
      <c r="R1467">
        <v>42</v>
      </c>
      <c r="S1467" t="s">
        <v>35</v>
      </c>
      <c r="T1467" t="str">
        <f t="shared" si="44"/>
        <v>2-week</v>
      </c>
      <c r="U1467">
        <f>VLOOKUP(T1467,[1]tablescore!$B$3:$C$8, 2,FALSE)</f>
        <v>26</v>
      </c>
      <c r="V1467" t="str">
        <f t="shared" si="45"/>
        <v>Loyal</v>
      </c>
      <c r="W1467" t="s">
        <v>77</v>
      </c>
    </row>
    <row r="1468" spans="1:23" x14ac:dyDescent="0.25">
      <c r="A1468">
        <v>1467</v>
      </c>
      <c r="B1468">
        <v>58</v>
      </c>
      <c r="C1468" t="str" cm="1">
        <f t="array" ref="C1468">_xlfn.IFS(
  AND(B1468&gt;=18, B1468&lt;=24), "18-24",
  AND(B1468&gt;=25, B1468&lt;=34), "25-34",
  AND(B1468&gt;=35, B1468&lt;=44), "35-44",
  AND(B1468&gt;=45, B1468&lt;=54), "45-54",
  B1468&gt;=55, "55+"
)</f>
        <v>55+</v>
      </c>
      <c r="D1468" t="s">
        <v>19</v>
      </c>
      <c r="E1468" t="s">
        <v>61</v>
      </c>
      <c r="F1468" t="s">
        <v>21</v>
      </c>
      <c r="G1468">
        <v>71</v>
      </c>
      <c r="H1468" t="s">
        <v>90</v>
      </c>
      <c r="I1468" t="s">
        <v>45</v>
      </c>
      <c r="J1468" t="s">
        <v>96</v>
      </c>
      <c r="K1468" t="s">
        <v>54</v>
      </c>
      <c r="L1468">
        <v>4.5</v>
      </c>
      <c r="M1468" t="s">
        <v>152</v>
      </c>
      <c r="N1468" t="s">
        <v>46</v>
      </c>
      <c r="O1468" t="s">
        <v>76</v>
      </c>
      <c r="P1468" t="s">
        <v>26</v>
      </c>
      <c r="Q1468" t="s">
        <v>26</v>
      </c>
      <c r="R1468">
        <v>3</v>
      </c>
      <c r="S1468" t="s">
        <v>46</v>
      </c>
      <c r="T1468" t="str">
        <f t="shared" si="44"/>
        <v>Annually</v>
      </c>
      <c r="U1468">
        <f>VLOOKUP(T1468,[1]tablescore!$B$3:$C$8, 2,FALSE)</f>
        <v>1</v>
      </c>
      <c r="V1468" t="str">
        <f t="shared" si="45"/>
        <v>Low Loyalty</v>
      </c>
      <c r="W1468" t="s">
        <v>50</v>
      </c>
    </row>
    <row r="1469" spans="1:23" x14ac:dyDescent="0.25">
      <c r="A1469">
        <v>1468</v>
      </c>
      <c r="B1469">
        <v>30</v>
      </c>
      <c r="C1469" t="str" cm="1">
        <f t="array" ref="C1469">_xlfn.IFS(
  AND(B1469&gt;=18, B1469&lt;=24), "18-24",
  AND(B1469&gt;=25, B1469&lt;=34), "25-34",
  AND(B1469&gt;=35, B1469&lt;=44), "35-44",
  AND(B1469&gt;=45, B1469&lt;=54), "45-54",
  B1469&gt;=55, "55+"
)</f>
        <v>25-34</v>
      </c>
      <c r="D1469" t="s">
        <v>19</v>
      </c>
      <c r="E1469" t="s">
        <v>106</v>
      </c>
      <c r="F1469" t="s">
        <v>69</v>
      </c>
      <c r="G1469">
        <v>27</v>
      </c>
      <c r="H1469" t="s">
        <v>124</v>
      </c>
      <c r="I1469" t="s">
        <v>92</v>
      </c>
      <c r="J1469" t="s">
        <v>79</v>
      </c>
      <c r="K1469" t="s">
        <v>25</v>
      </c>
      <c r="L1469">
        <v>4.7</v>
      </c>
      <c r="M1469" t="s">
        <v>152</v>
      </c>
      <c r="N1469" t="s">
        <v>27</v>
      </c>
      <c r="O1469" t="s">
        <v>76</v>
      </c>
      <c r="P1469" t="s">
        <v>26</v>
      </c>
      <c r="Q1469" t="s">
        <v>26</v>
      </c>
      <c r="R1469">
        <v>16</v>
      </c>
      <c r="S1469" t="s">
        <v>59</v>
      </c>
      <c r="T1469" t="str">
        <f t="shared" si="44"/>
        <v>2-week</v>
      </c>
      <c r="U1469">
        <f>VLOOKUP(T1469,[1]tablescore!$B$3:$C$8, 2,FALSE)</f>
        <v>26</v>
      </c>
      <c r="V1469" t="str">
        <f t="shared" si="45"/>
        <v>Loyal</v>
      </c>
      <c r="W1469" t="s">
        <v>30</v>
      </c>
    </row>
    <row r="1470" spans="1:23" x14ac:dyDescent="0.25">
      <c r="A1470">
        <v>1469</v>
      </c>
      <c r="B1470">
        <v>42</v>
      </c>
      <c r="C1470" t="str" cm="1">
        <f t="array" ref="C1470">_xlfn.IFS(
  AND(B1470&gt;=18, B1470&lt;=24), "18-24",
  AND(B1470&gt;=25, B1470&lt;=34), "25-34",
  AND(B1470&gt;=35, B1470&lt;=44), "35-44",
  AND(B1470&gt;=45, B1470&lt;=54), "45-54",
  B1470&gt;=55, "55+"
)</f>
        <v>35-44</v>
      </c>
      <c r="D1470" t="s">
        <v>19</v>
      </c>
      <c r="E1470" t="s">
        <v>127</v>
      </c>
      <c r="F1470" t="s">
        <v>69</v>
      </c>
      <c r="G1470">
        <v>39</v>
      </c>
      <c r="H1470" t="s">
        <v>74</v>
      </c>
      <c r="I1470" t="s">
        <v>38</v>
      </c>
      <c r="J1470" t="s">
        <v>67</v>
      </c>
      <c r="K1470" t="s">
        <v>58</v>
      </c>
      <c r="L1470">
        <v>3.9</v>
      </c>
      <c r="M1470" t="s">
        <v>152</v>
      </c>
      <c r="N1470" t="s">
        <v>34</v>
      </c>
      <c r="O1470" t="s">
        <v>28</v>
      </c>
      <c r="P1470" t="s">
        <v>26</v>
      </c>
      <c r="Q1470" t="s">
        <v>26</v>
      </c>
      <c r="R1470">
        <v>46</v>
      </c>
      <c r="S1470" t="s">
        <v>35</v>
      </c>
      <c r="T1470" t="str">
        <f t="shared" si="44"/>
        <v>2-week</v>
      </c>
      <c r="U1470">
        <f>VLOOKUP(T1470,[1]tablescore!$B$3:$C$8, 2,FALSE)</f>
        <v>26</v>
      </c>
      <c r="V1470" t="str">
        <f t="shared" si="45"/>
        <v>Loyal</v>
      </c>
      <c r="W1470" t="s">
        <v>30</v>
      </c>
    </row>
    <row r="1471" spans="1:23" x14ac:dyDescent="0.25">
      <c r="A1471">
        <v>1470</v>
      </c>
      <c r="B1471">
        <v>28</v>
      </c>
      <c r="C1471" t="str" cm="1">
        <f t="array" ref="C1471">_xlfn.IFS(
  AND(B1471&gt;=18, B1471&lt;=24), "18-24",
  AND(B1471&gt;=25, B1471&lt;=34), "25-34",
  AND(B1471&gt;=35, B1471&lt;=44), "35-44",
  AND(B1471&gt;=45, B1471&lt;=54), "45-54",
  B1471&gt;=55, "55+"
)</f>
        <v>25-34</v>
      </c>
      <c r="D1471" t="s">
        <v>19</v>
      </c>
      <c r="E1471" t="s">
        <v>106</v>
      </c>
      <c r="F1471" t="s">
        <v>69</v>
      </c>
      <c r="G1471">
        <v>98</v>
      </c>
      <c r="H1471" t="s">
        <v>91</v>
      </c>
      <c r="I1471" t="s">
        <v>45</v>
      </c>
      <c r="J1471" t="s">
        <v>75</v>
      </c>
      <c r="K1471" t="s">
        <v>25</v>
      </c>
      <c r="L1471">
        <v>4.4000000000000004</v>
      </c>
      <c r="M1471" t="s">
        <v>152</v>
      </c>
      <c r="N1471" t="s">
        <v>59</v>
      </c>
      <c r="O1471" t="s">
        <v>55</v>
      </c>
      <c r="P1471" t="s">
        <v>26</v>
      </c>
      <c r="Q1471" t="s">
        <v>26</v>
      </c>
      <c r="R1471">
        <v>31</v>
      </c>
      <c r="S1471" t="s">
        <v>46</v>
      </c>
      <c r="T1471" t="str">
        <f t="shared" si="44"/>
        <v>Quarterly</v>
      </c>
      <c r="U1471">
        <f>VLOOKUP(T1471,[1]tablescore!$B$3:$C$8, 2,FALSE)</f>
        <v>4</v>
      </c>
      <c r="V1471" t="str">
        <f t="shared" si="45"/>
        <v>Low Loyalty</v>
      </c>
      <c r="W1471" t="s">
        <v>97</v>
      </c>
    </row>
    <row r="1472" spans="1:23" x14ac:dyDescent="0.25">
      <c r="A1472">
        <v>1471</v>
      </c>
      <c r="B1472">
        <v>43</v>
      </c>
      <c r="C1472" t="str" cm="1">
        <f t="array" ref="C1472">_xlfn.IFS(
  AND(B1472&gt;=18, B1472&lt;=24), "18-24",
  AND(B1472&gt;=25, B1472&lt;=34), "25-34",
  AND(B1472&gt;=35, B1472&lt;=44), "35-44",
  AND(B1472&gt;=45, B1472&lt;=54), "45-54",
  B1472&gt;=55, "55+"
)</f>
        <v>35-44</v>
      </c>
      <c r="D1472" t="s">
        <v>19</v>
      </c>
      <c r="E1472" t="s">
        <v>42</v>
      </c>
      <c r="F1472" t="s">
        <v>43</v>
      </c>
      <c r="G1472">
        <v>27</v>
      </c>
      <c r="H1472" t="s">
        <v>99</v>
      </c>
      <c r="I1472" t="s">
        <v>45</v>
      </c>
      <c r="J1472" t="s">
        <v>67</v>
      </c>
      <c r="K1472" t="s">
        <v>39</v>
      </c>
      <c r="L1472">
        <v>3.9</v>
      </c>
      <c r="M1472" t="s">
        <v>152</v>
      </c>
      <c r="N1472" t="s">
        <v>29</v>
      </c>
      <c r="O1472" t="s">
        <v>47</v>
      </c>
      <c r="P1472" t="s">
        <v>26</v>
      </c>
      <c r="Q1472" t="s">
        <v>26</v>
      </c>
      <c r="R1472">
        <v>15</v>
      </c>
      <c r="S1472" t="s">
        <v>35</v>
      </c>
      <c r="T1472" t="str">
        <f t="shared" si="44"/>
        <v>Quarterly</v>
      </c>
      <c r="U1472">
        <f>VLOOKUP(T1472,[1]tablescore!$B$3:$C$8, 2,FALSE)</f>
        <v>4</v>
      </c>
      <c r="V1472" t="str">
        <f t="shared" si="45"/>
        <v>Low Loyalty</v>
      </c>
      <c r="W1472" t="s">
        <v>97</v>
      </c>
    </row>
    <row r="1473" spans="1:23" x14ac:dyDescent="0.25">
      <c r="A1473">
        <v>1472</v>
      </c>
      <c r="B1473">
        <v>31</v>
      </c>
      <c r="C1473" t="str" cm="1">
        <f t="array" ref="C1473">_xlfn.IFS(
  AND(B1473&gt;=18, B1473&lt;=24), "18-24",
  AND(B1473&gt;=25, B1473&lt;=34), "25-34",
  AND(B1473&gt;=35, B1473&lt;=44), "35-44",
  AND(B1473&gt;=45, B1473&lt;=54), "45-54",
  B1473&gt;=55, "55+"
)</f>
        <v>25-34</v>
      </c>
      <c r="D1473" t="s">
        <v>19</v>
      </c>
      <c r="E1473" t="s">
        <v>106</v>
      </c>
      <c r="F1473" t="s">
        <v>69</v>
      </c>
      <c r="G1473">
        <v>71</v>
      </c>
      <c r="H1473" t="s">
        <v>120</v>
      </c>
      <c r="I1473" t="s">
        <v>38</v>
      </c>
      <c r="J1473" t="s">
        <v>24</v>
      </c>
      <c r="K1473" t="s">
        <v>39</v>
      </c>
      <c r="L1473">
        <v>2.8</v>
      </c>
      <c r="M1473" t="s">
        <v>152</v>
      </c>
      <c r="N1473" t="s">
        <v>46</v>
      </c>
      <c r="O1473" t="s">
        <v>72</v>
      </c>
      <c r="P1473" t="s">
        <v>26</v>
      </c>
      <c r="Q1473" t="s">
        <v>26</v>
      </c>
      <c r="R1473">
        <v>48</v>
      </c>
      <c r="S1473" t="s">
        <v>29</v>
      </c>
      <c r="T1473" t="str">
        <f t="shared" si="44"/>
        <v>Quarterly</v>
      </c>
      <c r="U1473">
        <f>VLOOKUP(T1473,[1]tablescore!$B$3:$C$8, 2,FALSE)</f>
        <v>4</v>
      </c>
      <c r="V1473" t="str">
        <f t="shared" si="45"/>
        <v>Low Loyalty</v>
      </c>
      <c r="W1473" t="s">
        <v>97</v>
      </c>
    </row>
    <row r="1474" spans="1:23" x14ac:dyDescent="0.25">
      <c r="A1474">
        <v>1473</v>
      </c>
      <c r="B1474">
        <v>39</v>
      </c>
      <c r="C1474" t="str" cm="1">
        <f t="array" ref="C1474">_xlfn.IFS(
  AND(B1474&gt;=18, B1474&lt;=24), "18-24",
  AND(B1474&gt;=25, B1474&lt;=34), "25-34",
  AND(B1474&gt;=35, B1474&lt;=44), "35-44",
  AND(B1474&gt;=45, B1474&lt;=54), "45-54",
  B1474&gt;=55, "55+"
)</f>
        <v>35-44</v>
      </c>
      <c r="D1474" t="s">
        <v>19</v>
      </c>
      <c r="E1474" t="s">
        <v>125</v>
      </c>
      <c r="F1474" t="s">
        <v>69</v>
      </c>
      <c r="G1474">
        <v>24</v>
      </c>
      <c r="H1474" t="s">
        <v>116</v>
      </c>
      <c r="I1474" t="s">
        <v>23</v>
      </c>
      <c r="J1474" t="s">
        <v>49</v>
      </c>
      <c r="K1474" t="s">
        <v>39</v>
      </c>
      <c r="L1474">
        <v>3.5</v>
      </c>
      <c r="M1474" t="s">
        <v>152</v>
      </c>
      <c r="N1474" t="s">
        <v>34</v>
      </c>
      <c r="O1474" t="s">
        <v>76</v>
      </c>
      <c r="P1474" t="s">
        <v>26</v>
      </c>
      <c r="Q1474" t="s">
        <v>26</v>
      </c>
      <c r="R1474">
        <v>11</v>
      </c>
      <c r="S1474" t="s">
        <v>35</v>
      </c>
      <c r="T1474" t="str">
        <f t="shared" si="44"/>
        <v>Daily</v>
      </c>
      <c r="U1474">
        <f>VLOOKUP(T1474,[1]tablescore!$B$3:$C$8, 2,FALSE)</f>
        <v>30</v>
      </c>
      <c r="V1474" t="str">
        <f t="shared" si="45"/>
        <v>Highly Loyal</v>
      </c>
      <c r="W1474" t="s">
        <v>41</v>
      </c>
    </row>
    <row r="1475" spans="1:23" x14ac:dyDescent="0.25">
      <c r="A1475">
        <v>1474</v>
      </c>
      <c r="B1475">
        <v>69</v>
      </c>
      <c r="C1475" t="str" cm="1">
        <f t="array" ref="C1475">_xlfn.IFS(
  AND(B1475&gt;=18, B1475&lt;=24), "18-24",
  AND(B1475&gt;=25, B1475&lt;=34), "25-34",
  AND(B1475&gt;=35, B1475&lt;=44), "35-44",
  AND(B1475&gt;=45, B1475&lt;=54), "45-54",
  B1475&gt;=55, "55+"
)</f>
        <v>55+</v>
      </c>
      <c r="D1475" t="s">
        <v>19</v>
      </c>
      <c r="E1475" t="s">
        <v>61</v>
      </c>
      <c r="F1475" t="s">
        <v>21</v>
      </c>
      <c r="G1475">
        <v>63</v>
      </c>
      <c r="H1475" t="s">
        <v>148</v>
      </c>
      <c r="I1475" t="s">
        <v>45</v>
      </c>
      <c r="J1475" t="s">
        <v>84</v>
      </c>
      <c r="K1475" t="s">
        <v>58</v>
      </c>
      <c r="L1475">
        <v>4.3</v>
      </c>
      <c r="M1475" t="s">
        <v>152</v>
      </c>
      <c r="N1475" t="s">
        <v>35</v>
      </c>
      <c r="O1475" t="s">
        <v>28</v>
      </c>
      <c r="P1475" t="s">
        <v>26</v>
      </c>
      <c r="Q1475" t="s">
        <v>26</v>
      </c>
      <c r="R1475">
        <v>20</v>
      </c>
      <c r="S1475" t="s">
        <v>27</v>
      </c>
      <c r="T1475" t="str">
        <f t="shared" ref="T1475:T1538" si="46">IF(TRIM(W1475)="Every 3 months","Quarterly",IF(TRIM(W1475)="Fortnightly","2-week",IF(TRIM(W1475)="Bi-Weekly","2-week",IF(TRIM(W1475)="Weekly","Daily",IF(TRIM(W1475)="Monthly","Month",TRIM(W1475))))))</f>
        <v>Quarterly</v>
      </c>
      <c r="U1475">
        <f>VLOOKUP(T1475,[1]tablescore!$B$3:$C$8, 2,FALSE)</f>
        <v>4</v>
      </c>
      <c r="V1475" t="str">
        <f t="shared" ref="V1475:V1538" si="47">_xlfn.IFS(U1475&gt;=30, "Highly Loyal", U1475&gt;=26, "Loyal", U1475&gt;=12, "Moderate", U1475&lt;5, "Low Loyalty")</f>
        <v>Low Loyalty</v>
      </c>
      <c r="W1475" t="s">
        <v>97</v>
      </c>
    </row>
    <row r="1476" spans="1:23" x14ac:dyDescent="0.25">
      <c r="A1476">
        <v>1475</v>
      </c>
      <c r="B1476">
        <v>31</v>
      </c>
      <c r="C1476" t="str" cm="1">
        <f t="array" ref="C1476">_xlfn.IFS(
  AND(B1476&gt;=18, B1476&lt;=24), "18-24",
  AND(B1476&gt;=25, B1476&lt;=34), "25-34",
  AND(B1476&gt;=35, B1476&lt;=44), "35-44",
  AND(B1476&gt;=45, B1476&lt;=54), "45-54",
  B1476&gt;=55, "55+"
)</f>
        <v>25-34</v>
      </c>
      <c r="D1476" t="s">
        <v>19</v>
      </c>
      <c r="E1476" t="s">
        <v>31</v>
      </c>
      <c r="F1476" t="s">
        <v>21</v>
      </c>
      <c r="G1476">
        <v>72</v>
      </c>
      <c r="H1476" t="s">
        <v>137</v>
      </c>
      <c r="I1476" t="s">
        <v>38</v>
      </c>
      <c r="J1476" t="s">
        <v>71</v>
      </c>
      <c r="K1476" t="s">
        <v>58</v>
      </c>
      <c r="L1476">
        <v>3.9</v>
      </c>
      <c r="M1476" t="s">
        <v>152</v>
      </c>
      <c r="N1476" t="s">
        <v>34</v>
      </c>
      <c r="O1476" t="s">
        <v>47</v>
      </c>
      <c r="P1476" t="s">
        <v>26</v>
      </c>
      <c r="Q1476" t="s">
        <v>26</v>
      </c>
      <c r="R1476">
        <v>6</v>
      </c>
      <c r="S1476" t="s">
        <v>27</v>
      </c>
      <c r="T1476" t="str">
        <f t="shared" si="46"/>
        <v>Month</v>
      </c>
      <c r="U1476">
        <f>VLOOKUP(T1476,[1]tablescore!$B$3:$C$8, 2,FALSE)</f>
        <v>12</v>
      </c>
      <c r="V1476" t="str">
        <f t="shared" si="47"/>
        <v>Moderate</v>
      </c>
      <c r="W1476" t="s">
        <v>88</v>
      </c>
    </row>
    <row r="1477" spans="1:23" x14ac:dyDescent="0.25">
      <c r="A1477">
        <v>1476</v>
      </c>
      <c r="B1477">
        <v>44</v>
      </c>
      <c r="C1477" t="str" cm="1">
        <f t="array" ref="C1477">_xlfn.IFS(
  AND(B1477&gt;=18, B1477&lt;=24), "18-24",
  AND(B1477&gt;=25, B1477&lt;=34), "25-34",
  AND(B1477&gt;=35, B1477&lt;=44), "35-44",
  AND(B1477&gt;=45, B1477&lt;=54), "45-54",
  B1477&gt;=55, "55+"
)</f>
        <v>35-44</v>
      </c>
      <c r="D1477" t="s">
        <v>19</v>
      </c>
      <c r="E1477" t="s">
        <v>20</v>
      </c>
      <c r="F1477" t="s">
        <v>21</v>
      </c>
      <c r="G1477">
        <v>61</v>
      </c>
      <c r="H1477" t="s">
        <v>44</v>
      </c>
      <c r="I1477" t="s">
        <v>45</v>
      </c>
      <c r="J1477" t="s">
        <v>86</v>
      </c>
      <c r="K1477" t="s">
        <v>39</v>
      </c>
      <c r="L1477">
        <v>4</v>
      </c>
      <c r="M1477" t="s">
        <v>152</v>
      </c>
      <c r="N1477" t="s">
        <v>34</v>
      </c>
      <c r="O1477" t="s">
        <v>28</v>
      </c>
      <c r="P1477" t="s">
        <v>26</v>
      </c>
      <c r="Q1477" t="s">
        <v>26</v>
      </c>
      <c r="R1477">
        <v>24</v>
      </c>
      <c r="S1477" t="s">
        <v>35</v>
      </c>
      <c r="T1477" t="str">
        <f t="shared" si="46"/>
        <v>Month</v>
      </c>
      <c r="U1477">
        <f>VLOOKUP(T1477,[1]tablescore!$B$3:$C$8, 2,FALSE)</f>
        <v>12</v>
      </c>
      <c r="V1477" t="str">
        <f t="shared" si="47"/>
        <v>Moderate</v>
      </c>
      <c r="W1477" t="s">
        <v>88</v>
      </c>
    </row>
    <row r="1478" spans="1:23" x14ac:dyDescent="0.25">
      <c r="A1478">
        <v>1477</v>
      </c>
      <c r="B1478">
        <v>39</v>
      </c>
      <c r="C1478" t="str" cm="1">
        <f t="array" ref="C1478">_xlfn.IFS(
  AND(B1478&gt;=18, B1478&lt;=24), "18-24",
  AND(B1478&gt;=25, B1478&lt;=34), "25-34",
  AND(B1478&gt;=35, B1478&lt;=44), "35-44",
  AND(B1478&gt;=45, B1478&lt;=54), "45-54",
  B1478&gt;=55, "55+"
)</f>
        <v>35-44</v>
      </c>
      <c r="D1478" t="s">
        <v>19</v>
      </c>
      <c r="E1478" t="s">
        <v>125</v>
      </c>
      <c r="F1478" t="s">
        <v>69</v>
      </c>
      <c r="G1478">
        <v>56</v>
      </c>
      <c r="H1478" t="s">
        <v>52</v>
      </c>
      <c r="I1478" t="s">
        <v>45</v>
      </c>
      <c r="J1478" t="s">
        <v>147</v>
      </c>
      <c r="K1478" t="s">
        <v>58</v>
      </c>
      <c r="L1478">
        <v>4.0999999999999996</v>
      </c>
      <c r="M1478" t="s">
        <v>152</v>
      </c>
      <c r="N1478" t="s">
        <v>27</v>
      </c>
      <c r="O1478" t="s">
        <v>47</v>
      </c>
      <c r="P1478" t="s">
        <v>26</v>
      </c>
      <c r="Q1478" t="s">
        <v>26</v>
      </c>
      <c r="R1478">
        <v>18</v>
      </c>
      <c r="S1478" t="s">
        <v>27</v>
      </c>
      <c r="T1478" t="str">
        <f t="shared" si="46"/>
        <v>Month</v>
      </c>
      <c r="U1478">
        <f>VLOOKUP(T1478,[1]tablescore!$B$3:$C$8, 2,FALSE)</f>
        <v>12</v>
      </c>
      <c r="V1478" t="str">
        <f t="shared" si="47"/>
        <v>Moderate</v>
      </c>
      <c r="W1478" t="s">
        <v>88</v>
      </c>
    </row>
    <row r="1479" spans="1:23" x14ac:dyDescent="0.25">
      <c r="A1479">
        <v>1478</v>
      </c>
      <c r="B1479">
        <v>24</v>
      </c>
      <c r="C1479" t="str" cm="1">
        <f t="array" ref="C1479">_xlfn.IFS(
  AND(B1479&gt;=18, B1479&lt;=24), "18-24",
  AND(B1479&gt;=25, B1479&lt;=34), "25-34",
  AND(B1479&gt;=35, B1479&lt;=44), "35-44",
  AND(B1479&gt;=45, B1479&lt;=54), "45-54",
  B1479&gt;=55, "55+"
)</f>
        <v>18-24</v>
      </c>
      <c r="D1479" t="s">
        <v>19</v>
      </c>
      <c r="E1479" t="s">
        <v>136</v>
      </c>
      <c r="F1479" t="s">
        <v>69</v>
      </c>
      <c r="G1479">
        <v>32</v>
      </c>
      <c r="H1479" t="s">
        <v>48</v>
      </c>
      <c r="I1479" t="s">
        <v>92</v>
      </c>
      <c r="J1479" t="s">
        <v>67</v>
      </c>
      <c r="K1479" t="s">
        <v>54</v>
      </c>
      <c r="L1479">
        <v>4.3</v>
      </c>
      <c r="M1479" t="s">
        <v>152</v>
      </c>
      <c r="N1479" t="s">
        <v>27</v>
      </c>
      <c r="O1479" t="s">
        <v>55</v>
      </c>
      <c r="P1479" t="s">
        <v>26</v>
      </c>
      <c r="Q1479" t="s">
        <v>26</v>
      </c>
      <c r="R1479">
        <v>1</v>
      </c>
      <c r="S1479" t="s">
        <v>46</v>
      </c>
      <c r="T1479" t="str">
        <f t="shared" si="46"/>
        <v>Quarterly</v>
      </c>
      <c r="U1479">
        <f>VLOOKUP(T1479,[1]tablescore!$B$3:$C$8, 2,FALSE)</f>
        <v>4</v>
      </c>
      <c r="V1479" t="str">
        <f t="shared" si="47"/>
        <v>Low Loyalty</v>
      </c>
      <c r="W1479" t="s">
        <v>97</v>
      </c>
    </row>
    <row r="1480" spans="1:23" x14ac:dyDescent="0.25">
      <c r="A1480">
        <v>1479</v>
      </c>
      <c r="B1480">
        <v>28</v>
      </c>
      <c r="C1480" t="str" cm="1">
        <f t="array" ref="C1480">_xlfn.IFS(
  AND(B1480&gt;=18, B1480&lt;=24), "18-24",
  AND(B1480&gt;=25, B1480&lt;=34), "25-34",
  AND(B1480&gt;=35, B1480&lt;=44), "35-44",
  AND(B1480&gt;=45, B1480&lt;=54), "45-54",
  B1480&gt;=55, "55+"
)</f>
        <v>25-34</v>
      </c>
      <c r="D1480" t="s">
        <v>19</v>
      </c>
      <c r="E1480" t="s">
        <v>127</v>
      </c>
      <c r="F1480" t="s">
        <v>69</v>
      </c>
      <c r="G1480">
        <v>23</v>
      </c>
      <c r="H1480" t="s">
        <v>140</v>
      </c>
      <c r="I1480" t="s">
        <v>45</v>
      </c>
      <c r="J1480" t="s">
        <v>138</v>
      </c>
      <c r="K1480" t="s">
        <v>54</v>
      </c>
      <c r="L1480">
        <v>4.2</v>
      </c>
      <c r="M1480" t="s">
        <v>152</v>
      </c>
      <c r="N1480" t="s">
        <v>46</v>
      </c>
      <c r="O1480" t="s">
        <v>40</v>
      </c>
      <c r="P1480" t="s">
        <v>26</v>
      </c>
      <c r="Q1480" t="s">
        <v>26</v>
      </c>
      <c r="R1480">
        <v>13</v>
      </c>
      <c r="S1480" t="s">
        <v>29</v>
      </c>
      <c r="T1480" t="str">
        <f t="shared" si="46"/>
        <v>2-week</v>
      </c>
      <c r="U1480">
        <f>VLOOKUP(T1480,[1]tablescore!$B$3:$C$8, 2,FALSE)</f>
        <v>26</v>
      </c>
      <c r="V1480" t="str">
        <f t="shared" si="47"/>
        <v>Loyal</v>
      </c>
      <c r="W1480" t="s">
        <v>77</v>
      </c>
    </row>
    <row r="1481" spans="1:23" x14ac:dyDescent="0.25">
      <c r="A1481">
        <v>1480</v>
      </c>
      <c r="B1481">
        <v>48</v>
      </c>
      <c r="C1481" t="str" cm="1">
        <f t="array" ref="C1481">_xlfn.IFS(
  AND(B1481&gt;=18, B1481&lt;=24), "18-24",
  AND(B1481&gt;=25, B1481&lt;=34), "25-34",
  AND(B1481&gt;=35, B1481&lt;=44), "35-44",
  AND(B1481&gt;=45, B1481&lt;=54), "45-54",
  B1481&gt;=55, "55+"
)</f>
        <v>45-54</v>
      </c>
      <c r="D1481" t="s">
        <v>19</v>
      </c>
      <c r="E1481" t="s">
        <v>64</v>
      </c>
      <c r="F1481" t="s">
        <v>65</v>
      </c>
      <c r="G1481">
        <v>100</v>
      </c>
      <c r="H1481" t="s">
        <v>140</v>
      </c>
      <c r="I1481" t="s">
        <v>23</v>
      </c>
      <c r="J1481" t="s">
        <v>94</v>
      </c>
      <c r="K1481" t="s">
        <v>39</v>
      </c>
      <c r="L1481">
        <v>4</v>
      </c>
      <c r="M1481" t="s">
        <v>152</v>
      </c>
      <c r="N1481" t="s">
        <v>59</v>
      </c>
      <c r="O1481" t="s">
        <v>55</v>
      </c>
      <c r="P1481" t="s">
        <v>26</v>
      </c>
      <c r="Q1481" t="s">
        <v>26</v>
      </c>
      <c r="R1481">
        <v>2</v>
      </c>
      <c r="S1481" t="s">
        <v>34</v>
      </c>
      <c r="T1481" t="str">
        <f t="shared" si="46"/>
        <v>Daily</v>
      </c>
      <c r="U1481">
        <f>VLOOKUP(T1481,[1]tablescore!$B$3:$C$8, 2,FALSE)</f>
        <v>30</v>
      </c>
      <c r="V1481" t="str">
        <f t="shared" si="47"/>
        <v>Highly Loyal</v>
      </c>
      <c r="W1481" t="s">
        <v>41</v>
      </c>
    </row>
    <row r="1482" spans="1:23" x14ac:dyDescent="0.25">
      <c r="A1482">
        <v>1481</v>
      </c>
      <c r="B1482">
        <v>39</v>
      </c>
      <c r="C1482" t="str" cm="1">
        <f t="array" ref="C1482">_xlfn.IFS(
  AND(B1482&gt;=18, B1482&lt;=24), "18-24",
  AND(B1482&gt;=25, B1482&lt;=34), "25-34",
  AND(B1482&gt;=35, B1482&lt;=44), "35-44",
  AND(B1482&gt;=45, B1482&lt;=54), "45-54",
  B1482&gt;=55, "55+"
)</f>
        <v>35-44</v>
      </c>
      <c r="D1482" t="s">
        <v>19</v>
      </c>
      <c r="E1482" t="s">
        <v>106</v>
      </c>
      <c r="F1482" t="s">
        <v>69</v>
      </c>
      <c r="G1482">
        <v>74</v>
      </c>
      <c r="H1482" t="s">
        <v>83</v>
      </c>
      <c r="I1482" t="s">
        <v>45</v>
      </c>
      <c r="J1482" t="s">
        <v>81</v>
      </c>
      <c r="K1482" t="s">
        <v>58</v>
      </c>
      <c r="L1482">
        <v>3.6</v>
      </c>
      <c r="M1482" t="s">
        <v>152</v>
      </c>
      <c r="N1482" t="s">
        <v>35</v>
      </c>
      <c r="O1482" t="s">
        <v>28</v>
      </c>
      <c r="P1482" t="s">
        <v>26</v>
      </c>
      <c r="Q1482" t="s">
        <v>26</v>
      </c>
      <c r="R1482">
        <v>26</v>
      </c>
      <c r="S1482" t="s">
        <v>35</v>
      </c>
      <c r="T1482" t="str">
        <f t="shared" si="46"/>
        <v>Quarterly</v>
      </c>
      <c r="U1482">
        <f>VLOOKUP(T1482,[1]tablescore!$B$3:$C$8, 2,FALSE)</f>
        <v>4</v>
      </c>
      <c r="V1482" t="str">
        <f t="shared" si="47"/>
        <v>Low Loyalty</v>
      </c>
      <c r="W1482" t="s">
        <v>60</v>
      </c>
    </row>
    <row r="1483" spans="1:23" x14ac:dyDescent="0.25">
      <c r="A1483">
        <v>1482</v>
      </c>
      <c r="B1483">
        <v>64</v>
      </c>
      <c r="C1483" t="str" cm="1">
        <f t="array" ref="C1483">_xlfn.IFS(
  AND(B1483&gt;=18, B1483&lt;=24), "18-24",
  AND(B1483&gt;=25, B1483&lt;=34), "25-34",
  AND(B1483&gt;=35, B1483&lt;=44), "35-44",
  AND(B1483&gt;=45, B1483&lt;=54), "45-54",
  B1483&gt;=55, "55+"
)</f>
        <v>55+</v>
      </c>
      <c r="D1483" t="s">
        <v>19</v>
      </c>
      <c r="E1483" t="s">
        <v>87</v>
      </c>
      <c r="F1483" t="s">
        <v>21</v>
      </c>
      <c r="G1483">
        <v>33</v>
      </c>
      <c r="H1483" t="s">
        <v>135</v>
      </c>
      <c r="I1483" t="s">
        <v>38</v>
      </c>
      <c r="J1483" t="s">
        <v>24</v>
      </c>
      <c r="K1483" t="s">
        <v>39</v>
      </c>
      <c r="L1483">
        <v>3.3</v>
      </c>
      <c r="M1483" t="s">
        <v>152</v>
      </c>
      <c r="N1483" t="s">
        <v>27</v>
      </c>
      <c r="O1483" t="s">
        <v>55</v>
      </c>
      <c r="P1483" t="s">
        <v>26</v>
      </c>
      <c r="Q1483" t="s">
        <v>26</v>
      </c>
      <c r="R1483">
        <v>31</v>
      </c>
      <c r="S1483" t="s">
        <v>46</v>
      </c>
      <c r="T1483" t="str">
        <f t="shared" si="46"/>
        <v>Quarterly</v>
      </c>
      <c r="U1483">
        <f>VLOOKUP(T1483,[1]tablescore!$B$3:$C$8, 2,FALSE)</f>
        <v>4</v>
      </c>
      <c r="V1483" t="str">
        <f t="shared" si="47"/>
        <v>Low Loyalty</v>
      </c>
      <c r="W1483" t="s">
        <v>60</v>
      </c>
    </row>
    <row r="1484" spans="1:23" x14ac:dyDescent="0.25">
      <c r="A1484">
        <v>1483</v>
      </c>
      <c r="B1484">
        <v>28</v>
      </c>
      <c r="C1484" t="str" cm="1">
        <f t="array" ref="C1484">_xlfn.IFS(
  AND(B1484&gt;=18, B1484&lt;=24), "18-24",
  AND(B1484&gt;=25, B1484&lt;=34), "25-34",
  AND(B1484&gt;=35, B1484&lt;=44), "35-44",
  AND(B1484&gt;=45, B1484&lt;=54), "45-54",
  B1484&gt;=55, "55+"
)</f>
        <v>25-34</v>
      </c>
      <c r="D1484" t="s">
        <v>19</v>
      </c>
      <c r="E1484" t="s">
        <v>127</v>
      </c>
      <c r="F1484" t="s">
        <v>69</v>
      </c>
      <c r="G1484">
        <v>67</v>
      </c>
      <c r="H1484" t="s">
        <v>148</v>
      </c>
      <c r="I1484" t="s">
        <v>38</v>
      </c>
      <c r="J1484" t="s">
        <v>147</v>
      </c>
      <c r="K1484" t="s">
        <v>39</v>
      </c>
      <c r="L1484">
        <v>4.0999999999999996</v>
      </c>
      <c r="M1484" t="s">
        <v>152</v>
      </c>
      <c r="N1484" t="s">
        <v>29</v>
      </c>
      <c r="O1484" t="s">
        <v>72</v>
      </c>
      <c r="P1484" t="s">
        <v>26</v>
      </c>
      <c r="Q1484" t="s">
        <v>26</v>
      </c>
      <c r="R1484">
        <v>43</v>
      </c>
      <c r="S1484" t="s">
        <v>34</v>
      </c>
      <c r="T1484" t="str">
        <f t="shared" si="46"/>
        <v>Daily</v>
      </c>
      <c r="U1484">
        <f>VLOOKUP(T1484,[1]tablescore!$B$3:$C$8, 2,FALSE)</f>
        <v>30</v>
      </c>
      <c r="V1484" t="str">
        <f t="shared" si="47"/>
        <v>Highly Loyal</v>
      </c>
      <c r="W1484" t="s">
        <v>41</v>
      </c>
    </row>
    <row r="1485" spans="1:23" x14ac:dyDescent="0.25">
      <c r="A1485">
        <v>1484</v>
      </c>
      <c r="B1485">
        <v>39</v>
      </c>
      <c r="C1485" t="str" cm="1">
        <f t="array" ref="C1485">_xlfn.IFS(
  AND(B1485&gt;=18, B1485&lt;=24), "18-24",
  AND(B1485&gt;=25, B1485&lt;=34), "25-34",
  AND(B1485&gt;=35, B1485&lt;=44), "35-44",
  AND(B1485&gt;=45, B1485&lt;=54), "45-54",
  B1485&gt;=55, "55+"
)</f>
        <v>35-44</v>
      </c>
      <c r="D1485" t="s">
        <v>19</v>
      </c>
      <c r="E1485" t="s">
        <v>106</v>
      </c>
      <c r="F1485" t="s">
        <v>69</v>
      </c>
      <c r="G1485">
        <v>61</v>
      </c>
      <c r="H1485" t="s">
        <v>37</v>
      </c>
      <c r="I1485" t="s">
        <v>38</v>
      </c>
      <c r="J1485" t="s">
        <v>139</v>
      </c>
      <c r="K1485" t="s">
        <v>54</v>
      </c>
      <c r="L1485">
        <v>4.7</v>
      </c>
      <c r="M1485" t="s">
        <v>152</v>
      </c>
      <c r="N1485" t="s">
        <v>46</v>
      </c>
      <c r="O1485" t="s">
        <v>47</v>
      </c>
      <c r="P1485" t="s">
        <v>26</v>
      </c>
      <c r="Q1485" t="s">
        <v>26</v>
      </c>
      <c r="R1485">
        <v>12</v>
      </c>
      <c r="S1485" t="s">
        <v>59</v>
      </c>
      <c r="T1485" t="str">
        <f t="shared" si="46"/>
        <v>2-week</v>
      </c>
      <c r="U1485">
        <f>VLOOKUP(T1485,[1]tablescore!$B$3:$C$8, 2,FALSE)</f>
        <v>26</v>
      </c>
      <c r="V1485" t="str">
        <f t="shared" si="47"/>
        <v>Loyal</v>
      </c>
      <c r="W1485" t="s">
        <v>77</v>
      </c>
    </row>
    <row r="1486" spans="1:23" x14ac:dyDescent="0.25">
      <c r="A1486">
        <v>1485</v>
      </c>
      <c r="B1486">
        <v>49</v>
      </c>
      <c r="C1486" t="str" cm="1">
        <f t="array" ref="C1486">_xlfn.IFS(
  AND(B1486&gt;=18, B1486&lt;=24), "18-24",
  AND(B1486&gt;=25, B1486&lt;=34), "25-34",
  AND(B1486&gt;=35, B1486&lt;=44), "35-44",
  AND(B1486&gt;=45, B1486&lt;=54), "45-54",
  B1486&gt;=55, "55+"
)</f>
        <v>45-54</v>
      </c>
      <c r="D1486" t="s">
        <v>19</v>
      </c>
      <c r="E1486" t="s">
        <v>61</v>
      </c>
      <c r="F1486" t="s">
        <v>21</v>
      </c>
      <c r="G1486">
        <v>46</v>
      </c>
      <c r="H1486" t="s">
        <v>143</v>
      </c>
      <c r="I1486" t="s">
        <v>45</v>
      </c>
      <c r="J1486" t="s">
        <v>86</v>
      </c>
      <c r="K1486" t="s">
        <v>54</v>
      </c>
      <c r="L1486">
        <v>4.4000000000000004</v>
      </c>
      <c r="M1486" t="s">
        <v>152</v>
      </c>
      <c r="N1486" t="s">
        <v>35</v>
      </c>
      <c r="O1486" t="s">
        <v>76</v>
      </c>
      <c r="P1486" t="s">
        <v>26</v>
      </c>
      <c r="Q1486" t="s">
        <v>26</v>
      </c>
      <c r="R1486">
        <v>22</v>
      </c>
      <c r="S1486" t="s">
        <v>29</v>
      </c>
      <c r="T1486" t="str">
        <f t="shared" si="46"/>
        <v>Quarterly</v>
      </c>
      <c r="U1486">
        <f>VLOOKUP(T1486,[1]tablescore!$B$3:$C$8, 2,FALSE)</f>
        <v>4</v>
      </c>
      <c r="V1486" t="str">
        <f t="shared" si="47"/>
        <v>Low Loyalty</v>
      </c>
      <c r="W1486" t="s">
        <v>97</v>
      </c>
    </row>
    <row r="1487" spans="1:23" x14ac:dyDescent="0.25">
      <c r="A1487">
        <v>1486</v>
      </c>
      <c r="B1487">
        <v>22</v>
      </c>
      <c r="C1487" t="str" cm="1">
        <f t="array" ref="C1487">_xlfn.IFS(
  AND(B1487&gt;=18, B1487&lt;=24), "18-24",
  AND(B1487&gt;=25, B1487&lt;=34), "25-34",
  AND(B1487&gt;=35, B1487&lt;=44), "35-44",
  AND(B1487&gt;=45, B1487&lt;=54), "45-54",
  B1487&gt;=55, "55+"
)</f>
        <v>18-24</v>
      </c>
      <c r="D1487" t="s">
        <v>19</v>
      </c>
      <c r="E1487" t="s">
        <v>127</v>
      </c>
      <c r="F1487" t="s">
        <v>69</v>
      </c>
      <c r="G1487">
        <v>56</v>
      </c>
      <c r="H1487" t="s">
        <v>143</v>
      </c>
      <c r="I1487" t="s">
        <v>23</v>
      </c>
      <c r="J1487" t="s">
        <v>108</v>
      </c>
      <c r="K1487" t="s">
        <v>39</v>
      </c>
      <c r="L1487">
        <v>3.4</v>
      </c>
      <c r="M1487" t="s">
        <v>152</v>
      </c>
      <c r="N1487" t="s">
        <v>34</v>
      </c>
      <c r="O1487" t="s">
        <v>55</v>
      </c>
      <c r="P1487" t="s">
        <v>26</v>
      </c>
      <c r="Q1487" t="s">
        <v>26</v>
      </c>
      <c r="R1487">
        <v>3</v>
      </c>
      <c r="S1487" t="s">
        <v>35</v>
      </c>
      <c r="T1487" t="str">
        <f t="shared" si="46"/>
        <v>2-week</v>
      </c>
      <c r="U1487">
        <f>VLOOKUP(T1487,[1]tablescore!$B$3:$C$8, 2,FALSE)</f>
        <v>26</v>
      </c>
      <c r="V1487" t="str">
        <f t="shared" si="47"/>
        <v>Loyal</v>
      </c>
      <c r="W1487" t="s">
        <v>30</v>
      </c>
    </row>
    <row r="1488" spans="1:23" x14ac:dyDescent="0.25">
      <c r="A1488">
        <v>1487</v>
      </c>
      <c r="B1488">
        <v>25</v>
      </c>
      <c r="C1488" t="str" cm="1">
        <f t="array" ref="C1488">_xlfn.IFS(
  AND(B1488&gt;=18, B1488&lt;=24), "18-24",
  AND(B1488&gt;=25, B1488&lt;=34), "25-34",
  AND(B1488&gt;=35, B1488&lt;=44), "35-44",
  AND(B1488&gt;=45, B1488&lt;=54), "45-54",
  B1488&gt;=55, "55+"
)</f>
        <v>25-34</v>
      </c>
      <c r="D1488" t="s">
        <v>19</v>
      </c>
      <c r="E1488" t="s">
        <v>51</v>
      </c>
      <c r="F1488" t="s">
        <v>43</v>
      </c>
      <c r="G1488">
        <v>73</v>
      </c>
      <c r="H1488" t="s">
        <v>144</v>
      </c>
      <c r="I1488" t="s">
        <v>38</v>
      </c>
      <c r="J1488" t="s">
        <v>139</v>
      </c>
      <c r="K1488" t="s">
        <v>39</v>
      </c>
      <c r="L1488">
        <v>5</v>
      </c>
      <c r="M1488" t="s">
        <v>152</v>
      </c>
      <c r="N1488" t="s">
        <v>35</v>
      </c>
      <c r="O1488" t="s">
        <v>40</v>
      </c>
      <c r="P1488" t="s">
        <v>26</v>
      </c>
      <c r="Q1488" t="s">
        <v>26</v>
      </c>
      <c r="R1488">
        <v>23</v>
      </c>
      <c r="S1488" t="s">
        <v>29</v>
      </c>
      <c r="T1488" t="str">
        <f t="shared" si="46"/>
        <v>Quarterly</v>
      </c>
      <c r="U1488">
        <f>VLOOKUP(T1488,[1]tablescore!$B$3:$C$8, 2,FALSE)</f>
        <v>4</v>
      </c>
      <c r="V1488" t="str">
        <f t="shared" si="47"/>
        <v>Low Loyalty</v>
      </c>
      <c r="W1488" t="s">
        <v>97</v>
      </c>
    </row>
    <row r="1489" spans="1:23" x14ac:dyDescent="0.25">
      <c r="A1489">
        <v>1488</v>
      </c>
      <c r="B1489">
        <v>40</v>
      </c>
      <c r="C1489" t="str" cm="1">
        <f t="array" ref="C1489">_xlfn.IFS(
  AND(B1489&gt;=18, B1489&lt;=24), "18-24",
  AND(B1489&gt;=25, B1489&lt;=34), "25-34",
  AND(B1489&gt;=35, B1489&lt;=44), "35-44",
  AND(B1489&gt;=45, B1489&lt;=54), "45-54",
  B1489&gt;=55, "55+"
)</f>
        <v>35-44</v>
      </c>
      <c r="D1489" t="s">
        <v>19</v>
      </c>
      <c r="E1489" t="s">
        <v>87</v>
      </c>
      <c r="F1489" t="s">
        <v>21</v>
      </c>
      <c r="G1489">
        <v>44</v>
      </c>
      <c r="H1489" t="s">
        <v>117</v>
      </c>
      <c r="I1489" t="s">
        <v>23</v>
      </c>
      <c r="J1489" t="s">
        <v>94</v>
      </c>
      <c r="K1489" t="s">
        <v>54</v>
      </c>
      <c r="L1489">
        <v>4.5999999999999996</v>
      </c>
      <c r="M1489" t="s">
        <v>152</v>
      </c>
      <c r="N1489" t="s">
        <v>27</v>
      </c>
      <c r="O1489" t="s">
        <v>76</v>
      </c>
      <c r="P1489" t="s">
        <v>26</v>
      </c>
      <c r="Q1489" t="s">
        <v>26</v>
      </c>
      <c r="R1489">
        <v>26</v>
      </c>
      <c r="S1489" t="s">
        <v>46</v>
      </c>
      <c r="T1489" t="str">
        <f t="shared" si="46"/>
        <v>Annually</v>
      </c>
      <c r="U1489">
        <f>VLOOKUP(T1489,[1]tablescore!$B$3:$C$8, 2,FALSE)</f>
        <v>1</v>
      </c>
      <c r="V1489" t="str">
        <f t="shared" si="47"/>
        <v>Low Loyalty</v>
      </c>
      <c r="W1489" t="s">
        <v>50</v>
      </c>
    </row>
    <row r="1490" spans="1:23" x14ac:dyDescent="0.25">
      <c r="A1490">
        <v>1489</v>
      </c>
      <c r="B1490">
        <v>23</v>
      </c>
      <c r="C1490" t="str" cm="1">
        <f t="array" ref="C1490">_xlfn.IFS(
  AND(B1490&gt;=18, B1490&lt;=24), "18-24",
  AND(B1490&gt;=25, B1490&lt;=34), "25-34",
  AND(B1490&gt;=35, B1490&lt;=44), "35-44",
  AND(B1490&gt;=45, B1490&lt;=54), "45-54",
  B1490&gt;=55, "55+"
)</f>
        <v>18-24</v>
      </c>
      <c r="D1490" t="s">
        <v>19</v>
      </c>
      <c r="E1490" t="s">
        <v>125</v>
      </c>
      <c r="F1490" t="s">
        <v>69</v>
      </c>
      <c r="G1490">
        <v>44</v>
      </c>
      <c r="H1490" t="s">
        <v>78</v>
      </c>
      <c r="I1490" t="s">
        <v>23</v>
      </c>
      <c r="J1490" t="s">
        <v>71</v>
      </c>
      <c r="K1490" t="s">
        <v>25</v>
      </c>
      <c r="L1490">
        <v>4</v>
      </c>
      <c r="M1490" t="s">
        <v>152</v>
      </c>
      <c r="N1490" t="s">
        <v>29</v>
      </c>
      <c r="O1490" t="s">
        <v>55</v>
      </c>
      <c r="P1490" t="s">
        <v>26</v>
      </c>
      <c r="Q1490" t="s">
        <v>26</v>
      </c>
      <c r="R1490">
        <v>37</v>
      </c>
      <c r="S1490" t="s">
        <v>27</v>
      </c>
      <c r="T1490" t="str">
        <f t="shared" si="46"/>
        <v>Daily</v>
      </c>
      <c r="U1490">
        <f>VLOOKUP(T1490,[1]tablescore!$B$3:$C$8, 2,FALSE)</f>
        <v>30</v>
      </c>
      <c r="V1490" t="str">
        <f t="shared" si="47"/>
        <v>Highly Loyal</v>
      </c>
      <c r="W1490" t="s">
        <v>41</v>
      </c>
    </row>
    <row r="1491" spans="1:23" x14ac:dyDescent="0.25">
      <c r="A1491">
        <v>1490</v>
      </c>
      <c r="B1491">
        <v>24</v>
      </c>
      <c r="C1491" t="str" cm="1">
        <f t="array" ref="C1491">_xlfn.IFS(
  AND(B1491&gt;=18, B1491&lt;=24), "18-24",
  AND(B1491&gt;=25, B1491&lt;=34), "25-34",
  AND(B1491&gt;=35, B1491&lt;=44), "35-44",
  AND(B1491&gt;=45, B1491&lt;=54), "45-54",
  B1491&gt;=55, "55+"
)</f>
        <v>18-24</v>
      </c>
      <c r="D1491" t="s">
        <v>19</v>
      </c>
      <c r="E1491" t="s">
        <v>106</v>
      </c>
      <c r="F1491" t="s">
        <v>69</v>
      </c>
      <c r="G1491">
        <v>26</v>
      </c>
      <c r="H1491" t="s">
        <v>70</v>
      </c>
      <c r="I1491" t="s">
        <v>92</v>
      </c>
      <c r="J1491" t="s">
        <v>147</v>
      </c>
      <c r="K1491" t="s">
        <v>54</v>
      </c>
      <c r="L1491">
        <v>4.0999999999999996</v>
      </c>
      <c r="M1491" t="s">
        <v>152</v>
      </c>
      <c r="N1491" t="s">
        <v>46</v>
      </c>
      <c r="O1491" t="s">
        <v>47</v>
      </c>
      <c r="P1491" t="s">
        <v>26</v>
      </c>
      <c r="Q1491" t="s">
        <v>26</v>
      </c>
      <c r="R1491">
        <v>42</v>
      </c>
      <c r="S1491" t="s">
        <v>29</v>
      </c>
      <c r="T1491" t="str">
        <f t="shared" si="46"/>
        <v>Quarterly</v>
      </c>
      <c r="U1491">
        <f>VLOOKUP(T1491,[1]tablescore!$B$3:$C$8, 2,FALSE)</f>
        <v>4</v>
      </c>
      <c r="V1491" t="str">
        <f t="shared" si="47"/>
        <v>Low Loyalty</v>
      </c>
      <c r="W1491" t="s">
        <v>60</v>
      </c>
    </row>
    <row r="1492" spans="1:23" x14ac:dyDescent="0.25">
      <c r="A1492">
        <v>1491</v>
      </c>
      <c r="B1492">
        <v>66</v>
      </c>
      <c r="C1492" t="str" cm="1">
        <f t="array" ref="C1492">_xlfn.IFS(
  AND(B1492&gt;=18, B1492&lt;=24), "18-24",
  AND(B1492&gt;=25, B1492&lt;=34), "25-34",
  AND(B1492&gt;=35, B1492&lt;=44), "35-44",
  AND(B1492&gt;=45, B1492&lt;=54), "45-54",
  B1492&gt;=55, "55+"
)</f>
        <v>55+</v>
      </c>
      <c r="D1492" t="s">
        <v>19</v>
      </c>
      <c r="E1492" t="s">
        <v>51</v>
      </c>
      <c r="F1492" t="s">
        <v>43</v>
      </c>
      <c r="G1492">
        <v>52</v>
      </c>
      <c r="H1492" t="s">
        <v>62</v>
      </c>
      <c r="I1492" t="s">
        <v>23</v>
      </c>
      <c r="J1492" t="s">
        <v>79</v>
      </c>
      <c r="K1492" t="s">
        <v>39</v>
      </c>
      <c r="L1492">
        <v>4.9000000000000004</v>
      </c>
      <c r="M1492" t="s">
        <v>152</v>
      </c>
      <c r="N1492" t="s">
        <v>29</v>
      </c>
      <c r="O1492" t="s">
        <v>28</v>
      </c>
      <c r="P1492" t="s">
        <v>26</v>
      </c>
      <c r="Q1492" t="s">
        <v>26</v>
      </c>
      <c r="R1492">
        <v>15</v>
      </c>
      <c r="S1492" t="s">
        <v>29</v>
      </c>
      <c r="T1492" t="str">
        <f t="shared" si="46"/>
        <v>2-week</v>
      </c>
      <c r="U1492">
        <f>VLOOKUP(T1492,[1]tablescore!$B$3:$C$8, 2,FALSE)</f>
        <v>26</v>
      </c>
      <c r="V1492" t="str">
        <f t="shared" si="47"/>
        <v>Loyal</v>
      </c>
      <c r="W1492" t="s">
        <v>77</v>
      </c>
    </row>
    <row r="1493" spans="1:23" x14ac:dyDescent="0.25">
      <c r="A1493">
        <v>1492</v>
      </c>
      <c r="B1493">
        <v>27</v>
      </c>
      <c r="C1493" t="str" cm="1">
        <f t="array" ref="C1493">_xlfn.IFS(
  AND(B1493&gt;=18, B1493&lt;=24), "18-24",
  AND(B1493&gt;=25, B1493&lt;=34), "25-34",
  AND(B1493&gt;=35, B1493&lt;=44), "35-44",
  AND(B1493&gt;=45, B1493&lt;=54), "45-54",
  B1493&gt;=55, "55+"
)</f>
        <v>25-34</v>
      </c>
      <c r="D1493" t="s">
        <v>19</v>
      </c>
      <c r="E1493" t="s">
        <v>56</v>
      </c>
      <c r="F1493" t="s">
        <v>21</v>
      </c>
      <c r="G1493">
        <v>54</v>
      </c>
      <c r="H1493" t="s">
        <v>74</v>
      </c>
      <c r="I1493" t="s">
        <v>38</v>
      </c>
      <c r="J1493" t="s">
        <v>94</v>
      </c>
      <c r="K1493" t="s">
        <v>54</v>
      </c>
      <c r="L1493">
        <v>2.7</v>
      </c>
      <c r="M1493" t="s">
        <v>152</v>
      </c>
      <c r="N1493" t="s">
        <v>29</v>
      </c>
      <c r="O1493" t="s">
        <v>40</v>
      </c>
      <c r="P1493" t="s">
        <v>26</v>
      </c>
      <c r="Q1493" t="s">
        <v>26</v>
      </c>
      <c r="R1493">
        <v>10</v>
      </c>
      <c r="S1493" t="s">
        <v>34</v>
      </c>
      <c r="T1493" t="str">
        <f t="shared" si="46"/>
        <v>Quarterly</v>
      </c>
      <c r="U1493">
        <f>VLOOKUP(T1493,[1]tablescore!$B$3:$C$8, 2,FALSE)</f>
        <v>4</v>
      </c>
      <c r="V1493" t="str">
        <f t="shared" si="47"/>
        <v>Low Loyalty</v>
      </c>
      <c r="W1493" t="s">
        <v>60</v>
      </c>
    </row>
    <row r="1494" spans="1:23" x14ac:dyDescent="0.25">
      <c r="A1494">
        <v>1493</v>
      </c>
      <c r="B1494">
        <v>62</v>
      </c>
      <c r="C1494" t="str" cm="1">
        <f t="array" ref="C1494">_xlfn.IFS(
  AND(B1494&gt;=18, B1494&lt;=24), "18-24",
  AND(B1494&gt;=25, B1494&lt;=34), "25-34",
  AND(B1494&gt;=35, B1494&lt;=44), "35-44",
  AND(B1494&gt;=45, B1494&lt;=54), "45-54",
  B1494&gt;=55, "55+"
)</f>
        <v>55+</v>
      </c>
      <c r="D1494" t="s">
        <v>19</v>
      </c>
      <c r="E1494" t="s">
        <v>102</v>
      </c>
      <c r="F1494" t="s">
        <v>65</v>
      </c>
      <c r="G1494">
        <v>38</v>
      </c>
      <c r="H1494" t="s">
        <v>98</v>
      </c>
      <c r="I1494" t="s">
        <v>45</v>
      </c>
      <c r="J1494" t="s">
        <v>33</v>
      </c>
      <c r="K1494" t="s">
        <v>54</v>
      </c>
      <c r="L1494">
        <v>4.5</v>
      </c>
      <c r="M1494" t="s">
        <v>152</v>
      </c>
      <c r="N1494" t="s">
        <v>29</v>
      </c>
      <c r="O1494" t="s">
        <v>40</v>
      </c>
      <c r="P1494" t="s">
        <v>26</v>
      </c>
      <c r="Q1494" t="s">
        <v>26</v>
      </c>
      <c r="R1494">
        <v>3</v>
      </c>
      <c r="S1494" t="s">
        <v>29</v>
      </c>
      <c r="T1494" t="str">
        <f t="shared" si="46"/>
        <v>Quarterly</v>
      </c>
      <c r="U1494">
        <f>VLOOKUP(T1494,[1]tablescore!$B$3:$C$8, 2,FALSE)</f>
        <v>4</v>
      </c>
      <c r="V1494" t="str">
        <f t="shared" si="47"/>
        <v>Low Loyalty</v>
      </c>
      <c r="W1494" t="s">
        <v>60</v>
      </c>
    </row>
    <row r="1495" spans="1:23" x14ac:dyDescent="0.25">
      <c r="A1495">
        <v>1494</v>
      </c>
      <c r="B1495">
        <v>70</v>
      </c>
      <c r="C1495" t="str" cm="1">
        <f t="array" ref="C1495">_xlfn.IFS(
  AND(B1495&gt;=18, B1495&lt;=24), "18-24",
  AND(B1495&gt;=25, B1495&lt;=34), "25-34",
  AND(B1495&gt;=35, B1495&lt;=44), "35-44",
  AND(B1495&gt;=45, B1495&lt;=54), "45-54",
  B1495&gt;=55, "55+"
)</f>
        <v>55+</v>
      </c>
      <c r="D1495" t="s">
        <v>19</v>
      </c>
      <c r="E1495" t="s">
        <v>136</v>
      </c>
      <c r="F1495" t="s">
        <v>69</v>
      </c>
      <c r="G1495">
        <v>44</v>
      </c>
      <c r="H1495" t="s">
        <v>114</v>
      </c>
      <c r="I1495" t="s">
        <v>38</v>
      </c>
      <c r="J1495" t="s">
        <v>81</v>
      </c>
      <c r="K1495" t="s">
        <v>58</v>
      </c>
      <c r="L1495">
        <v>2.7</v>
      </c>
      <c r="M1495" t="s">
        <v>152</v>
      </c>
      <c r="N1495" t="s">
        <v>29</v>
      </c>
      <c r="O1495" t="s">
        <v>55</v>
      </c>
      <c r="P1495" t="s">
        <v>26</v>
      </c>
      <c r="Q1495" t="s">
        <v>26</v>
      </c>
      <c r="R1495">
        <v>44</v>
      </c>
      <c r="S1495" t="s">
        <v>27</v>
      </c>
      <c r="T1495" t="str">
        <f t="shared" si="46"/>
        <v>Quarterly</v>
      </c>
      <c r="U1495">
        <f>VLOOKUP(T1495,[1]tablescore!$B$3:$C$8, 2,FALSE)</f>
        <v>4</v>
      </c>
      <c r="V1495" t="str">
        <f t="shared" si="47"/>
        <v>Low Loyalty</v>
      </c>
      <c r="W1495" t="s">
        <v>60</v>
      </c>
    </row>
    <row r="1496" spans="1:23" x14ac:dyDescent="0.25">
      <c r="A1496">
        <v>1495</v>
      </c>
      <c r="B1496">
        <v>43</v>
      </c>
      <c r="C1496" t="str" cm="1">
        <f t="array" ref="C1496">_xlfn.IFS(
  AND(B1496&gt;=18, B1496&lt;=24), "18-24",
  AND(B1496&gt;=25, B1496&lt;=34), "25-34",
  AND(B1496&gt;=35, B1496&lt;=44), "35-44",
  AND(B1496&gt;=45, B1496&lt;=54), "45-54",
  B1496&gt;=55, "55+"
)</f>
        <v>35-44</v>
      </c>
      <c r="D1496" t="s">
        <v>19</v>
      </c>
      <c r="E1496" t="s">
        <v>113</v>
      </c>
      <c r="F1496" t="s">
        <v>21</v>
      </c>
      <c r="G1496">
        <v>76</v>
      </c>
      <c r="H1496" t="s">
        <v>57</v>
      </c>
      <c r="I1496" t="s">
        <v>45</v>
      </c>
      <c r="J1496" t="s">
        <v>24</v>
      </c>
      <c r="K1496" t="s">
        <v>39</v>
      </c>
      <c r="L1496">
        <v>3</v>
      </c>
      <c r="M1496" t="s">
        <v>152</v>
      </c>
      <c r="N1496" t="s">
        <v>34</v>
      </c>
      <c r="O1496" t="s">
        <v>47</v>
      </c>
      <c r="P1496" t="s">
        <v>26</v>
      </c>
      <c r="Q1496" t="s">
        <v>26</v>
      </c>
      <c r="R1496">
        <v>23</v>
      </c>
      <c r="S1496" t="s">
        <v>34</v>
      </c>
      <c r="T1496" t="str">
        <f t="shared" si="46"/>
        <v>2-week</v>
      </c>
      <c r="U1496">
        <f>VLOOKUP(T1496,[1]tablescore!$B$3:$C$8, 2,FALSE)</f>
        <v>26</v>
      </c>
      <c r="V1496" t="str">
        <f t="shared" si="47"/>
        <v>Loyal</v>
      </c>
      <c r="W1496" t="s">
        <v>30</v>
      </c>
    </row>
    <row r="1497" spans="1:23" x14ac:dyDescent="0.25">
      <c r="A1497">
        <v>1496</v>
      </c>
      <c r="B1497">
        <v>45</v>
      </c>
      <c r="C1497" t="str" cm="1">
        <f t="array" ref="C1497">_xlfn.IFS(
  AND(B1497&gt;=18, B1497&lt;=24), "18-24",
  AND(B1497&gt;=25, B1497&lt;=34), "25-34",
  AND(B1497&gt;=35, B1497&lt;=44), "35-44",
  AND(B1497&gt;=45, B1497&lt;=54), "45-54",
  B1497&gt;=55, "55+"
)</f>
        <v>45-54</v>
      </c>
      <c r="D1497" t="s">
        <v>19</v>
      </c>
      <c r="E1497" t="s">
        <v>106</v>
      </c>
      <c r="F1497" t="s">
        <v>69</v>
      </c>
      <c r="G1497">
        <v>23</v>
      </c>
      <c r="H1497" t="s">
        <v>44</v>
      </c>
      <c r="I1497" t="s">
        <v>45</v>
      </c>
      <c r="J1497" t="s">
        <v>110</v>
      </c>
      <c r="K1497" t="s">
        <v>25</v>
      </c>
      <c r="L1497">
        <v>4.5</v>
      </c>
      <c r="M1497" t="s">
        <v>152</v>
      </c>
      <c r="N1497" t="s">
        <v>46</v>
      </c>
      <c r="O1497" t="s">
        <v>47</v>
      </c>
      <c r="P1497" t="s">
        <v>26</v>
      </c>
      <c r="Q1497" t="s">
        <v>26</v>
      </c>
      <c r="R1497">
        <v>6</v>
      </c>
      <c r="S1497" t="s">
        <v>46</v>
      </c>
      <c r="T1497" t="str">
        <f t="shared" si="46"/>
        <v>Daily</v>
      </c>
      <c r="U1497">
        <f>VLOOKUP(T1497,[1]tablescore!$B$3:$C$8, 2,FALSE)</f>
        <v>30</v>
      </c>
      <c r="V1497" t="str">
        <f t="shared" si="47"/>
        <v>Highly Loyal</v>
      </c>
      <c r="W1497" t="s">
        <v>41</v>
      </c>
    </row>
    <row r="1498" spans="1:23" x14ac:dyDescent="0.25">
      <c r="A1498">
        <v>1497</v>
      </c>
      <c r="B1498">
        <v>63</v>
      </c>
      <c r="C1498" t="str" cm="1">
        <f t="array" ref="C1498">_xlfn.IFS(
  AND(B1498&gt;=18, B1498&lt;=24), "18-24",
  AND(B1498&gt;=25, B1498&lt;=34), "25-34",
  AND(B1498&gt;=35, B1498&lt;=44), "35-44",
  AND(B1498&gt;=45, B1498&lt;=54), "45-54",
  B1498&gt;=55, "55+"
)</f>
        <v>55+</v>
      </c>
      <c r="D1498" t="s">
        <v>19</v>
      </c>
      <c r="E1498" t="s">
        <v>113</v>
      </c>
      <c r="F1498" t="s">
        <v>21</v>
      </c>
      <c r="G1498">
        <v>98</v>
      </c>
      <c r="H1498" t="s">
        <v>144</v>
      </c>
      <c r="I1498" t="s">
        <v>45</v>
      </c>
      <c r="J1498" t="s">
        <v>75</v>
      </c>
      <c r="K1498" t="s">
        <v>25</v>
      </c>
      <c r="L1498">
        <v>5</v>
      </c>
      <c r="M1498" t="s">
        <v>152</v>
      </c>
      <c r="N1498" t="s">
        <v>27</v>
      </c>
      <c r="O1498" t="s">
        <v>55</v>
      </c>
      <c r="P1498" t="s">
        <v>26</v>
      </c>
      <c r="Q1498" t="s">
        <v>26</v>
      </c>
      <c r="R1498">
        <v>9</v>
      </c>
      <c r="S1498" t="s">
        <v>29</v>
      </c>
      <c r="T1498" t="str">
        <f t="shared" si="46"/>
        <v>2-week</v>
      </c>
      <c r="U1498">
        <f>VLOOKUP(T1498,[1]tablescore!$B$3:$C$8, 2,FALSE)</f>
        <v>26</v>
      </c>
      <c r="V1498" t="str">
        <f t="shared" si="47"/>
        <v>Loyal</v>
      </c>
      <c r="W1498" t="s">
        <v>77</v>
      </c>
    </row>
    <row r="1499" spans="1:23" x14ac:dyDescent="0.25">
      <c r="A1499">
        <v>1498</v>
      </c>
      <c r="B1499">
        <v>69</v>
      </c>
      <c r="C1499" t="str" cm="1">
        <f t="array" ref="C1499">_xlfn.IFS(
  AND(B1499&gt;=18, B1499&lt;=24), "18-24",
  AND(B1499&gt;=25, B1499&lt;=34), "25-34",
  AND(B1499&gt;=35, B1499&lt;=44), "35-44",
  AND(B1499&gt;=45, B1499&lt;=54), "45-54",
  B1499&gt;=55, "55+"
)</f>
        <v>55+</v>
      </c>
      <c r="D1499" t="s">
        <v>19</v>
      </c>
      <c r="E1499" t="s">
        <v>102</v>
      </c>
      <c r="F1499" t="s">
        <v>65</v>
      </c>
      <c r="G1499">
        <v>33</v>
      </c>
      <c r="H1499" t="s">
        <v>151</v>
      </c>
      <c r="I1499" t="s">
        <v>38</v>
      </c>
      <c r="J1499" t="s">
        <v>147</v>
      </c>
      <c r="K1499" t="s">
        <v>39</v>
      </c>
      <c r="L1499">
        <v>3.8</v>
      </c>
      <c r="M1499" t="s">
        <v>152</v>
      </c>
      <c r="N1499" t="s">
        <v>59</v>
      </c>
      <c r="O1499" t="s">
        <v>72</v>
      </c>
      <c r="P1499" t="s">
        <v>26</v>
      </c>
      <c r="Q1499" t="s">
        <v>26</v>
      </c>
      <c r="R1499">
        <v>16</v>
      </c>
      <c r="S1499" t="s">
        <v>59</v>
      </c>
      <c r="T1499" t="str">
        <f t="shared" si="46"/>
        <v>Quarterly</v>
      </c>
      <c r="U1499">
        <f>VLOOKUP(T1499,[1]tablescore!$B$3:$C$8, 2,FALSE)</f>
        <v>4</v>
      </c>
      <c r="V1499" t="str">
        <f t="shared" si="47"/>
        <v>Low Loyalty</v>
      </c>
      <c r="W1499" t="s">
        <v>97</v>
      </c>
    </row>
    <row r="1500" spans="1:23" x14ac:dyDescent="0.25">
      <c r="A1500">
        <v>1499</v>
      </c>
      <c r="B1500">
        <v>59</v>
      </c>
      <c r="C1500" t="str" cm="1">
        <f t="array" ref="C1500">_xlfn.IFS(
  AND(B1500&gt;=18, B1500&lt;=24), "18-24",
  AND(B1500&gt;=25, B1500&lt;=34), "25-34",
  AND(B1500&gt;=35, B1500&lt;=44), "35-44",
  AND(B1500&gt;=45, B1500&lt;=54), "45-54",
  B1500&gt;=55, "55+"
)</f>
        <v>55+</v>
      </c>
      <c r="D1500" t="s">
        <v>19</v>
      </c>
      <c r="E1500" t="s">
        <v>31</v>
      </c>
      <c r="F1500" t="s">
        <v>21</v>
      </c>
      <c r="G1500">
        <v>32</v>
      </c>
      <c r="H1500" t="s">
        <v>115</v>
      </c>
      <c r="I1500" t="s">
        <v>45</v>
      </c>
      <c r="J1500" t="s">
        <v>86</v>
      </c>
      <c r="K1500" t="s">
        <v>54</v>
      </c>
      <c r="L1500">
        <v>3.1</v>
      </c>
      <c r="M1500" t="s">
        <v>152</v>
      </c>
      <c r="N1500" t="s">
        <v>46</v>
      </c>
      <c r="O1500" t="s">
        <v>55</v>
      </c>
      <c r="P1500" t="s">
        <v>26</v>
      </c>
      <c r="Q1500" t="s">
        <v>26</v>
      </c>
      <c r="R1500">
        <v>46</v>
      </c>
      <c r="S1500" t="s">
        <v>29</v>
      </c>
      <c r="T1500" t="str">
        <f t="shared" si="46"/>
        <v>2-week</v>
      </c>
      <c r="U1500">
        <f>VLOOKUP(T1500,[1]tablescore!$B$3:$C$8, 2,FALSE)</f>
        <v>26</v>
      </c>
      <c r="V1500" t="str">
        <f t="shared" si="47"/>
        <v>Loyal</v>
      </c>
      <c r="W1500" t="s">
        <v>30</v>
      </c>
    </row>
    <row r="1501" spans="1:23" x14ac:dyDescent="0.25">
      <c r="A1501">
        <v>1500</v>
      </c>
      <c r="B1501">
        <v>19</v>
      </c>
      <c r="C1501" t="str" cm="1">
        <f t="array" ref="C1501">_xlfn.IFS(
  AND(B1501&gt;=18, B1501&lt;=24), "18-24",
  AND(B1501&gt;=25, B1501&lt;=34), "25-34",
  AND(B1501&gt;=35, B1501&lt;=44), "35-44",
  AND(B1501&gt;=45, B1501&lt;=54), "45-54",
  B1501&gt;=55, "55+"
)</f>
        <v>18-24</v>
      </c>
      <c r="D1501" t="s">
        <v>19</v>
      </c>
      <c r="E1501" t="s">
        <v>132</v>
      </c>
      <c r="F1501" t="s">
        <v>43</v>
      </c>
      <c r="G1501">
        <v>85</v>
      </c>
      <c r="H1501" t="s">
        <v>142</v>
      </c>
      <c r="I1501" t="s">
        <v>38</v>
      </c>
      <c r="J1501" t="s">
        <v>79</v>
      </c>
      <c r="K1501" t="s">
        <v>58</v>
      </c>
      <c r="L1501">
        <v>3.4</v>
      </c>
      <c r="M1501" t="s">
        <v>152</v>
      </c>
      <c r="N1501" t="s">
        <v>35</v>
      </c>
      <c r="O1501" t="s">
        <v>40</v>
      </c>
      <c r="P1501" t="s">
        <v>26</v>
      </c>
      <c r="Q1501" t="s">
        <v>26</v>
      </c>
      <c r="R1501">
        <v>24</v>
      </c>
      <c r="S1501" t="s">
        <v>27</v>
      </c>
      <c r="T1501" t="str">
        <f t="shared" si="46"/>
        <v>Quarterly</v>
      </c>
      <c r="U1501">
        <f>VLOOKUP(T1501,[1]tablescore!$B$3:$C$8, 2,FALSE)</f>
        <v>4</v>
      </c>
      <c r="V1501" t="str">
        <f t="shared" si="47"/>
        <v>Low Loyalty</v>
      </c>
      <c r="W1501" t="s">
        <v>97</v>
      </c>
    </row>
    <row r="1502" spans="1:23" x14ac:dyDescent="0.25">
      <c r="A1502">
        <v>1501</v>
      </c>
      <c r="B1502">
        <v>63</v>
      </c>
      <c r="C1502" t="str" cm="1">
        <f t="array" ref="C1502">_xlfn.IFS(
  AND(B1502&gt;=18, B1502&lt;=24), "18-24",
  AND(B1502&gt;=25, B1502&lt;=34), "25-34",
  AND(B1502&gt;=35, B1502&lt;=44), "35-44",
  AND(B1502&gt;=45, B1502&lt;=54), "45-54",
  B1502&gt;=55, "55+"
)</f>
        <v>55+</v>
      </c>
      <c r="D1502" t="s">
        <v>19</v>
      </c>
      <c r="E1502" t="s">
        <v>36</v>
      </c>
      <c r="F1502" t="s">
        <v>21</v>
      </c>
      <c r="G1502">
        <v>69</v>
      </c>
      <c r="H1502" t="s">
        <v>90</v>
      </c>
      <c r="I1502" t="s">
        <v>23</v>
      </c>
      <c r="J1502" t="s">
        <v>33</v>
      </c>
      <c r="K1502" t="s">
        <v>54</v>
      </c>
      <c r="L1502">
        <v>4.8</v>
      </c>
      <c r="M1502" t="s">
        <v>152</v>
      </c>
      <c r="N1502" t="s">
        <v>29</v>
      </c>
      <c r="O1502" t="s">
        <v>47</v>
      </c>
      <c r="P1502" t="s">
        <v>26</v>
      </c>
      <c r="Q1502" t="s">
        <v>26</v>
      </c>
      <c r="R1502">
        <v>22</v>
      </c>
      <c r="S1502" t="s">
        <v>59</v>
      </c>
      <c r="T1502" t="str">
        <f t="shared" si="46"/>
        <v>Month</v>
      </c>
      <c r="U1502">
        <f>VLOOKUP(T1502,[1]tablescore!$B$3:$C$8, 2,FALSE)</f>
        <v>12</v>
      </c>
      <c r="V1502" t="str">
        <f t="shared" si="47"/>
        <v>Moderate</v>
      </c>
      <c r="W1502" t="s">
        <v>88</v>
      </c>
    </row>
    <row r="1503" spans="1:23" x14ac:dyDescent="0.25">
      <c r="A1503">
        <v>1502</v>
      </c>
      <c r="B1503">
        <v>37</v>
      </c>
      <c r="C1503" t="str" cm="1">
        <f t="array" ref="C1503">_xlfn.IFS(
  AND(B1503&gt;=18, B1503&lt;=24), "18-24",
  AND(B1503&gt;=25, B1503&lt;=34), "25-34",
  AND(B1503&gt;=35, B1503&lt;=44), "35-44",
  AND(B1503&gt;=45, B1503&lt;=54), "45-54",
  B1503&gt;=55, "55+"
)</f>
        <v>35-44</v>
      </c>
      <c r="D1503" t="s">
        <v>19</v>
      </c>
      <c r="E1503" t="s">
        <v>36</v>
      </c>
      <c r="F1503" t="s">
        <v>21</v>
      </c>
      <c r="G1503">
        <v>55</v>
      </c>
      <c r="H1503" t="s">
        <v>120</v>
      </c>
      <c r="I1503" t="s">
        <v>92</v>
      </c>
      <c r="J1503" t="s">
        <v>67</v>
      </c>
      <c r="K1503" t="s">
        <v>39</v>
      </c>
      <c r="L1503">
        <v>2.7</v>
      </c>
      <c r="M1503" t="s">
        <v>152</v>
      </c>
      <c r="N1503" t="s">
        <v>34</v>
      </c>
      <c r="O1503" t="s">
        <v>55</v>
      </c>
      <c r="P1503" t="s">
        <v>26</v>
      </c>
      <c r="Q1503" t="s">
        <v>26</v>
      </c>
      <c r="R1503">
        <v>13</v>
      </c>
      <c r="S1503" t="s">
        <v>59</v>
      </c>
      <c r="T1503" t="str">
        <f t="shared" si="46"/>
        <v>Quarterly</v>
      </c>
      <c r="U1503">
        <f>VLOOKUP(T1503,[1]tablescore!$B$3:$C$8, 2,FALSE)</f>
        <v>4</v>
      </c>
      <c r="V1503" t="str">
        <f t="shared" si="47"/>
        <v>Low Loyalty</v>
      </c>
      <c r="W1503" t="s">
        <v>97</v>
      </c>
    </row>
    <row r="1504" spans="1:23" x14ac:dyDescent="0.25">
      <c r="A1504">
        <v>1503</v>
      </c>
      <c r="B1504">
        <v>37</v>
      </c>
      <c r="C1504" t="str" cm="1">
        <f t="array" ref="C1504">_xlfn.IFS(
  AND(B1504&gt;=18, B1504&lt;=24), "18-24",
  AND(B1504&gt;=25, B1504&lt;=34), "25-34",
  AND(B1504&gt;=35, B1504&lt;=44), "35-44",
  AND(B1504&gt;=45, B1504&lt;=54), "45-54",
  B1504&gt;=55, "55+"
)</f>
        <v>35-44</v>
      </c>
      <c r="D1504" t="s">
        <v>19</v>
      </c>
      <c r="E1504" t="s">
        <v>95</v>
      </c>
      <c r="F1504" t="s">
        <v>21</v>
      </c>
      <c r="G1504">
        <v>66</v>
      </c>
      <c r="H1504" t="s">
        <v>37</v>
      </c>
      <c r="I1504" t="s">
        <v>45</v>
      </c>
      <c r="J1504" t="s">
        <v>94</v>
      </c>
      <c r="K1504" t="s">
        <v>54</v>
      </c>
      <c r="L1504">
        <v>3.2</v>
      </c>
      <c r="M1504" t="s">
        <v>152</v>
      </c>
      <c r="N1504" t="s">
        <v>46</v>
      </c>
      <c r="O1504" t="s">
        <v>76</v>
      </c>
      <c r="P1504" t="s">
        <v>26</v>
      </c>
      <c r="Q1504" t="s">
        <v>26</v>
      </c>
      <c r="R1504">
        <v>20</v>
      </c>
      <c r="S1504" t="s">
        <v>35</v>
      </c>
      <c r="T1504" t="str">
        <f t="shared" si="46"/>
        <v>2-week</v>
      </c>
      <c r="U1504">
        <f>VLOOKUP(T1504,[1]tablescore!$B$3:$C$8, 2,FALSE)</f>
        <v>26</v>
      </c>
      <c r="V1504" t="str">
        <f t="shared" si="47"/>
        <v>Loyal</v>
      </c>
      <c r="W1504" t="s">
        <v>30</v>
      </c>
    </row>
    <row r="1505" spans="1:23" x14ac:dyDescent="0.25">
      <c r="A1505">
        <v>1504</v>
      </c>
      <c r="B1505">
        <v>50</v>
      </c>
      <c r="C1505" t="str" cm="1">
        <f t="array" ref="C1505">_xlfn.IFS(
  AND(B1505&gt;=18, B1505&lt;=24), "18-24",
  AND(B1505&gt;=25, B1505&lt;=34), "25-34",
  AND(B1505&gt;=35, B1505&lt;=44), "35-44",
  AND(B1505&gt;=45, B1505&lt;=54), "45-54",
  B1505&gt;=55, "55+"
)</f>
        <v>45-54</v>
      </c>
      <c r="D1505" t="s">
        <v>19</v>
      </c>
      <c r="E1505" t="s">
        <v>102</v>
      </c>
      <c r="F1505" t="s">
        <v>65</v>
      </c>
      <c r="G1505">
        <v>30</v>
      </c>
      <c r="H1505" t="s">
        <v>151</v>
      </c>
      <c r="I1505" t="s">
        <v>45</v>
      </c>
      <c r="J1505" t="s">
        <v>33</v>
      </c>
      <c r="K1505" t="s">
        <v>58</v>
      </c>
      <c r="L1505">
        <v>3.9</v>
      </c>
      <c r="M1505" t="s">
        <v>152</v>
      </c>
      <c r="N1505" t="s">
        <v>35</v>
      </c>
      <c r="O1505" t="s">
        <v>72</v>
      </c>
      <c r="P1505" t="s">
        <v>26</v>
      </c>
      <c r="Q1505" t="s">
        <v>26</v>
      </c>
      <c r="R1505">
        <v>46</v>
      </c>
      <c r="S1505" t="s">
        <v>35</v>
      </c>
      <c r="T1505" t="str">
        <f t="shared" si="46"/>
        <v>Quarterly</v>
      </c>
      <c r="U1505">
        <f>VLOOKUP(T1505,[1]tablescore!$B$3:$C$8, 2,FALSE)</f>
        <v>4</v>
      </c>
      <c r="V1505" t="str">
        <f t="shared" si="47"/>
        <v>Low Loyalty</v>
      </c>
      <c r="W1505" t="s">
        <v>60</v>
      </c>
    </row>
    <row r="1506" spans="1:23" x14ac:dyDescent="0.25">
      <c r="A1506">
        <v>1505</v>
      </c>
      <c r="B1506">
        <v>60</v>
      </c>
      <c r="C1506" t="str" cm="1">
        <f t="array" ref="C1506">_xlfn.IFS(
  AND(B1506&gt;=18, B1506&lt;=24), "18-24",
  AND(B1506&gt;=25, B1506&lt;=34), "25-34",
  AND(B1506&gt;=35, B1506&lt;=44), "35-44",
  AND(B1506&gt;=45, B1506&lt;=54), "45-54",
  B1506&gt;=55, "55+"
)</f>
        <v>55+</v>
      </c>
      <c r="D1506" t="s">
        <v>19</v>
      </c>
      <c r="E1506" t="s">
        <v>102</v>
      </c>
      <c r="F1506" t="s">
        <v>65</v>
      </c>
      <c r="G1506">
        <v>80</v>
      </c>
      <c r="H1506" t="s">
        <v>120</v>
      </c>
      <c r="I1506" t="s">
        <v>45</v>
      </c>
      <c r="J1506" t="s">
        <v>86</v>
      </c>
      <c r="K1506" t="s">
        <v>25</v>
      </c>
      <c r="L1506">
        <v>4.2</v>
      </c>
      <c r="M1506" t="s">
        <v>152</v>
      </c>
      <c r="N1506" t="s">
        <v>35</v>
      </c>
      <c r="O1506" t="s">
        <v>47</v>
      </c>
      <c r="P1506" t="s">
        <v>26</v>
      </c>
      <c r="Q1506" t="s">
        <v>26</v>
      </c>
      <c r="R1506">
        <v>10</v>
      </c>
      <c r="S1506" t="s">
        <v>34</v>
      </c>
      <c r="T1506" t="str">
        <f t="shared" si="46"/>
        <v>Month</v>
      </c>
      <c r="U1506">
        <f>VLOOKUP(T1506,[1]tablescore!$B$3:$C$8, 2,FALSE)</f>
        <v>12</v>
      </c>
      <c r="V1506" t="str">
        <f t="shared" si="47"/>
        <v>Moderate</v>
      </c>
      <c r="W1506" t="s">
        <v>88</v>
      </c>
    </row>
    <row r="1507" spans="1:23" x14ac:dyDescent="0.25">
      <c r="A1507">
        <v>1506</v>
      </c>
      <c r="B1507">
        <v>46</v>
      </c>
      <c r="C1507" t="str" cm="1">
        <f t="array" ref="C1507">_xlfn.IFS(
  AND(B1507&gt;=18, B1507&lt;=24), "18-24",
  AND(B1507&gt;=25, B1507&lt;=34), "25-34",
  AND(B1507&gt;=35, B1507&lt;=44), "35-44",
  AND(B1507&gt;=45, B1507&lt;=54), "45-54",
  B1507&gt;=55, "55+"
)</f>
        <v>45-54</v>
      </c>
      <c r="D1507" t="s">
        <v>19</v>
      </c>
      <c r="E1507" t="s">
        <v>136</v>
      </c>
      <c r="F1507" t="s">
        <v>69</v>
      </c>
      <c r="G1507">
        <v>20</v>
      </c>
      <c r="H1507" t="s">
        <v>114</v>
      </c>
      <c r="I1507" t="s">
        <v>45</v>
      </c>
      <c r="J1507" t="s">
        <v>86</v>
      </c>
      <c r="K1507" t="s">
        <v>54</v>
      </c>
      <c r="L1507">
        <v>3</v>
      </c>
      <c r="M1507" t="s">
        <v>152</v>
      </c>
      <c r="N1507" t="s">
        <v>46</v>
      </c>
      <c r="O1507" t="s">
        <v>28</v>
      </c>
      <c r="P1507" t="s">
        <v>26</v>
      </c>
      <c r="Q1507" t="s">
        <v>26</v>
      </c>
      <c r="R1507">
        <v>39</v>
      </c>
      <c r="S1507" t="s">
        <v>35</v>
      </c>
      <c r="T1507" t="str">
        <f t="shared" si="46"/>
        <v>Month</v>
      </c>
      <c r="U1507">
        <f>VLOOKUP(T1507,[1]tablescore!$B$3:$C$8, 2,FALSE)</f>
        <v>12</v>
      </c>
      <c r="V1507" t="str">
        <f t="shared" si="47"/>
        <v>Moderate</v>
      </c>
      <c r="W1507" t="s">
        <v>88</v>
      </c>
    </row>
    <row r="1508" spans="1:23" x14ac:dyDescent="0.25">
      <c r="A1508">
        <v>1507</v>
      </c>
      <c r="B1508">
        <v>35</v>
      </c>
      <c r="C1508" t="str" cm="1">
        <f t="array" ref="C1508">_xlfn.IFS(
  AND(B1508&gt;=18, B1508&lt;=24), "18-24",
  AND(B1508&gt;=25, B1508&lt;=34), "25-34",
  AND(B1508&gt;=35, B1508&lt;=44), "35-44",
  AND(B1508&gt;=45, B1508&lt;=54), "45-54",
  B1508&gt;=55, "55+"
)</f>
        <v>35-44</v>
      </c>
      <c r="D1508" t="s">
        <v>19</v>
      </c>
      <c r="E1508" t="s">
        <v>56</v>
      </c>
      <c r="F1508" t="s">
        <v>21</v>
      </c>
      <c r="G1508">
        <v>30</v>
      </c>
      <c r="H1508" t="s">
        <v>126</v>
      </c>
      <c r="I1508" t="s">
        <v>23</v>
      </c>
      <c r="J1508" t="s">
        <v>118</v>
      </c>
      <c r="K1508" t="s">
        <v>58</v>
      </c>
      <c r="L1508">
        <v>3</v>
      </c>
      <c r="M1508" t="s">
        <v>152</v>
      </c>
      <c r="N1508" t="s">
        <v>29</v>
      </c>
      <c r="O1508" t="s">
        <v>72</v>
      </c>
      <c r="P1508" t="s">
        <v>26</v>
      </c>
      <c r="Q1508" t="s">
        <v>26</v>
      </c>
      <c r="R1508">
        <v>44</v>
      </c>
      <c r="S1508" t="s">
        <v>46</v>
      </c>
      <c r="T1508" t="str">
        <f t="shared" si="46"/>
        <v>Quarterly</v>
      </c>
      <c r="U1508">
        <f>VLOOKUP(T1508,[1]tablescore!$B$3:$C$8, 2,FALSE)</f>
        <v>4</v>
      </c>
      <c r="V1508" t="str">
        <f t="shared" si="47"/>
        <v>Low Loyalty</v>
      </c>
      <c r="W1508" t="s">
        <v>60</v>
      </c>
    </row>
    <row r="1509" spans="1:23" x14ac:dyDescent="0.25">
      <c r="A1509">
        <v>1508</v>
      </c>
      <c r="B1509">
        <v>66</v>
      </c>
      <c r="C1509" t="str" cm="1">
        <f t="array" ref="C1509">_xlfn.IFS(
  AND(B1509&gt;=18, B1509&lt;=24), "18-24",
  AND(B1509&gt;=25, B1509&lt;=34), "25-34",
  AND(B1509&gt;=35, B1509&lt;=44), "35-44",
  AND(B1509&gt;=45, B1509&lt;=54), "45-54",
  B1509&gt;=55, "55+"
)</f>
        <v>55+</v>
      </c>
      <c r="D1509" t="s">
        <v>19</v>
      </c>
      <c r="E1509" t="s">
        <v>82</v>
      </c>
      <c r="F1509" t="s">
        <v>21</v>
      </c>
      <c r="G1509">
        <v>86</v>
      </c>
      <c r="H1509" t="s">
        <v>141</v>
      </c>
      <c r="I1509" t="s">
        <v>38</v>
      </c>
      <c r="J1509" t="s">
        <v>33</v>
      </c>
      <c r="K1509" t="s">
        <v>25</v>
      </c>
      <c r="L1509">
        <v>3.7</v>
      </c>
      <c r="M1509" t="s">
        <v>152</v>
      </c>
      <c r="N1509" t="s">
        <v>34</v>
      </c>
      <c r="O1509" t="s">
        <v>72</v>
      </c>
      <c r="P1509" t="s">
        <v>26</v>
      </c>
      <c r="Q1509" t="s">
        <v>26</v>
      </c>
      <c r="R1509">
        <v>7</v>
      </c>
      <c r="S1509" t="s">
        <v>29</v>
      </c>
      <c r="T1509" t="str">
        <f t="shared" si="46"/>
        <v>Annually</v>
      </c>
      <c r="U1509">
        <f>VLOOKUP(T1509,[1]tablescore!$B$3:$C$8, 2,FALSE)</f>
        <v>1</v>
      </c>
      <c r="V1509" t="str">
        <f t="shared" si="47"/>
        <v>Low Loyalty</v>
      </c>
      <c r="W1509" t="s">
        <v>50</v>
      </c>
    </row>
    <row r="1510" spans="1:23" x14ac:dyDescent="0.25">
      <c r="A1510">
        <v>1509</v>
      </c>
      <c r="B1510">
        <v>35</v>
      </c>
      <c r="C1510" t="str" cm="1">
        <f t="array" ref="C1510">_xlfn.IFS(
  AND(B1510&gt;=18, B1510&lt;=24), "18-24",
  AND(B1510&gt;=25, B1510&lt;=34), "25-34",
  AND(B1510&gt;=35, B1510&lt;=44), "35-44",
  AND(B1510&gt;=45, B1510&lt;=54), "45-54",
  B1510&gt;=55, "55+"
)</f>
        <v>35-44</v>
      </c>
      <c r="D1510" t="s">
        <v>19</v>
      </c>
      <c r="E1510" t="s">
        <v>20</v>
      </c>
      <c r="F1510" t="s">
        <v>21</v>
      </c>
      <c r="G1510">
        <v>84</v>
      </c>
      <c r="H1510" t="s">
        <v>112</v>
      </c>
      <c r="I1510" t="s">
        <v>23</v>
      </c>
      <c r="J1510" t="s">
        <v>118</v>
      </c>
      <c r="K1510" t="s">
        <v>39</v>
      </c>
      <c r="L1510">
        <v>4.4000000000000004</v>
      </c>
      <c r="M1510" t="s">
        <v>152</v>
      </c>
      <c r="N1510" t="s">
        <v>27</v>
      </c>
      <c r="O1510" t="s">
        <v>76</v>
      </c>
      <c r="P1510" t="s">
        <v>26</v>
      </c>
      <c r="Q1510" t="s">
        <v>26</v>
      </c>
      <c r="R1510">
        <v>3</v>
      </c>
      <c r="S1510" t="s">
        <v>35</v>
      </c>
      <c r="T1510" t="str">
        <f t="shared" si="46"/>
        <v>Quarterly</v>
      </c>
      <c r="U1510">
        <f>VLOOKUP(T1510,[1]tablescore!$B$3:$C$8, 2,FALSE)</f>
        <v>4</v>
      </c>
      <c r="V1510" t="str">
        <f t="shared" si="47"/>
        <v>Low Loyalty</v>
      </c>
      <c r="W1510" t="s">
        <v>97</v>
      </c>
    </row>
    <row r="1511" spans="1:23" x14ac:dyDescent="0.25">
      <c r="A1511">
        <v>1510</v>
      </c>
      <c r="B1511">
        <v>20</v>
      </c>
      <c r="C1511" t="str" cm="1">
        <f t="array" ref="C1511">_xlfn.IFS(
  AND(B1511&gt;=18, B1511&lt;=24), "18-24",
  AND(B1511&gt;=25, B1511&lt;=34), "25-34",
  AND(B1511&gt;=35, B1511&lt;=44), "35-44",
  AND(B1511&gt;=45, B1511&lt;=54), "45-54",
  B1511&gt;=55, "55+"
)</f>
        <v>18-24</v>
      </c>
      <c r="D1511" t="s">
        <v>19</v>
      </c>
      <c r="E1511" t="s">
        <v>82</v>
      </c>
      <c r="F1511" t="s">
        <v>21</v>
      </c>
      <c r="G1511">
        <v>54</v>
      </c>
      <c r="H1511" t="s">
        <v>83</v>
      </c>
      <c r="I1511" t="s">
        <v>92</v>
      </c>
      <c r="J1511" t="s">
        <v>53</v>
      </c>
      <c r="K1511" t="s">
        <v>54</v>
      </c>
      <c r="L1511">
        <v>4.5999999999999996</v>
      </c>
      <c r="M1511" t="s">
        <v>152</v>
      </c>
      <c r="N1511" t="s">
        <v>27</v>
      </c>
      <c r="O1511" t="s">
        <v>40</v>
      </c>
      <c r="P1511" t="s">
        <v>26</v>
      </c>
      <c r="Q1511" t="s">
        <v>26</v>
      </c>
      <c r="R1511">
        <v>44</v>
      </c>
      <c r="S1511" t="s">
        <v>59</v>
      </c>
      <c r="T1511" t="str">
        <f t="shared" si="46"/>
        <v>Annually</v>
      </c>
      <c r="U1511">
        <f>VLOOKUP(T1511,[1]tablescore!$B$3:$C$8, 2,FALSE)</f>
        <v>1</v>
      </c>
      <c r="V1511" t="str">
        <f t="shared" si="47"/>
        <v>Low Loyalty</v>
      </c>
      <c r="W1511" t="s">
        <v>50</v>
      </c>
    </row>
    <row r="1512" spans="1:23" x14ac:dyDescent="0.25">
      <c r="A1512">
        <v>1511</v>
      </c>
      <c r="B1512">
        <v>55</v>
      </c>
      <c r="C1512" t="str" cm="1">
        <f t="array" ref="C1512">_xlfn.IFS(
  AND(B1512&gt;=18, B1512&lt;=24), "18-24",
  AND(B1512&gt;=25, B1512&lt;=34), "25-34",
  AND(B1512&gt;=35, B1512&lt;=44), "35-44",
  AND(B1512&gt;=45, B1512&lt;=54), "45-54",
  B1512&gt;=55, "55+"
)</f>
        <v>55+</v>
      </c>
      <c r="D1512" t="s">
        <v>19</v>
      </c>
      <c r="E1512" t="s">
        <v>20</v>
      </c>
      <c r="F1512" t="s">
        <v>21</v>
      </c>
      <c r="G1512">
        <v>30</v>
      </c>
      <c r="H1512" t="s">
        <v>135</v>
      </c>
      <c r="I1512" t="s">
        <v>92</v>
      </c>
      <c r="J1512" t="s">
        <v>24</v>
      </c>
      <c r="K1512" t="s">
        <v>58</v>
      </c>
      <c r="L1512">
        <v>3</v>
      </c>
      <c r="M1512" t="s">
        <v>152</v>
      </c>
      <c r="N1512" t="s">
        <v>27</v>
      </c>
      <c r="O1512" t="s">
        <v>40</v>
      </c>
      <c r="P1512" t="s">
        <v>26</v>
      </c>
      <c r="Q1512" t="s">
        <v>26</v>
      </c>
      <c r="R1512">
        <v>31</v>
      </c>
      <c r="S1512" t="s">
        <v>29</v>
      </c>
      <c r="T1512" t="str">
        <f t="shared" si="46"/>
        <v>Annually</v>
      </c>
      <c r="U1512">
        <f>VLOOKUP(T1512,[1]tablescore!$B$3:$C$8, 2,FALSE)</f>
        <v>1</v>
      </c>
      <c r="V1512" t="str">
        <f t="shared" si="47"/>
        <v>Low Loyalty</v>
      </c>
      <c r="W1512" t="s">
        <v>50</v>
      </c>
    </row>
    <row r="1513" spans="1:23" x14ac:dyDescent="0.25">
      <c r="A1513">
        <v>1512</v>
      </c>
      <c r="B1513">
        <v>34</v>
      </c>
      <c r="C1513" t="str" cm="1">
        <f t="array" ref="C1513">_xlfn.IFS(
  AND(B1513&gt;=18, B1513&lt;=24), "18-24",
  AND(B1513&gt;=25, B1513&lt;=34), "25-34",
  AND(B1513&gt;=35, B1513&lt;=44), "35-44",
  AND(B1513&gt;=45, B1513&lt;=54), "45-54",
  B1513&gt;=55, "55+"
)</f>
        <v>25-34</v>
      </c>
      <c r="D1513" t="s">
        <v>19</v>
      </c>
      <c r="E1513" t="s">
        <v>82</v>
      </c>
      <c r="F1513" t="s">
        <v>21</v>
      </c>
      <c r="G1513">
        <v>91</v>
      </c>
      <c r="H1513" t="s">
        <v>142</v>
      </c>
      <c r="I1513" t="s">
        <v>45</v>
      </c>
      <c r="J1513" t="s">
        <v>84</v>
      </c>
      <c r="K1513" t="s">
        <v>25</v>
      </c>
      <c r="L1513">
        <v>3.6</v>
      </c>
      <c r="M1513" t="s">
        <v>152</v>
      </c>
      <c r="N1513" t="s">
        <v>27</v>
      </c>
      <c r="O1513" t="s">
        <v>28</v>
      </c>
      <c r="P1513" t="s">
        <v>26</v>
      </c>
      <c r="Q1513" t="s">
        <v>26</v>
      </c>
      <c r="R1513">
        <v>48</v>
      </c>
      <c r="S1513" t="s">
        <v>27</v>
      </c>
      <c r="T1513" t="str">
        <f t="shared" si="46"/>
        <v>Daily</v>
      </c>
      <c r="U1513">
        <f>VLOOKUP(T1513,[1]tablescore!$B$3:$C$8, 2,FALSE)</f>
        <v>30</v>
      </c>
      <c r="V1513" t="str">
        <f t="shared" si="47"/>
        <v>Highly Loyal</v>
      </c>
      <c r="W1513" t="s">
        <v>41</v>
      </c>
    </row>
    <row r="1514" spans="1:23" x14ac:dyDescent="0.25">
      <c r="A1514">
        <v>1513</v>
      </c>
      <c r="B1514">
        <v>60</v>
      </c>
      <c r="C1514" t="str" cm="1">
        <f t="array" ref="C1514">_xlfn.IFS(
  AND(B1514&gt;=18, B1514&lt;=24), "18-24",
  AND(B1514&gt;=25, B1514&lt;=34), "25-34",
  AND(B1514&gt;=35, B1514&lt;=44), "35-44",
  AND(B1514&gt;=45, B1514&lt;=54), "45-54",
  B1514&gt;=55, "55+"
)</f>
        <v>55+</v>
      </c>
      <c r="D1514" t="s">
        <v>19</v>
      </c>
      <c r="E1514" t="s">
        <v>51</v>
      </c>
      <c r="F1514" t="s">
        <v>43</v>
      </c>
      <c r="G1514">
        <v>23</v>
      </c>
      <c r="H1514" t="s">
        <v>148</v>
      </c>
      <c r="I1514" t="s">
        <v>23</v>
      </c>
      <c r="J1514" t="s">
        <v>67</v>
      </c>
      <c r="K1514" t="s">
        <v>25</v>
      </c>
      <c r="L1514">
        <v>3.9</v>
      </c>
      <c r="M1514" t="s">
        <v>152</v>
      </c>
      <c r="N1514" t="s">
        <v>59</v>
      </c>
      <c r="O1514" t="s">
        <v>55</v>
      </c>
      <c r="P1514" t="s">
        <v>26</v>
      </c>
      <c r="Q1514" t="s">
        <v>26</v>
      </c>
      <c r="R1514">
        <v>18</v>
      </c>
      <c r="S1514" t="s">
        <v>46</v>
      </c>
      <c r="T1514" t="str">
        <f t="shared" si="46"/>
        <v>2-week</v>
      </c>
      <c r="U1514">
        <f>VLOOKUP(T1514,[1]tablescore!$B$3:$C$8, 2,FALSE)</f>
        <v>26</v>
      </c>
      <c r="V1514" t="str">
        <f t="shared" si="47"/>
        <v>Loyal</v>
      </c>
      <c r="W1514" t="s">
        <v>77</v>
      </c>
    </row>
    <row r="1515" spans="1:23" x14ac:dyDescent="0.25">
      <c r="A1515">
        <v>1514</v>
      </c>
      <c r="B1515">
        <v>22</v>
      </c>
      <c r="C1515" t="str" cm="1">
        <f t="array" ref="C1515">_xlfn.IFS(
  AND(B1515&gt;=18, B1515&lt;=24), "18-24",
  AND(B1515&gt;=25, B1515&lt;=34), "25-34",
  AND(B1515&gt;=35, B1515&lt;=44), "35-44",
  AND(B1515&gt;=45, B1515&lt;=54), "45-54",
  B1515&gt;=55, "55+"
)</f>
        <v>18-24</v>
      </c>
      <c r="D1515" t="s">
        <v>19</v>
      </c>
      <c r="E1515" t="s">
        <v>131</v>
      </c>
      <c r="F1515" t="s">
        <v>21</v>
      </c>
      <c r="G1515">
        <v>35</v>
      </c>
      <c r="H1515" t="s">
        <v>105</v>
      </c>
      <c r="I1515" t="s">
        <v>45</v>
      </c>
      <c r="J1515" t="s">
        <v>108</v>
      </c>
      <c r="K1515" t="s">
        <v>39</v>
      </c>
      <c r="L1515">
        <v>4.0999999999999996</v>
      </c>
      <c r="M1515" t="s">
        <v>152</v>
      </c>
      <c r="N1515" t="s">
        <v>46</v>
      </c>
      <c r="O1515" t="s">
        <v>40</v>
      </c>
      <c r="P1515" t="s">
        <v>26</v>
      </c>
      <c r="Q1515" t="s">
        <v>26</v>
      </c>
      <c r="R1515">
        <v>27</v>
      </c>
      <c r="S1515" t="s">
        <v>35</v>
      </c>
      <c r="T1515" t="str">
        <f t="shared" si="46"/>
        <v>Month</v>
      </c>
      <c r="U1515">
        <f>VLOOKUP(T1515,[1]tablescore!$B$3:$C$8, 2,FALSE)</f>
        <v>12</v>
      </c>
      <c r="V1515" t="str">
        <f t="shared" si="47"/>
        <v>Moderate</v>
      </c>
      <c r="W1515" t="s">
        <v>88</v>
      </c>
    </row>
    <row r="1516" spans="1:23" x14ac:dyDescent="0.25">
      <c r="A1516">
        <v>1515</v>
      </c>
      <c r="B1516">
        <v>26</v>
      </c>
      <c r="C1516" t="str" cm="1">
        <f t="array" ref="C1516">_xlfn.IFS(
  AND(B1516&gt;=18, B1516&lt;=24), "18-24",
  AND(B1516&gt;=25, B1516&lt;=34), "25-34",
  AND(B1516&gt;=35, B1516&lt;=44), "35-44",
  AND(B1516&gt;=45, B1516&lt;=54), "45-54",
  B1516&gt;=55, "55+"
)</f>
        <v>25-34</v>
      </c>
      <c r="D1516" t="s">
        <v>19</v>
      </c>
      <c r="E1516" t="s">
        <v>73</v>
      </c>
      <c r="F1516" t="s">
        <v>43</v>
      </c>
      <c r="G1516">
        <v>90</v>
      </c>
      <c r="H1516" t="s">
        <v>149</v>
      </c>
      <c r="I1516" t="s">
        <v>23</v>
      </c>
      <c r="J1516" t="s">
        <v>110</v>
      </c>
      <c r="K1516" t="s">
        <v>25</v>
      </c>
      <c r="L1516">
        <v>3.9</v>
      </c>
      <c r="M1516" t="s">
        <v>152</v>
      </c>
      <c r="N1516" t="s">
        <v>29</v>
      </c>
      <c r="O1516" t="s">
        <v>72</v>
      </c>
      <c r="P1516" t="s">
        <v>26</v>
      </c>
      <c r="Q1516" t="s">
        <v>26</v>
      </c>
      <c r="R1516">
        <v>1</v>
      </c>
      <c r="S1516" t="s">
        <v>29</v>
      </c>
      <c r="T1516" t="str">
        <f t="shared" si="46"/>
        <v>Daily</v>
      </c>
      <c r="U1516">
        <f>VLOOKUP(T1516,[1]tablescore!$B$3:$C$8, 2,FALSE)</f>
        <v>30</v>
      </c>
      <c r="V1516" t="str">
        <f t="shared" si="47"/>
        <v>Highly Loyal</v>
      </c>
      <c r="W1516" t="s">
        <v>41</v>
      </c>
    </row>
    <row r="1517" spans="1:23" x14ac:dyDescent="0.25">
      <c r="A1517">
        <v>1516</v>
      </c>
      <c r="B1517">
        <v>39</v>
      </c>
      <c r="C1517" t="str" cm="1">
        <f t="array" ref="C1517">_xlfn.IFS(
  AND(B1517&gt;=18, B1517&lt;=24), "18-24",
  AND(B1517&gt;=25, B1517&lt;=34), "25-34",
  AND(B1517&gt;=35, B1517&lt;=44), "35-44",
  AND(B1517&gt;=45, B1517&lt;=54), "45-54",
  B1517&gt;=55, "55+"
)</f>
        <v>35-44</v>
      </c>
      <c r="D1517" t="s">
        <v>19</v>
      </c>
      <c r="E1517" t="s">
        <v>36</v>
      </c>
      <c r="F1517" t="s">
        <v>21</v>
      </c>
      <c r="G1517">
        <v>93</v>
      </c>
      <c r="H1517" t="s">
        <v>116</v>
      </c>
      <c r="I1517" t="s">
        <v>38</v>
      </c>
      <c r="J1517" t="s">
        <v>49</v>
      </c>
      <c r="K1517" t="s">
        <v>58</v>
      </c>
      <c r="L1517">
        <v>3.9</v>
      </c>
      <c r="M1517" t="s">
        <v>152</v>
      </c>
      <c r="N1517" t="s">
        <v>59</v>
      </c>
      <c r="O1517" t="s">
        <v>72</v>
      </c>
      <c r="P1517" t="s">
        <v>26</v>
      </c>
      <c r="Q1517" t="s">
        <v>26</v>
      </c>
      <c r="R1517">
        <v>34</v>
      </c>
      <c r="S1517" t="s">
        <v>35</v>
      </c>
      <c r="T1517" t="str">
        <f t="shared" si="46"/>
        <v>Daily</v>
      </c>
      <c r="U1517">
        <f>VLOOKUP(T1517,[1]tablescore!$B$3:$C$8, 2,FALSE)</f>
        <v>30</v>
      </c>
      <c r="V1517" t="str">
        <f t="shared" si="47"/>
        <v>Highly Loyal</v>
      </c>
      <c r="W1517" t="s">
        <v>41</v>
      </c>
    </row>
    <row r="1518" spans="1:23" x14ac:dyDescent="0.25">
      <c r="A1518">
        <v>1517</v>
      </c>
      <c r="B1518">
        <v>20</v>
      </c>
      <c r="C1518" t="str" cm="1">
        <f t="array" ref="C1518">_xlfn.IFS(
  AND(B1518&gt;=18, B1518&lt;=24), "18-24",
  AND(B1518&gt;=25, B1518&lt;=34), "25-34",
  AND(B1518&gt;=35, B1518&lt;=44), "35-44",
  AND(B1518&gt;=45, B1518&lt;=54), "45-54",
  B1518&gt;=55, "55+"
)</f>
        <v>18-24</v>
      </c>
      <c r="D1518" t="s">
        <v>19</v>
      </c>
      <c r="E1518" t="s">
        <v>36</v>
      </c>
      <c r="F1518" t="s">
        <v>21</v>
      </c>
      <c r="G1518">
        <v>68</v>
      </c>
      <c r="H1518" t="s">
        <v>107</v>
      </c>
      <c r="I1518" t="s">
        <v>23</v>
      </c>
      <c r="J1518" t="s">
        <v>129</v>
      </c>
      <c r="K1518" t="s">
        <v>25</v>
      </c>
      <c r="L1518">
        <v>4.5</v>
      </c>
      <c r="M1518" t="s">
        <v>152</v>
      </c>
      <c r="N1518" t="s">
        <v>34</v>
      </c>
      <c r="O1518" t="s">
        <v>28</v>
      </c>
      <c r="P1518" t="s">
        <v>26</v>
      </c>
      <c r="Q1518" t="s">
        <v>26</v>
      </c>
      <c r="R1518">
        <v>5</v>
      </c>
      <c r="S1518" t="s">
        <v>34</v>
      </c>
      <c r="T1518" t="str">
        <f t="shared" si="46"/>
        <v>2-week</v>
      </c>
      <c r="U1518">
        <f>VLOOKUP(T1518,[1]tablescore!$B$3:$C$8, 2,FALSE)</f>
        <v>26</v>
      </c>
      <c r="V1518" t="str">
        <f t="shared" si="47"/>
        <v>Loyal</v>
      </c>
      <c r="W1518" t="s">
        <v>77</v>
      </c>
    </row>
    <row r="1519" spans="1:23" x14ac:dyDescent="0.25">
      <c r="A1519">
        <v>1518</v>
      </c>
      <c r="B1519">
        <v>57</v>
      </c>
      <c r="C1519" t="str" cm="1">
        <f t="array" ref="C1519">_xlfn.IFS(
  AND(B1519&gt;=18, B1519&lt;=24), "18-24",
  AND(B1519&gt;=25, B1519&lt;=34), "25-34",
  AND(B1519&gt;=35, B1519&lt;=44), "35-44",
  AND(B1519&gt;=45, B1519&lt;=54), "45-54",
  B1519&gt;=55, "55+"
)</f>
        <v>55+</v>
      </c>
      <c r="D1519" t="s">
        <v>19</v>
      </c>
      <c r="E1519" t="s">
        <v>127</v>
      </c>
      <c r="F1519" t="s">
        <v>69</v>
      </c>
      <c r="G1519">
        <v>41</v>
      </c>
      <c r="H1519" t="s">
        <v>83</v>
      </c>
      <c r="I1519" t="s">
        <v>45</v>
      </c>
      <c r="J1519" t="s">
        <v>84</v>
      </c>
      <c r="K1519" t="s">
        <v>39</v>
      </c>
      <c r="L1519">
        <v>3.4</v>
      </c>
      <c r="M1519" t="s">
        <v>152</v>
      </c>
      <c r="N1519" t="s">
        <v>46</v>
      </c>
      <c r="O1519" t="s">
        <v>55</v>
      </c>
      <c r="P1519" t="s">
        <v>26</v>
      </c>
      <c r="Q1519" t="s">
        <v>26</v>
      </c>
      <c r="R1519">
        <v>12</v>
      </c>
      <c r="S1519" t="s">
        <v>35</v>
      </c>
      <c r="T1519" t="str">
        <f t="shared" si="46"/>
        <v>Quarterly</v>
      </c>
      <c r="U1519">
        <f>VLOOKUP(T1519,[1]tablescore!$B$3:$C$8, 2,FALSE)</f>
        <v>4</v>
      </c>
      <c r="V1519" t="str">
        <f t="shared" si="47"/>
        <v>Low Loyalty</v>
      </c>
      <c r="W1519" t="s">
        <v>60</v>
      </c>
    </row>
    <row r="1520" spans="1:23" x14ac:dyDescent="0.25">
      <c r="A1520">
        <v>1519</v>
      </c>
      <c r="B1520">
        <v>68</v>
      </c>
      <c r="C1520" t="str" cm="1">
        <f t="array" ref="C1520">_xlfn.IFS(
  AND(B1520&gt;=18, B1520&lt;=24), "18-24",
  AND(B1520&gt;=25, B1520&lt;=34), "25-34",
  AND(B1520&gt;=35, B1520&lt;=44), "35-44",
  AND(B1520&gt;=45, B1520&lt;=54), "45-54",
  B1520&gt;=55, "55+"
)</f>
        <v>55+</v>
      </c>
      <c r="D1520" t="s">
        <v>19</v>
      </c>
      <c r="E1520" t="s">
        <v>136</v>
      </c>
      <c r="F1520" t="s">
        <v>69</v>
      </c>
      <c r="G1520">
        <v>73</v>
      </c>
      <c r="H1520" t="s">
        <v>85</v>
      </c>
      <c r="I1520" t="s">
        <v>45</v>
      </c>
      <c r="J1520" t="s">
        <v>139</v>
      </c>
      <c r="K1520" t="s">
        <v>25</v>
      </c>
      <c r="L1520">
        <v>4.0999999999999996</v>
      </c>
      <c r="M1520" t="s">
        <v>152</v>
      </c>
      <c r="N1520" t="s">
        <v>35</v>
      </c>
      <c r="O1520" t="s">
        <v>47</v>
      </c>
      <c r="P1520" t="s">
        <v>26</v>
      </c>
      <c r="Q1520" t="s">
        <v>26</v>
      </c>
      <c r="R1520">
        <v>14</v>
      </c>
      <c r="S1520" t="s">
        <v>29</v>
      </c>
      <c r="T1520" t="str">
        <f t="shared" si="46"/>
        <v>2-week</v>
      </c>
      <c r="U1520">
        <f>VLOOKUP(T1520,[1]tablescore!$B$3:$C$8, 2,FALSE)</f>
        <v>26</v>
      </c>
      <c r="V1520" t="str">
        <f t="shared" si="47"/>
        <v>Loyal</v>
      </c>
      <c r="W1520" t="s">
        <v>30</v>
      </c>
    </row>
    <row r="1521" spans="1:23" x14ac:dyDescent="0.25">
      <c r="A1521">
        <v>1520</v>
      </c>
      <c r="B1521">
        <v>50</v>
      </c>
      <c r="C1521" t="str" cm="1">
        <f t="array" ref="C1521">_xlfn.IFS(
  AND(B1521&gt;=18, B1521&lt;=24), "18-24",
  AND(B1521&gt;=25, B1521&lt;=34), "25-34",
  AND(B1521&gt;=35, B1521&lt;=44), "35-44",
  AND(B1521&gt;=45, B1521&lt;=54), "45-54",
  B1521&gt;=55, "55+"
)</f>
        <v>45-54</v>
      </c>
      <c r="D1521" t="s">
        <v>19</v>
      </c>
      <c r="E1521" t="s">
        <v>89</v>
      </c>
      <c r="F1521" t="s">
        <v>69</v>
      </c>
      <c r="G1521">
        <v>73</v>
      </c>
      <c r="H1521" t="s">
        <v>105</v>
      </c>
      <c r="I1521" t="s">
        <v>23</v>
      </c>
      <c r="J1521" t="s">
        <v>109</v>
      </c>
      <c r="K1521" t="s">
        <v>58</v>
      </c>
      <c r="L1521">
        <v>4.9000000000000004</v>
      </c>
      <c r="M1521" t="s">
        <v>152</v>
      </c>
      <c r="N1521" t="s">
        <v>29</v>
      </c>
      <c r="O1521" t="s">
        <v>47</v>
      </c>
      <c r="P1521" t="s">
        <v>26</v>
      </c>
      <c r="Q1521" t="s">
        <v>26</v>
      </c>
      <c r="R1521">
        <v>40</v>
      </c>
      <c r="S1521" t="s">
        <v>46</v>
      </c>
      <c r="T1521" t="str">
        <f t="shared" si="46"/>
        <v>Daily</v>
      </c>
      <c r="U1521">
        <f>VLOOKUP(T1521,[1]tablescore!$B$3:$C$8, 2,FALSE)</f>
        <v>30</v>
      </c>
      <c r="V1521" t="str">
        <f t="shared" si="47"/>
        <v>Highly Loyal</v>
      </c>
      <c r="W1521" t="s">
        <v>41</v>
      </c>
    </row>
    <row r="1522" spans="1:23" x14ac:dyDescent="0.25">
      <c r="A1522">
        <v>1521</v>
      </c>
      <c r="B1522">
        <v>21</v>
      </c>
      <c r="C1522" t="str" cm="1">
        <f t="array" ref="C1522">_xlfn.IFS(
  AND(B1522&gt;=18, B1522&lt;=24), "18-24",
  AND(B1522&gt;=25, B1522&lt;=34), "25-34",
  AND(B1522&gt;=35, B1522&lt;=44), "35-44",
  AND(B1522&gt;=45, B1522&lt;=54), "45-54",
  B1522&gt;=55, "55+"
)</f>
        <v>18-24</v>
      </c>
      <c r="D1522" t="s">
        <v>19</v>
      </c>
      <c r="E1522" t="s">
        <v>125</v>
      </c>
      <c r="F1522" t="s">
        <v>69</v>
      </c>
      <c r="G1522">
        <v>66</v>
      </c>
      <c r="H1522" t="s">
        <v>150</v>
      </c>
      <c r="I1522" t="s">
        <v>45</v>
      </c>
      <c r="J1522" t="s">
        <v>110</v>
      </c>
      <c r="K1522" t="s">
        <v>54</v>
      </c>
      <c r="L1522">
        <v>4.4000000000000004</v>
      </c>
      <c r="M1522" t="s">
        <v>152</v>
      </c>
      <c r="N1522" t="s">
        <v>29</v>
      </c>
      <c r="O1522" t="s">
        <v>72</v>
      </c>
      <c r="P1522" t="s">
        <v>26</v>
      </c>
      <c r="Q1522" t="s">
        <v>26</v>
      </c>
      <c r="R1522">
        <v>39</v>
      </c>
      <c r="S1522" t="s">
        <v>35</v>
      </c>
      <c r="T1522" t="str">
        <f t="shared" si="46"/>
        <v>Quarterly</v>
      </c>
      <c r="U1522">
        <f>VLOOKUP(T1522,[1]tablescore!$B$3:$C$8, 2,FALSE)</f>
        <v>4</v>
      </c>
      <c r="V1522" t="str">
        <f t="shared" si="47"/>
        <v>Low Loyalty</v>
      </c>
      <c r="W1522" t="s">
        <v>60</v>
      </c>
    </row>
    <row r="1523" spans="1:23" x14ac:dyDescent="0.25">
      <c r="A1523">
        <v>1522</v>
      </c>
      <c r="B1523">
        <v>29</v>
      </c>
      <c r="C1523" t="str" cm="1">
        <f t="array" ref="C1523">_xlfn.IFS(
  AND(B1523&gt;=18, B1523&lt;=24), "18-24",
  AND(B1523&gt;=25, B1523&lt;=34), "25-34",
  AND(B1523&gt;=35, B1523&lt;=44), "35-44",
  AND(B1523&gt;=45, B1523&lt;=54), "45-54",
  B1523&gt;=55, "55+"
)</f>
        <v>25-34</v>
      </c>
      <c r="D1523" t="s">
        <v>19</v>
      </c>
      <c r="E1523" t="s">
        <v>133</v>
      </c>
      <c r="F1523" t="s">
        <v>69</v>
      </c>
      <c r="G1523">
        <v>59</v>
      </c>
      <c r="H1523" t="s">
        <v>140</v>
      </c>
      <c r="I1523" t="s">
        <v>45</v>
      </c>
      <c r="J1523" t="s">
        <v>53</v>
      </c>
      <c r="K1523" t="s">
        <v>54</v>
      </c>
      <c r="L1523">
        <v>2.7</v>
      </c>
      <c r="M1523" t="s">
        <v>152</v>
      </c>
      <c r="N1523" t="s">
        <v>27</v>
      </c>
      <c r="O1523" t="s">
        <v>72</v>
      </c>
      <c r="P1523" t="s">
        <v>26</v>
      </c>
      <c r="Q1523" t="s">
        <v>26</v>
      </c>
      <c r="R1523">
        <v>50</v>
      </c>
      <c r="S1523" t="s">
        <v>34</v>
      </c>
      <c r="T1523" t="str">
        <f t="shared" si="46"/>
        <v>Daily</v>
      </c>
      <c r="U1523">
        <f>VLOOKUP(T1523,[1]tablescore!$B$3:$C$8, 2,FALSE)</f>
        <v>30</v>
      </c>
      <c r="V1523" t="str">
        <f t="shared" si="47"/>
        <v>Highly Loyal</v>
      </c>
      <c r="W1523" t="s">
        <v>41</v>
      </c>
    </row>
    <row r="1524" spans="1:23" x14ac:dyDescent="0.25">
      <c r="A1524">
        <v>1523</v>
      </c>
      <c r="B1524">
        <v>38</v>
      </c>
      <c r="C1524" t="str" cm="1">
        <f t="array" ref="C1524">_xlfn.IFS(
  AND(B1524&gt;=18, B1524&lt;=24), "18-24",
  AND(B1524&gt;=25, B1524&lt;=34), "25-34",
  AND(B1524&gt;=35, B1524&lt;=44), "35-44",
  AND(B1524&gt;=45, B1524&lt;=54), "45-54",
  B1524&gt;=55, "55+"
)</f>
        <v>35-44</v>
      </c>
      <c r="D1524" t="s">
        <v>19</v>
      </c>
      <c r="E1524" t="s">
        <v>61</v>
      </c>
      <c r="F1524" t="s">
        <v>21</v>
      </c>
      <c r="G1524">
        <v>72</v>
      </c>
      <c r="H1524" t="s">
        <v>122</v>
      </c>
      <c r="I1524" t="s">
        <v>23</v>
      </c>
      <c r="J1524" t="s">
        <v>139</v>
      </c>
      <c r="K1524" t="s">
        <v>39</v>
      </c>
      <c r="L1524">
        <v>4.8</v>
      </c>
      <c r="M1524" t="s">
        <v>152</v>
      </c>
      <c r="N1524" t="s">
        <v>29</v>
      </c>
      <c r="O1524" t="s">
        <v>40</v>
      </c>
      <c r="P1524" t="s">
        <v>26</v>
      </c>
      <c r="Q1524" t="s">
        <v>26</v>
      </c>
      <c r="R1524">
        <v>5</v>
      </c>
      <c r="S1524" t="s">
        <v>59</v>
      </c>
      <c r="T1524" t="str">
        <f t="shared" si="46"/>
        <v>Month</v>
      </c>
      <c r="U1524">
        <f>VLOOKUP(T1524,[1]tablescore!$B$3:$C$8, 2,FALSE)</f>
        <v>12</v>
      </c>
      <c r="V1524" t="str">
        <f t="shared" si="47"/>
        <v>Moderate</v>
      </c>
      <c r="W1524" t="s">
        <v>88</v>
      </c>
    </row>
    <row r="1525" spans="1:23" x14ac:dyDescent="0.25">
      <c r="A1525">
        <v>1524</v>
      </c>
      <c r="B1525">
        <v>54</v>
      </c>
      <c r="C1525" t="str" cm="1">
        <f t="array" ref="C1525">_xlfn.IFS(
  AND(B1525&gt;=18, B1525&lt;=24), "18-24",
  AND(B1525&gt;=25, B1525&lt;=34), "25-34",
  AND(B1525&gt;=35, B1525&lt;=44), "35-44",
  AND(B1525&gt;=45, B1525&lt;=54), "45-54",
  B1525&gt;=55, "55+"
)</f>
        <v>45-54</v>
      </c>
      <c r="D1525" t="s">
        <v>19</v>
      </c>
      <c r="E1525" t="s">
        <v>131</v>
      </c>
      <c r="F1525" t="s">
        <v>21</v>
      </c>
      <c r="G1525">
        <v>88</v>
      </c>
      <c r="H1525" t="s">
        <v>142</v>
      </c>
      <c r="I1525" t="s">
        <v>45</v>
      </c>
      <c r="J1525" t="s">
        <v>53</v>
      </c>
      <c r="K1525" t="s">
        <v>54</v>
      </c>
      <c r="L1525">
        <v>3.3</v>
      </c>
      <c r="M1525" t="s">
        <v>152</v>
      </c>
      <c r="N1525" t="s">
        <v>29</v>
      </c>
      <c r="O1525" t="s">
        <v>72</v>
      </c>
      <c r="P1525" t="s">
        <v>26</v>
      </c>
      <c r="Q1525" t="s">
        <v>26</v>
      </c>
      <c r="R1525">
        <v>35</v>
      </c>
      <c r="S1525" t="s">
        <v>59</v>
      </c>
      <c r="T1525" t="str">
        <f t="shared" si="46"/>
        <v>Annually</v>
      </c>
      <c r="U1525">
        <f>VLOOKUP(T1525,[1]tablescore!$B$3:$C$8, 2,FALSE)</f>
        <v>1</v>
      </c>
      <c r="V1525" t="str">
        <f t="shared" si="47"/>
        <v>Low Loyalty</v>
      </c>
      <c r="W1525" t="s">
        <v>50</v>
      </c>
    </row>
    <row r="1526" spans="1:23" x14ac:dyDescent="0.25">
      <c r="A1526">
        <v>1525</v>
      </c>
      <c r="B1526">
        <v>22</v>
      </c>
      <c r="C1526" t="str" cm="1">
        <f t="array" ref="C1526">_xlfn.IFS(
  AND(B1526&gt;=18, B1526&lt;=24), "18-24",
  AND(B1526&gt;=25, B1526&lt;=34), "25-34",
  AND(B1526&gt;=35, B1526&lt;=44), "35-44",
  AND(B1526&gt;=45, B1526&lt;=54), "45-54",
  B1526&gt;=55, "55+"
)</f>
        <v>18-24</v>
      </c>
      <c r="D1526" t="s">
        <v>19</v>
      </c>
      <c r="E1526" t="s">
        <v>131</v>
      </c>
      <c r="F1526" t="s">
        <v>21</v>
      </c>
      <c r="G1526">
        <v>76</v>
      </c>
      <c r="H1526" t="s">
        <v>37</v>
      </c>
      <c r="I1526" t="s">
        <v>23</v>
      </c>
      <c r="J1526" t="s">
        <v>71</v>
      </c>
      <c r="K1526" t="s">
        <v>54</v>
      </c>
      <c r="L1526">
        <v>4.4000000000000004</v>
      </c>
      <c r="M1526" t="s">
        <v>152</v>
      </c>
      <c r="N1526" t="s">
        <v>59</v>
      </c>
      <c r="O1526" t="s">
        <v>40</v>
      </c>
      <c r="P1526" t="s">
        <v>26</v>
      </c>
      <c r="Q1526" t="s">
        <v>26</v>
      </c>
      <c r="R1526">
        <v>6</v>
      </c>
      <c r="S1526" t="s">
        <v>35</v>
      </c>
      <c r="T1526" t="str">
        <f t="shared" si="46"/>
        <v>2-week</v>
      </c>
      <c r="U1526">
        <f>VLOOKUP(T1526,[1]tablescore!$B$3:$C$8, 2,FALSE)</f>
        <v>26</v>
      </c>
      <c r="V1526" t="str">
        <f t="shared" si="47"/>
        <v>Loyal</v>
      </c>
      <c r="W1526" t="s">
        <v>77</v>
      </c>
    </row>
    <row r="1527" spans="1:23" x14ac:dyDescent="0.25">
      <c r="A1527">
        <v>1526</v>
      </c>
      <c r="B1527">
        <v>29</v>
      </c>
      <c r="C1527" t="str" cm="1">
        <f t="array" ref="C1527">_xlfn.IFS(
  AND(B1527&gt;=18, B1527&lt;=24), "18-24",
  AND(B1527&gt;=25, B1527&lt;=34), "25-34",
  AND(B1527&gt;=35, B1527&lt;=44), "35-44",
  AND(B1527&gt;=45, B1527&lt;=54), "45-54",
  B1527&gt;=55, "55+"
)</f>
        <v>25-34</v>
      </c>
      <c r="D1527" t="s">
        <v>19</v>
      </c>
      <c r="E1527" t="s">
        <v>136</v>
      </c>
      <c r="F1527" t="s">
        <v>69</v>
      </c>
      <c r="G1527">
        <v>31</v>
      </c>
      <c r="H1527" t="s">
        <v>48</v>
      </c>
      <c r="I1527" t="s">
        <v>45</v>
      </c>
      <c r="J1527" t="s">
        <v>129</v>
      </c>
      <c r="K1527" t="s">
        <v>25</v>
      </c>
      <c r="L1527">
        <v>4.5999999999999996</v>
      </c>
      <c r="M1527" t="s">
        <v>152</v>
      </c>
      <c r="N1527" t="s">
        <v>59</v>
      </c>
      <c r="O1527" t="s">
        <v>72</v>
      </c>
      <c r="P1527" t="s">
        <v>26</v>
      </c>
      <c r="Q1527" t="s">
        <v>26</v>
      </c>
      <c r="R1527">
        <v>22</v>
      </c>
      <c r="S1527" t="s">
        <v>35</v>
      </c>
      <c r="T1527" t="str">
        <f t="shared" si="46"/>
        <v>2-week</v>
      </c>
      <c r="U1527">
        <f>VLOOKUP(T1527,[1]tablescore!$B$3:$C$8, 2,FALSE)</f>
        <v>26</v>
      </c>
      <c r="V1527" t="str">
        <f t="shared" si="47"/>
        <v>Loyal</v>
      </c>
      <c r="W1527" t="s">
        <v>30</v>
      </c>
    </row>
    <row r="1528" spans="1:23" x14ac:dyDescent="0.25">
      <c r="A1528">
        <v>1527</v>
      </c>
      <c r="B1528">
        <v>41</v>
      </c>
      <c r="C1528" t="str" cm="1">
        <f t="array" ref="C1528">_xlfn.IFS(
  AND(B1528&gt;=18, B1528&lt;=24), "18-24",
  AND(B1528&gt;=25, B1528&lt;=34), "25-34",
  AND(B1528&gt;=35, B1528&lt;=44), "35-44",
  AND(B1528&gt;=45, B1528&lt;=54), "45-54",
  B1528&gt;=55, "55+"
)</f>
        <v>35-44</v>
      </c>
      <c r="D1528" t="s">
        <v>19</v>
      </c>
      <c r="E1528" t="s">
        <v>102</v>
      </c>
      <c r="F1528" t="s">
        <v>65</v>
      </c>
      <c r="G1528">
        <v>22</v>
      </c>
      <c r="H1528" t="s">
        <v>101</v>
      </c>
      <c r="I1528" t="s">
        <v>23</v>
      </c>
      <c r="J1528" t="s">
        <v>53</v>
      </c>
      <c r="K1528" t="s">
        <v>54</v>
      </c>
      <c r="L1528">
        <v>3.1</v>
      </c>
      <c r="M1528" t="s">
        <v>152</v>
      </c>
      <c r="N1528" t="s">
        <v>46</v>
      </c>
      <c r="O1528" t="s">
        <v>47</v>
      </c>
      <c r="P1528" t="s">
        <v>26</v>
      </c>
      <c r="Q1528" t="s">
        <v>26</v>
      </c>
      <c r="R1528">
        <v>27</v>
      </c>
      <c r="S1528" t="s">
        <v>46</v>
      </c>
      <c r="T1528" t="str">
        <f t="shared" si="46"/>
        <v>Month</v>
      </c>
      <c r="U1528">
        <f>VLOOKUP(T1528,[1]tablescore!$B$3:$C$8, 2,FALSE)</f>
        <v>12</v>
      </c>
      <c r="V1528" t="str">
        <f t="shared" si="47"/>
        <v>Moderate</v>
      </c>
      <c r="W1528" t="s">
        <v>88</v>
      </c>
    </row>
    <row r="1529" spans="1:23" x14ac:dyDescent="0.25">
      <c r="A1529">
        <v>1528</v>
      </c>
      <c r="B1529">
        <v>26</v>
      </c>
      <c r="C1529" t="str" cm="1">
        <f t="array" ref="C1529">_xlfn.IFS(
  AND(B1529&gt;=18, B1529&lt;=24), "18-24",
  AND(B1529&gt;=25, B1529&lt;=34), "25-34",
  AND(B1529&gt;=35, B1529&lt;=44), "35-44",
  AND(B1529&gt;=45, B1529&lt;=54), "45-54",
  B1529&gt;=55, "55+"
)</f>
        <v>25-34</v>
      </c>
      <c r="D1529" t="s">
        <v>19</v>
      </c>
      <c r="E1529" t="s">
        <v>125</v>
      </c>
      <c r="F1529" t="s">
        <v>69</v>
      </c>
      <c r="G1529">
        <v>75</v>
      </c>
      <c r="H1529" t="s">
        <v>148</v>
      </c>
      <c r="I1529" t="s">
        <v>23</v>
      </c>
      <c r="J1529" t="s">
        <v>108</v>
      </c>
      <c r="K1529" t="s">
        <v>58</v>
      </c>
      <c r="L1529">
        <v>4.5</v>
      </c>
      <c r="M1529" t="s">
        <v>152</v>
      </c>
      <c r="N1529" t="s">
        <v>34</v>
      </c>
      <c r="O1529" t="s">
        <v>72</v>
      </c>
      <c r="P1529" t="s">
        <v>26</v>
      </c>
      <c r="Q1529" t="s">
        <v>26</v>
      </c>
      <c r="R1529">
        <v>33</v>
      </c>
      <c r="S1529" t="s">
        <v>59</v>
      </c>
      <c r="T1529" t="str">
        <f t="shared" si="46"/>
        <v>2-week</v>
      </c>
      <c r="U1529">
        <f>VLOOKUP(T1529,[1]tablescore!$B$3:$C$8, 2,FALSE)</f>
        <v>26</v>
      </c>
      <c r="V1529" t="str">
        <f t="shared" si="47"/>
        <v>Loyal</v>
      </c>
      <c r="W1529" t="s">
        <v>30</v>
      </c>
    </row>
    <row r="1530" spans="1:23" x14ac:dyDescent="0.25">
      <c r="A1530">
        <v>1529</v>
      </c>
      <c r="B1530">
        <v>69</v>
      </c>
      <c r="C1530" t="str" cm="1">
        <f t="array" ref="C1530">_xlfn.IFS(
  AND(B1530&gt;=18, B1530&lt;=24), "18-24",
  AND(B1530&gt;=25, B1530&lt;=34), "25-34",
  AND(B1530&gt;=35, B1530&lt;=44), "35-44",
  AND(B1530&gt;=45, B1530&lt;=54), "45-54",
  B1530&gt;=55, "55+"
)</f>
        <v>55+</v>
      </c>
      <c r="D1530" t="s">
        <v>19</v>
      </c>
      <c r="E1530" t="s">
        <v>113</v>
      </c>
      <c r="F1530" t="s">
        <v>21</v>
      </c>
      <c r="G1530">
        <v>75</v>
      </c>
      <c r="H1530" t="s">
        <v>48</v>
      </c>
      <c r="I1530" t="s">
        <v>38</v>
      </c>
      <c r="J1530" t="s">
        <v>108</v>
      </c>
      <c r="K1530" t="s">
        <v>39</v>
      </c>
      <c r="L1530">
        <v>4</v>
      </c>
      <c r="M1530" t="s">
        <v>152</v>
      </c>
      <c r="N1530" t="s">
        <v>27</v>
      </c>
      <c r="O1530" t="s">
        <v>76</v>
      </c>
      <c r="P1530" t="s">
        <v>26</v>
      </c>
      <c r="Q1530" t="s">
        <v>26</v>
      </c>
      <c r="R1530">
        <v>47</v>
      </c>
      <c r="S1530" t="s">
        <v>29</v>
      </c>
      <c r="T1530" t="str">
        <f t="shared" si="46"/>
        <v>2-week</v>
      </c>
      <c r="U1530">
        <f>VLOOKUP(T1530,[1]tablescore!$B$3:$C$8, 2,FALSE)</f>
        <v>26</v>
      </c>
      <c r="V1530" t="str">
        <f t="shared" si="47"/>
        <v>Loyal</v>
      </c>
      <c r="W1530" t="s">
        <v>77</v>
      </c>
    </row>
    <row r="1531" spans="1:23" x14ac:dyDescent="0.25">
      <c r="A1531">
        <v>1530</v>
      </c>
      <c r="B1531">
        <v>20</v>
      </c>
      <c r="C1531" t="str" cm="1">
        <f t="array" ref="C1531">_xlfn.IFS(
  AND(B1531&gt;=18, B1531&lt;=24), "18-24",
  AND(B1531&gt;=25, B1531&lt;=34), "25-34",
  AND(B1531&gt;=35, B1531&lt;=44), "35-44",
  AND(B1531&gt;=45, B1531&lt;=54), "45-54",
  B1531&gt;=55, "55+"
)</f>
        <v>18-24</v>
      </c>
      <c r="D1531" t="s">
        <v>19</v>
      </c>
      <c r="E1531" t="s">
        <v>133</v>
      </c>
      <c r="F1531" t="s">
        <v>69</v>
      </c>
      <c r="G1531">
        <v>63</v>
      </c>
      <c r="H1531" t="s">
        <v>142</v>
      </c>
      <c r="I1531" t="s">
        <v>45</v>
      </c>
      <c r="J1531" t="s">
        <v>93</v>
      </c>
      <c r="K1531" t="s">
        <v>25</v>
      </c>
      <c r="L1531">
        <v>3.1</v>
      </c>
      <c r="M1531" t="s">
        <v>152</v>
      </c>
      <c r="N1531" t="s">
        <v>29</v>
      </c>
      <c r="O1531" t="s">
        <v>40</v>
      </c>
      <c r="P1531" t="s">
        <v>26</v>
      </c>
      <c r="Q1531" t="s">
        <v>26</v>
      </c>
      <c r="R1531">
        <v>48</v>
      </c>
      <c r="S1531" t="s">
        <v>27</v>
      </c>
      <c r="T1531" t="str">
        <f t="shared" si="46"/>
        <v>2-week</v>
      </c>
      <c r="U1531">
        <f>VLOOKUP(T1531,[1]tablescore!$B$3:$C$8, 2,FALSE)</f>
        <v>26</v>
      </c>
      <c r="V1531" t="str">
        <f t="shared" si="47"/>
        <v>Loyal</v>
      </c>
      <c r="W1531" t="s">
        <v>77</v>
      </c>
    </row>
    <row r="1532" spans="1:23" x14ac:dyDescent="0.25">
      <c r="A1532">
        <v>1531</v>
      </c>
      <c r="B1532">
        <v>59</v>
      </c>
      <c r="C1532" t="str" cm="1">
        <f t="array" ref="C1532">_xlfn.IFS(
  AND(B1532&gt;=18, B1532&lt;=24), "18-24",
  AND(B1532&gt;=25, B1532&lt;=34), "25-34",
  AND(B1532&gt;=35, B1532&lt;=44), "35-44",
  AND(B1532&gt;=45, B1532&lt;=54), "45-54",
  B1532&gt;=55, "55+"
)</f>
        <v>55+</v>
      </c>
      <c r="D1532" t="s">
        <v>19</v>
      </c>
      <c r="E1532" t="s">
        <v>64</v>
      </c>
      <c r="F1532" t="s">
        <v>65</v>
      </c>
      <c r="G1532">
        <v>21</v>
      </c>
      <c r="H1532" t="s">
        <v>123</v>
      </c>
      <c r="I1532" t="s">
        <v>45</v>
      </c>
      <c r="J1532" t="s">
        <v>86</v>
      </c>
      <c r="K1532" t="s">
        <v>39</v>
      </c>
      <c r="L1532">
        <v>3.9</v>
      </c>
      <c r="M1532" t="s">
        <v>152</v>
      </c>
      <c r="N1532" t="s">
        <v>29</v>
      </c>
      <c r="O1532" t="s">
        <v>47</v>
      </c>
      <c r="P1532" t="s">
        <v>26</v>
      </c>
      <c r="Q1532" t="s">
        <v>26</v>
      </c>
      <c r="R1532">
        <v>22</v>
      </c>
      <c r="S1532" t="s">
        <v>34</v>
      </c>
      <c r="T1532" t="str">
        <f t="shared" si="46"/>
        <v>Quarterly</v>
      </c>
      <c r="U1532">
        <f>VLOOKUP(T1532,[1]tablescore!$B$3:$C$8, 2,FALSE)</f>
        <v>4</v>
      </c>
      <c r="V1532" t="str">
        <f t="shared" si="47"/>
        <v>Low Loyalty</v>
      </c>
      <c r="W1532" t="s">
        <v>60</v>
      </c>
    </row>
    <row r="1533" spans="1:23" x14ac:dyDescent="0.25">
      <c r="A1533">
        <v>1532</v>
      </c>
      <c r="B1533">
        <v>63</v>
      </c>
      <c r="C1533" t="str" cm="1">
        <f t="array" ref="C1533">_xlfn.IFS(
  AND(B1533&gt;=18, B1533&lt;=24), "18-24",
  AND(B1533&gt;=25, B1533&lt;=34), "25-34",
  AND(B1533&gt;=35, B1533&lt;=44), "35-44",
  AND(B1533&gt;=45, B1533&lt;=54), "45-54",
  B1533&gt;=55, "55+"
)</f>
        <v>55+</v>
      </c>
      <c r="D1533" t="s">
        <v>19</v>
      </c>
      <c r="E1533" t="s">
        <v>133</v>
      </c>
      <c r="F1533" t="s">
        <v>69</v>
      </c>
      <c r="G1533">
        <v>83</v>
      </c>
      <c r="H1533" t="s">
        <v>91</v>
      </c>
      <c r="I1533" t="s">
        <v>38</v>
      </c>
      <c r="J1533" t="s">
        <v>84</v>
      </c>
      <c r="K1533" t="s">
        <v>39</v>
      </c>
      <c r="L1533">
        <v>4.5</v>
      </c>
      <c r="M1533" t="s">
        <v>152</v>
      </c>
      <c r="N1533" t="s">
        <v>35</v>
      </c>
      <c r="O1533" t="s">
        <v>47</v>
      </c>
      <c r="P1533" t="s">
        <v>26</v>
      </c>
      <c r="Q1533" t="s">
        <v>26</v>
      </c>
      <c r="R1533">
        <v>8</v>
      </c>
      <c r="S1533" t="s">
        <v>46</v>
      </c>
      <c r="T1533" t="str">
        <f t="shared" si="46"/>
        <v>2-week</v>
      </c>
      <c r="U1533">
        <f>VLOOKUP(T1533,[1]tablescore!$B$3:$C$8, 2,FALSE)</f>
        <v>26</v>
      </c>
      <c r="V1533" t="str">
        <f t="shared" si="47"/>
        <v>Loyal</v>
      </c>
      <c r="W1533" t="s">
        <v>77</v>
      </c>
    </row>
    <row r="1534" spans="1:23" x14ac:dyDescent="0.25">
      <c r="A1534">
        <v>1533</v>
      </c>
      <c r="B1534">
        <v>68</v>
      </c>
      <c r="C1534" t="str" cm="1">
        <f t="array" ref="C1534">_xlfn.IFS(
  AND(B1534&gt;=18, B1534&lt;=24), "18-24",
  AND(B1534&gt;=25, B1534&lt;=34), "25-34",
  AND(B1534&gt;=35, B1534&lt;=44), "35-44",
  AND(B1534&gt;=45, B1534&lt;=54), "45-54",
  B1534&gt;=55, "55+"
)</f>
        <v>55+</v>
      </c>
      <c r="D1534" t="s">
        <v>19</v>
      </c>
      <c r="E1534" t="s">
        <v>102</v>
      </c>
      <c r="F1534" t="s">
        <v>65</v>
      </c>
      <c r="G1534">
        <v>46</v>
      </c>
      <c r="H1534" t="s">
        <v>148</v>
      </c>
      <c r="I1534" t="s">
        <v>38</v>
      </c>
      <c r="J1534" t="s">
        <v>67</v>
      </c>
      <c r="K1534" t="s">
        <v>25</v>
      </c>
      <c r="L1534">
        <v>4.4000000000000004</v>
      </c>
      <c r="M1534" t="s">
        <v>152</v>
      </c>
      <c r="N1534" t="s">
        <v>46</v>
      </c>
      <c r="O1534" t="s">
        <v>47</v>
      </c>
      <c r="P1534" t="s">
        <v>26</v>
      </c>
      <c r="Q1534" t="s">
        <v>26</v>
      </c>
      <c r="R1534">
        <v>5</v>
      </c>
      <c r="S1534" t="s">
        <v>46</v>
      </c>
      <c r="T1534" t="str">
        <f t="shared" si="46"/>
        <v>Quarterly</v>
      </c>
      <c r="U1534">
        <f>VLOOKUP(T1534,[1]tablescore!$B$3:$C$8, 2,FALSE)</f>
        <v>4</v>
      </c>
      <c r="V1534" t="str">
        <f t="shared" si="47"/>
        <v>Low Loyalty</v>
      </c>
      <c r="W1534" t="s">
        <v>97</v>
      </c>
    </row>
    <row r="1535" spans="1:23" x14ac:dyDescent="0.25">
      <c r="A1535">
        <v>1534</v>
      </c>
      <c r="B1535">
        <v>50</v>
      </c>
      <c r="C1535" t="str" cm="1">
        <f t="array" ref="C1535">_xlfn.IFS(
  AND(B1535&gt;=18, B1535&lt;=24), "18-24",
  AND(B1535&gt;=25, B1535&lt;=34), "25-34",
  AND(B1535&gt;=35, B1535&lt;=44), "35-44",
  AND(B1535&gt;=45, B1535&lt;=54), "45-54",
  B1535&gt;=55, "55+"
)</f>
        <v>45-54</v>
      </c>
      <c r="D1535" t="s">
        <v>19</v>
      </c>
      <c r="E1535" t="s">
        <v>73</v>
      </c>
      <c r="F1535" t="s">
        <v>43</v>
      </c>
      <c r="G1535">
        <v>59</v>
      </c>
      <c r="H1535" t="s">
        <v>83</v>
      </c>
      <c r="I1535" t="s">
        <v>45</v>
      </c>
      <c r="J1535" t="s">
        <v>81</v>
      </c>
      <c r="K1535" t="s">
        <v>54</v>
      </c>
      <c r="L1535">
        <v>3.6</v>
      </c>
      <c r="M1535" t="s">
        <v>152</v>
      </c>
      <c r="N1535" t="s">
        <v>34</v>
      </c>
      <c r="O1535" t="s">
        <v>72</v>
      </c>
      <c r="P1535" t="s">
        <v>26</v>
      </c>
      <c r="Q1535" t="s">
        <v>26</v>
      </c>
      <c r="R1535">
        <v>16</v>
      </c>
      <c r="S1535" t="s">
        <v>34</v>
      </c>
      <c r="T1535" t="str">
        <f t="shared" si="46"/>
        <v>Quarterly</v>
      </c>
      <c r="U1535">
        <f>VLOOKUP(T1535,[1]tablescore!$B$3:$C$8, 2,FALSE)</f>
        <v>4</v>
      </c>
      <c r="V1535" t="str">
        <f t="shared" si="47"/>
        <v>Low Loyalty</v>
      </c>
      <c r="W1535" t="s">
        <v>60</v>
      </c>
    </row>
    <row r="1536" spans="1:23" x14ac:dyDescent="0.25">
      <c r="A1536">
        <v>1535</v>
      </c>
      <c r="B1536">
        <v>55</v>
      </c>
      <c r="C1536" t="str" cm="1">
        <f t="array" ref="C1536">_xlfn.IFS(
  AND(B1536&gt;=18, B1536&lt;=24), "18-24",
  AND(B1536&gt;=25, B1536&lt;=34), "25-34",
  AND(B1536&gt;=35, B1536&lt;=44), "35-44",
  AND(B1536&gt;=45, B1536&lt;=54), "45-54",
  B1536&gt;=55, "55+"
)</f>
        <v>55+</v>
      </c>
      <c r="D1536" t="s">
        <v>19</v>
      </c>
      <c r="E1536" t="s">
        <v>20</v>
      </c>
      <c r="F1536" t="s">
        <v>21</v>
      </c>
      <c r="G1536">
        <v>66</v>
      </c>
      <c r="H1536" t="s">
        <v>52</v>
      </c>
      <c r="I1536" t="s">
        <v>45</v>
      </c>
      <c r="J1536" t="s">
        <v>96</v>
      </c>
      <c r="K1536" t="s">
        <v>54</v>
      </c>
      <c r="L1536">
        <v>3.4</v>
      </c>
      <c r="M1536" t="s">
        <v>152</v>
      </c>
      <c r="N1536" t="s">
        <v>29</v>
      </c>
      <c r="O1536" t="s">
        <v>40</v>
      </c>
      <c r="P1536" t="s">
        <v>26</v>
      </c>
      <c r="Q1536" t="s">
        <v>26</v>
      </c>
      <c r="R1536">
        <v>26</v>
      </c>
      <c r="S1536" t="s">
        <v>29</v>
      </c>
      <c r="T1536" t="str">
        <f t="shared" si="46"/>
        <v>2-week</v>
      </c>
      <c r="U1536">
        <f>VLOOKUP(T1536,[1]tablescore!$B$3:$C$8, 2,FALSE)</f>
        <v>26</v>
      </c>
      <c r="V1536" t="str">
        <f t="shared" si="47"/>
        <v>Loyal</v>
      </c>
      <c r="W1536" t="s">
        <v>30</v>
      </c>
    </row>
    <row r="1537" spans="1:23" x14ac:dyDescent="0.25">
      <c r="A1537">
        <v>1536</v>
      </c>
      <c r="B1537">
        <v>36</v>
      </c>
      <c r="C1537" t="str" cm="1">
        <f t="array" ref="C1537">_xlfn.IFS(
  AND(B1537&gt;=18, B1537&lt;=24), "18-24",
  AND(B1537&gt;=25, B1537&lt;=34), "25-34",
  AND(B1537&gt;=35, B1537&lt;=44), "35-44",
  AND(B1537&gt;=45, B1537&lt;=54), "45-54",
  B1537&gt;=55, "55+"
)</f>
        <v>35-44</v>
      </c>
      <c r="D1537" t="s">
        <v>19</v>
      </c>
      <c r="E1537" t="s">
        <v>42</v>
      </c>
      <c r="F1537" t="s">
        <v>43</v>
      </c>
      <c r="G1537">
        <v>74</v>
      </c>
      <c r="H1537" t="s">
        <v>66</v>
      </c>
      <c r="I1537" t="s">
        <v>38</v>
      </c>
      <c r="J1537" t="s">
        <v>49</v>
      </c>
      <c r="K1537" t="s">
        <v>58</v>
      </c>
      <c r="L1537">
        <v>4</v>
      </c>
      <c r="M1537" t="s">
        <v>152</v>
      </c>
      <c r="N1537" t="s">
        <v>46</v>
      </c>
      <c r="O1537" t="s">
        <v>72</v>
      </c>
      <c r="P1537" t="s">
        <v>26</v>
      </c>
      <c r="Q1537" t="s">
        <v>26</v>
      </c>
      <c r="R1537">
        <v>8</v>
      </c>
      <c r="S1537" t="s">
        <v>29</v>
      </c>
      <c r="T1537" t="str">
        <f t="shared" si="46"/>
        <v>Month</v>
      </c>
      <c r="U1537">
        <f>VLOOKUP(T1537,[1]tablescore!$B$3:$C$8, 2,FALSE)</f>
        <v>12</v>
      </c>
      <c r="V1537" t="str">
        <f t="shared" si="47"/>
        <v>Moderate</v>
      </c>
      <c r="W1537" t="s">
        <v>88</v>
      </c>
    </row>
    <row r="1538" spans="1:23" x14ac:dyDescent="0.25">
      <c r="A1538">
        <v>1537</v>
      </c>
      <c r="B1538">
        <v>18</v>
      </c>
      <c r="C1538" t="str" cm="1">
        <f t="array" ref="C1538">_xlfn.IFS(
  AND(B1538&gt;=18, B1538&lt;=24), "18-24",
  AND(B1538&gt;=25, B1538&lt;=34), "25-34",
  AND(B1538&gt;=35, B1538&lt;=44), "35-44",
  AND(B1538&gt;=45, B1538&lt;=54), "45-54",
  B1538&gt;=55, "55+"
)</f>
        <v>18-24</v>
      </c>
      <c r="D1538" t="s">
        <v>19</v>
      </c>
      <c r="E1538" t="s">
        <v>89</v>
      </c>
      <c r="F1538" t="s">
        <v>69</v>
      </c>
      <c r="G1538">
        <v>82</v>
      </c>
      <c r="H1538" t="s">
        <v>151</v>
      </c>
      <c r="I1538" t="s">
        <v>45</v>
      </c>
      <c r="J1538" t="s">
        <v>129</v>
      </c>
      <c r="K1538" t="s">
        <v>54</v>
      </c>
      <c r="L1538">
        <v>2.6</v>
      </c>
      <c r="M1538" t="s">
        <v>152</v>
      </c>
      <c r="N1538" t="s">
        <v>35</v>
      </c>
      <c r="O1538" t="s">
        <v>76</v>
      </c>
      <c r="P1538" t="s">
        <v>26</v>
      </c>
      <c r="Q1538" t="s">
        <v>26</v>
      </c>
      <c r="R1538">
        <v>17</v>
      </c>
      <c r="S1538" t="s">
        <v>35</v>
      </c>
      <c r="T1538" t="str">
        <f t="shared" si="46"/>
        <v>Quarterly</v>
      </c>
      <c r="U1538">
        <f>VLOOKUP(T1538,[1]tablescore!$B$3:$C$8, 2,FALSE)</f>
        <v>4</v>
      </c>
      <c r="V1538" t="str">
        <f t="shared" si="47"/>
        <v>Low Loyalty</v>
      </c>
      <c r="W1538" t="s">
        <v>60</v>
      </c>
    </row>
    <row r="1539" spans="1:23" x14ac:dyDescent="0.25">
      <c r="A1539">
        <v>1538</v>
      </c>
      <c r="B1539">
        <v>68</v>
      </c>
      <c r="C1539" t="str" cm="1">
        <f t="array" ref="C1539">_xlfn.IFS(
  AND(B1539&gt;=18, B1539&lt;=24), "18-24",
  AND(B1539&gt;=25, B1539&lt;=34), "25-34",
  AND(B1539&gt;=35, B1539&lt;=44), "35-44",
  AND(B1539&gt;=45, B1539&lt;=54), "45-54",
  B1539&gt;=55, "55+"
)</f>
        <v>55+</v>
      </c>
      <c r="D1539" t="s">
        <v>19</v>
      </c>
      <c r="E1539" t="s">
        <v>73</v>
      </c>
      <c r="F1539" t="s">
        <v>43</v>
      </c>
      <c r="G1539">
        <v>89</v>
      </c>
      <c r="H1539" t="s">
        <v>120</v>
      </c>
      <c r="I1539" t="s">
        <v>23</v>
      </c>
      <c r="J1539" t="s">
        <v>94</v>
      </c>
      <c r="K1539" t="s">
        <v>39</v>
      </c>
      <c r="L1539">
        <v>3.2</v>
      </c>
      <c r="M1539" t="s">
        <v>152</v>
      </c>
      <c r="N1539" t="s">
        <v>34</v>
      </c>
      <c r="O1539" t="s">
        <v>47</v>
      </c>
      <c r="P1539" t="s">
        <v>26</v>
      </c>
      <c r="Q1539" t="s">
        <v>26</v>
      </c>
      <c r="R1539">
        <v>50</v>
      </c>
      <c r="S1539" t="s">
        <v>29</v>
      </c>
      <c r="T1539" t="str">
        <f t="shared" ref="T1539:T1602" si="48">IF(TRIM(W1539)="Every 3 months","Quarterly",IF(TRIM(W1539)="Fortnightly","2-week",IF(TRIM(W1539)="Bi-Weekly","2-week",IF(TRIM(W1539)="Weekly","Daily",IF(TRIM(W1539)="Monthly","Month",TRIM(W1539))))))</f>
        <v>Annually</v>
      </c>
      <c r="U1539">
        <f>VLOOKUP(T1539,[1]tablescore!$B$3:$C$8, 2,FALSE)</f>
        <v>1</v>
      </c>
      <c r="V1539" t="str">
        <f t="shared" ref="V1539:V1602" si="49">_xlfn.IFS(U1539&gt;=30, "Highly Loyal", U1539&gt;=26, "Loyal", U1539&gt;=12, "Moderate", U1539&lt;5, "Low Loyalty")</f>
        <v>Low Loyalty</v>
      </c>
      <c r="W1539" t="s">
        <v>50</v>
      </c>
    </row>
    <row r="1540" spans="1:23" x14ac:dyDescent="0.25">
      <c r="A1540">
        <v>1539</v>
      </c>
      <c r="B1540">
        <v>56</v>
      </c>
      <c r="C1540" t="str" cm="1">
        <f t="array" ref="C1540">_xlfn.IFS(
  AND(B1540&gt;=18, B1540&lt;=24), "18-24",
  AND(B1540&gt;=25, B1540&lt;=34), "25-34",
  AND(B1540&gt;=35, B1540&lt;=44), "35-44",
  AND(B1540&gt;=45, B1540&lt;=54), "45-54",
  B1540&gt;=55, "55+"
)</f>
        <v>55+</v>
      </c>
      <c r="D1540" t="s">
        <v>19</v>
      </c>
      <c r="E1540" t="s">
        <v>82</v>
      </c>
      <c r="F1540" t="s">
        <v>21</v>
      </c>
      <c r="G1540">
        <v>65</v>
      </c>
      <c r="H1540" t="s">
        <v>115</v>
      </c>
      <c r="I1540" t="s">
        <v>23</v>
      </c>
      <c r="J1540" t="s">
        <v>63</v>
      </c>
      <c r="K1540" t="s">
        <v>58</v>
      </c>
      <c r="L1540">
        <v>3.2</v>
      </c>
      <c r="M1540" t="s">
        <v>152</v>
      </c>
      <c r="N1540" t="s">
        <v>34</v>
      </c>
      <c r="O1540" t="s">
        <v>55</v>
      </c>
      <c r="P1540" t="s">
        <v>26</v>
      </c>
      <c r="Q1540" t="s">
        <v>26</v>
      </c>
      <c r="R1540">
        <v>22</v>
      </c>
      <c r="S1540" t="s">
        <v>29</v>
      </c>
      <c r="T1540" t="str">
        <f t="shared" si="48"/>
        <v>2-week</v>
      </c>
      <c r="U1540">
        <f>VLOOKUP(T1540,[1]tablescore!$B$3:$C$8, 2,FALSE)</f>
        <v>26</v>
      </c>
      <c r="V1540" t="str">
        <f t="shared" si="49"/>
        <v>Loyal</v>
      </c>
      <c r="W1540" t="s">
        <v>77</v>
      </c>
    </row>
    <row r="1541" spans="1:23" x14ac:dyDescent="0.25">
      <c r="A1541">
        <v>1540</v>
      </c>
      <c r="B1541">
        <v>32</v>
      </c>
      <c r="C1541" t="str" cm="1">
        <f t="array" ref="C1541">_xlfn.IFS(
  AND(B1541&gt;=18, B1541&lt;=24), "18-24",
  AND(B1541&gt;=25, B1541&lt;=34), "25-34",
  AND(B1541&gt;=35, B1541&lt;=44), "35-44",
  AND(B1541&gt;=45, B1541&lt;=54), "45-54",
  B1541&gt;=55, "55+"
)</f>
        <v>25-34</v>
      </c>
      <c r="D1541" t="s">
        <v>19</v>
      </c>
      <c r="E1541" t="s">
        <v>136</v>
      </c>
      <c r="F1541" t="s">
        <v>69</v>
      </c>
      <c r="G1541">
        <v>55</v>
      </c>
      <c r="H1541" t="s">
        <v>78</v>
      </c>
      <c r="I1541" t="s">
        <v>45</v>
      </c>
      <c r="J1541" t="s">
        <v>49</v>
      </c>
      <c r="K1541" t="s">
        <v>39</v>
      </c>
      <c r="L1541">
        <v>5</v>
      </c>
      <c r="M1541" t="s">
        <v>152</v>
      </c>
      <c r="N1541" t="s">
        <v>27</v>
      </c>
      <c r="O1541" t="s">
        <v>72</v>
      </c>
      <c r="P1541" t="s">
        <v>26</v>
      </c>
      <c r="Q1541" t="s">
        <v>26</v>
      </c>
      <c r="R1541">
        <v>19</v>
      </c>
      <c r="S1541" t="s">
        <v>35</v>
      </c>
      <c r="T1541" t="str">
        <f t="shared" si="48"/>
        <v>Quarterly</v>
      </c>
      <c r="U1541">
        <f>VLOOKUP(T1541,[1]tablescore!$B$3:$C$8, 2,FALSE)</f>
        <v>4</v>
      </c>
      <c r="V1541" t="str">
        <f t="shared" si="49"/>
        <v>Low Loyalty</v>
      </c>
      <c r="W1541" t="s">
        <v>97</v>
      </c>
    </row>
    <row r="1542" spans="1:23" x14ac:dyDescent="0.25">
      <c r="A1542">
        <v>1541</v>
      </c>
      <c r="B1542">
        <v>28</v>
      </c>
      <c r="C1542" t="str" cm="1">
        <f t="array" ref="C1542">_xlfn.IFS(
  AND(B1542&gt;=18, B1542&lt;=24), "18-24",
  AND(B1542&gt;=25, B1542&lt;=34), "25-34",
  AND(B1542&gt;=35, B1542&lt;=44), "35-44",
  AND(B1542&gt;=45, B1542&lt;=54), "45-54",
  B1542&gt;=55, "55+"
)</f>
        <v>25-34</v>
      </c>
      <c r="D1542" t="s">
        <v>19</v>
      </c>
      <c r="E1542" t="s">
        <v>61</v>
      </c>
      <c r="F1542" t="s">
        <v>21</v>
      </c>
      <c r="G1542">
        <v>95</v>
      </c>
      <c r="H1542" t="s">
        <v>112</v>
      </c>
      <c r="I1542" t="s">
        <v>45</v>
      </c>
      <c r="J1542" t="s">
        <v>108</v>
      </c>
      <c r="K1542" t="s">
        <v>25</v>
      </c>
      <c r="L1542">
        <v>2.9</v>
      </c>
      <c r="M1542" t="s">
        <v>152</v>
      </c>
      <c r="N1542" t="s">
        <v>59</v>
      </c>
      <c r="O1542" t="s">
        <v>47</v>
      </c>
      <c r="P1542" t="s">
        <v>26</v>
      </c>
      <c r="Q1542" t="s">
        <v>26</v>
      </c>
      <c r="R1542">
        <v>14</v>
      </c>
      <c r="S1542" t="s">
        <v>34</v>
      </c>
      <c r="T1542" t="str">
        <f t="shared" si="48"/>
        <v>Month</v>
      </c>
      <c r="U1542">
        <f>VLOOKUP(T1542,[1]tablescore!$B$3:$C$8, 2,FALSE)</f>
        <v>12</v>
      </c>
      <c r="V1542" t="str">
        <f t="shared" si="49"/>
        <v>Moderate</v>
      </c>
      <c r="W1542" t="s">
        <v>88</v>
      </c>
    </row>
    <row r="1543" spans="1:23" x14ac:dyDescent="0.25">
      <c r="A1543">
        <v>1542</v>
      </c>
      <c r="B1543">
        <v>24</v>
      </c>
      <c r="C1543" t="str" cm="1">
        <f t="array" ref="C1543">_xlfn.IFS(
  AND(B1543&gt;=18, B1543&lt;=24), "18-24",
  AND(B1543&gt;=25, B1543&lt;=34), "25-34",
  AND(B1543&gt;=35, B1543&lt;=44), "35-44",
  AND(B1543&gt;=45, B1543&lt;=54), "45-54",
  B1543&gt;=55, "55+"
)</f>
        <v>18-24</v>
      </c>
      <c r="D1543" t="s">
        <v>19</v>
      </c>
      <c r="E1543" t="s">
        <v>68</v>
      </c>
      <c r="F1543" t="s">
        <v>69</v>
      </c>
      <c r="G1543">
        <v>77</v>
      </c>
      <c r="H1543" t="s">
        <v>115</v>
      </c>
      <c r="I1543" t="s">
        <v>38</v>
      </c>
      <c r="J1543" t="s">
        <v>129</v>
      </c>
      <c r="K1543" t="s">
        <v>25</v>
      </c>
      <c r="L1543">
        <v>2.9</v>
      </c>
      <c r="M1543" t="s">
        <v>152</v>
      </c>
      <c r="N1543" t="s">
        <v>35</v>
      </c>
      <c r="O1543" t="s">
        <v>76</v>
      </c>
      <c r="P1543" t="s">
        <v>26</v>
      </c>
      <c r="Q1543" t="s">
        <v>26</v>
      </c>
      <c r="R1543">
        <v>35</v>
      </c>
      <c r="S1543" t="s">
        <v>35</v>
      </c>
      <c r="T1543" t="str">
        <f t="shared" si="48"/>
        <v>2-week</v>
      </c>
      <c r="U1543">
        <f>VLOOKUP(T1543,[1]tablescore!$B$3:$C$8, 2,FALSE)</f>
        <v>26</v>
      </c>
      <c r="V1543" t="str">
        <f t="shared" si="49"/>
        <v>Loyal</v>
      </c>
      <c r="W1543" t="s">
        <v>77</v>
      </c>
    </row>
    <row r="1544" spans="1:23" x14ac:dyDescent="0.25">
      <c r="A1544">
        <v>1543</v>
      </c>
      <c r="B1544">
        <v>59</v>
      </c>
      <c r="C1544" t="str" cm="1">
        <f t="array" ref="C1544">_xlfn.IFS(
  AND(B1544&gt;=18, B1544&lt;=24), "18-24",
  AND(B1544&gt;=25, B1544&lt;=34), "25-34",
  AND(B1544&gt;=35, B1544&lt;=44), "35-44",
  AND(B1544&gt;=45, B1544&lt;=54), "45-54",
  B1544&gt;=55, "55+"
)</f>
        <v>55+</v>
      </c>
      <c r="D1544" t="s">
        <v>19</v>
      </c>
      <c r="E1544" t="s">
        <v>20</v>
      </c>
      <c r="F1544" t="s">
        <v>21</v>
      </c>
      <c r="G1544">
        <v>44</v>
      </c>
      <c r="H1544" t="s">
        <v>78</v>
      </c>
      <c r="I1544" t="s">
        <v>45</v>
      </c>
      <c r="J1544" t="s">
        <v>33</v>
      </c>
      <c r="K1544" t="s">
        <v>25</v>
      </c>
      <c r="L1544">
        <v>3.5</v>
      </c>
      <c r="M1544" t="s">
        <v>152</v>
      </c>
      <c r="N1544" t="s">
        <v>29</v>
      </c>
      <c r="O1544" t="s">
        <v>47</v>
      </c>
      <c r="P1544" t="s">
        <v>26</v>
      </c>
      <c r="Q1544" t="s">
        <v>26</v>
      </c>
      <c r="R1544">
        <v>43</v>
      </c>
      <c r="S1544" t="s">
        <v>46</v>
      </c>
      <c r="T1544" t="str">
        <f t="shared" si="48"/>
        <v>Daily</v>
      </c>
      <c r="U1544">
        <f>VLOOKUP(T1544,[1]tablescore!$B$3:$C$8, 2,FALSE)</f>
        <v>30</v>
      </c>
      <c r="V1544" t="str">
        <f t="shared" si="49"/>
        <v>Highly Loyal</v>
      </c>
      <c r="W1544" t="s">
        <v>41</v>
      </c>
    </row>
    <row r="1545" spans="1:23" x14ac:dyDescent="0.25">
      <c r="A1545">
        <v>1544</v>
      </c>
      <c r="B1545">
        <v>56</v>
      </c>
      <c r="C1545" t="str" cm="1">
        <f t="array" ref="C1545">_xlfn.IFS(
  AND(B1545&gt;=18, B1545&lt;=24), "18-24",
  AND(B1545&gt;=25, B1545&lt;=34), "25-34",
  AND(B1545&gt;=35, B1545&lt;=44), "35-44",
  AND(B1545&gt;=45, B1545&lt;=54), "45-54",
  B1545&gt;=55, "55+"
)</f>
        <v>55+</v>
      </c>
      <c r="D1545" t="s">
        <v>19</v>
      </c>
      <c r="E1545" t="s">
        <v>36</v>
      </c>
      <c r="F1545" t="s">
        <v>21</v>
      </c>
      <c r="G1545">
        <v>89</v>
      </c>
      <c r="H1545" t="s">
        <v>148</v>
      </c>
      <c r="I1545" t="s">
        <v>45</v>
      </c>
      <c r="J1545" t="s">
        <v>129</v>
      </c>
      <c r="K1545" t="s">
        <v>58</v>
      </c>
      <c r="L1545">
        <v>4</v>
      </c>
      <c r="M1545" t="s">
        <v>152</v>
      </c>
      <c r="N1545" t="s">
        <v>34</v>
      </c>
      <c r="O1545" t="s">
        <v>55</v>
      </c>
      <c r="P1545" t="s">
        <v>26</v>
      </c>
      <c r="Q1545" t="s">
        <v>26</v>
      </c>
      <c r="R1545">
        <v>24</v>
      </c>
      <c r="S1545" t="s">
        <v>29</v>
      </c>
      <c r="T1545" t="str">
        <f t="shared" si="48"/>
        <v>Annually</v>
      </c>
      <c r="U1545">
        <f>VLOOKUP(T1545,[1]tablescore!$B$3:$C$8, 2,FALSE)</f>
        <v>1</v>
      </c>
      <c r="V1545" t="str">
        <f t="shared" si="49"/>
        <v>Low Loyalty</v>
      </c>
      <c r="W1545" t="s">
        <v>50</v>
      </c>
    </row>
    <row r="1546" spans="1:23" x14ac:dyDescent="0.25">
      <c r="A1546">
        <v>1545</v>
      </c>
      <c r="B1546">
        <v>30</v>
      </c>
      <c r="C1546" t="str" cm="1">
        <f t="array" ref="C1546">_xlfn.IFS(
  AND(B1546&gt;=18, B1546&lt;=24), "18-24",
  AND(B1546&gt;=25, B1546&lt;=34), "25-34",
  AND(B1546&gt;=35, B1546&lt;=44), "35-44",
  AND(B1546&gt;=45, B1546&lt;=54), "45-54",
  B1546&gt;=55, "55+"
)</f>
        <v>25-34</v>
      </c>
      <c r="D1546" t="s">
        <v>19</v>
      </c>
      <c r="E1546" t="s">
        <v>106</v>
      </c>
      <c r="F1546" t="s">
        <v>69</v>
      </c>
      <c r="G1546">
        <v>24</v>
      </c>
      <c r="H1546" t="s">
        <v>74</v>
      </c>
      <c r="I1546" t="s">
        <v>45</v>
      </c>
      <c r="J1546" t="s">
        <v>33</v>
      </c>
      <c r="K1546" t="s">
        <v>39</v>
      </c>
      <c r="L1546">
        <v>3.9</v>
      </c>
      <c r="M1546" t="s">
        <v>152</v>
      </c>
      <c r="N1546" t="s">
        <v>46</v>
      </c>
      <c r="O1546" t="s">
        <v>55</v>
      </c>
      <c r="P1546" t="s">
        <v>26</v>
      </c>
      <c r="Q1546" t="s">
        <v>26</v>
      </c>
      <c r="R1546">
        <v>17</v>
      </c>
      <c r="S1546" t="s">
        <v>59</v>
      </c>
      <c r="T1546" t="str">
        <f t="shared" si="48"/>
        <v>2-week</v>
      </c>
      <c r="U1546">
        <f>VLOOKUP(T1546,[1]tablescore!$B$3:$C$8, 2,FALSE)</f>
        <v>26</v>
      </c>
      <c r="V1546" t="str">
        <f t="shared" si="49"/>
        <v>Loyal</v>
      </c>
      <c r="W1546" t="s">
        <v>77</v>
      </c>
    </row>
    <row r="1547" spans="1:23" x14ac:dyDescent="0.25">
      <c r="A1547">
        <v>1546</v>
      </c>
      <c r="B1547">
        <v>48</v>
      </c>
      <c r="C1547" t="str" cm="1">
        <f t="array" ref="C1547">_xlfn.IFS(
  AND(B1547&gt;=18, B1547&lt;=24), "18-24",
  AND(B1547&gt;=25, B1547&lt;=34), "25-34",
  AND(B1547&gt;=35, B1547&lt;=44), "35-44",
  AND(B1547&gt;=45, B1547&lt;=54), "45-54",
  B1547&gt;=55, "55+"
)</f>
        <v>45-54</v>
      </c>
      <c r="D1547" t="s">
        <v>19</v>
      </c>
      <c r="E1547" t="s">
        <v>136</v>
      </c>
      <c r="F1547" t="s">
        <v>69</v>
      </c>
      <c r="G1547">
        <v>43</v>
      </c>
      <c r="H1547" t="s">
        <v>80</v>
      </c>
      <c r="I1547" t="s">
        <v>45</v>
      </c>
      <c r="J1547" t="s">
        <v>94</v>
      </c>
      <c r="K1547" t="s">
        <v>25</v>
      </c>
      <c r="L1547">
        <v>4.9000000000000004</v>
      </c>
      <c r="M1547" t="s">
        <v>152</v>
      </c>
      <c r="N1547" t="s">
        <v>35</v>
      </c>
      <c r="O1547" t="s">
        <v>76</v>
      </c>
      <c r="P1547" t="s">
        <v>26</v>
      </c>
      <c r="Q1547" t="s">
        <v>26</v>
      </c>
      <c r="R1547">
        <v>49</v>
      </c>
      <c r="S1547" t="s">
        <v>34</v>
      </c>
      <c r="T1547" t="str">
        <f t="shared" si="48"/>
        <v>Annually</v>
      </c>
      <c r="U1547">
        <f>VLOOKUP(T1547,[1]tablescore!$B$3:$C$8, 2,FALSE)</f>
        <v>1</v>
      </c>
      <c r="V1547" t="str">
        <f t="shared" si="49"/>
        <v>Low Loyalty</v>
      </c>
      <c r="W1547" t="s">
        <v>50</v>
      </c>
    </row>
    <row r="1548" spans="1:23" x14ac:dyDescent="0.25">
      <c r="A1548">
        <v>1547</v>
      </c>
      <c r="B1548">
        <v>60</v>
      </c>
      <c r="C1548" t="str" cm="1">
        <f t="array" ref="C1548">_xlfn.IFS(
  AND(B1548&gt;=18, B1548&lt;=24), "18-24",
  AND(B1548&gt;=25, B1548&lt;=34), "25-34",
  AND(B1548&gt;=35, B1548&lt;=44), "35-44",
  AND(B1548&gt;=45, B1548&lt;=54), "45-54",
  B1548&gt;=55, "55+"
)</f>
        <v>55+</v>
      </c>
      <c r="D1548" t="s">
        <v>19</v>
      </c>
      <c r="E1548" t="s">
        <v>51</v>
      </c>
      <c r="F1548" t="s">
        <v>43</v>
      </c>
      <c r="G1548">
        <v>51</v>
      </c>
      <c r="H1548" t="s">
        <v>48</v>
      </c>
      <c r="I1548" t="s">
        <v>92</v>
      </c>
      <c r="J1548" t="s">
        <v>75</v>
      </c>
      <c r="K1548" t="s">
        <v>54</v>
      </c>
      <c r="L1548">
        <v>3.8</v>
      </c>
      <c r="M1548" t="s">
        <v>152</v>
      </c>
      <c r="N1548" t="s">
        <v>27</v>
      </c>
      <c r="O1548" t="s">
        <v>28</v>
      </c>
      <c r="P1548" t="s">
        <v>26</v>
      </c>
      <c r="Q1548" t="s">
        <v>26</v>
      </c>
      <c r="R1548">
        <v>17</v>
      </c>
      <c r="S1548" t="s">
        <v>34</v>
      </c>
      <c r="T1548" t="str">
        <f t="shared" si="48"/>
        <v>Annually</v>
      </c>
      <c r="U1548">
        <f>VLOOKUP(T1548,[1]tablescore!$B$3:$C$8, 2,FALSE)</f>
        <v>1</v>
      </c>
      <c r="V1548" t="str">
        <f t="shared" si="49"/>
        <v>Low Loyalty</v>
      </c>
      <c r="W1548" t="s">
        <v>50</v>
      </c>
    </row>
    <row r="1549" spans="1:23" x14ac:dyDescent="0.25">
      <c r="A1549">
        <v>1548</v>
      </c>
      <c r="B1549">
        <v>46</v>
      </c>
      <c r="C1549" t="str" cm="1">
        <f t="array" ref="C1549">_xlfn.IFS(
  AND(B1549&gt;=18, B1549&lt;=24), "18-24",
  AND(B1549&gt;=25, B1549&lt;=34), "25-34",
  AND(B1549&gt;=35, B1549&lt;=44), "35-44",
  AND(B1549&gt;=45, B1549&lt;=54), "45-54",
  B1549&gt;=55, "55+"
)</f>
        <v>45-54</v>
      </c>
      <c r="D1549" t="s">
        <v>19</v>
      </c>
      <c r="E1549" t="s">
        <v>125</v>
      </c>
      <c r="F1549" t="s">
        <v>69</v>
      </c>
      <c r="G1549">
        <v>46</v>
      </c>
      <c r="H1549" t="s">
        <v>126</v>
      </c>
      <c r="I1549" t="s">
        <v>23</v>
      </c>
      <c r="J1549" t="s">
        <v>86</v>
      </c>
      <c r="K1549" t="s">
        <v>54</v>
      </c>
      <c r="L1549">
        <v>3.5</v>
      </c>
      <c r="M1549" t="s">
        <v>152</v>
      </c>
      <c r="N1549" t="s">
        <v>46</v>
      </c>
      <c r="O1549" t="s">
        <v>55</v>
      </c>
      <c r="P1549" t="s">
        <v>26</v>
      </c>
      <c r="Q1549" t="s">
        <v>26</v>
      </c>
      <c r="R1549">
        <v>40</v>
      </c>
      <c r="S1549" t="s">
        <v>35</v>
      </c>
      <c r="T1549" t="str">
        <f t="shared" si="48"/>
        <v>Quarterly</v>
      </c>
      <c r="U1549">
        <f>VLOOKUP(T1549,[1]tablescore!$B$3:$C$8, 2,FALSE)</f>
        <v>4</v>
      </c>
      <c r="V1549" t="str">
        <f t="shared" si="49"/>
        <v>Low Loyalty</v>
      </c>
      <c r="W1549" t="s">
        <v>60</v>
      </c>
    </row>
    <row r="1550" spans="1:23" x14ac:dyDescent="0.25">
      <c r="A1550">
        <v>1549</v>
      </c>
      <c r="B1550">
        <v>69</v>
      </c>
      <c r="C1550" t="str" cm="1">
        <f t="array" ref="C1550">_xlfn.IFS(
  AND(B1550&gt;=18, B1550&lt;=24), "18-24",
  AND(B1550&gt;=25, B1550&lt;=34), "25-34",
  AND(B1550&gt;=35, B1550&lt;=44), "35-44",
  AND(B1550&gt;=45, B1550&lt;=54), "45-54",
  B1550&gt;=55, "55+"
)</f>
        <v>55+</v>
      </c>
      <c r="D1550" t="s">
        <v>19</v>
      </c>
      <c r="E1550" t="s">
        <v>82</v>
      </c>
      <c r="F1550" t="s">
        <v>21</v>
      </c>
      <c r="G1550">
        <v>32</v>
      </c>
      <c r="H1550" t="s">
        <v>135</v>
      </c>
      <c r="I1550" t="s">
        <v>45</v>
      </c>
      <c r="J1550" t="s">
        <v>67</v>
      </c>
      <c r="K1550" t="s">
        <v>54</v>
      </c>
      <c r="L1550">
        <v>3.7</v>
      </c>
      <c r="M1550" t="s">
        <v>152</v>
      </c>
      <c r="N1550" t="s">
        <v>46</v>
      </c>
      <c r="O1550" t="s">
        <v>76</v>
      </c>
      <c r="P1550" t="s">
        <v>26</v>
      </c>
      <c r="Q1550" t="s">
        <v>26</v>
      </c>
      <c r="R1550">
        <v>43</v>
      </c>
      <c r="S1550" t="s">
        <v>34</v>
      </c>
      <c r="T1550" t="str">
        <f t="shared" si="48"/>
        <v>Daily</v>
      </c>
      <c r="U1550">
        <f>VLOOKUP(T1550,[1]tablescore!$B$3:$C$8, 2,FALSE)</f>
        <v>30</v>
      </c>
      <c r="V1550" t="str">
        <f t="shared" si="49"/>
        <v>Highly Loyal</v>
      </c>
      <c r="W1550" t="s">
        <v>41</v>
      </c>
    </row>
    <row r="1551" spans="1:23" x14ac:dyDescent="0.25">
      <c r="A1551">
        <v>1550</v>
      </c>
      <c r="B1551">
        <v>19</v>
      </c>
      <c r="C1551" t="str" cm="1">
        <f t="array" ref="C1551">_xlfn.IFS(
  AND(B1551&gt;=18, B1551&lt;=24), "18-24",
  AND(B1551&gt;=25, B1551&lt;=34), "25-34",
  AND(B1551&gt;=35, B1551&lt;=44), "35-44",
  AND(B1551&gt;=45, B1551&lt;=54), "45-54",
  B1551&gt;=55, "55+"
)</f>
        <v>18-24</v>
      </c>
      <c r="D1551" t="s">
        <v>19</v>
      </c>
      <c r="E1551" t="s">
        <v>51</v>
      </c>
      <c r="F1551" t="s">
        <v>43</v>
      </c>
      <c r="G1551">
        <v>55</v>
      </c>
      <c r="H1551" t="s">
        <v>111</v>
      </c>
      <c r="I1551" t="s">
        <v>45</v>
      </c>
      <c r="J1551" t="s">
        <v>94</v>
      </c>
      <c r="K1551" t="s">
        <v>39</v>
      </c>
      <c r="L1551">
        <v>2.9</v>
      </c>
      <c r="M1551" t="s">
        <v>152</v>
      </c>
      <c r="N1551" t="s">
        <v>35</v>
      </c>
      <c r="O1551" t="s">
        <v>72</v>
      </c>
      <c r="P1551" t="s">
        <v>26</v>
      </c>
      <c r="Q1551" t="s">
        <v>26</v>
      </c>
      <c r="R1551">
        <v>19</v>
      </c>
      <c r="S1551" t="s">
        <v>59</v>
      </c>
      <c r="T1551" t="str">
        <f t="shared" si="48"/>
        <v>Quarterly</v>
      </c>
      <c r="U1551">
        <f>VLOOKUP(T1551,[1]tablescore!$B$3:$C$8, 2,FALSE)</f>
        <v>4</v>
      </c>
      <c r="V1551" t="str">
        <f t="shared" si="49"/>
        <v>Low Loyalty</v>
      </c>
      <c r="W1551" t="s">
        <v>97</v>
      </c>
    </row>
    <row r="1552" spans="1:23" x14ac:dyDescent="0.25">
      <c r="A1552">
        <v>1551</v>
      </c>
      <c r="B1552">
        <v>66</v>
      </c>
      <c r="C1552" t="str" cm="1">
        <f t="array" ref="C1552">_xlfn.IFS(
  AND(B1552&gt;=18, B1552&lt;=24), "18-24",
  AND(B1552&gt;=25, B1552&lt;=34), "25-34",
  AND(B1552&gt;=35, B1552&lt;=44), "35-44",
  AND(B1552&gt;=45, B1552&lt;=54), "45-54",
  B1552&gt;=55, "55+"
)</f>
        <v>55+</v>
      </c>
      <c r="D1552" t="s">
        <v>19</v>
      </c>
      <c r="E1552" t="s">
        <v>89</v>
      </c>
      <c r="F1552" t="s">
        <v>69</v>
      </c>
      <c r="G1552">
        <v>26</v>
      </c>
      <c r="H1552" t="s">
        <v>74</v>
      </c>
      <c r="I1552" t="s">
        <v>38</v>
      </c>
      <c r="J1552" t="s">
        <v>94</v>
      </c>
      <c r="K1552" t="s">
        <v>54</v>
      </c>
      <c r="L1552">
        <v>2.8</v>
      </c>
      <c r="M1552" t="s">
        <v>152</v>
      </c>
      <c r="N1552" t="s">
        <v>59</v>
      </c>
      <c r="O1552" t="s">
        <v>40</v>
      </c>
      <c r="P1552" t="s">
        <v>26</v>
      </c>
      <c r="Q1552" t="s">
        <v>26</v>
      </c>
      <c r="R1552">
        <v>40</v>
      </c>
      <c r="S1552" t="s">
        <v>34</v>
      </c>
      <c r="T1552" t="str">
        <f t="shared" si="48"/>
        <v>Quarterly</v>
      </c>
      <c r="U1552">
        <f>VLOOKUP(T1552,[1]tablescore!$B$3:$C$8, 2,FALSE)</f>
        <v>4</v>
      </c>
      <c r="V1552" t="str">
        <f t="shared" si="49"/>
        <v>Low Loyalty</v>
      </c>
      <c r="W1552" t="s">
        <v>60</v>
      </c>
    </row>
    <row r="1553" spans="1:23" x14ac:dyDescent="0.25">
      <c r="A1553">
        <v>1552</v>
      </c>
      <c r="B1553">
        <v>64</v>
      </c>
      <c r="C1553" t="str" cm="1">
        <f t="array" ref="C1553">_xlfn.IFS(
  AND(B1553&gt;=18, B1553&lt;=24), "18-24",
  AND(B1553&gt;=25, B1553&lt;=34), "25-34",
  AND(B1553&gt;=35, B1553&lt;=44), "35-44",
  AND(B1553&gt;=45, B1553&lt;=54), "45-54",
  B1553&gt;=55, "55+"
)</f>
        <v>55+</v>
      </c>
      <c r="D1553" t="s">
        <v>19</v>
      </c>
      <c r="E1553" t="s">
        <v>68</v>
      </c>
      <c r="F1553" t="s">
        <v>69</v>
      </c>
      <c r="G1553">
        <v>29</v>
      </c>
      <c r="H1553" t="s">
        <v>134</v>
      </c>
      <c r="I1553" t="s">
        <v>45</v>
      </c>
      <c r="J1553" t="s">
        <v>79</v>
      </c>
      <c r="K1553" t="s">
        <v>54</v>
      </c>
      <c r="L1553">
        <v>3.7</v>
      </c>
      <c r="M1553" t="s">
        <v>152</v>
      </c>
      <c r="N1553" t="s">
        <v>59</v>
      </c>
      <c r="O1553" t="s">
        <v>72</v>
      </c>
      <c r="P1553" t="s">
        <v>26</v>
      </c>
      <c r="Q1553" t="s">
        <v>26</v>
      </c>
      <c r="R1553">
        <v>13</v>
      </c>
      <c r="S1553" t="s">
        <v>27</v>
      </c>
      <c r="T1553" t="str">
        <f t="shared" si="48"/>
        <v>Month</v>
      </c>
      <c r="U1553">
        <f>VLOOKUP(T1553,[1]tablescore!$B$3:$C$8, 2,FALSE)</f>
        <v>12</v>
      </c>
      <c r="V1553" t="str">
        <f t="shared" si="49"/>
        <v>Moderate</v>
      </c>
      <c r="W1553" t="s">
        <v>88</v>
      </c>
    </row>
    <row r="1554" spans="1:23" x14ac:dyDescent="0.25">
      <c r="A1554">
        <v>1553</v>
      </c>
      <c r="B1554">
        <v>54</v>
      </c>
      <c r="C1554" t="str" cm="1">
        <f t="array" ref="C1554">_xlfn.IFS(
  AND(B1554&gt;=18, B1554&lt;=24), "18-24",
  AND(B1554&gt;=25, B1554&lt;=34), "25-34",
  AND(B1554&gt;=35, B1554&lt;=44), "35-44",
  AND(B1554&gt;=45, B1554&lt;=54), "45-54",
  B1554&gt;=55, "55+"
)</f>
        <v>45-54</v>
      </c>
      <c r="D1554" t="s">
        <v>19</v>
      </c>
      <c r="E1554" t="s">
        <v>20</v>
      </c>
      <c r="F1554" t="s">
        <v>21</v>
      </c>
      <c r="G1554">
        <v>49</v>
      </c>
      <c r="H1554" t="s">
        <v>123</v>
      </c>
      <c r="I1554" t="s">
        <v>23</v>
      </c>
      <c r="J1554" t="s">
        <v>75</v>
      </c>
      <c r="K1554" t="s">
        <v>39</v>
      </c>
      <c r="L1554">
        <v>3</v>
      </c>
      <c r="M1554" t="s">
        <v>152</v>
      </c>
      <c r="N1554" t="s">
        <v>59</v>
      </c>
      <c r="O1554" t="s">
        <v>28</v>
      </c>
      <c r="P1554" t="s">
        <v>26</v>
      </c>
      <c r="Q1554" t="s">
        <v>26</v>
      </c>
      <c r="R1554">
        <v>20</v>
      </c>
      <c r="S1554" t="s">
        <v>27</v>
      </c>
      <c r="T1554" t="str">
        <f t="shared" si="48"/>
        <v>Month</v>
      </c>
      <c r="U1554">
        <f>VLOOKUP(T1554,[1]tablescore!$B$3:$C$8, 2,FALSE)</f>
        <v>12</v>
      </c>
      <c r="V1554" t="str">
        <f t="shared" si="49"/>
        <v>Moderate</v>
      </c>
      <c r="W1554" t="s">
        <v>88</v>
      </c>
    </row>
    <row r="1555" spans="1:23" x14ac:dyDescent="0.25">
      <c r="A1555">
        <v>1554</v>
      </c>
      <c r="B1555">
        <v>27</v>
      </c>
      <c r="C1555" t="str" cm="1">
        <f t="array" ref="C1555">_xlfn.IFS(
  AND(B1555&gt;=18, B1555&lt;=24), "18-24",
  AND(B1555&gt;=25, B1555&lt;=34), "25-34",
  AND(B1555&gt;=35, B1555&lt;=44), "35-44",
  AND(B1555&gt;=45, B1555&lt;=54), "45-54",
  B1555&gt;=55, "55+"
)</f>
        <v>25-34</v>
      </c>
      <c r="D1555" t="s">
        <v>19</v>
      </c>
      <c r="E1555" t="s">
        <v>20</v>
      </c>
      <c r="F1555" t="s">
        <v>21</v>
      </c>
      <c r="G1555">
        <v>45</v>
      </c>
      <c r="H1555" t="s">
        <v>80</v>
      </c>
      <c r="I1555" t="s">
        <v>45</v>
      </c>
      <c r="J1555" t="s">
        <v>129</v>
      </c>
      <c r="K1555" t="s">
        <v>39</v>
      </c>
      <c r="L1555">
        <v>4.8</v>
      </c>
      <c r="M1555" t="s">
        <v>152</v>
      </c>
      <c r="N1555" t="s">
        <v>46</v>
      </c>
      <c r="O1555" t="s">
        <v>40</v>
      </c>
      <c r="P1555" t="s">
        <v>26</v>
      </c>
      <c r="Q1555" t="s">
        <v>26</v>
      </c>
      <c r="R1555">
        <v>21</v>
      </c>
      <c r="S1555" t="s">
        <v>59</v>
      </c>
      <c r="T1555" t="str">
        <f t="shared" si="48"/>
        <v>Quarterly</v>
      </c>
      <c r="U1555">
        <f>VLOOKUP(T1555,[1]tablescore!$B$3:$C$8, 2,FALSE)</f>
        <v>4</v>
      </c>
      <c r="V1555" t="str">
        <f t="shared" si="49"/>
        <v>Low Loyalty</v>
      </c>
      <c r="W1555" t="s">
        <v>60</v>
      </c>
    </row>
    <row r="1556" spans="1:23" x14ac:dyDescent="0.25">
      <c r="A1556">
        <v>1555</v>
      </c>
      <c r="B1556">
        <v>64</v>
      </c>
      <c r="C1556" t="str" cm="1">
        <f t="array" ref="C1556">_xlfn.IFS(
  AND(B1556&gt;=18, B1556&lt;=24), "18-24",
  AND(B1556&gt;=25, B1556&lt;=34), "25-34",
  AND(B1556&gt;=35, B1556&lt;=44), "35-44",
  AND(B1556&gt;=45, B1556&lt;=54), "45-54",
  B1556&gt;=55, "55+"
)</f>
        <v>55+</v>
      </c>
      <c r="D1556" t="s">
        <v>19</v>
      </c>
      <c r="E1556" t="s">
        <v>61</v>
      </c>
      <c r="F1556" t="s">
        <v>21</v>
      </c>
      <c r="G1556">
        <v>48</v>
      </c>
      <c r="H1556" t="s">
        <v>149</v>
      </c>
      <c r="I1556" t="s">
        <v>38</v>
      </c>
      <c r="J1556" t="s">
        <v>93</v>
      </c>
      <c r="K1556" t="s">
        <v>25</v>
      </c>
      <c r="L1556">
        <v>2.7</v>
      </c>
      <c r="M1556" t="s">
        <v>152</v>
      </c>
      <c r="N1556" t="s">
        <v>27</v>
      </c>
      <c r="O1556" t="s">
        <v>55</v>
      </c>
      <c r="P1556" t="s">
        <v>26</v>
      </c>
      <c r="Q1556" t="s">
        <v>26</v>
      </c>
      <c r="R1556">
        <v>18</v>
      </c>
      <c r="S1556" t="s">
        <v>35</v>
      </c>
      <c r="T1556" t="str">
        <f t="shared" si="48"/>
        <v>2-week</v>
      </c>
      <c r="U1556">
        <f>VLOOKUP(T1556,[1]tablescore!$B$3:$C$8, 2,FALSE)</f>
        <v>26</v>
      </c>
      <c r="V1556" t="str">
        <f t="shared" si="49"/>
        <v>Loyal</v>
      </c>
      <c r="W1556" t="s">
        <v>77</v>
      </c>
    </row>
    <row r="1557" spans="1:23" x14ac:dyDescent="0.25">
      <c r="A1557">
        <v>1556</v>
      </c>
      <c r="B1557">
        <v>43</v>
      </c>
      <c r="C1557" t="str" cm="1">
        <f t="array" ref="C1557">_xlfn.IFS(
  AND(B1557&gt;=18, B1557&lt;=24), "18-24",
  AND(B1557&gt;=25, B1557&lt;=34), "25-34",
  AND(B1557&gt;=35, B1557&lt;=44), "35-44",
  AND(B1557&gt;=45, B1557&lt;=54), "45-54",
  B1557&gt;=55, "55+"
)</f>
        <v>35-44</v>
      </c>
      <c r="D1557" t="s">
        <v>19</v>
      </c>
      <c r="E1557" t="s">
        <v>61</v>
      </c>
      <c r="F1557" t="s">
        <v>21</v>
      </c>
      <c r="G1557">
        <v>47</v>
      </c>
      <c r="H1557" t="s">
        <v>124</v>
      </c>
      <c r="I1557" t="s">
        <v>38</v>
      </c>
      <c r="J1557" t="s">
        <v>109</v>
      </c>
      <c r="K1557" t="s">
        <v>25</v>
      </c>
      <c r="L1557">
        <v>4.5</v>
      </c>
      <c r="M1557" t="s">
        <v>152</v>
      </c>
      <c r="N1557" t="s">
        <v>34</v>
      </c>
      <c r="O1557" t="s">
        <v>40</v>
      </c>
      <c r="P1557" t="s">
        <v>26</v>
      </c>
      <c r="Q1557" t="s">
        <v>26</v>
      </c>
      <c r="R1557">
        <v>44</v>
      </c>
      <c r="S1557" t="s">
        <v>35</v>
      </c>
      <c r="T1557" t="str">
        <f t="shared" si="48"/>
        <v>Quarterly</v>
      </c>
      <c r="U1557">
        <f>VLOOKUP(T1557,[1]tablescore!$B$3:$C$8, 2,FALSE)</f>
        <v>4</v>
      </c>
      <c r="V1557" t="str">
        <f t="shared" si="49"/>
        <v>Low Loyalty</v>
      </c>
      <c r="W1557" t="s">
        <v>60</v>
      </c>
    </row>
    <row r="1558" spans="1:23" x14ac:dyDescent="0.25">
      <c r="A1558">
        <v>1557</v>
      </c>
      <c r="B1558">
        <v>43</v>
      </c>
      <c r="C1558" t="str" cm="1">
        <f t="array" ref="C1558">_xlfn.IFS(
  AND(B1558&gt;=18, B1558&lt;=24), "18-24",
  AND(B1558&gt;=25, B1558&lt;=34), "25-34",
  AND(B1558&gt;=35, B1558&lt;=44), "35-44",
  AND(B1558&gt;=45, B1558&lt;=54), "45-54",
  B1558&gt;=55, "55+"
)</f>
        <v>35-44</v>
      </c>
      <c r="D1558" t="s">
        <v>19</v>
      </c>
      <c r="E1558" t="s">
        <v>104</v>
      </c>
      <c r="F1558" t="s">
        <v>21</v>
      </c>
      <c r="G1558">
        <v>57</v>
      </c>
      <c r="H1558" t="s">
        <v>90</v>
      </c>
      <c r="I1558" t="s">
        <v>45</v>
      </c>
      <c r="J1558" t="s">
        <v>81</v>
      </c>
      <c r="K1558" t="s">
        <v>58</v>
      </c>
      <c r="L1558">
        <v>2.7</v>
      </c>
      <c r="M1558" t="s">
        <v>152</v>
      </c>
      <c r="N1558" t="s">
        <v>29</v>
      </c>
      <c r="O1558" t="s">
        <v>55</v>
      </c>
      <c r="P1558" t="s">
        <v>26</v>
      </c>
      <c r="Q1558" t="s">
        <v>26</v>
      </c>
      <c r="R1558">
        <v>26</v>
      </c>
      <c r="S1558" t="s">
        <v>27</v>
      </c>
      <c r="T1558" t="str">
        <f t="shared" si="48"/>
        <v>Quarterly</v>
      </c>
      <c r="U1558">
        <f>VLOOKUP(T1558,[1]tablescore!$B$3:$C$8, 2,FALSE)</f>
        <v>4</v>
      </c>
      <c r="V1558" t="str">
        <f t="shared" si="49"/>
        <v>Low Loyalty</v>
      </c>
      <c r="W1558" t="s">
        <v>60</v>
      </c>
    </row>
    <row r="1559" spans="1:23" x14ac:dyDescent="0.25">
      <c r="A1559">
        <v>1558</v>
      </c>
      <c r="B1559">
        <v>27</v>
      </c>
      <c r="C1559" t="str" cm="1">
        <f t="array" ref="C1559">_xlfn.IFS(
  AND(B1559&gt;=18, B1559&lt;=24), "18-24",
  AND(B1559&gt;=25, B1559&lt;=34), "25-34",
  AND(B1559&gt;=35, B1559&lt;=44), "35-44",
  AND(B1559&gt;=45, B1559&lt;=54), "45-54",
  B1559&gt;=55, "55+"
)</f>
        <v>25-34</v>
      </c>
      <c r="D1559" t="s">
        <v>19</v>
      </c>
      <c r="E1559" t="s">
        <v>133</v>
      </c>
      <c r="F1559" t="s">
        <v>69</v>
      </c>
      <c r="G1559">
        <v>34</v>
      </c>
      <c r="H1559" t="s">
        <v>130</v>
      </c>
      <c r="I1559" t="s">
        <v>23</v>
      </c>
      <c r="J1559" t="s">
        <v>147</v>
      </c>
      <c r="K1559" t="s">
        <v>58</v>
      </c>
      <c r="L1559">
        <v>3.5</v>
      </c>
      <c r="M1559" t="s">
        <v>152</v>
      </c>
      <c r="N1559" t="s">
        <v>46</v>
      </c>
      <c r="O1559" t="s">
        <v>47</v>
      </c>
      <c r="P1559" t="s">
        <v>26</v>
      </c>
      <c r="Q1559" t="s">
        <v>26</v>
      </c>
      <c r="R1559">
        <v>34</v>
      </c>
      <c r="S1559" t="s">
        <v>46</v>
      </c>
      <c r="T1559" t="str">
        <f t="shared" si="48"/>
        <v>Quarterly</v>
      </c>
      <c r="U1559">
        <f>VLOOKUP(T1559,[1]tablescore!$B$3:$C$8, 2,FALSE)</f>
        <v>4</v>
      </c>
      <c r="V1559" t="str">
        <f t="shared" si="49"/>
        <v>Low Loyalty</v>
      </c>
      <c r="W1559" t="s">
        <v>60</v>
      </c>
    </row>
    <row r="1560" spans="1:23" x14ac:dyDescent="0.25">
      <c r="A1560">
        <v>1559</v>
      </c>
      <c r="B1560">
        <v>35</v>
      </c>
      <c r="C1560" t="str" cm="1">
        <f t="array" ref="C1560">_xlfn.IFS(
  AND(B1560&gt;=18, B1560&lt;=24), "18-24",
  AND(B1560&gt;=25, B1560&lt;=34), "25-34",
  AND(B1560&gt;=35, B1560&lt;=44), "35-44",
  AND(B1560&gt;=45, B1560&lt;=54), "45-54",
  B1560&gt;=55, "55+"
)</f>
        <v>35-44</v>
      </c>
      <c r="D1560" t="s">
        <v>19</v>
      </c>
      <c r="E1560" t="s">
        <v>89</v>
      </c>
      <c r="F1560" t="s">
        <v>69</v>
      </c>
      <c r="G1560">
        <v>75</v>
      </c>
      <c r="H1560" t="s">
        <v>123</v>
      </c>
      <c r="I1560" t="s">
        <v>92</v>
      </c>
      <c r="J1560" t="s">
        <v>86</v>
      </c>
      <c r="K1560" t="s">
        <v>58</v>
      </c>
      <c r="L1560">
        <v>3.5</v>
      </c>
      <c r="M1560" t="s">
        <v>152</v>
      </c>
      <c r="N1560" t="s">
        <v>27</v>
      </c>
      <c r="O1560" t="s">
        <v>28</v>
      </c>
      <c r="P1560" t="s">
        <v>26</v>
      </c>
      <c r="Q1560" t="s">
        <v>26</v>
      </c>
      <c r="R1560">
        <v>24</v>
      </c>
      <c r="S1560" t="s">
        <v>27</v>
      </c>
      <c r="T1560" t="str">
        <f t="shared" si="48"/>
        <v>Quarterly</v>
      </c>
      <c r="U1560">
        <f>VLOOKUP(T1560,[1]tablescore!$B$3:$C$8, 2,FALSE)</f>
        <v>4</v>
      </c>
      <c r="V1560" t="str">
        <f t="shared" si="49"/>
        <v>Low Loyalty</v>
      </c>
      <c r="W1560" t="s">
        <v>97</v>
      </c>
    </row>
    <row r="1561" spans="1:23" x14ac:dyDescent="0.25">
      <c r="A1561">
        <v>1560</v>
      </c>
      <c r="B1561">
        <v>43</v>
      </c>
      <c r="C1561" t="str" cm="1">
        <f t="array" ref="C1561">_xlfn.IFS(
  AND(B1561&gt;=18, B1561&lt;=24), "18-24",
  AND(B1561&gt;=25, B1561&lt;=34), "25-34",
  AND(B1561&gt;=35, B1561&lt;=44), "35-44",
  AND(B1561&gt;=45, B1561&lt;=54), "45-54",
  B1561&gt;=55, "55+"
)</f>
        <v>35-44</v>
      </c>
      <c r="D1561" t="s">
        <v>19</v>
      </c>
      <c r="E1561" t="s">
        <v>119</v>
      </c>
      <c r="F1561" t="s">
        <v>69</v>
      </c>
      <c r="G1561">
        <v>94</v>
      </c>
      <c r="H1561" t="s">
        <v>48</v>
      </c>
      <c r="I1561" t="s">
        <v>23</v>
      </c>
      <c r="J1561" t="s">
        <v>118</v>
      </c>
      <c r="K1561" t="s">
        <v>58</v>
      </c>
      <c r="L1561">
        <v>4.5</v>
      </c>
      <c r="M1561" t="s">
        <v>152</v>
      </c>
      <c r="N1561" t="s">
        <v>29</v>
      </c>
      <c r="O1561" t="s">
        <v>76</v>
      </c>
      <c r="P1561" t="s">
        <v>26</v>
      </c>
      <c r="Q1561" t="s">
        <v>26</v>
      </c>
      <c r="R1561">
        <v>23</v>
      </c>
      <c r="S1561" t="s">
        <v>46</v>
      </c>
      <c r="T1561" t="str">
        <f t="shared" si="48"/>
        <v>2-week</v>
      </c>
      <c r="U1561">
        <f>VLOOKUP(T1561,[1]tablescore!$B$3:$C$8, 2,FALSE)</f>
        <v>26</v>
      </c>
      <c r="V1561" t="str">
        <f t="shared" si="49"/>
        <v>Loyal</v>
      </c>
      <c r="W1561" t="s">
        <v>30</v>
      </c>
    </row>
    <row r="1562" spans="1:23" x14ac:dyDescent="0.25">
      <c r="A1562">
        <v>1561</v>
      </c>
      <c r="B1562">
        <v>57</v>
      </c>
      <c r="C1562" t="str" cm="1">
        <f t="array" ref="C1562">_xlfn.IFS(
  AND(B1562&gt;=18, B1562&lt;=24), "18-24",
  AND(B1562&gt;=25, B1562&lt;=34), "25-34",
  AND(B1562&gt;=35, B1562&lt;=44), "35-44",
  AND(B1562&gt;=45, B1562&lt;=54), "45-54",
  B1562&gt;=55, "55+"
)</f>
        <v>55+</v>
      </c>
      <c r="D1562" t="s">
        <v>19</v>
      </c>
      <c r="E1562" t="s">
        <v>125</v>
      </c>
      <c r="F1562" t="s">
        <v>69</v>
      </c>
      <c r="G1562">
        <v>84</v>
      </c>
      <c r="H1562" t="s">
        <v>48</v>
      </c>
      <c r="I1562" t="s">
        <v>45</v>
      </c>
      <c r="J1562" t="s">
        <v>86</v>
      </c>
      <c r="K1562" t="s">
        <v>25</v>
      </c>
      <c r="L1562">
        <v>3.8</v>
      </c>
      <c r="M1562" t="s">
        <v>152</v>
      </c>
      <c r="N1562" t="s">
        <v>29</v>
      </c>
      <c r="O1562" t="s">
        <v>40</v>
      </c>
      <c r="P1562" t="s">
        <v>26</v>
      </c>
      <c r="Q1562" t="s">
        <v>26</v>
      </c>
      <c r="R1562">
        <v>3</v>
      </c>
      <c r="S1562" t="s">
        <v>59</v>
      </c>
      <c r="T1562" t="str">
        <f t="shared" si="48"/>
        <v>Daily</v>
      </c>
      <c r="U1562">
        <f>VLOOKUP(T1562,[1]tablescore!$B$3:$C$8, 2,FALSE)</f>
        <v>30</v>
      </c>
      <c r="V1562" t="str">
        <f t="shared" si="49"/>
        <v>Highly Loyal</v>
      </c>
      <c r="W1562" t="s">
        <v>41</v>
      </c>
    </row>
    <row r="1563" spans="1:23" x14ac:dyDescent="0.25">
      <c r="A1563">
        <v>1562</v>
      </c>
      <c r="B1563">
        <v>50</v>
      </c>
      <c r="C1563" t="str" cm="1">
        <f t="array" ref="C1563">_xlfn.IFS(
  AND(B1563&gt;=18, B1563&lt;=24), "18-24",
  AND(B1563&gt;=25, B1563&lt;=34), "25-34",
  AND(B1563&gt;=35, B1563&lt;=44), "35-44",
  AND(B1563&gt;=45, B1563&lt;=54), "45-54",
  B1563&gt;=55, "55+"
)</f>
        <v>45-54</v>
      </c>
      <c r="D1563" t="s">
        <v>19</v>
      </c>
      <c r="E1563" t="s">
        <v>119</v>
      </c>
      <c r="F1563" t="s">
        <v>69</v>
      </c>
      <c r="G1563">
        <v>38</v>
      </c>
      <c r="H1563" t="s">
        <v>91</v>
      </c>
      <c r="I1563" t="s">
        <v>45</v>
      </c>
      <c r="J1563" t="s">
        <v>129</v>
      </c>
      <c r="K1563" t="s">
        <v>54</v>
      </c>
      <c r="L1563">
        <v>3.8</v>
      </c>
      <c r="M1563" t="s">
        <v>152</v>
      </c>
      <c r="N1563" t="s">
        <v>27</v>
      </c>
      <c r="O1563" t="s">
        <v>55</v>
      </c>
      <c r="P1563" t="s">
        <v>26</v>
      </c>
      <c r="Q1563" t="s">
        <v>26</v>
      </c>
      <c r="R1563">
        <v>2</v>
      </c>
      <c r="S1563" t="s">
        <v>34</v>
      </c>
      <c r="T1563" t="str">
        <f t="shared" si="48"/>
        <v>Quarterly</v>
      </c>
      <c r="U1563">
        <f>VLOOKUP(T1563,[1]tablescore!$B$3:$C$8, 2,FALSE)</f>
        <v>4</v>
      </c>
      <c r="V1563" t="str">
        <f t="shared" si="49"/>
        <v>Low Loyalty</v>
      </c>
      <c r="W1563" t="s">
        <v>60</v>
      </c>
    </row>
    <row r="1564" spans="1:23" x14ac:dyDescent="0.25">
      <c r="A1564">
        <v>1563</v>
      </c>
      <c r="B1564">
        <v>37</v>
      </c>
      <c r="C1564" t="str" cm="1">
        <f t="array" ref="C1564">_xlfn.IFS(
  AND(B1564&gt;=18, B1564&lt;=24), "18-24",
  AND(B1564&gt;=25, B1564&lt;=34), "25-34",
  AND(B1564&gt;=35, B1564&lt;=44), "35-44",
  AND(B1564&gt;=45, B1564&lt;=54), "45-54",
  B1564&gt;=55, "55+"
)</f>
        <v>35-44</v>
      </c>
      <c r="D1564" t="s">
        <v>19</v>
      </c>
      <c r="E1564" t="s">
        <v>119</v>
      </c>
      <c r="F1564" t="s">
        <v>69</v>
      </c>
      <c r="G1564">
        <v>75</v>
      </c>
      <c r="H1564" t="s">
        <v>90</v>
      </c>
      <c r="I1564" t="s">
        <v>45</v>
      </c>
      <c r="J1564" t="s">
        <v>75</v>
      </c>
      <c r="K1564" t="s">
        <v>25</v>
      </c>
      <c r="L1564">
        <v>3.2</v>
      </c>
      <c r="M1564" t="s">
        <v>152</v>
      </c>
      <c r="N1564" t="s">
        <v>27</v>
      </c>
      <c r="O1564" t="s">
        <v>47</v>
      </c>
      <c r="P1564" t="s">
        <v>26</v>
      </c>
      <c r="Q1564" t="s">
        <v>26</v>
      </c>
      <c r="R1564">
        <v>23</v>
      </c>
      <c r="S1564" t="s">
        <v>29</v>
      </c>
      <c r="T1564" t="str">
        <f t="shared" si="48"/>
        <v>2-week</v>
      </c>
      <c r="U1564">
        <f>VLOOKUP(T1564,[1]tablescore!$B$3:$C$8, 2,FALSE)</f>
        <v>26</v>
      </c>
      <c r="V1564" t="str">
        <f t="shared" si="49"/>
        <v>Loyal</v>
      </c>
      <c r="W1564" t="s">
        <v>77</v>
      </c>
    </row>
    <row r="1565" spans="1:23" x14ac:dyDescent="0.25">
      <c r="A1565">
        <v>1564</v>
      </c>
      <c r="B1565">
        <v>68</v>
      </c>
      <c r="C1565" t="str" cm="1">
        <f t="array" ref="C1565">_xlfn.IFS(
  AND(B1565&gt;=18, B1565&lt;=24), "18-24",
  AND(B1565&gt;=25, B1565&lt;=34), "25-34",
  AND(B1565&gt;=35, B1565&lt;=44), "35-44",
  AND(B1565&gt;=45, B1565&lt;=54), "45-54",
  B1565&gt;=55, "55+"
)</f>
        <v>55+</v>
      </c>
      <c r="D1565" t="s">
        <v>19</v>
      </c>
      <c r="E1565" t="s">
        <v>95</v>
      </c>
      <c r="F1565" t="s">
        <v>21</v>
      </c>
      <c r="G1565">
        <v>44</v>
      </c>
      <c r="H1565" t="s">
        <v>111</v>
      </c>
      <c r="I1565" t="s">
        <v>45</v>
      </c>
      <c r="J1565" t="s">
        <v>86</v>
      </c>
      <c r="K1565" t="s">
        <v>58</v>
      </c>
      <c r="L1565">
        <v>4.3</v>
      </c>
      <c r="M1565" t="s">
        <v>152</v>
      </c>
      <c r="N1565" t="s">
        <v>27</v>
      </c>
      <c r="O1565" t="s">
        <v>47</v>
      </c>
      <c r="P1565" t="s">
        <v>26</v>
      </c>
      <c r="Q1565" t="s">
        <v>26</v>
      </c>
      <c r="R1565">
        <v>8</v>
      </c>
      <c r="S1565" t="s">
        <v>35</v>
      </c>
      <c r="T1565" t="str">
        <f t="shared" si="48"/>
        <v>Daily</v>
      </c>
      <c r="U1565">
        <f>VLOOKUP(T1565,[1]tablescore!$B$3:$C$8, 2,FALSE)</f>
        <v>30</v>
      </c>
      <c r="V1565" t="str">
        <f t="shared" si="49"/>
        <v>Highly Loyal</v>
      </c>
      <c r="W1565" t="s">
        <v>41</v>
      </c>
    </row>
    <row r="1566" spans="1:23" x14ac:dyDescent="0.25">
      <c r="A1566">
        <v>1565</v>
      </c>
      <c r="B1566">
        <v>22</v>
      </c>
      <c r="C1566" t="str" cm="1">
        <f t="array" ref="C1566">_xlfn.IFS(
  AND(B1566&gt;=18, B1566&lt;=24), "18-24",
  AND(B1566&gt;=25, B1566&lt;=34), "25-34",
  AND(B1566&gt;=35, B1566&lt;=44), "35-44",
  AND(B1566&gt;=45, B1566&lt;=54), "45-54",
  B1566&gt;=55, "55+"
)</f>
        <v>18-24</v>
      </c>
      <c r="D1566" t="s">
        <v>19</v>
      </c>
      <c r="E1566" t="s">
        <v>133</v>
      </c>
      <c r="F1566" t="s">
        <v>69</v>
      </c>
      <c r="G1566">
        <v>33</v>
      </c>
      <c r="H1566" t="s">
        <v>99</v>
      </c>
      <c r="I1566" t="s">
        <v>92</v>
      </c>
      <c r="J1566" t="s">
        <v>49</v>
      </c>
      <c r="K1566" t="s">
        <v>54</v>
      </c>
      <c r="L1566">
        <v>4.5</v>
      </c>
      <c r="M1566" t="s">
        <v>152</v>
      </c>
      <c r="N1566" t="s">
        <v>35</v>
      </c>
      <c r="O1566" t="s">
        <v>47</v>
      </c>
      <c r="P1566" t="s">
        <v>26</v>
      </c>
      <c r="Q1566" t="s">
        <v>26</v>
      </c>
      <c r="R1566">
        <v>30</v>
      </c>
      <c r="S1566" t="s">
        <v>59</v>
      </c>
      <c r="T1566" t="str">
        <f t="shared" si="48"/>
        <v>Quarterly</v>
      </c>
      <c r="U1566">
        <f>VLOOKUP(T1566,[1]tablescore!$B$3:$C$8, 2,FALSE)</f>
        <v>4</v>
      </c>
      <c r="V1566" t="str">
        <f t="shared" si="49"/>
        <v>Low Loyalty</v>
      </c>
      <c r="W1566" t="s">
        <v>97</v>
      </c>
    </row>
    <row r="1567" spans="1:23" x14ac:dyDescent="0.25">
      <c r="A1567">
        <v>1566</v>
      </c>
      <c r="B1567">
        <v>58</v>
      </c>
      <c r="C1567" t="str" cm="1">
        <f t="array" ref="C1567">_xlfn.IFS(
  AND(B1567&gt;=18, B1567&lt;=24), "18-24",
  AND(B1567&gt;=25, B1567&lt;=34), "25-34",
  AND(B1567&gt;=35, B1567&lt;=44), "35-44",
  AND(B1567&gt;=45, B1567&lt;=54), "45-54",
  B1567&gt;=55, "55+"
)</f>
        <v>55+</v>
      </c>
      <c r="D1567" t="s">
        <v>19</v>
      </c>
      <c r="E1567" t="s">
        <v>89</v>
      </c>
      <c r="F1567" t="s">
        <v>69</v>
      </c>
      <c r="G1567">
        <v>93</v>
      </c>
      <c r="H1567" t="s">
        <v>144</v>
      </c>
      <c r="I1567" t="s">
        <v>23</v>
      </c>
      <c r="J1567" t="s">
        <v>100</v>
      </c>
      <c r="K1567" t="s">
        <v>58</v>
      </c>
      <c r="L1567">
        <v>4.2</v>
      </c>
      <c r="M1567" t="s">
        <v>152</v>
      </c>
      <c r="N1567" t="s">
        <v>29</v>
      </c>
      <c r="O1567" t="s">
        <v>40</v>
      </c>
      <c r="P1567" t="s">
        <v>26</v>
      </c>
      <c r="Q1567" t="s">
        <v>26</v>
      </c>
      <c r="R1567">
        <v>48</v>
      </c>
      <c r="S1567" t="s">
        <v>46</v>
      </c>
      <c r="T1567" t="str">
        <f t="shared" si="48"/>
        <v>Annually</v>
      </c>
      <c r="U1567">
        <f>VLOOKUP(T1567,[1]tablescore!$B$3:$C$8, 2,FALSE)</f>
        <v>1</v>
      </c>
      <c r="V1567" t="str">
        <f t="shared" si="49"/>
        <v>Low Loyalty</v>
      </c>
      <c r="W1567" t="s">
        <v>50</v>
      </c>
    </row>
    <row r="1568" spans="1:23" x14ac:dyDescent="0.25">
      <c r="A1568">
        <v>1567</v>
      </c>
      <c r="B1568">
        <v>48</v>
      </c>
      <c r="C1568" t="str" cm="1">
        <f t="array" ref="C1568">_xlfn.IFS(
  AND(B1568&gt;=18, B1568&lt;=24), "18-24",
  AND(B1568&gt;=25, B1568&lt;=34), "25-34",
  AND(B1568&gt;=35, B1568&lt;=44), "35-44",
  AND(B1568&gt;=45, B1568&lt;=54), "45-54",
  B1568&gt;=55, "55+"
)</f>
        <v>45-54</v>
      </c>
      <c r="D1568" t="s">
        <v>19</v>
      </c>
      <c r="E1568" t="s">
        <v>51</v>
      </c>
      <c r="F1568" t="s">
        <v>43</v>
      </c>
      <c r="G1568">
        <v>99</v>
      </c>
      <c r="H1568" t="s">
        <v>52</v>
      </c>
      <c r="I1568" t="s">
        <v>38</v>
      </c>
      <c r="J1568" t="s">
        <v>96</v>
      </c>
      <c r="K1568" t="s">
        <v>25</v>
      </c>
      <c r="L1568">
        <v>3</v>
      </c>
      <c r="M1568" t="s">
        <v>152</v>
      </c>
      <c r="N1568" t="s">
        <v>27</v>
      </c>
      <c r="O1568" t="s">
        <v>40</v>
      </c>
      <c r="P1568" t="s">
        <v>26</v>
      </c>
      <c r="Q1568" t="s">
        <v>26</v>
      </c>
      <c r="R1568">
        <v>21</v>
      </c>
      <c r="S1568" t="s">
        <v>35</v>
      </c>
      <c r="T1568" t="str">
        <f t="shared" si="48"/>
        <v>2-week</v>
      </c>
      <c r="U1568">
        <f>VLOOKUP(T1568,[1]tablescore!$B$3:$C$8, 2,FALSE)</f>
        <v>26</v>
      </c>
      <c r="V1568" t="str">
        <f t="shared" si="49"/>
        <v>Loyal</v>
      </c>
      <c r="W1568" t="s">
        <v>77</v>
      </c>
    </row>
    <row r="1569" spans="1:23" x14ac:dyDescent="0.25">
      <c r="A1569">
        <v>1568</v>
      </c>
      <c r="B1569">
        <v>30</v>
      </c>
      <c r="C1569" t="str" cm="1">
        <f t="array" ref="C1569">_xlfn.IFS(
  AND(B1569&gt;=18, B1569&lt;=24), "18-24",
  AND(B1569&gt;=25, B1569&lt;=34), "25-34",
  AND(B1569&gt;=35, B1569&lt;=44), "35-44",
  AND(B1569&gt;=45, B1569&lt;=54), "45-54",
  B1569&gt;=55, "55+"
)</f>
        <v>25-34</v>
      </c>
      <c r="D1569" t="s">
        <v>19</v>
      </c>
      <c r="E1569" t="s">
        <v>133</v>
      </c>
      <c r="F1569" t="s">
        <v>69</v>
      </c>
      <c r="G1569">
        <v>33</v>
      </c>
      <c r="H1569" t="s">
        <v>134</v>
      </c>
      <c r="I1569" t="s">
        <v>45</v>
      </c>
      <c r="J1569" t="s">
        <v>49</v>
      </c>
      <c r="K1569" t="s">
        <v>39</v>
      </c>
      <c r="L1569">
        <v>4.0999999999999996</v>
      </c>
      <c r="M1569" t="s">
        <v>152</v>
      </c>
      <c r="N1569" t="s">
        <v>29</v>
      </c>
      <c r="O1569" t="s">
        <v>55</v>
      </c>
      <c r="P1569" t="s">
        <v>26</v>
      </c>
      <c r="Q1569" t="s">
        <v>26</v>
      </c>
      <c r="R1569">
        <v>9</v>
      </c>
      <c r="S1569" t="s">
        <v>35</v>
      </c>
      <c r="T1569" t="str">
        <f t="shared" si="48"/>
        <v>Month</v>
      </c>
      <c r="U1569">
        <f>VLOOKUP(T1569,[1]tablescore!$B$3:$C$8, 2,FALSE)</f>
        <v>12</v>
      </c>
      <c r="V1569" t="str">
        <f t="shared" si="49"/>
        <v>Moderate</v>
      </c>
      <c r="W1569" t="s">
        <v>88</v>
      </c>
    </row>
    <row r="1570" spans="1:23" x14ac:dyDescent="0.25">
      <c r="A1570">
        <v>1569</v>
      </c>
      <c r="B1570">
        <v>51</v>
      </c>
      <c r="C1570" t="str" cm="1">
        <f t="array" ref="C1570">_xlfn.IFS(
  AND(B1570&gt;=18, B1570&lt;=24), "18-24",
  AND(B1570&gt;=25, B1570&lt;=34), "25-34",
  AND(B1570&gt;=35, B1570&lt;=44), "35-44",
  AND(B1570&gt;=45, B1570&lt;=54), "45-54",
  B1570&gt;=55, "55+"
)</f>
        <v>45-54</v>
      </c>
      <c r="D1570" t="s">
        <v>19</v>
      </c>
      <c r="E1570" t="s">
        <v>51</v>
      </c>
      <c r="F1570" t="s">
        <v>43</v>
      </c>
      <c r="G1570">
        <v>76</v>
      </c>
      <c r="H1570" t="s">
        <v>140</v>
      </c>
      <c r="I1570" t="s">
        <v>23</v>
      </c>
      <c r="J1570" t="s">
        <v>139</v>
      </c>
      <c r="K1570" t="s">
        <v>39</v>
      </c>
      <c r="L1570">
        <v>4.5999999999999996</v>
      </c>
      <c r="M1570" t="s">
        <v>152</v>
      </c>
      <c r="N1570" t="s">
        <v>29</v>
      </c>
      <c r="O1570" t="s">
        <v>76</v>
      </c>
      <c r="P1570" t="s">
        <v>26</v>
      </c>
      <c r="Q1570" t="s">
        <v>26</v>
      </c>
      <c r="R1570">
        <v>8</v>
      </c>
      <c r="S1570" t="s">
        <v>59</v>
      </c>
      <c r="T1570" t="str">
        <f t="shared" si="48"/>
        <v>Month</v>
      </c>
      <c r="U1570">
        <f>VLOOKUP(T1570,[1]tablescore!$B$3:$C$8, 2,FALSE)</f>
        <v>12</v>
      </c>
      <c r="V1570" t="str">
        <f t="shared" si="49"/>
        <v>Moderate</v>
      </c>
      <c r="W1570" t="s">
        <v>88</v>
      </c>
    </row>
    <row r="1571" spans="1:23" x14ac:dyDescent="0.25">
      <c r="A1571">
        <v>1570</v>
      </c>
      <c r="B1571">
        <v>20</v>
      </c>
      <c r="C1571" t="str" cm="1">
        <f t="array" ref="C1571">_xlfn.IFS(
  AND(B1571&gt;=18, B1571&lt;=24), "18-24",
  AND(B1571&gt;=25, B1571&lt;=34), "25-34",
  AND(B1571&gt;=35, B1571&lt;=44), "35-44",
  AND(B1571&gt;=45, B1571&lt;=54), "45-54",
  B1571&gt;=55, "55+"
)</f>
        <v>18-24</v>
      </c>
      <c r="D1571" t="s">
        <v>19</v>
      </c>
      <c r="E1571" t="s">
        <v>87</v>
      </c>
      <c r="F1571" t="s">
        <v>21</v>
      </c>
      <c r="G1571">
        <v>63</v>
      </c>
      <c r="H1571" t="s">
        <v>78</v>
      </c>
      <c r="I1571" t="s">
        <v>45</v>
      </c>
      <c r="J1571" t="s">
        <v>121</v>
      </c>
      <c r="K1571" t="s">
        <v>54</v>
      </c>
      <c r="L1571">
        <v>2.9</v>
      </c>
      <c r="M1571" t="s">
        <v>152</v>
      </c>
      <c r="N1571" t="s">
        <v>46</v>
      </c>
      <c r="O1571" t="s">
        <v>55</v>
      </c>
      <c r="P1571" t="s">
        <v>26</v>
      </c>
      <c r="Q1571" t="s">
        <v>26</v>
      </c>
      <c r="R1571">
        <v>29</v>
      </c>
      <c r="S1571" t="s">
        <v>59</v>
      </c>
      <c r="T1571" t="str">
        <f t="shared" si="48"/>
        <v>Daily</v>
      </c>
      <c r="U1571">
        <f>VLOOKUP(T1571,[1]tablescore!$B$3:$C$8, 2,FALSE)</f>
        <v>30</v>
      </c>
      <c r="V1571" t="str">
        <f t="shared" si="49"/>
        <v>Highly Loyal</v>
      </c>
      <c r="W1571" t="s">
        <v>41</v>
      </c>
    </row>
    <row r="1572" spans="1:23" x14ac:dyDescent="0.25">
      <c r="A1572">
        <v>1571</v>
      </c>
      <c r="B1572">
        <v>30</v>
      </c>
      <c r="C1572" t="str" cm="1">
        <f t="array" ref="C1572">_xlfn.IFS(
  AND(B1572&gt;=18, B1572&lt;=24), "18-24",
  AND(B1572&gt;=25, B1572&lt;=34), "25-34",
  AND(B1572&gt;=35, B1572&lt;=44), "35-44",
  AND(B1572&gt;=45, B1572&lt;=54), "45-54",
  B1572&gt;=55, "55+"
)</f>
        <v>25-34</v>
      </c>
      <c r="D1572" t="s">
        <v>19</v>
      </c>
      <c r="E1572" t="s">
        <v>95</v>
      </c>
      <c r="F1572" t="s">
        <v>21</v>
      </c>
      <c r="G1572">
        <v>41</v>
      </c>
      <c r="H1572" t="s">
        <v>70</v>
      </c>
      <c r="I1572" t="s">
        <v>23</v>
      </c>
      <c r="J1572" t="s">
        <v>110</v>
      </c>
      <c r="K1572" t="s">
        <v>25</v>
      </c>
      <c r="L1572">
        <v>4.8</v>
      </c>
      <c r="M1572" t="s">
        <v>152</v>
      </c>
      <c r="N1572" t="s">
        <v>59</v>
      </c>
      <c r="O1572" t="s">
        <v>47</v>
      </c>
      <c r="P1572" t="s">
        <v>26</v>
      </c>
      <c r="Q1572" t="s">
        <v>26</v>
      </c>
      <c r="R1572">
        <v>3</v>
      </c>
      <c r="S1572" t="s">
        <v>34</v>
      </c>
      <c r="T1572" t="str">
        <f t="shared" si="48"/>
        <v>Quarterly</v>
      </c>
      <c r="U1572">
        <f>VLOOKUP(T1572,[1]tablescore!$B$3:$C$8, 2,FALSE)</f>
        <v>4</v>
      </c>
      <c r="V1572" t="str">
        <f t="shared" si="49"/>
        <v>Low Loyalty</v>
      </c>
      <c r="W1572" t="s">
        <v>97</v>
      </c>
    </row>
    <row r="1573" spans="1:23" x14ac:dyDescent="0.25">
      <c r="A1573">
        <v>1572</v>
      </c>
      <c r="B1573">
        <v>28</v>
      </c>
      <c r="C1573" t="str" cm="1">
        <f t="array" ref="C1573">_xlfn.IFS(
  AND(B1573&gt;=18, B1573&lt;=24), "18-24",
  AND(B1573&gt;=25, B1573&lt;=34), "25-34",
  AND(B1573&gt;=35, B1573&lt;=44), "35-44",
  AND(B1573&gt;=45, B1573&lt;=54), "45-54",
  B1573&gt;=55, "55+"
)</f>
        <v>25-34</v>
      </c>
      <c r="D1573" t="s">
        <v>19</v>
      </c>
      <c r="E1573" t="s">
        <v>106</v>
      </c>
      <c r="F1573" t="s">
        <v>69</v>
      </c>
      <c r="G1573">
        <v>88</v>
      </c>
      <c r="H1573" t="s">
        <v>112</v>
      </c>
      <c r="I1573" t="s">
        <v>23</v>
      </c>
      <c r="J1573" t="s">
        <v>67</v>
      </c>
      <c r="K1573" t="s">
        <v>25</v>
      </c>
      <c r="L1573">
        <v>4.5</v>
      </c>
      <c r="M1573" t="s">
        <v>152</v>
      </c>
      <c r="N1573" t="s">
        <v>35</v>
      </c>
      <c r="O1573" t="s">
        <v>47</v>
      </c>
      <c r="P1573" t="s">
        <v>26</v>
      </c>
      <c r="Q1573" t="s">
        <v>26</v>
      </c>
      <c r="R1573">
        <v>11</v>
      </c>
      <c r="S1573" t="s">
        <v>34</v>
      </c>
      <c r="T1573" t="str">
        <f t="shared" si="48"/>
        <v>2-week</v>
      </c>
      <c r="U1573">
        <f>VLOOKUP(T1573,[1]tablescore!$B$3:$C$8, 2,FALSE)</f>
        <v>26</v>
      </c>
      <c r="V1573" t="str">
        <f t="shared" si="49"/>
        <v>Loyal</v>
      </c>
      <c r="W1573" t="s">
        <v>30</v>
      </c>
    </row>
    <row r="1574" spans="1:23" x14ac:dyDescent="0.25">
      <c r="A1574">
        <v>1573</v>
      </c>
      <c r="B1574">
        <v>37</v>
      </c>
      <c r="C1574" t="str" cm="1">
        <f t="array" ref="C1574">_xlfn.IFS(
  AND(B1574&gt;=18, B1574&lt;=24), "18-24",
  AND(B1574&gt;=25, B1574&lt;=34), "25-34",
  AND(B1574&gt;=35, B1574&lt;=44), "35-44",
  AND(B1574&gt;=45, B1574&lt;=54), "45-54",
  B1574&gt;=55, "55+"
)</f>
        <v>35-44</v>
      </c>
      <c r="D1574" t="s">
        <v>19</v>
      </c>
      <c r="E1574" t="s">
        <v>87</v>
      </c>
      <c r="F1574" t="s">
        <v>21</v>
      </c>
      <c r="G1574">
        <v>92</v>
      </c>
      <c r="H1574" t="s">
        <v>140</v>
      </c>
      <c r="I1574" t="s">
        <v>23</v>
      </c>
      <c r="J1574" t="s">
        <v>53</v>
      </c>
      <c r="K1574" t="s">
        <v>54</v>
      </c>
      <c r="L1574">
        <v>3.4</v>
      </c>
      <c r="M1574" t="s">
        <v>152</v>
      </c>
      <c r="N1574" t="s">
        <v>29</v>
      </c>
      <c r="O1574" t="s">
        <v>72</v>
      </c>
      <c r="P1574" t="s">
        <v>26</v>
      </c>
      <c r="Q1574" t="s">
        <v>26</v>
      </c>
      <c r="R1574">
        <v>16</v>
      </c>
      <c r="S1574" t="s">
        <v>59</v>
      </c>
      <c r="T1574" t="str">
        <f t="shared" si="48"/>
        <v>Month</v>
      </c>
      <c r="U1574">
        <f>VLOOKUP(T1574,[1]tablescore!$B$3:$C$8, 2,FALSE)</f>
        <v>12</v>
      </c>
      <c r="V1574" t="str">
        <f t="shared" si="49"/>
        <v>Moderate</v>
      </c>
      <c r="W1574" t="s">
        <v>88</v>
      </c>
    </row>
    <row r="1575" spans="1:23" x14ac:dyDescent="0.25">
      <c r="A1575">
        <v>1574</v>
      </c>
      <c r="B1575">
        <v>36</v>
      </c>
      <c r="C1575" t="str" cm="1">
        <f t="array" ref="C1575">_xlfn.IFS(
  AND(B1575&gt;=18, B1575&lt;=24), "18-24",
  AND(B1575&gt;=25, B1575&lt;=34), "25-34",
  AND(B1575&gt;=35, B1575&lt;=44), "35-44",
  AND(B1575&gt;=45, B1575&lt;=54), "45-54",
  B1575&gt;=55, "55+"
)</f>
        <v>35-44</v>
      </c>
      <c r="D1575" t="s">
        <v>19</v>
      </c>
      <c r="E1575" t="s">
        <v>113</v>
      </c>
      <c r="F1575" t="s">
        <v>21</v>
      </c>
      <c r="G1575">
        <v>31</v>
      </c>
      <c r="H1575" t="s">
        <v>114</v>
      </c>
      <c r="I1575" t="s">
        <v>23</v>
      </c>
      <c r="J1575" t="s">
        <v>129</v>
      </c>
      <c r="K1575" t="s">
        <v>54</v>
      </c>
      <c r="L1575">
        <v>4.3</v>
      </c>
      <c r="M1575" t="s">
        <v>152</v>
      </c>
      <c r="N1575" t="s">
        <v>59</v>
      </c>
      <c r="O1575" t="s">
        <v>72</v>
      </c>
      <c r="P1575" t="s">
        <v>26</v>
      </c>
      <c r="Q1575" t="s">
        <v>26</v>
      </c>
      <c r="R1575">
        <v>25</v>
      </c>
      <c r="S1575" t="s">
        <v>59</v>
      </c>
      <c r="T1575" t="str">
        <f t="shared" si="48"/>
        <v>Daily</v>
      </c>
      <c r="U1575">
        <f>VLOOKUP(T1575,[1]tablescore!$B$3:$C$8, 2,FALSE)</f>
        <v>30</v>
      </c>
      <c r="V1575" t="str">
        <f t="shared" si="49"/>
        <v>Highly Loyal</v>
      </c>
      <c r="W1575" t="s">
        <v>41</v>
      </c>
    </row>
    <row r="1576" spans="1:23" x14ac:dyDescent="0.25">
      <c r="A1576">
        <v>1575</v>
      </c>
      <c r="B1576">
        <v>18</v>
      </c>
      <c r="C1576" t="str" cm="1">
        <f t="array" ref="C1576">_xlfn.IFS(
  AND(B1576&gt;=18, B1576&lt;=24), "18-24",
  AND(B1576&gt;=25, B1576&lt;=34), "25-34",
  AND(B1576&gt;=35, B1576&lt;=44), "35-44",
  AND(B1576&gt;=45, B1576&lt;=54), "45-54",
  B1576&gt;=55, "55+"
)</f>
        <v>18-24</v>
      </c>
      <c r="D1576" t="s">
        <v>19</v>
      </c>
      <c r="E1576" t="s">
        <v>87</v>
      </c>
      <c r="F1576" t="s">
        <v>21</v>
      </c>
      <c r="G1576">
        <v>25</v>
      </c>
      <c r="H1576" t="s">
        <v>134</v>
      </c>
      <c r="I1576" t="s">
        <v>38</v>
      </c>
      <c r="J1576" t="s">
        <v>147</v>
      </c>
      <c r="K1576" t="s">
        <v>39</v>
      </c>
      <c r="L1576">
        <v>4.2</v>
      </c>
      <c r="M1576" t="s">
        <v>152</v>
      </c>
      <c r="N1576" t="s">
        <v>34</v>
      </c>
      <c r="O1576" t="s">
        <v>40</v>
      </c>
      <c r="P1576" t="s">
        <v>26</v>
      </c>
      <c r="Q1576" t="s">
        <v>26</v>
      </c>
      <c r="R1576">
        <v>32</v>
      </c>
      <c r="S1576" t="s">
        <v>46</v>
      </c>
      <c r="T1576" t="str">
        <f t="shared" si="48"/>
        <v>2-week</v>
      </c>
      <c r="U1576">
        <f>VLOOKUP(T1576,[1]tablescore!$B$3:$C$8, 2,FALSE)</f>
        <v>26</v>
      </c>
      <c r="V1576" t="str">
        <f t="shared" si="49"/>
        <v>Loyal</v>
      </c>
      <c r="W1576" t="s">
        <v>77</v>
      </c>
    </row>
    <row r="1577" spans="1:23" x14ac:dyDescent="0.25">
      <c r="A1577">
        <v>1576</v>
      </c>
      <c r="B1577">
        <v>52</v>
      </c>
      <c r="C1577" t="str" cm="1">
        <f t="array" ref="C1577">_xlfn.IFS(
  AND(B1577&gt;=18, B1577&lt;=24), "18-24",
  AND(B1577&gt;=25, B1577&lt;=34), "25-34",
  AND(B1577&gt;=35, B1577&lt;=44), "35-44",
  AND(B1577&gt;=45, B1577&lt;=54), "45-54",
  B1577&gt;=55, "55+"
)</f>
        <v>45-54</v>
      </c>
      <c r="D1577" t="s">
        <v>19</v>
      </c>
      <c r="E1577" t="s">
        <v>56</v>
      </c>
      <c r="F1577" t="s">
        <v>21</v>
      </c>
      <c r="G1577">
        <v>28</v>
      </c>
      <c r="H1577" t="s">
        <v>99</v>
      </c>
      <c r="I1577" t="s">
        <v>45</v>
      </c>
      <c r="J1577" t="s">
        <v>49</v>
      </c>
      <c r="K1577" t="s">
        <v>39</v>
      </c>
      <c r="L1577">
        <v>3.6</v>
      </c>
      <c r="M1577" t="s">
        <v>152</v>
      </c>
      <c r="N1577" t="s">
        <v>35</v>
      </c>
      <c r="O1577" t="s">
        <v>47</v>
      </c>
      <c r="P1577" t="s">
        <v>26</v>
      </c>
      <c r="Q1577" t="s">
        <v>26</v>
      </c>
      <c r="R1577">
        <v>28</v>
      </c>
      <c r="S1577" t="s">
        <v>35</v>
      </c>
      <c r="T1577" t="str">
        <f t="shared" si="48"/>
        <v>2-week</v>
      </c>
      <c r="U1577">
        <f>VLOOKUP(T1577,[1]tablescore!$B$3:$C$8, 2,FALSE)</f>
        <v>26</v>
      </c>
      <c r="V1577" t="str">
        <f t="shared" si="49"/>
        <v>Loyal</v>
      </c>
      <c r="W1577" t="s">
        <v>30</v>
      </c>
    </row>
    <row r="1578" spans="1:23" x14ac:dyDescent="0.25">
      <c r="A1578">
        <v>1577</v>
      </c>
      <c r="B1578">
        <v>56</v>
      </c>
      <c r="C1578" t="str" cm="1">
        <f t="array" ref="C1578">_xlfn.IFS(
  AND(B1578&gt;=18, B1578&lt;=24), "18-24",
  AND(B1578&gt;=25, B1578&lt;=34), "25-34",
  AND(B1578&gt;=35, B1578&lt;=44), "35-44",
  AND(B1578&gt;=45, B1578&lt;=54), "45-54",
  B1578&gt;=55, "55+"
)</f>
        <v>55+</v>
      </c>
      <c r="D1578" t="s">
        <v>19</v>
      </c>
      <c r="E1578" t="s">
        <v>82</v>
      </c>
      <c r="F1578" t="s">
        <v>21</v>
      </c>
      <c r="G1578">
        <v>75</v>
      </c>
      <c r="H1578" t="s">
        <v>151</v>
      </c>
      <c r="I1578" t="s">
        <v>45</v>
      </c>
      <c r="J1578" t="s">
        <v>53</v>
      </c>
      <c r="K1578" t="s">
        <v>39</v>
      </c>
      <c r="L1578">
        <v>3.7</v>
      </c>
      <c r="M1578" t="s">
        <v>152</v>
      </c>
      <c r="N1578" t="s">
        <v>46</v>
      </c>
      <c r="O1578" t="s">
        <v>72</v>
      </c>
      <c r="P1578" t="s">
        <v>26</v>
      </c>
      <c r="Q1578" t="s">
        <v>26</v>
      </c>
      <c r="R1578">
        <v>36</v>
      </c>
      <c r="S1578" t="s">
        <v>46</v>
      </c>
      <c r="T1578" t="str">
        <f t="shared" si="48"/>
        <v>Month</v>
      </c>
      <c r="U1578">
        <f>VLOOKUP(T1578,[1]tablescore!$B$3:$C$8, 2,FALSE)</f>
        <v>12</v>
      </c>
      <c r="V1578" t="str">
        <f t="shared" si="49"/>
        <v>Moderate</v>
      </c>
      <c r="W1578" t="s">
        <v>88</v>
      </c>
    </row>
    <row r="1579" spans="1:23" x14ac:dyDescent="0.25">
      <c r="A1579">
        <v>1578</v>
      </c>
      <c r="B1579">
        <v>68</v>
      </c>
      <c r="C1579" t="str" cm="1">
        <f t="array" ref="C1579">_xlfn.IFS(
  AND(B1579&gt;=18, B1579&lt;=24), "18-24",
  AND(B1579&gt;=25, B1579&lt;=34), "25-34",
  AND(B1579&gt;=35, B1579&lt;=44), "35-44",
  AND(B1579&gt;=45, B1579&lt;=54), "45-54",
  B1579&gt;=55, "55+"
)</f>
        <v>55+</v>
      </c>
      <c r="D1579" t="s">
        <v>19</v>
      </c>
      <c r="E1579" t="s">
        <v>132</v>
      </c>
      <c r="F1579" t="s">
        <v>43</v>
      </c>
      <c r="G1579">
        <v>34</v>
      </c>
      <c r="H1579" t="s">
        <v>80</v>
      </c>
      <c r="I1579" t="s">
        <v>38</v>
      </c>
      <c r="J1579" t="s">
        <v>79</v>
      </c>
      <c r="K1579" t="s">
        <v>39</v>
      </c>
      <c r="L1579">
        <v>4</v>
      </c>
      <c r="M1579" t="s">
        <v>152</v>
      </c>
      <c r="N1579" t="s">
        <v>59</v>
      </c>
      <c r="O1579" t="s">
        <v>55</v>
      </c>
      <c r="P1579" t="s">
        <v>26</v>
      </c>
      <c r="Q1579" t="s">
        <v>26</v>
      </c>
      <c r="R1579">
        <v>7</v>
      </c>
      <c r="S1579" t="s">
        <v>29</v>
      </c>
      <c r="T1579" t="str">
        <f t="shared" si="48"/>
        <v>2-week</v>
      </c>
      <c r="U1579">
        <f>VLOOKUP(T1579,[1]tablescore!$B$3:$C$8, 2,FALSE)</f>
        <v>26</v>
      </c>
      <c r="V1579" t="str">
        <f t="shared" si="49"/>
        <v>Loyal</v>
      </c>
      <c r="W1579" t="s">
        <v>30</v>
      </c>
    </row>
    <row r="1580" spans="1:23" x14ac:dyDescent="0.25">
      <c r="A1580">
        <v>1579</v>
      </c>
      <c r="B1580">
        <v>62</v>
      </c>
      <c r="C1580" t="str" cm="1">
        <f t="array" ref="C1580">_xlfn.IFS(
  AND(B1580&gt;=18, B1580&lt;=24), "18-24",
  AND(B1580&gt;=25, B1580&lt;=34), "25-34",
  AND(B1580&gt;=35, B1580&lt;=44), "35-44",
  AND(B1580&gt;=45, B1580&lt;=54), "45-54",
  B1580&gt;=55, "55+"
)</f>
        <v>55+</v>
      </c>
      <c r="D1580" t="s">
        <v>19</v>
      </c>
      <c r="E1580" t="s">
        <v>95</v>
      </c>
      <c r="F1580" t="s">
        <v>21</v>
      </c>
      <c r="G1580">
        <v>97</v>
      </c>
      <c r="H1580" t="s">
        <v>99</v>
      </c>
      <c r="I1580" t="s">
        <v>38</v>
      </c>
      <c r="J1580" t="s">
        <v>33</v>
      </c>
      <c r="K1580" t="s">
        <v>25</v>
      </c>
      <c r="L1580">
        <v>4.9000000000000004</v>
      </c>
      <c r="M1580" t="s">
        <v>152</v>
      </c>
      <c r="N1580" t="s">
        <v>59</v>
      </c>
      <c r="O1580" t="s">
        <v>72</v>
      </c>
      <c r="P1580" t="s">
        <v>26</v>
      </c>
      <c r="Q1580" t="s">
        <v>26</v>
      </c>
      <c r="R1580">
        <v>2</v>
      </c>
      <c r="S1580" t="s">
        <v>46</v>
      </c>
      <c r="T1580" t="str">
        <f t="shared" si="48"/>
        <v>Quarterly</v>
      </c>
      <c r="U1580">
        <f>VLOOKUP(T1580,[1]tablescore!$B$3:$C$8, 2,FALSE)</f>
        <v>4</v>
      </c>
      <c r="V1580" t="str">
        <f t="shared" si="49"/>
        <v>Low Loyalty</v>
      </c>
      <c r="W1580" t="s">
        <v>60</v>
      </c>
    </row>
    <row r="1581" spans="1:23" x14ac:dyDescent="0.25">
      <c r="A1581">
        <v>1580</v>
      </c>
      <c r="B1581">
        <v>35</v>
      </c>
      <c r="C1581" t="str" cm="1">
        <f t="array" ref="C1581">_xlfn.IFS(
  AND(B1581&gt;=18, B1581&lt;=24), "18-24",
  AND(B1581&gt;=25, B1581&lt;=34), "25-34",
  AND(B1581&gt;=35, B1581&lt;=44), "35-44",
  AND(B1581&gt;=45, B1581&lt;=54), "45-54",
  B1581&gt;=55, "55+"
)</f>
        <v>35-44</v>
      </c>
      <c r="D1581" t="s">
        <v>19</v>
      </c>
      <c r="E1581" t="s">
        <v>102</v>
      </c>
      <c r="F1581" t="s">
        <v>65</v>
      </c>
      <c r="G1581">
        <v>80</v>
      </c>
      <c r="H1581" t="s">
        <v>101</v>
      </c>
      <c r="I1581" t="s">
        <v>45</v>
      </c>
      <c r="J1581" t="s">
        <v>84</v>
      </c>
      <c r="K1581" t="s">
        <v>54</v>
      </c>
      <c r="L1581">
        <v>3.1</v>
      </c>
      <c r="M1581" t="s">
        <v>152</v>
      </c>
      <c r="N1581" t="s">
        <v>35</v>
      </c>
      <c r="O1581" t="s">
        <v>40</v>
      </c>
      <c r="P1581" t="s">
        <v>26</v>
      </c>
      <c r="Q1581" t="s">
        <v>26</v>
      </c>
      <c r="R1581">
        <v>6</v>
      </c>
      <c r="S1581" t="s">
        <v>34</v>
      </c>
      <c r="T1581" t="str">
        <f t="shared" si="48"/>
        <v>Month</v>
      </c>
      <c r="U1581">
        <f>VLOOKUP(T1581,[1]tablescore!$B$3:$C$8, 2,FALSE)</f>
        <v>12</v>
      </c>
      <c r="V1581" t="str">
        <f t="shared" si="49"/>
        <v>Moderate</v>
      </c>
      <c r="W1581" t="s">
        <v>88</v>
      </c>
    </row>
    <row r="1582" spans="1:23" x14ac:dyDescent="0.25">
      <c r="A1582">
        <v>1581</v>
      </c>
      <c r="B1582">
        <v>65</v>
      </c>
      <c r="C1582" t="str" cm="1">
        <f t="array" ref="C1582">_xlfn.IFS(
  AND(B1582&gt;=18, B1582&lt;=24), "18-24",
  AND(B1582&gt;=25, B1582&lt;=34), "25-34",
  AND(B1582&gt;=35, B1582&lt;=44), "35-44",
  AND(B1582&gt;=45, B1582&lt;=54), "45-54",
  B1582&gt;=55, "55+"
)</f>
        <v>55+</v>
      </c>
      <c r="D1582" t="s">
        <v>19</v>
      </c>
      <c r="E1582" t="s">
        <v>51</v>
      </c>
      <c r="F1582" t="s">
        <v>43</v>
      </c>
      <c r="G1582">
        <v>71</v>
      </c>
      <c r="H1582" t="s">
        <v>114</v>
      </c>
      <c r="I1582" t="s">
        <v>23</v>
      </c>
      <c r="J1582" t="s">
        <v>109</v>
      </c>
      <c r="K1582" t="s">
        <v>54</v>
      </c>
      <c r="L1582">
        <v>3.7</v>
      </c>
      <c r="M1582" t="s">
        <v>152</v>
      </c>
      <c r="N1582" t="s">
        <v>27</v>
      </c>
      <c r="O1582" t="s">
        <v>55</v>
      </c>
      <c r="P1582" t="s">
        <v>26</v>
      </c>
      <c r="Q1582" t="s">
        <v>26</v>
      </c>
      <c r="R1582">
        <v>30</v>
      </c>
      <c r="S1582" t="s">
        <v>35</v>
      </c>
      <c r="T1582" t="str">
        <f t="shared" si="48"/>
        <v>Annually</v>
      </c>
      <c r="U1582">
        <f>VLOOKUP(T1582,[1]tablescore!$B$3:$C$8, 2,FALSE)</f>
        <v>1</v>
      </c>
      <c r="V1582" t="str">
        <f t="shared" si="49"/>
        <v>Low Loyalty</v>
      </c>
      <c r="W1582" t="s">
        <v>50</v>
      </c>
    </row>
    <row r="1583" spans="1:23" x14ac:dyDescent="0.25">
      <c r="A1583">
        <v>1582</v>
      </c>
      <c r="B1583">
        <v>69</v>
      </c>
      <c r="C1583" t="str" cm="1">
        <f t="array" ref="C1583">_xlfn.IFS(
  AND(B1583&gt;=18, B1583&lt;=24), "18-24",
  AND(B1583&gt;=25, B1583&lt;=34), "25-34",
  AND(B1583&gt;=35, B1583&lt;=44), "35-44",
  AND(B1583&gt;=45, B1583&lt;=54), "45-54",
  B1583&gt;=55, "55+"
)</f>
        <v>55+</v>
      </c>
      <c r="D1583" t="s">
        <v>19</v>
      </c>
      <c r="E1583" t="s">
        <v>106</v>
      </c>
      <c r="F1583" t="s">
        <v>69</v>
      </c>
      <c r="G1583">
        <v>77</v>
      </c>
      <c r="H1583" t="s">
        <v>124</v>
      </c>
      <c r="I1583" t="s">
        <v>23</v>
      </c>
      <c r="J1583" t="s">
        <v>86</v>
      </c>
      <c r="K1583" t="s">
        <v>58</v>
      </c>
      <c r="L1583">
        <v>4.2</v>
      </c>
      <c r="M1583" t="s">
        <v>152</v>
      </c>
      <c r="N1583" t="s">
        <v>46</v>
      </c>
      <c r="O1583" t="s">
        <v>40</v>
      </c>
      <c r="P1583" t="s">
        <v>26</v>
      </c>
      <c r="Q1583" t="s">
        <v>26</v>
      </c>
      <c r="R1583">
        <v>46</v>
      </c>
      <c r="S1583" t="s">
        <v>35</v>
      </c>
      <c r="T1583" t="str">
        <f t="shared" si="48"/>
        <v>Quarterly</v>
      </c>
      <c r="U1583">
        <f>VLOOKUP(T1583,[1]tablescore!$B$3:$C$8, 2,FALSE)</f>
        <v>4</v>
      </c>
      <c r="V1583" t="str">
        <f t="shared" si="49"/>
        <v>Low Loyalty</v>
      </c>
      <c r="W1583" t="s">
        <v>60</v>
      </c>
    </row>
    <row r="1584" spans="1:23" x14ac:dyDescent="0.25">
      <c r="A1584">
        <v>1583</v>
      </c>
      <c r="B1584">
        <v>28</v>
      </c>
      <c r="C1584" t="str" cm="1">
        <f t="array" ref="C1584">_xlfn.IFS(
  AND(B1584&gt;=18, B1584&lt;=24), "18-24",
  AND(B1584&gt;=25, B1584&lt;=34), "25-34",
  AND(B1584&gt;=35, B1584&lt;=44), "35-44",
  AND(B1584&gt;=45, B1584&lt;=54), "45-54",
  B1584&gt;=55, "55+"
)</f>
        <v>25-34</v>
      </c>
      <c r="D1584" t="s">
        <v>19</v>
      </c>
      <c r="E1584" t="s">
        <v>136</v>
      </c>
      <c r="F1584" t="s">
        <v>69</v>
      </c>
      <c r="G1584">
        <v>41</v>
      </c>
      <c r="H1584" t="s">
        <v>78</v>
      </c>
      <c r="I1584" t="s">
        <v>23</v>
      </c>
      <c r="J1584" t="s">
        <v>108</v>
      </c>
      <c r="K1584" t="s">
        <v>39</v>
      </c>
      <c r="L1584">
        <v>2.5</v>
      </c>
      <c r="M1584" t="s">
        <v>152</v>
      </c>
      <c r="N1584" t="s">
        <v>35</v>
      </c>
      <c r="O1584" t="s">
        <v>47</v>
      </c>
      <c r="P1584" t="s">
        <v>26</v>
      </c>
      <c r="Q1584" t="s">
        <v>26</v>
      </c>
      <c r="R1584">
        <v>39</v>
      </c>
      <c r="S1584" t="s">
        <v>35</v>
      </c>
      <c r="T1584" t="str">
        <f t="shared" si="48"/>
        <v>Month</v>
      </c>
      <c r="U1584">
        <f>VLOOKUP(T1584,[1]tablescore!$B$3:$C$8, 2,FALSE)</f>
        <v>12</v>
      </c>
      <c r="V1584" t="str">
        <f t="shared" si="49"/>
        <v>Moderate</v>
      </c>
      <c r="W1584" t="s">
        <v>88</v>
      </c>
    </row>
    <row r="1585" spans="1:23" x14ac:dyDescent="0.25">
      <c r="A1585">
        <v>1584</v>
      </c>
      <c r="B1585">
        <v>37</v>
      </c>
      <c r="C1585" t="str" cm="1">
        <f t="array" ref="C1585">_xlfn.IFS(
  AND(B1585&gt;=18, B1585&lt;=24), "18-24",
  AND(B1585&gt;=25, B1585&lt;=34), "25-34",
  AND(B1585&gt;=35, B1585&lt;=44), "35-44",
  AND(B1585&gt;=45, B1585&lt;=54), "45-54",
  B1585&gt;=55, "55+"
)</f>
        <v>35-44</v>
      </c>
      <c r="D1585" t="s">
        <v>19</v>
      </c>
      <c r="E1585" t="s">
        <v>119</v>
      </c>
      <c r="F1585" t="s">
        <v>69</v>
      </c>
      <c r="G1585">
        <v>92</v>
      </c>
      <c r="H1585" t="s">
        <v>135</v>
      </c>
      <c r="I1585" t="s">
        <v>92</v>
      </c>
      <c r="J1585" t="s">
        <v>139</v>
      </c>
      <c r="K1585" t="s">
        <v>54</v>
      </c>
      <c r="L1585">
        <v>4.3</v>
      </c>
      <c r="M1585" t="s">
        <v>152</v>
      </c>
      <c r="N1585" t="s">
        <v>35</v>
      </c>
      <c r="O1585" t="s">
        <v>47</v>
      </c>
      <c r="P1585" t="s">
        <v>26</v>
      </c>
      <c r="Q1585" t="s">
        <v>26</v>
      </c>
      <c r="R1585">
        <v>8</v>
      </c>
      <c r="S1585" t="s">
        <v>29</v>
      </c>
      <c r="T1585" t="str">
        <f t="shared" si="48"/>
        <v>Annually</v>
      </c>
      <c r="U1585">
        <f>VLOOKUP(T1585,[1]tablescore!$B$3:$C$8, 2,FALSE)</f>
        <v>1</v>
      </c>
      <c r="V1585" t="str">
        <f t="shared" si="49"/>
        <v>Low Loyalty</v>
      </c>
      <c r="W1585" t="s">
        <v>50</v>
      </c>
    </row>
    <row r="1586" spans="1:23" x14ac:dyDescent="0.25">
      <c r="A1586">
        <v>1585</v>
      </c>
      <c r="B1586">
        <v>41</v>
      </c>
      <c r="C1586" t="str" cm="1">
        <f t="array" ref="C1586">_xlfn.IFS(
  AND(B1586&gt;=18, B1586&lt;=24), "18-24",
  AND(B1586&gt;=25, B1586&lt;=34), "25-34",
  AND(B1586&gt;=35, B1586&lt;=44), "35-44",
  AND(B1586&gt;=45, B1586&lt;=54), "45-54",
  B1586&gt;=55, "55+"
)</f>
        <v>35-44</v>
      </c>
      <c r="D1586" t="s">
        <v>19</v>
      </c>
      <c r="E1586" t="s">
        <v>20</v>
      </c>
      <c r="F1586" t="s">
        <v>21</v>
      </c>
      <c r="G1586">
        <v>95</v>
      </c>
      <c r="H1586" t="s">
        <v>78</v>
      </c>
      <c r="I1586" t="s">
        <v>38</v>
      </c>
      <c r="J1586" t="s">
        <v>67</v>
      </c>
      <c r="K1586" t="s">
        <v>39</v>
      </c>
      <c r="L1586">
        <v>3.1</v>
      </c>
      <c r="M1586" t="s">
        <v>152</v>
      </c>
      <c r="N1586" t="s">
        <v>29</v>
      </c>
      <c r="O1586" t="s">
        <v>76</v>
      </c>
      <c r="P1586" t="s">
        <v>26</v>
      </c>
      <c r="Q1586" t="s">
        <v>26</v>
      </c>
      <c r="R1586">
        <v>46</v>
      </c>
      <c r="S1586" t="s">
        <v>27</v>
      </c>
      <c r="T1586" t="str">
        <f t="shared" si="48"/>
        <v>Quarterly</v>
      </c>
      <c r="U1586">
        <f>VLOOKUP(T1586,[1]tablescore!$B$3:$C$8, 2,FALSE)</f>
        <v>4</v>
      </c>
      <c r="V1586" t="str">
        <f t="shared" si="49"/>
        <v>Low Loyalty</v>
      </c>
      <c r="W1586" t="s">
        <v>60</v>
      </c>
    </row>
    <row r="1587" spans="1:23" x14ac:dyDescent="0.25">
      <c r="A1587">
        <v>1586</v>
      </c>
      <c r="B1587">
        <v>37</v>
      </c>
      <c r="C1587" t="str" cm="1">
        <f t="array" ref="C1587">_xlfn.IFS(
  AND(B1587&gt;=18, B1587&lt;=24), "18-24",
  AND(B1587&gt;=25, B1587&lt;=34), "25-34",
  AND(B1587&gt;=35, B1587&lt;=44), "35-44",
  AND(B1587&gt;=45, B1587&lt;=54), "45-54",
  B1587&gt;=55, "55+"
)</f>
        <v>35-44</v>
      </c>
      <c r="D1587" t="s">
        <v>19</v>
      </c>
      <c r="E1587" t="s">
        <v>31</v>
      </c>
      <c r="F1587" t="s">
        <v>21</v>
      </c>
      <c r="G1587">
        <v>25</v>
      </c>
      <c r="H1587" t="s">
        <v>90</v>
      </c>
      <c r="I1587" t="s">
        <v>45</v>
      </c>
      <c r="J1587" t="s">
        <v>63</v>
      </c>
      <c r="K1587" t="s">
        <v>58</v>
      </c>
      <c r="L1587">
        <v>3</v>
      </c>
      <c r="M1587" t="s">
        <v>152</v>
      </c>
      <c r="N1587" t="s">
        <v>35</v>
      </c>
      <c r="O1587" t="s">
        <v>47</v>
      </c>
      <c r="P1587" t="s">
        <v>26</v>
      </c>
      <c r="Q1587" t="s">
        <v>26</v>
      </c>
      <c r="R1587">
        <v>40</v>
      </c>
      <c r="S1587" t="s">
        <v>59</v>
      </c>
      <c r="T1587" t="str">
        <f t="shared" si="48"/>
        <v>2-week</v>
      </c>
      <c r="U1587">
        <f>VLOOKUP(T1587,[1]tablescore!$B$3:$C$8, 2,FALSE)</f>
        <v>26</v>
      </c>
      <c r="V1587" t="str">
        <f t="shared" si="49"/>
        <v>Loyal</v>
      </c>
      <c r="W1587" t="s">
        <v>30</v>
      </c>
    </row>
    <row r="1588" spans="1:23" x14ac:dyDescent="0.25">
      <c r="A1588">
        <v>1587</v>
      </c>
      <c r="B1588">
        <v>25</v>
      </c>
      <c r="C1588" t="str" cm="1">
        <f t="array" ref="C1588">_xlfn.IFS(
  AND(B1588&gt;=18, B1588&lt;=24), "18-24",
  AND(B1588&gt;=25, B1588&lt;=34), "25-34",
  AND(B1588&gt;=35, B1588&lt;=44), "35-44",
  AND(B1588&gt;=45, B1588&lt;=54), "45-54",
  B1588&gt;=55, "55+"
)</f>
        <v>25-34</v>
      </c>
      <c r="D1588" t="s">
        <v>19</v>
      </c>
      <c r="E1588" t="s">
        <v>132</v>
      </c>
      <c r="F1588" t="s">
        <v>43</v>
      </c>
      <c r="G1588">
        <v>77</v>
      </c>
      <c r="H1588" t="s">
        <v>101</v>
      </c>
      <c r="I1588" t="s">
        <v>45</v>
      </c>
      <c r="J1588" t="s">
        <v>75</v>
      </c>
      <c r="K1588" t="s">
        <v>58</v>
      </c>
      <c r="L1588">
        <v>4</v>
      </c>
      <c r="M1588" t="s">
        <v>152</v>
      </c>
      <c r="N1588" t="s">
        <v>59</v>
      </c>
      <c r="O1588" t="s">
        <v>28</v>
      </c>
      <c r="P1588" t="s">
        <v>26</v>
      </c>
      <c r="Q1588" t="s">
        <v>26</v>
      </c>
      <c r="R1588">
        <v>21</v>
      </c>
      <c r="S1588" t="s">
        <v>34</v>
      </c>
      <c r="T1588" t="str">
        <f t="shared" si="48"/>
        <v>Daily</v>
      </c>
      <c r="U1588">
        <f>VLOOKUP(T1588,[1]tablescore!$B$3:$C$8, 2,FALSE)</f>
        <v>30</v>
      </c>
      <c r="V1588" t="str">
        <f t="shared" si="49"/>
        <v>Highly Loyal</v>
      </c>
      <c r="W1588" t="s">
        <v>41</v>
      </c>
    </row>
    <row r="1589" spans="1:23" x14ac:dyDescent="0.25">
      <c r="A1589">
        <v>1588</v>
      </c>
      <c r="B1589">
        <v>41</v>
      </c>
      <c r="C1589" t="str" cm="1">
        <f t="array" ref="C1589">_xlfn.IFS(
  AND(B1589&gt;=18, B1589&lt;=24), "18-24",
  AND(B1589&gt;=25, B1589&lt;=34), "25-34",
  AND(B1589&gt;=35, B1589&lt;=44), "35-44",
  AND(B1589&gt;=45, B1589&lt;=54), "45-54",
  B1589&gt;=55, "55+"
)</f>
        <v>35-44</v>
      </c>
      <c r="D1589" t="s">
        <v>19</v>
      </c>
      <c r="E1589" t="s">
        <v>131</v>
      </c>
      <c r="F1589" t="s">
        <v>21</v>
      </c>
      <c r="G1589">
        <v>99</v>
      </c>
      <c r="H1589" t="s">
        <v>90</v>
      </c>
      <c r="I1589" t="s">
        <v>45</v>
      </c>
      <c r="J1589" t="s">
        <v>118</v>
      </c>
      <c r="K1589" t="s">
        <v>54</v>
      </c>
      <c r="L1589">
        <v>3.5</v>
      </c>
      <c r="M1589" t="s">
        <v>152</v>
      </c>
      <c r="N1589" t="s">
        <v>29</v>
      </c>
      <c r="O1589" t="s">
        <v>40</v>
      </c>
      <c r="P1589" t="s">
        <v>26</v>
      </c>
      <c r="Q1589" t="s">
        <v>26</v>
      </c>
      <c r="R1589">
        <v>33</v>
      </c>
      <c r="S1589" t="s">
        <v>27</v>
      </c>
      <c r="T1589" t="str">
        <f t="shared" si="48"/>
        <v>2-week</v>
      </c>
      <c r="U1589">
        <f>VLOOKUP(T1589,[1]tablescore!$B$3:$C$8, 2,FALSE)</f>
        <v>26</v>
      </c>
      <c r="V1589" t="str">
        <f t="shared" si="49"/>
        <v>Loyal</v>
      </c>
      <c r="W1589" t="s">
        <v>30</v>
      </c>
    </row>
    <row r="1590" spans="1:23" x14ac:dyDescent="0.25">
      <c r="A1590">
        <v>1589</v>
      </c>
      <c r="B1590">
        <v>48</v>
      </c>
      <c r="C1590" t="str" cm="1">
        <f t="array" ref="C1590">_xlfn.IFS(
  AND(B1590&gt;=18, B1590&lt;=24), "18-24",
  AND(B1590&gt;=25, B1590&lt;=34), "25-34",
  AND(B1590&gt;=35, B1590&lt;=44), "35-44",
  AND(B1590&gt;=45, B1590&lt;=54), "45-54",
  B1590&gt;=55, "55+"
)</f>
        <v>45-54</v>
      </c>
      <c r="D1590" t="s">
        <v>19</v>
      </c>
      <c r="E1590" t="s">
        <v>136</v>
      </c>
      <c r="F1590" t="s">
        <v>69</v>
      </c>
      <c r="G1590">
        <v>24</v>
      </c>
      <c r="H1590" t="s">
        <v>145</v>
      </c>
      <c r="I1590" t="s">
        <v>23</v>
      </c>
      <c r="J1590" t="s">
        <v>109</v>
      </c>
      <c r="K1590" t="s">
        <v>25</v>
      </c>
      <c r="L1590">
        <v>3.2</v>
      </c>
      <c r="M1590" t="s">
        <v>152</v>
      </c>
      <c r="N1590" t="s">
        <v>35</v>
      </c>
      <c r="O1590" t="s">
        <v>47</v>
      </c>
      <c r="P1590" t="s">
        <v>26</v>
      </c>
      <c r="Q1590" t="s">
        <v>26</v>
      </c>
      <c r="R1590">
        <v>3</v>
      </c>
      <c r="S1590" t="s">
        <v>29</v>
      </c>
      <c r="T1590" t="str">
        <f t="shared" si="48"/>
        <v>Month</v>
      </c>
      <c r="U1590">
        <f>VLOOKUP(T1590,[1]tablescore!$B$3:$C$8, 2,FALSE)</f>
        <v>12</v>
      </c>
      <c r="V1590" t="str">
        <f t="shared" si="49"/>
        <v>Moderate</v>
      </c>
      <c r="W1590" t="s">
        <v>88</v>
      </c>
    </row>
    <row r="1591" spans="1:23" x14ac:dyDescent="0.25">
      <c r="A1591">
        <v>1590</v>
      </c>
      <c r="B1591">
        <v>42</v>
      </c>
      <c r="C1591" t="str" cm="1">
        <f t="array" ref="C1591">_xlfn.IFS(
  AND(B1591&gt;=18, B1591&lt;=24), "18-24",
  AND(B1591&gt;=25, B1591&lt;=34), "25-34",
  AND(B1591&gt;=35, B1591&lt;=44), "35-44",
  AND(B1591&gt;=45, B1591&lt;=54), "45-54",
  B1591&gt;=55, "55+"
)</f>
        <v>35-44</v>
      </c>
      <c r="D1591" t="s">
        <v>19</v>
      </c>
      <c r="E1591" t="s">
        <v>51</v>
      </c>
      <c r="F1591" t="s">
        <v>43</v>
      </c>
      <c r="G1591">
        <v>72</v>
      </c>
      <c r="H1591" t="s">
        <v>124</v>
      </c>
      <c r="I1591" t="s">
        <v>45</v>
      </c>
      <c r="J1591" t="s">
        <v>67</v>
      </c>
      <c r="K1591" t="s">
        <v>54</v>
      </c>
      <c r="L1591">
        <v>2.7</v>
      </c>
      <c r="M1591" t="s">
        <v>152</v>
      </c>
      <c r="N1591" t="s">
        <v>29</v>
      </c>
      <c r="O1591" t="s">
        <v>76</v>
      </c>
      <c r="P1591" t="s">
        <v>26</v>
      </c>
      <c r="Q1591" t="s">
        <v>26</v>
      </c>
      <c r="R1591">
        <v>48</v>
      </c>
      <c r="S1591" t="s">
        <v>35</v>
      </c>
      <c r="T1591" t="str">
        <f t="shared" si="48"/>
        <v>Daily</v>
      </c>
      <c r="U1591">
        <f>VLOOKUP(T1591,[1]tablescore!$B$3:$C$8, 2,FALSE)</f>
        <v>30</v>
      </c>
      <c r="V1591" t="str">
        <f t="shared" si="49"/>
        <v>Highly Loyal</v>
      </c>
      <c r="W1591" t="s">
        <v>41</v>
      </c>
    </row>
    <row r="1592" spans="1:23" x14ac:dyDescent="0.25">
      <c r="A1592">
        <v>1591</v>
      </c>
      <c r="B1592">
        <v>54</v>
      </c>
      <c r="C1592" t="str" cm="1">
        <f t="array" ref="C1592">_xlfn.IFS(
  AND(B1592&gt;=18, B1592&lt;=24), "18-24",
  AND(B1592&gt;=25, B1592&lt;=34), "25-34",
  AND(B1592&gt;=35, B1592&lt;=44), "35-44",
  AND(B1592&gt;=45, B1592&lt;=54), "45-54",
  B1592&gt;=55, "55+"
)</f>
        <v>45-54</v>
      </c>
      <c r="D1592" t="s">
        <v>19</v>
      </c>
      <c r="E1592" t="s">
        <v>36</v>
      </c>
      <c r="F1592" t="s">
        <v>21</v>
      </c>
      <c r="G1592">
        <v>80</v>
      </c>
      <c r="H1592" t="s">
        <v>148</v>
      </c>
      <c r="I1592" t="s">
        <v>38</v>
      </c>
      <c r="J1592" t="s">
        <v>71</v>
      </c>
      <c r="K1592" t="s">
        <v>25</v>
      </c>
      <c r="L1592">
        <v>3</v>
      </c>
      <c r="M1592" t="s">
        <v>152</v>
      </c>
      <c r="N1592" t="s">
        <v>35</v>
      </c>
      <c r="O1592" t="s">
        <v>40</v>
      </c>
      <c r="P1592" t="s">
        <v>26</v>
      </c>
      <c r="Q1592" t="s">
        <v>26</v>
      </c>
      <c r="R1592">
        <v>8</v>
      </c>
      <c r="S1592" t="s">
        <v>46</v>
      </c>
      <c r="T1592" t="str">
        <f t="shared" si="48"/>
        <v>Annually</v>
      </c>
      <c r="U1592">
        <f>VLOOKUP(T1592,[1]tablescore!$B$3:$C$8, 2,FALSE)</f>
        <v>1</v>
      </c>
      <c r="V1592" t="str">
        <f t="shared" si="49"/>
        <v>Low Loyalty</v>
      </c>
      <c r="W1592" t="s">
        <v>50</v>
      </c>
    </row>
    <row r="1593" spans="1:23" x14ac:dyDescent="0.25">
      <c r="A1593">
        <v>1592</v>
      </c>
      <c r="B1593">
        <v>18</v>
      </c>
      <c r="C1593" t="str" cm="1">
        <f t="array" ref="C1593">_xlfn.IFS(
  AND(B1593&gt;=18, B1593&lt;=24), "18-24",
  AND(B1593&gt;=25, B1593&lt;=34), "25-34",
  AND(B1593&gt;=35, B1593&lt;=44), "35-44",
  AND(B1593&gt;=45, B1593&lt;=54), "45-54",
  B1593&gt;=55, "55+"
)</f>
        <v>18-24</v>
      </c>
      <c r="D1593" t="s">
        <v>19</v>
      </c>
      <c r="E1593" t="s">
        <v>87</v>
      </c>
      <c r="F1593" t="s">
        <v>21</v>
      </c>
      <c r="G1593">
        <v>100</v>
      </c>
      <c r="H1593" t="s">
        <v>130</v>
      </c>
      <c r="I1593" t="s">
        <v>23</v>
      </c>
      <c r="J1593" t="s">
        <v>81</v>
      </c>
      <c r="K1593" t="s">
        <v>25</v>
      </c>
      <c r="L1593">
        <v>2.9</v>
      </c>
      <c r="M1593" t="s">
        <v>152</v>
      </c>
      <c r="N1593" t="s">
        <v>34</v>
      </c>
      <c r="O1593" t="s">
        <v>47</v>
      </c>
      <c r="P1593" t="s">
        <v>26</v>
      </c>
      <c r="Q1593" t="s">
        <v>26</v>
      </c>
      <c r="R1593">
        <v>24</v>
      </c>
      <c r="S1593" t="s">
        <v>46</v>
      </c>
      <c r="T1593" t="str">
        <f t="shared" si="48"/>
        <v>Annually</v>
      </c>
      <c r="U1593">
        <f>VLOOKUP(T1593,[1]tablescore!$B$3:$C$8, 2,FALSE)</f>
        <v>1</v>
      </c>
      <c r="V1593" t="str">
        <f t="shared" si="49"/>
        <v>Low Loyalty</v>
      </c>
      <c r="W1593" t="s">
        <v>50</v>
      </c>
    </row>
    <row r="1594" spans="1:23" x14ac:dyDescent="0.25">
      <c r="A1594">
        <v>1593</v>
      </c>
      <c r="B1594">
        <v>56</v>
      </c>
      <c r="C1594" t="str" cm="1">
        <f t="array" ref="C1594">_xlfn.IFS(
  AND(B1594&gt;=18, B1594&lt;=24), "18-24",
  AND(B1594&gt;=25, B1594&lt;=34), "25-34",
  AND(B1594&gt;=35, B1594&lt;=44), "35-44",
  AND(B1594&gt;=45, B1594&lt;=54), "45-54",
  B1594&gt;=55, "55+"
)</f>
        <v>55+</v>
      </c>
      <c r="D1594" t="s">
        <v>19</v>
      </c>
      <c r="E1594" t="s">
        <v>73</v>
      </c>
      <c r="F1594" t="s">
        <v>43</v>
      </c>
      <c r="G1594">
        <v>83</v>
      </c>
      <c r="H1594" t="s">
        <v>150</v>
      </c>
      <c r="I1594" t="s">
        <v>45</v>
      </c>
      <c r="J1594" t="s">
        <v>109</v>
      </c>
      <c r="K1594" t="s">
        <v>54</v>
      </c>
      <c r="L1594">
        <v>3.3</v>
      </c>
      <c r="M1594" t="s">
        <v>152</v>
      </c>
      <c r="N1594" t="s">
        <v>27</v>
      </c>
      <c r="O1594" t="s">
        <v>40</v>
      </c>
      <c r="P1594" t="s">
        <v>26</v>
      </c>
      <c r="Q1594" t="s">
        <v>26</v>
      </c>
      <c r="R1594">
        <v>10</v>
      </c>
      <c r="S1594" t="s">
        <v>34</v>
      </c>
      <c r="T1594" t="str">
        <f t="shared" si="48"/>
        <v>Quarterly</v>
      </c>
      <c r="U1594">
        <f>VLOOKUP(T1594,[1]tablescore!$B$3:$C$8, 2,FALSE)</f>
        <v>4</v>
      </c>
      <c r="V1594" t="str">
        <f t="shared" si="49"/>
        <v>Low Loyalty</v>
      </c>
      <c r="W1594" t="s">
        <v>97</v>
      </c>
    </row>
    <row r="1595" spans="1:23" x14ac:dyDescent="0.25">
      <c r="A1595">
        <v>1594</v>
      </c>
      <c r="B1595">
        <v>61</v>
      </c>
      <c r="C1595" t="str" cm="1">
        <f t="array" ref="C1595">_xlfn.IFS(
  AND(B1595&gt;=18, B1595&lt;=24), "18-24",
  AND(B1595&gt;=25, B1595&lt;=34), "25-34",
  AND(B1595&gt;=35, B1595&lt;=44), "35-44",
  AND(B1595&gt;=45, B1595&lt;=54), "45-54",
  B1595&gt;=55, "55+"
)</f>
        <v>55+</v>
      </c>
      <c r="D1595" t="s">
        <v>19</v>
      </c>
      <c r="E1595" t="s">
        <v>82</v>
      </c>
      <c r="F1595" t="s">
        <v>21</v>
      </c>
      <c r="G1595">
        <v>95</v>
      </c>
      <c r="H1595" t="s">
        <v>135</v>
      </c>
      <c r="I1595" t="s">
        <v>45</v>
      </c>
      <c r="J1595" t="s">
        <v>94</v>
      </c>
      <c r="K1595" t="s">
        <v>39</v>
      </c>
      <c r="L1595">
        <v>4.9000000000000004</v>
      </c>
      <c r="M1595" t="s">
        <v>152</v>
      </c>
      <c r="N1595" t="s">
        <v>46</v>
      </c>
      <c r="O1595" t="s">
        <v>72</v>
      </c>
      <c r="P1595" t="s">
        <v>26</v>
      </c>
      <c r="Q1595" t="s">
        <v>26</v>
      </c>
      <c r="R1595">
        <v>25</v>
      </c>
      <c r="S1595" t="s">
        <v>34</v>
      </c>
      <c r="T1595" t="str">
        <f t="shared" si="48"/>
        <v>Month</v>
      </c>
      <c r="U1595">
        <f>VLOOKUP(T1595,[1]tablescore!$B$3:$C$8, 2,FALSE)</f>
        <v>12</v>
      </c>
      <c r="V1595" t="str">
        <f t="shared" si="49"/>
        <v>Moderate</v>
      </c>
      <c r="W1595" t="s">
        <v>88</v>
      </c>
    </row>
    <row r="1596" spans="1:23" x14ac:dyDescent="0.25">
      <c r="A1596">
        <v>1595</v>
      </c>
      <c r="B1596">
        <v>40</v>
      </c>
      <c r="C1596" t="str" cm="1">
        <f t="array" ref="C1596">_xlfn.IFS(
  AND(B1596&gt;=18, B1596&lt;=24), "18-24",
  AND(B1596&gt;=25, B1596&lt;=34), "25-34",
  AND(B1596&gt;=35, B1596&lt;=44), "35-44",
  AND(B1596&gt;=45, B1596&lt;=54), "45-54",
  B1596&gt;=55, "55+"
)</f>
        <v>35-44</v>
      </c>
      <c r="D1596" t="s">
        <v>19</v>
      </c>
      <c r="E1596" t="s">
        <v>68</v>
      </c>
      <c r="F1596" t="s">
        <v>69</v>
      </c>
      <c r="G1596">
        <v>41</v>
      </c>
      <c r="H1596" t="s">
        <v>112</v>
      </c>
      <c r="I1596" t="s">
        <v>92</v>
      </c>
      <c r="J1596" t="s">
        <v>63</v>
      </c>
      <c r="K1596" t="s">
        <v>54</v>
      </c>
      <c r="L1596">
        <v>3.7</v>
      </c>
      <c r="M1596" t="s">
        <v>152</v>
      </c>
      <c r="N1596" t="s">
        <v>34</v>
      </c>
      <c r="O1596" t="s">
        <v>76</v>
      </c>
      <c r="P1596" t="s">
        <v>26</v>
      </c>
      <c r="Q1596" t="s">
        <v>26</v>
      </c>
      <c r="R1596">
        <v>3</v>
      </c>
      <c r="S1596" t="s">
        <v>35</v>
      </c>
      <c r="T1596" t="str">
        <f t="shared" si="48"/>
        <v>2-week</v>
      </c>
      <c r="U1596">
        <f>VLOOKUP(T1596,[1]tablescore!$B$3:$C$8, 2,FALSE)</f>
        <v>26</v>
      </c>
      <c r="V1596" t="str">
        <f t="shared" si="49"/>
        <v>Loyal</v>
      </c>
      <c r="W1596" t="s">
        <v>30</v>
      </c>
    </row>
    <row r="1597" spans="1:23" x14ac:dyDescent="0.25">
      <c r="A1597">
        <v>1596</v>
      </c>
      <c r="B1597">
        <v>34</v>
      </c>
      <c r="C1597" t="str" cm="1">
        <f t="array" ref="C1597">_xlfn.IFS(
  AND(B1597&gt;=18, B1597&lt;=24), "18-24",
  AND(B1597&gt;=25, B1597&lt;=34), "25-34",
  AND(B1597&gt;=35, B1597&lt;=44), "35-44",
  AND(B1597&gt;=45, B1597&lt;=54), "45-54",
  B1597&gt;=55, "55+"
)</f>
        <v>25-34</v>
      </c>
      <c r="D1597" t="s">
        <v>19</v>
      </c>
      <c r="E1597" t="s">
        <v>133</v>
      </c>
      <c r="F1597" t="s">
        <v>69</v>
      </c>
      <c r="G1597">
        <v>35</v>
      </c>
      <c r="H1597" t="s">
        <v>148</v>
      </c>
      <c r="I1597" t="s">
        <v>38</v>
      </c>
      <c r="J1597" t="s">
        <v>147</v>
      </c>
      <c r="K1597" t="s">
        <v>39</v>
      </c>
      <c r="L1597">
        <v>3.5</v>
      </c>
      <c r="M1597" t="s">
        <v>152</v>
      </c>
      <c r="N1597" t="s">
        <v>35</v>
      </c>
      <c r="O1597" t="s">
        <v>55</v>
      </c>
      <c r="P1597" t="s">
        <v>26</v>
      </c>
      <c r="Q1597" t="s">
        <v>26</v>
      </c>
      <c r="R1597">
        <v>45</v>
      </c>
      <c r="S1597" t="s">
        <v>59</v>
      </c>
      <c r="T1597" t="str">
        <f t="shared" si="48"/>
        <v>2-week</v>
      </c>
      <c r="U1597">
        <f>VLOOKUP(T1597,[1]tablescore!$B$3:$C$8, 2,FALSE)</f>
        <v>26</v>
      </c>
      <c r="V1597" t="str">
        <f t="shared" si="49"/>
        <v>Loyal</v>
      </c>
      <c r="W1597" t="s">
        <v>30</v>
      </c>
    </row>
    <row r="1598" spans="1:23" x14ac:dyDescent="0.25">
      <c r="A1598">
        <v>1597</v>
      </c>
      <c r="B1598">
        <v>42</v>
      </c>
      <c r="C1598" t="str" cm="1">
        <f t="array" ref="C1598">_xlfn.IFS(
  AND(B1598&gt;=18, B1598&lt;=24), "18-24",
  AND(B1598&gt;=25, B1598&lt;=34), "25-34",
  AND(B1598&gt;=35, B1598&lt;=44), "35-44",
  AND(B1598&gt;=45, B1598&lt;=54), "45-54",
  B1598&gt;=55, "55+"
)</f>
        <v>35-44</v>
      </c>
      <c r="D1598" t="s">
        <v>19</v>
      </c>
      <c r="E1598" t="s">
        <v>106</v>
      </c>
      <c r="F1598" t="s">
        <v>69</v>
      </c>
      <c r="G1598">
        <v>30</v>
      </c>
      <c r="H1598" t="s">
        <v>91</v>
      </c>
      <c r="I1598" t="s">
        <v>38</v>
      </c>
      <c r="J1598" t="s">
        <v>71</v>
      </c>
      <c r="K1598" t="s">
        <v>58</v>
      </c>
      <c r="L1598">
        <v>4.7</v>
      </c>
      <c r="M1598" t="s">
        <v>152</v>
      </c>
      <c r="N1598" t="s">
        <v>34</v>
      </c>
      <c r="O1598" t="s">
        <v>76</v>
      </c>
      <c r="P1598" t="s">
        <v>26</v>
      </c>
      <c r="Q1598" t="s">
        <v>26</v>
      </c>
      <c r="R1598">
        <v>15</v>
      </c>
      <c r="S1598" t="s">
        <v>59</v>
      </c>
      <c r="T1598" t="str">
        <f t="shared" si="48"/>
        <v>Month</v>
      </c>
      <c r="U1598">
        <f>VLOOKUP(T1598,[1]tablescore!$B$3:$C$8, 2,FALSE)</f>
        <v>12</v>
      </c>
      <c r="V1598" t="str">
        <f t="shared" si="49"/>
        <v>Moderate</v>
      </c>
      <c r="W1598" t="s">
        <v>88</v>
      </c>
    </row>
    <row r="1599" spans="1:23" x14ac:dyDescent="0.25">
      <c r="A1599">
        <v>1598</v>
      </c>
      <c r="B1599">
        <v>43</v>
      </c>
      <c r="C1599" t="str" cm="1">
        <f t="array" ref="C1599">_xlfn.IFS(
  AND(B1599&gt;=18, B1599&lt;=24), "18-24",
  AND(B1599&gt;=25, B1599&lt;=34), "25-34",
  AND(B1599&gt;=35, B1599&lt;=44), "35-44",
  AND(B1599&gt;=45, B1599&lt;=54), "45-54",
  B1599&gt;=55, "55+"
)</f>
        <v>35-44</v>
      </c>
      <c r="D1599" t="s">
        <v>19</v>
      </c>
      <c r="E1599" t="s">
        <v>125</v>
      </c>
      <c r="F1599" t="s">
        <v>69</v>
      </c>
      <c r="G1599">
        <v>21</v>
      </c>
      <c r="H1599" t="s">
        <v>91</v>
      </c>
      <c r="I1599" t="s">
        <v>92</v>
      </c>
      <c r="J1599" t="s">
        <v>33</v>
      </c>
      <c r="K1599" t="s">
        <v>25</v>
      </c>
      <c r="L1599">
        <v>2.6</v>
      </c>
      <c r="M1599" t="s">
        <v>152</v>
      </c>
      <c r="N1599" t="s">
        <v>59</v>
      </c>
      <c r="O1599" t="s">
        <v>76</v>
      </c>
      <c r="P1599" t="s">
        <v>26</v>
      </c>
      <c r="Q1599" t="s">
        <v>26</v>
      </c>
      <c r="R1599">
        <v>34</v>
      </c>
      <c r="S1599" t="s">
        <v>34</v>
      </c>
      <c r="T1599" t="str">
        <f t="shared" si="48"/>
        <v>Quarterly</v>
      </c>
      <c r="U1599">
        <f>VLOOKUP(T1599,[1]tablescore!$B$3:$C$8, 2,FALSE)</f>
        <v>4</v>
      </c>
      <c r="V1599" t="str">
        <f t="shared" si="49"/>
        <v>Low Loyalty</v>
      </c>
      <c r="W1599" t="s">
        <v>60</v>
      </c>
    </row>
    <row r="1600" spans="1:23" x14ac:dyDescent="0.25">
      <c r="A1600">
        <v>1599</v>
      </c>
      <c r="B1600">
        <v>47</v>
      </c>
      <c r="C1600" t="str" cm="1">
        <f t="array" ref="C1600">_xlfn.IFS(
  AND(B1600&gt;=18, B1600&lt;=24), "18-24",
  AND(B1600&gt;=25, B1600&lt;=34), "25-34",
  AND(B1600&gt;=35, B1600&lt;=44), "35-44",
  AND(B1600&gt;=45, B1600&lt;=54), "45-54",
  B1600&gt;=55, "55+"
)</f>
        <v>45-54</v>
      </c>
      <c r="D1600" t="s">
        <v>19</v>
      </c>
      <c r="E1600" t="s">
        <v>106</v>
      </c>
      <c r="F1600" t="s">
        <v>69</v>
      </c>
      <c r="G1600">
        <v>85</v>
      </c>
      <c r="H1600" t="s">
        <v>99</v>
      </c>
      <c r="I1600" t="s">
        <v>45</v>
      </c>
      <c r="J1600" t="s">
        <v>86</v>
      </c>
      <c r="K1600" t="s">
        <v>58</v>
      </c>
      <c r="L1600">
        <v>4.0999999999999996</v>
      </c>
      <c r="M1600" t="s">
        <v>152</v>
      </c>
      <c r="N1600" t="s">
        <v>27</v>
      </c>
      <c r="O1600" t="s">
        <v>28</v>
      </c>
      <c r="P1600" t="s">
        <v>26</v>
      </c>
      <c r="Q1600" t="s">
        <v>26</v>
      </c>
      <c r="R1600">
        <v>21</v>
      </c>
      <c r="S1600" t="s">
        <v>29</v>
      </c>
      <c r="T1600" t="str">
        <f t="shared" si="48"/>
        <v>2-week</v>
      </c>
      <c r="U1600">
        <f>VLOOKUP(T1600,[1]tablescore!$B$3:$C$8, 2,FALSE)</f>
        <v>26</v>
      </c>
      <c r="V1600" t="str">
        <f t="shared" si="49"/>
        <v>Loyal</v>
      </c>
      <c r="W1600" t="s">
        <v>77</v>
      </c>
    </row>
    <row r="1601" spans="1:23" x14ac:dyDescent="0.25">
      <c r="A1601">
        <v>1600</v>
      </c>
      <c r="B1601">
        <v>48</v>
      </c>
      <c r="C1601" t="str" cm="1">
        <f t="array" ref="C1601">_xlfn.IFS(
  AND(B1601&gt;=18, B1601&lt;=24), "18-24",
  AND(B1601&gt;=25, B1601&lt;=34), "25-34",
  AND(B1601&gt;=35, B1601&lt;=44), "35-44",
  AND(B1601&gt;=45, B1601&lt;=54), "45-54",
  B1601&gt;=55, "55+"
)</f>
        <v>45-54</v>
      </c>
      <c r="D1601" t="s">
        <v>19</v>
      </c>
      <c r="E1601" t="s">
        <v>56</v>
      </c>
      <c r="F1601" t="s">
        <v>21</v>
      </c>
      <c r="G1601">
        <v>54</v>
      </c>
      <c r="H1601" t="s">
        <v>80</v>
      </c>
      <c r="I1601" t="s">
        <v>45</v>
      </c>
      <c r="J1601" t="s">
        <v>121</v>
      </c>
      <c r="K1601" t="s">
        <v>25</v>
      </c>
      <c r="L1601">
        <v>2.8</v>
      </c>
      <c r="M1601" t="s">
        <v>152</v>
      </c>
      <c r="N1601" t="s">
        <v>29</v>
      </c>
      <c r="O1601" t="s">
        <v>72</v>
      </c>
      <c r="P1601" t="s">
        <v>26</v>
      </c>
      <c r="Q1601" t="s">
        <v>26</v>
      </c>
      <c r="R1601">
        <v>22</v>
      </c>
      <c r="S1601" t="s">
        <v>59</v>
      </c>
      <c r="T1601" t="str">
        <f t="shared" si="48"/>
        <v>2-week</v>
      </c>
      <c r="U1601">
        <f>VLOOKUP(T1601,[1]tablescore!$B$3:$C$8, 2,FALSE)</f>
        <v>26</v>
      </c>
      <c r="V1601" t="str">
        <f t="shared" si="49"/>
        <v>Loyal</v>
      </c>
      <c r="W1601" t="s">
        <v>77</v>
      </c>
    </row>
    <row r="1602" spans="1:23" x14ac:dyDescent="0.25">
      <c r="A1602">
        <v>1601</v>
      </c>
      <c r="B1602">
        <v>20</v>
      </c>
      <c r="C1602" t="str" cm="1">
        <f t="array" ref="C1602">_xlfn.IFS(
  AND(B1602&gt;=18, B1602&lt;=24), "18-24",
  AND(B1602&gt;=25, B1602&lt;=34), "25-34",
  AND(B1602&gt;=35, B1602&lt;=44), "35-44",
  AND(B1602&gt;=45, B1602&lt;=54), "45-54",
  B1602&gt;=55, "55+"
)</f>
        <v>18-24</v>
      </c>
      <c r="D1602" t="s">
        <v>19</v>
      </c>
      <c r="E1602" t="s">
        <v>132</v>
      </c>
      <c r="F1602" t="s">
        <v>43</v>
      </c>
      <c r="G1602">
        <v>26</v>
      </c>
      <c r="H1602" t="s">
        <v>57</v>
      </c>
      <c r="I1602" t="s">
        <v>38</v>
      </c>
      <c r="J1602" t="s">
        <v>139</v>
      </c>
      <c r="K1602" t="s">
        <v>39</v>
      </c>
      <c r="L1602">
        <v>4.7</v>
      </c>
      <c r="M1602" t="s">
        <v>152</v>
      </c>
      <c r="N1602" t="s">
        <v>46</v>
      </c>
      <c r="O1602" t="s">
        <v>47</v>
      </c>
      <c r="P1602" t="s">
        <v>26</v>
      </c>
      <c r="Q1602" t="s">
        <v>26</v>
      </c>
      <c r="R1602">
        <v>24</v>
      </c>
      <c r="S1602" t="s">
        <v>46</v>
      </c>
      <c r="T1602" t="str">
        <f t="shared" si="48"/>
        <v>Daily</v>
      </c>
      <c r="U1602">
        <f>VLOOKUP(T1602,[1]tablescore!$B$3:$C$8, 2,FALSE)</f>
        <v>30</v>
      </c>
      <c r="V1602" t="str">
        <f t="shared" si="49"/>
        <v>Highly Loyal</v>
      </c>
      <c r="W1602" t="s">
        <v>41</v>
      </c>
    </row>
    <row r="1603" spans="1:23" x14ac:dyDescent="0.25">
      <c r="A1603">
        <v>1602</v>
      </c>
      <c r="B1603">
        <v>65</v>
      </c>
      <c r="C1603" t="str" cm="1">
        <f t="array" ref="C1603">_xlfn.IFS(
  AND(B1603&gt;=18, B1603&lt;=24), "18-24",
  AND(B1603&gt;=25, B1603&lt;=34), "25-34",
  AND(B1603&gt;=35, B1603&lt;=44), "35-44",
  AND(B1603&gt;=45, B1603&lt;=54), "45-54",
  B1603&gt;=55, "55+"
)</f>
        <v>55+</v>
      </c>
      <c r="D1603" t="s">
        <v>19</v>
      </c>
      <c r="E1603" t="s">
        <v>56</v>
      </c>
      <c r="F1603" t="s">
        <v>21</v>
      </c>
      <c r="G1603">
        <v>59</v>
      </c>
      <c r="H1603" t="s">
        <v>116</v>
      </c>
      <c r="I1603" t="s">
        <v>92</v>
      </c>
      <c r="J1603" t="s">
        <v>108</v>
      </c>
      <c r="K1603" t="s">
        <v>39</v>
      </c>
      <c r="L1603">
        <v>2.9</v>
      </c>
      <c r="M1603" t="s">
        <v>152</v>
      </c>
      <c r="N1603" t="s">
        <v>29</v>
      </c>
      <c r="O1603" t="s">
        <v>76</v>
      </c>
      <c r="P1603" t="s">
        <v>26</v>
      </c>
      <c r="Q1603" t="s">
        <v>26</v>
      </c>
      <c r="R1603">
        <v>33</v>
      </c>
      <c r="S1603" t="s">
        <v>27</v>
      </c>
      <c r="T1603" t="str">
        <f t="shared" ref="T1603:T1666" si="50">IF(TRIM(W1603)="Every 3 months","Quarterly",IF(TRIM(W1603)="Fortnightly","2-week",IF(TRIM(W1603)="Bi-Weekly","2-week",IF(TRIM(W1603)="Weekly","Daily",IF(TRIM(W1603)="Monthly","Month",TRIM(W1603))))))</f>
        <v>Month</v>
      </c>
      <c r="U1603">
        <f>VLOOKUP(T1603,[1]tablescore!$B$3:$C$8, 2,FALSE)</f>
        <v>12</v>
      </c>
      <c r="V1603" t="str">
        <f t="shared" ref="V1603:V1666" si="51">_xlfn.IFS(U1603&gt;=30, "Highly Loyal", U1603&gt;=26, "Loyal", U1603&gt;=12, "Moderate", U1603&lt;5, "Low Loyalty")</f>
        <v>Moderate</v>
      </c>
      <c r="W1603" t="s">
        <v>88</v>
      </c>
    </row>
    <row r="1604" spans="1:23" x14ac:dyDescent="0.25">
      <c r="A1604">
        <v>1603</v>
      </c>
      <c r="B1604">
        <v>54</v>
      </c>
      <c r="C1604" t="str" cm="1">
        <f t="array" ref="C1604">_xlfn.IFS(
  AND(B1604&gt;=18, B1604&lt;=24), "18-24",
  AND(B1604&gt;=25, B1604&lt;=34), "25-34",
  AND(B1604&gt;=35, B1604&lt;=44), "35-44",
  AND(B1604&gt;=45, B1604&lt;=54), "45-54",
  B1604&gt;=55, "55+"
)</f>
        <v>45-54</v>
      </c>
      <c r="D1604" t="s">
        <v>19</v>
      </c>
      <c r="E1604" t="s">
        <v>89</v>
      </c>
      <c r="F1604" t="s">
        <v>69</v>
      </c>
      <c r="G1604">
        <v>48</v>
      </c>
      <c r="H1604" t="s">
        <v>66</v>
      </c>
      <c r="I1604" t="s">
        <v>38</v>
      </c>
      <c r="J1604" t="s">
        <v>63</v>
      </c>
      <c r="K1604" t="s">
        <v>25</v>
      </c>
      <c r="L1604">
        <v>2.8</v>
      </c>
      <c r="M1604" t="s">
        <v>152</v>
      </c>
      <c r="N1604" t="s">
        <v>27</v>
      </c>
      <c r="O1604" t="s">
        <v>40</v>
      </c>
      <c r="P1604" t="s">
        <v>26</v>
      </c>
      <c r="Q1604" t="s">
        <v>26</v>
      </c>
      <c r="R1604">
        <v>13</v>
      </c>
      <c r="S1604" t="s">
        <v>29</v>
      </c>
      <c r="T1604" t="str">
        <f t="shared" si="50"/>
        <v>2-week</v>
      </c>
      <c r="U1604">
        <f>VLOOKUP(T1604,[1]tablescore!$B$3:$C$8, 2,FALSE)</f>
        <v>26</v>
      </c>
      <c r="V1604" t="str">
        <f t="shared" si="51"/>
        <v>Loyal</v>
      </c>
      <c r="W1604" t="s">
        <v>30</v>
      </c>
    </row>
    <row r="1605" spans="1:23" x14ac:dyDescent="0.25">
      <c r="A1605">
        <v>1604</v>
      </c>
      <c r="B1605">
        <v>23</v>
      </c>
      <c r="C1605" t="str" cm="1">
        <f t="array" ref="C1605">_xlfn.IFS(
  AND(B1605&gt;=18, B1605&lt;=24), "18-24",
  AND(B1605&gt;=25, B1605&lt;=34), "25-34",
  AND(B1605&gt;=35, B1605&lt;=44), "35-44",
  AND(B1605&gt;=45, B1605&lt;=54), "45-54",
  B1605&gt;=55, "55+"
)</f>
        <v>18-24</v>
      </c>
      <c r="D1605" t="s">
        <v>19</v>
      </c>
      <c r="E1605" t="s">
        <v>61</v>
      </c>
      <c r="F1605" t="s">
        <v>21</v>
      </c>
      <c r="G1605">
        <v>98</v>
      </c>
      <c r="H1605" t="s">
        <v>150</v>
      </c>
      <c r="I1605" t="s">
        <v>23</v>
      </c>
      <c r="J1605" t="s">
        <v>94</v>
      </c>
      <c r="K1605" t="s">
        <v>54</v>
      </c>
      <c r="L1605">
        <v>4.3</v>
      </c>
      <c r="M1605" t="s">
        <v>152</v>
      </c>
      <c r="N1605" t="s">
        <v>59</v>
      </c>
      <c r="O1605" t="s">
        <v>47</v>
      </c>
      <c r="P1605" t="s">
        <v>26</v>
      </c>
      <c r="Q1605" t="s">
        <v>26</v>
      </c>
      <c r="R1605">
        <v>17</v>
      </c>
      <c r="S1605" t="s">
        <v>59</v>
      </c>
      <c r="T1605" t="str">
        <f t="shared" si="50"/>
        <v>2-week</v>
      </c>
      <c r="U1605">
        <f>VLOOKUP(T1605,[1]tablescore!$B$3:$C$8, 2,FALSE)</f>
        <v>26</v>
      </c>
      <c r="V1605" t="str">
        <f t="shared" si="51"/>
        <v>Loyal</v>
      </c>
      <c r="W1605" t="s">
        <v>77</v>
      </c>
    </row>
    <row r="1606" spans="1:23" x14ac:dyDescent="0.25">
      <c r="A1606">
        <v>1605</v>
      </c>
      <c r="B1606">
        <v>18</v>
      </c>
      <c r="C1606" t="str" cm="1">
        <f t="array" ref="C1606">_xlfn.IFS(
  AND(B1606&gt;=18, B1606&lt;=24), "18-24",
  AND(B1606&gt;=25, B1606&lt;=34), "25-34",
  AND(B1606&gt;=35, B1606&lt;=44), "35-44",
  AND(B1606&gt;=45, B1606&lt;=54), "45-54",
  B1606&gt;=55, "55+"
)</f>
        <v>18-24</v>
      </c>
      <c r="D1606" t="s">
        <v>19</v>
      </c>
      <c r="E1606" t="s">
        <v>31</v>
      </c>
      <c r="F1606" t="s">
        <v>21</v>
      </c>
      <c r="G1606">
        <v>92</v>
      </c>
      <c r="H1606" t="s">
        <v>32</v>
      </c>
      <c r="I1606" t="s">
        <v>45</v>
      </c>
      <c r="J1606" t="s">
        <v>53</v>
      </c>
      <c r="K1606" t="s">
        <v>54</v>
      </c>
      <c r="L1606">
        <v>4.8</v>
      </c>
      <c r="M1606" t="s">
        <v>152</v>
      </c>
      <c r="N1606" t="s">
        <v>29</v>
      </c>
      <c r="O1606" t="s">
        <v>72</v>
      </c>
      <c r="P1606" t="s">
        <v>26</v>
      </c>
      <c r="Q1606" t="s">
        <v>26</v>
      </c>
      <c r="R1606">
        <v>25</v>
      </c>
      <c r="S1606" t="s">
        <v>27</v>
      </c>
      <c r="T1606" t="str">
        <f t="shared" si="50"/>
        <v>Quarterly</v>
      </c>
      <c r="U1606">
        <f>VLOOKUP(T1606,[1]tablescore!$B$3:$C$8, 2,FALSE)</f>
        <v>4</v>
      </c>
      <c r="V1606" t="str">
        <f t="shared" si="51"/>
        <v>Low Loyalty</v>
      </c>
      <c r="W1606" t="s">
        <v>97</v>
      </c>
    </row>
    <row r="1607" spans="1:23" x14ac:dyDescent="0.25">
      <c r="A1607">
        <v>1606</v>
      </c>
      <c r="B1607">
        <v>70</v>
      </c>
      <c r="C1607" t="str" cm="1">
        <f t="array" ref="C1607">_xlfn.IFS(
  AND(B1607&gt;=18, B1607&lt;=24), "18-24",
  AND(B1607&gt;=25, B1607&lt;=34), "25-34",
  AND(B1607&gt;=35, B1607&lt;=44), "35-44",
  AND(B1607&gt;=45, B1607&lt;=54), "45-54",
  B1607&gt;=55, "55+"
)</f>
        <v>55+</v>
      </c>
      <c r="D1607" t="s">
        <v>19</v>
      </c>
      <c r="E1607" t="s">
        <v>136</v>
      </c>
      <c r="F1607" t="s">
        <v>69</v>
      </c>
      <c r="G1607">
        <v>46</v>
      </c>
      <c r="H1607" t="s">
        <v>146</v>
      </c>
      <c r="I1607" t="s">
        <v>45</v>
      </c>
      <c r="J1607" t="s">
        <v>93</v>
      </c>
      <c r="K1607" t="s">
        <v>25</v>
      </c>
      <c r="L1607">
        <v>3.4</v>
      </c>
      <c r="M1607" t="s">
        <v>152</v>
      </c>
      <c r="N1607" t="s">
        <v>34</v>
      </c>
      <c r="O1607" t="s">
        <v>47</v>
      </c>
      <c r="P1607" t="s">
        <v>26</v>
      </c>
      <c r="Q1607" t="s">
        <v>26</v>
      </c>
      <c r="R1607">
        <v>15</v>
      </c>
      <c r="S1607" t="s">
        <v>27</v>
      </c>
      <c r="T1607" t="str">
        <f t="shared" si="50"/>
        <v>2-week</v>
      </c>
      <c r="U1607">
        <f>VLOOKUP(T1607,[1]tablescore!$B$3:$C$8, 2,FALSE)</f>
        <v>26</v>
      </c>
      <c r="V1607" t="str">
        <f t="shared" si="51"/>
        <v>Loyal</v>
      </c>
      <c r="W1607" t="s">
        <v>77</v>
      </c>
    </row>
    <row r="1608" spans="1:23" x14ac:dyDescent="0.25">
      <c r="A1608">
        <v>1607</v>
      </c>
      <c r="B1608">
        <v>55</v>
      </c>
      <c r="C1608" t="str" cm="1">
        <f t="array" ref="C1608">_xlfn.IFS(
  AND(B1608&gt;=18, B1608&lt;=24), "18-24",
  AND(B1608&gt;=25, B1608&lt;=34), "25-34",
  AND(B1608&gt;=35, B1608&lt;=44), "35-44",
  AND(B1608&gt;=45, B1608&lt;=54), "45-54",
  B1608&gt;=55, "55+"
)</f>
        <v>55+</v>
      </c>
      <c r="D1608" t="s">
        <v>19</v>
      </c>
      <c r="E1608" t="s">
        <v>113</v>
      </c>
      <c r="F1608" t="s">
        <v>21</v>
      </c>
      <c r="G1608">
        <v>21</v>
      </c>
      <c r="H1608" t="s">
        <v>111</v>
      </c>
      <c r="I1608" t="s">
        <v>38</v>
      </c>
      <c r="J1608" t="s">
        <v>53</v>
      </c>
      <c r="K1608" t="s">
        <v>39</v>
      </c>
      <c r="L1608">
        <v>4.3</v>
      </c>
      <c r="M1608" t="s">
        <v>152</v>
      </c>
      <c r="N1608" t="s">
        <v>59</v>
      </c>
      <c r="O1608" t="s">
        <v>55</v>
      </c>
      <c r="P1608" t="s">
        <v>26</v>
      </c>
      <c r="Q1608" t="s">
        <v>26</v>
      </c>
      <c r="R1608">
        <v>4</v>
      </c>
      <c r="S1608" t="s">
        <v>46</v>
      </c>
      <c r="T1608" t="str">
        <f t="shared" si="50"/>
        <v>2-week</v>
      </c>
      <c r="U1608">
        <f>VLOOKUP(T1608,[1]tablescore!$B$3:$C$8, 2,FALSE)</f>
        <v>26</v>
      </c>
      <c r="V1608" t="str">
        <f t="shared" si="51"/>
        <v>Loyal</v>
      </c>
      <c r="W1608" t="s">
        <v>30</v>
      </c>
    </row>
    <row r="1609" spans="1:23" x14ac:dyDescent="0.25">
      <c r="A1609">
        <v>1608</v>
      </c>
      <c r="B1609">
        <v>49</v>
      </c>
      <c r="C1609" t="str" cm="1">
        <f t="array" ref="C1609">_xlfn.IFS(
  AND(B1609&gt;=18, B1609&lt;=24), "18-24",
  AND(B1609&gt;=25, B1609&lt;=34), "25-34",
  AND(B1609&gt;=35, B1609&lt;=44), "35-44",
  AND(B1609&gt;=45, B1609&lt;=54), "45-54",
  B1609&gt;=55, "55+"
)</f>
        <v>45-54</v>
      </c>
      <c r="D1609" t="s">
        <v>19</v>
      </c>
      <c r="E1609" t="s">
        <v>61</v>
      </c>
      <c r="F1609" t="s">
        <v>21</v>
      </c>
      <c r="G1609">
        <v>72</v>
      </c>
      <c r="H1609" t="s">
        <v>145</v>
      </c>
      <c r="I1609" t="s">
        <v>38</v>
      </c>
      <c r="J1609" t="s">
        <v>24</v>
      </c>
      <c r="K1609" t="s">
        <v>58</v>
      </c>
      <c r="L1609">
        <v>2.7</v>
      </c>
      <c r="M1609" t="s">
        <v>152</v>
      </c>
      <c r="N1609" t="s">
        <v>29</v>
      </c>
      <c r="O1609" t="s">
        <v>40</v>
      </c>
      <c r="P1609" t="s">
        <v>26</v>
      </c>
      <c r="Q1609" t="s">
        <v>26</v>
      </c>
      <c r="R1609">
        <v>43</v>
      </c>
      <c r="S1609" t="s">
        <v>59</v>
      </c>
      <c r="T1609" t="str">
        <f t="shared" si="50"/>
        <v>Quarterly</v>
      </c>
      <c r="U1609">
        <f>VLOOKUP(T1609,[1]tablescore!$B$3:$C$8, 2,FALSE)</f>
        <v>4</v>
      </c>
      <c r="V1609" t="str">
        <f t="shared" si="51"/>
        <v>Low Loyalty</v>
      </c>
      <c r="W1609" t="s">
        <v>60</v>
      </c>
    </row>
    <row r="1610" spans="1:23" x14ac:dyDescent="0.25">
      <c r="A1610">
        <v>1609</v>
      </c>
      <c r="B1610">
        <v>26</v>
      </c>
      <c r="C1610" t="str" cm="1">
        <f t="array" ref="C1610">_xlfn.IFS(
  AND(B1610&gt;=18, B1610&lt;=24), "18-24",
  AND(B1610&gt;=25, B1610&lt;=34), "25-34",
  AND(B1610&gt;=35, B1610&lt;=44), "35-44",
  AND(B1610&gt;=45, B1610&lt;=54), "45-54",
  B1610&gt;=55, "55+"
)</f>
        <v>25-34</v>
      </c>
      <c r="D1610" t="s">
        <v>19</v>
      </c>
      <c r="E1610" t="s">
        <v>42</v>
      </c>
      <c r="F1610" t="s">
        <v>43</v>
      </c>
      <c r="G1610">
        <v>58</v>
      </c>
      <c r="H1610" t="s">
        <v>143</v>
      </c>
      <c r="I1610" t="s">
        <v>92</v>
      </c>
      <c r="J1610" t="s">
        <v>109</v>
      </c>
      <c r="K1610" t="s">
        <v>58</v>
      </c>
      <c r="L1610">
        <v>4.5999999999999996</v>
      </c>
      <c r="M1610" t="s">
        <v>152</v>
      </c>
      <c r="N1610" t="s">
        <v>35</v>
      </c>
      <c r="O1610" t="s">
        <v>47</v>
      </c>
      <c r="P1610" t="s">
        <v>26</v>
      </c>
      <c r="Q1610" t="s">
        <v>26</v>
      </c>
      <c r="R1610">
        <v>12</v>
      </c>
      <c r="S1610" t="s">
        <v>34</v>
      </c>
      <c r="T1610" t="str">
        <f t="shared" si="50"/>
        <v>2-week</v>
      </c>
      <c r="U1610">
        <f>VLOOKUP(T1610,[1]tablescore!$B$3:$C$8, 2,FALSE)</f>
        <v>26</v>
      </c>
      <c r="V1610" t="str">
        <f t="shared" si="51"/>
        <v>Loyal</v>
      </c>
      <c r="W1610" t="s">
        <v>77</v>
      </c>
    </row>
    <row r="1611" spans="1:23" x14ac:dyDescent="0.25">
      <c r="A1611">
        <v>1610</v>
      </c>
      <c r="B1611">
        <v>33</v>
      </c>
      <c r="C1611" t="str" cm="1">
        <f t="array" ref="C1611">_xlfn.IFS(
  AND(B1611&gt;=18, B1611&lt;=24), "18-24",
  AND(B1611&gt;=25, B1611&lt;=34), "25-34",
  AND(B1611&gt;=35, B1611&lt;=44), "35-44",
  AND(B1611&gt;=45, B1611&lt;=54), "45-54",
  B1611&gt;=55, "55+"
)</f>
        <v>25-34</v>
      </c>
      <c r="D1611" t="s">
        <v>19</v>
      </c>
      <c r="E1611" t="s">
        <v>56</v>
      </c>
      <c r="F1611" t="s">
        <v>21</v>
      </c>
      <c r="G1611">
        <v>93</v>
      </c>
      <c r="H1611" t="s">
        <v>107</v>
      </c>
      <c r="I1611" t="s">
        <v>38</v>
      </c>
      <c r="J1611" t="s">
        <v>110</v>
      </c>
      <c r="K1611" t="s">
        <v>58</v>
      </c>
      <c r="L1611">
        <v>4.0999999999999996</v>
      </c>
      <c r="M1611" t="s">
        <v>152</v>
      </c>
      <c r="N1611" t="s">
        <v>27</v>
      </c>
      <c r="O1611" t="s">
        <v>55</v>
      </c>
      <c r="P1611" t="s">
        <v>26</v>
      </c>
      <c r="Q1611" t="s">
        <v>26</v>
      </c>
      <c r="R1611">
        <v>3</v>
      </c>
      <c r="S1611" t="s">
        <v>29</v>
      </c>
      <c r="T1611" t="str">
        <f t="shared" si="50"/>
        <v>Month</v>
      </c>
      <c r="U1611">
        <f>VLOOKUP(T1611,[1]tablescore!$B$3:$C$8, 2,FALSE)</f>
        <v>12</v>
      </c>
      <c r="V1611" t="str">
        <f t="shared" si="51"/>
        <v>Moderate</v>
      </c>
      <c r="W1611" t="s">
        <v>88</v>
      </c>
    </row>
    <row r="1612" spans="1:23" x14ac:dyDescent="0.25">
      <c r="A1612">
        <v>1611</v>
      </c>
      <c r="B1612">
        <v>20</v>
      </c>
      <c r="C1612" t="str" cm="1">
        <f t="array" ref="C1612">_xlfn.IFS(
  AND(B1612&gt;=18, B1612&lt;=24), "18-24",
  AND(B1612&gt;=25, B1612&lt;=34), "25-34",
  AND(B1612&gt;=35, B1612&lt;=44), "35-44",
  AND(B1612&gt;=45, B1612&lt;=54), "45-54",
  B1612&gt;=55, "55+"
)</f>
        <v>18-24</v>
      </c>
      <c r="D1612" t="s">
        <v>19</v>
      </c>
      <c r="E1612" t="s">
        <v>131</v>
      </c>
      <c r="F1612" t="s">
        <v>21</v>
      </c>
      <c r="G1612">
        <v>31</v>
      </c>
      <c r="H1612" t="s">
        <v>122</v>
      </c>
      <c r="I1612" t="s">
        <v>23</v>
      </c>
      <c r="J1612" t="s">
        <v>75</v>
      </c>
      <c r="K1612" t="s">
        <v>39</v>
      </c>
      <c r="L1612">
        <v>3.4</v>
      </c>
      <c r="M1612" t="s">
        <v>152</v>
      </c>
      <c r="N1612" t="s">
        <v>27</v>
      </c>
      <c r="O1612" t="s">
        <v>72</v>
      </c>
      <c r="P1612" t="s">
        <v>26</v>
      </c>
      <c r="Q1612" t="s">
        <v>26</v>
      </c>
      <c r="R1612">
        <v>1</v>
      </c>
      <c r="S1612" t="s">
        <v>46</v>
      </c>
      <c r="T1612" t="str">
        <f t="shared" si="50"/>
        <v>Annually</v>
      </c>
      <c r="U1612">
        <f>VLOOKUP(T1612,[1]tablescore!$B$3:$C$8, 2,FALSE)</f>
        <v>1</v>
      </c>
      <c r="V1612" t="str">
        <f t="shared" si="51"/>
        <v>Low Loyalty</v>
      </c>
      <c r="W1612" t="s">
        <v>50</v>
      </c>
    </row>
    <row r="1613" spans="1:23" x14ac:dyDescent="0.25">
      <c r="A1613">
        <v>1612</v>
      </c>
      <c r="B1613">
        <v>41</v>
      </c>
      <c r="C1613" t="str" cm="1">
        <f t="array" ref="C1613">_xlfn.IFS(
  AND(B1613&gt;=18, B1613&lt;=24), "18-24",
  AND(B1613&gt;=25, B1613&lt;=34), "25-34",
  AND(B1613&gt;=35, B1613&lt;=44), "35-44",
  AND(B1613&gt;=45, B1613&lt;=54), "45-54",
  B1613&gt;=55, "55+"
)</f>
        <v>35-44</v>
      </c>
      <c r="D1613" t="s">
        <v>19</v>
      </c>
      <c r="E1613" t="s">
        <v>95</v>
      </c>
      <c r="F1613" t="s">
        <v>21</v>
      </c>
      <c r="G1613">
        <v>26</v>
      </c>
      <c r="H1613" t="s">
        <v>74</v>
      </c>
      <c r="I1613" t="s">
        <v>23</v>
      </c>
      <c r="J1613" t="s">
        <v>139</v>
      </c>
      <c r="K1613" t="s">
        <v>25</v>
      </c>
      <c r="L1613">
        <v>4.5</v>
      </c>
      <c r="M1613" t="s">
        <v>152</v>
      </c>
      <c r="N1613" t="s">
        <v>46</v>
      </c>
      <c r="O1613" t="s">
        <v>47</v>
      </c>
      <c r="P1613" t="s">
        <v>26</v>
      </c>
      <c r="Q1613" t="s">
        <v>26</v>
      </c>
      <c r="R1613">
        <v>6</v>
      </c>
      <c r="S1613" t="s">
        <v>59</v>
      </c>
      <c r="T1613" t="str">
        <f t="shared" si="50"/>
        <v>Month</v>
      </c>
      <c r="U1613">
        <f>VLOOKUP(T1613,[1]tablescore!$B$3:$C$8, 2,FALSE)</f>
        <v>12</v>
      </c>
      <c r="V1613" t="str">
        <f t="shared" si="51"/>
        <v>Moderate</v>
      </c>
      <c r="W1613" t="s">
        <v>88</v>
      </c>
    </row>
    <row r="1614" spans="1:23" x14ac:dyDescent="0.25">
      <c r="A1614">
        <v>1613</v>
      </c>
      <c r="B1614">
        <v>18</v>
      </c>
      <c r="C1614" t="str" cm="1">
        <f t="array" ref="C1614">_xlfn.IFS(
  AND(B1614&gt;=18, B1614&lt;=24), "18-24",
  AND(B1614&gt;=25, B1614&lt;=34), "25-34",
  AND(B1614&gt;=35, B1614&lt;=44), "35-44",
  AND(B1614&gt;=45, B1614&lt;=54), "45-54",
  B1614&gt;=55, "55+"
)</f>
        <v>18-24</v>
      </c>
      <c r="D1614" t="s">
        <v>19</v>
      </c>
      <c r="E1614" t="s">
        <v>87</v>
      </c>
      <c r="F1614" t="s">
        <v>21</v>
      </c>
      <c r="G1614">
        <v>68</v>
      </c>
      <c r="H1614" t="s">
        <v>148</v>
      </c>
      <c r="I1614" t="s">
        <v>45</v>
      </c>
      <c r="J1614" t="s">
        <v>129</v>
      </c>
      <c r="K1614" t="s">
        <v>54</v>
      </c>
      <c r="L1614">
        <v>4.4000000000000004</v>
      </c>
      <c r="M1614" t="s">
        <v>152</v>
      </c>
      <c r="N1614" t="s">
        <v>34</v>
      </c>
      <c r="O1614" t="s">
        <v>55</v>
      </c>
      <c r="P1614" t="s">
        <v>26</v>
      </c>
      <c r="Q1614" t="s">
        <v>26</v>
      </c>
      <c r="R1614">
        <v>26</v>
      </c>
      <c r="S1614" t="s">
        <v>29</v>
      </c>
      <c r="T1614" t="str">
        <f t="shared" si="50"/>
        <v>Month</v>
      </c>
      <c r="U1614">
        <f>VLOOKUP(T1614,[1]tablescore!$B$3:$C$8, 2,FALSE)</f>
        <v>12</v>
      </c>
      <c r="V1614" t="str">
        <f t="shared" si="51"/>
        <v>Moderate</v>
      </c>
      <c r="W1614" t="s">
        <v>88</v>
      </c>
    </row>
    <row r="1615" spans="1:23" x14ac:dyDescent="0.25">
      <c r="A1615">
        <v>1614</v>
      </c>
      <c r="B1615">
        <v>26</v>
      </c>
      <c r="C1615" t="str" cm="1">
        <f t="array" ref="C1615">_xlfn.IFS(
  AND(B1615&gt;=18, B1615&lt;=24), "18-24",
  AND(B1615&gt;=25, B1615&lt;=34), "25-34",
  AND(B1615&gt;=35, B1615&lt;=44), "35-44",
  AND(B1615&gt;=45, B1615&lt;=54), "45-54",
  B1615&gt;=55, "55+"
)</f>
        <v>25-34</v>
      </c>
      <c r="D1615" t="s">
        <v>19</v>
      </c>
      <c r="E1615" t="s">
        <v>106</v>
      </c>
      <c r="F1615" t="s">
        <v>69</v>
      </c>
      <c r="G1615">
        <v>31</v>
      </c>
      <c r="H1615" t="s">
        <v>115</v>
      </c>
      <c r="I1615" t="s">
        <v>38</v>
      </c>
      <c r="J1615" t="s">
        <v>94</v>
      </c>
      <c r="K1615" t="s">
        <v>54</v>
      </c>
      <c r="L1615">
        <v>4</v>
      </c>
      <c r="M1615" t="s">
        <v>152</v>
      </c>
      <c r="N1615" t="s">
        <v>27</v>
      </c>
      <c r="O1615" t="s">
        <v>47</v>
      </c>
      <c r="P1615" t="s">
        <v>26</v>
      </c>
      <c r="Q1615" t="s">
        <v>26</v>
      </c>
      <c r="R1615">
        <v>6</v>
      </c>
      <c r="S1615" t="s">
        <v>27</v>
      </c>
      <c r="T1615" t="str">
        <f t="shared" si="50"/>
        <v>2-week</v>
      </c>
      <c r="U1615">
        <f>VLOOKUP(T1615,[1]tablescore!$B$3:$C$8, 2,FALSE)</f>
        <v>26</v>
      </c>
      <c r="V1615" t="str">
        <f t="shared" si="51"/>
        <v>Loyal</v>
      </c>
      <c r="W1615" t="s">
        <v>30</v>
      </c>
    </row>
    <row r="1616" spans="1:23" x14ac:dyDescent="0.25">
      <c r="A1616">
        <v>1615</v>
      </c>
      <c r="B1616">
        <v>30</v>
      </c>
      <c r="C1616" t="str" cm="1">
        <f t="array" ref="C1616">_xlfn.IFS(
  AND(B1616&gt;=18, B1616&lt;=24), "18-24",
  AND(B1616&gt;=25, B1616&lt;=34), "25-34",
  AND(B1616&gt;=35, B1616&lt;=44), "35-44",
  AND(B1616&gt;=45, B1616&lt;=54), "45-54",
  B1616&gt;=55, "55+"
)</f>
        <v>25-34</v>
      </c>
      <c r="D1616" t="s">
        <v>19</v>
      </c>
      <c r="E1616" t="s">
        <v>113</v>
      </c>
      <c r="F1616" t="s">
        <v>21</v>
      </c>
      <c r="G1616">
        <v>41</v>
      </c>
      <c r="H1616" t="s">
        <v>111</v>
      </c>
      <c r="I1616" t="s">
        <v>38</v>
      </c>
      <c r="J1616" t="s">
        <v>24</v>
      </c>
      <c r="K1616" t="s">
        <v>54</v>
      </c>
      <c r="L1616">
        <v>3.4</v>
      </c>
      <c r="M1616" t="s">
        <v>152</v>
      </c>
      <c r="N1616" t="s">
        <v>35</v>
      </c>
      <c r="O1616" t="s">
        <v>40</v>
      </c>
      <c r="P1616" t="s">
        <v>26</v>
      </c>
      <c r="Q1616" t="s">
        <v>26</v>
      </c>
      <c r="R1616">
        <v>22</v>
      </c>
      <c r="S1616" t="s">
        <v>35</v>
      </c>
      <c r="T1616" t="str">
        <f t="shared" si="50"/>
        <v>2-week</v>
      </c>
      <c r="U1616">
        <f>VLOOKUP(T1616,[1]tablescore!$B$3:$C$8, 2,FALSE)</f>
        <v>26</v>
      </c>
      <c r="V1616" t="str">
        <f t="shared" si="51"/>
        <v>Loyal</v>
      </c>
      <c r="W1616" t="s">
        <v>77</v>
      </c>
    </row>
    <row r="1617" spans="1:23" x14ac:dyDescent="0.25">
      <c r="A1617">
        <v>1616</v>
      </c>
      <c r="B1617">
        <v>64</v>
      </c>
      <c r="C1617" t="str" cm="1">
        <f t="array" ref="C1617">_xlfn.IFS(
  AND(B1617&gt;=18, B1617&lt;=24), "18-24",
  AND(B1617&gt;=25, B1617&lt;=34), "25-34",
  AND(B1617&gt;=35, B1617&lt;=44), "35-44",
  AND(B1617&gt;=45, B1617&lt;=54), "45-54",
  B1617&gt;=55, "55+"
)</f>
        <v>55+</v>
      </c>
      <c r="D1617" t="s">
        <v>19</v>
      </c>
      <c r="E1617" t="s">
        <v>106</v>
      </c>
      <c r="F1617" t="s">
        <v>69</v>
      </c>
      <c r="G1617">
        <v>62</v>
      </c>
      <c r="H1617" t="s">
        <v>85</v>
      </c>
      <c r="I1617" t="s">
        <v>45</v>
      </c>
      <c r="J1617" t="s">
        <v>129</v>
      </c>
      <c r="K1617" t="s">
        <v>58</v>
      </c>
      <c r="L1617">
        <v>3.2</v>
      </c>
      <c r="M1617" t="s">
        <v>152</v>
      </c>
      <c r="N1617" t="s">
        <v>46</v>
      </c>
      <c r="O1617" t="s">
        <v>55</v>
      </c>
      <c r="P1617" t="s">
        <v>26</v>
      </c>
      <c r="Q1617" t="s">
        <v>26</v>
      </c>
      <c r="R1617">
        <v>45</v>
      </c>
      <c r="S1617" t="s">
        <v>35</v>
      </c>
      <c r="T1617" t="str">
        <f t="shared" si="50"/>
        <v>2-week</v>
      </c>
      <c r="U1617">
        <f>VLOOKUP(T1617,[1]tablescore!$B$3:$C$8, 2,FALSE)</f>
        <v>26</v>
      </c>
      <c r="V1617" t="str">
        <f t="shared" si="51"/>
        <v>Loyal</v>
      </c>
      <c r="W1617" t="s">
        <v>77</v>
      </c>
    </row>
    <row r="1618" spans="1:23" x14ac:dyDescent="0.25">
      <c r="A1618">
        <v>1617</v>
      </c>
      <c r="B1618">
        <v>26</v>
      </c>
      <c r="C1618" t="str" cm="1">
        <f t="array" ref="C1618">_xlfn.IFS(
  AND(B1618&gt;=18, B1618&lt;=24), "18-24",
  AND(B1618&gt;=25, B1618&lt;=34), "25-34",
  AND(B1618&gt;=35, B1618&lt;=44), "35-44",
  AND(B1618&gt;=45, B1618&lt;=54), "45-54",
  B1618&gt;=55, "55+"
)</f>
        <v>25-34</v>
      </c>
      <c r="D1618" t="s">
        <v>19</v>
      </c>
      <c r="E1618" t="s">
        <v>125</v>
      </c>
      <c r="F1618" t="s">
        <v>69</v>
      </c>
      <c r="G1618">
        <v>41</v>
      </c>
      <c r="H1618" t="s">
        <v>112</v>
      </c>
      <c r="I1618" t="s">
        <v>45</v>
      </c>
      <c r="J1618" t="s">
        <v>96</v>
      </c>
      <c r="K1618" t="s">
        <v>39</v>
      </c>
      <c r="L1618">
        <v>3.4</v>
      </c>
      <c r="M1618" t="s">
        <v>152</v>
      </c>
      <c r="N1618" t="s">
        <v>34</v>
      </c>
      <c r="O1618" t="s">
        <v>55</v>
      </c>
      <c r="P1618" t="s">
        <v>26</v>
      </c>
      <c r="Q1618" t="s">
        <v>26</v>
      </c>
      <c r="R1618">
        <v>50</v>
      </c>
      <c r="S1618" t="s">
        <v>35</v>
      </c>
      <c r="T1618" t="str">
        <f t="shared" si="50"/>
        <v>Quarterly</v>
      </c>
      <c r="U1618">
        <f>VLOOKUP(T1618,[1]tablescore!$B$3:$C$8, 2,FALSE)</f>
        <v>4</v>
      </c>
      <c r="V1618" t="str">
        <f t="shared" si="51"/>
        <v>Low Loyalty</v>
      </c>
      <c r="W1618" t="s">
        <v>60</v>
      </c>
    </row>
    <row r="1619" spans="1:23" x14ac:dyDescent="0.25">
      <c r="A1619">
        <v>1618</v>
      </c>
      <c r="B1619">
        <v>43</v>
      </c>
      <c r="C1619" t="str" cm="1">
        <f t="array" ref="C1619">_xlfn.IFS(
  AND(B1619&gt;=18, B1619&lt;=24), "18-24",
  AND(B1619&gt;=25, B1619&lt;=34), "25-34",
  AND(B1619&gt;=35, B1619&lt;=44), "35-44",
  AND(B1619&gt;=45, B1619&lt;=54), "45-54",
  B1619&gt;=55, "55+"
)</f>
        <v>35-44</v>
      </c>
      <c r="D1619" t="s">
        <v>19</v>
      </c>
      <c r="E1619" t="s">
        <v>20</v>
      </c>
      <c r="F1619" t="s">
        <v>21</v>
      </c>
      <c r="G1619">
        <v>64</v>
      </c>
      <c r="H1619" t="s">
        <v>148</v>
      </c>
      <c r="I1619" t="s">
        <v>45</v>
      </c>
      <c r="J1619" t="s">
        <v>100</v>
      </c>
      <c r="K1619" t="s">
        <v>25</v>
      </c>
      <c r="L1619">
        <v>4.3</v>
      </c>
      <c r="M1619" t="s">
        <v>152</v>
      </c>
      <c r="N1619" t="s">
        <v>46</v>
      </c>
      <c r="O1619" t="s">
        <v>55</v>
      </c>
      <c r="P1619" t="s">
        <v>26</v>
      </c>
      <c r="Q1619" t="s">
        <v>26</v>
      </c>
      <c r="R1619">
        <v>50</v>
      </c>
      <c r="S1619" t="s">
        <v>27</v>
      </c>
      <c r="T1619" t="str">
        <f t="shared" si="50"/>
        <v>2-week</v>
      </c>
      <c r="U1619">
        <f>VLOOKUP(T1619,[1]tablescore!$B$3:$C$8, 2,FALSE)</f>
        <v>26</v>
      </c>
      <c r="V1619" t="str">
        <f t="shared" si="51"/>
        <v>Loyal</v>
      </c>
      <c r="W1619" t="s">
        <v>30</v>
      </c>
    </row>
    <row r="1620" spans="1:23" x14ac:dyDescent="0.25">
      <c r="A1620">
        <v>1619</v>
      </c>
      <c r="B1620">
        <v>63</v>
      </c>
      <c r="C1620" t="str" cm="1">
        <f t="array" ref="C1620">_xlfn.IFS(
  AND(B1620&gt;=18, B1620&lt;=24), "18-24",
  AND(B1620&gt;=25, B1620&lt;=34), "25-34",
  AND(B1620&gt;=35, B1620&lt;=44), "35-44",
  AND(B1620&gt;=45, B1620&lt;=54), "45-54",
  B1620&gt;=55, "55+"
)</f>
        <v>55+</v>
      </c>
      <c r="D1620" t="s">
        <v>19</v>
      </c>
      <c r="E1620" t="s">
        <v>42</v>
      </c>
      <c r="F1620" t="s">
        <v>43</v>
      </c>
      <c r="G1620">
        <v>72</v>
      </c>
      <c r="H1620" t="s">
        <v>151</v>
      </c>
      <c r="I1620" t="s">
        <v>23</v>
      </c>
      <c r="J1620" t="s">
        <v>75</v>
      </c>
      <c r="K1620" t="s">
        <v>54</v>
      </c>
      <c r="L1620">
        <v>5</v>
      </c>
      <c r="M1620" t="s">
        <v>152</v>
      </c>
      <c r="N1620" t="s">
        <v>29</v>
      </c>
      <c r="O1620" t="s">
        <v>55</v>
      </c>
      <c r="P1620" t="s">
        <v>26</v>
      </c>
      <c r="Q1620" t="s">
        <v>26</v>
      </c>
      <c r="R1620">
        <v>39</v>
      </c>
      <c r="S1620" t="s">
        <v>59</v>
      </c>
      <c r="T1620" t="str">
        <f t="shared" si="50"/>
        <v>Quarterly</v>
      </c>
      <c r="U1620">
        <f>VLOOKUP(T1620,[1]tablescore!$B$3:$C$8, 2,FALSE)</f>
        <v>4</v>
      </c>
      <c r="V1620" t="str">
        <f t="shared" si="51"/>
        <v>Low Loyalty</v>
      </c>
      <c r="W1620" t="s">
        <v>60</v>
      </c>
    </row>
    <row r="1621" spans="1:23" x14ac:dyDescent="0.25">
      <c r="A1621">
        <v>1620</v>
      </c>
      <c r="B1621">
        <v>57</v>
      </c>
      <c r="C1621" t="str" cm="1">
        <f t="array" ref="C1621">_xlfn.IFS(
  AND(B1621&gt;=18, B1621&lt;=24), "18-24",
  AND(B1621&gt;=25, B1621&lt;=34), "25-34",
  AND(B1621&gt;=35, B1621&lt;=44), "35-44",
  AND(B1621&gt;=45, B1621&lt;=54), "45-54",
  B1621&gt;=55, "55+"
)</f>
        <v>55+</v>
      </c>
      <c r="D1621" t="s">
        <v>19</v>
      </c>
      <c r="E1621" t="s">
        <v>68</v>
      </c>
      <c r="F1621" t="s">
        <v>69</v>
      </c>
      <c r="G1621">
        <v>78</v>
      </c>
      <c r="H1621" t="s">
        <v>78</v>
      </c>
      <c r="I1621" t="s">
        <v>23</v>
      </c>
      <c r="J1621" t="s">
        <v>118</v>
      </c>
      <c r="K1621" t="s">
        <v>25</v>
      </c>
      <c r="L1621">
        <v>3.5</v>
      </c>
      <c r="M1621" t="s">
        <v>152</v>
      </c>
      <c r="N1621" t="s">
        <v>35</v>
      </c>
      <c r="O1621" t="s">
        <v>76</v>
      </c>
      <c r="P1621" t="s">
        <v>26</v>
      </c>
      <c r="Q1621" t="s">
        <v>26</v>
      </c>
      <c r="R1621">
        <v>50</v>
      </c>
      <c r="S1621" t="s">
        <v>29</v>
      </c>
      <c r="T1621" t="str">
        <f t="shared" si="50"/>
        <v>2-week</v>
      </c>
      <c r="U1621">
        <f>VLOOKUP(T1621,[1]tablescore!$B$3:$C$8, 2,FALSE)</f>
        <v>26</v>
      </c>
      <c r="V1621" t="str">
        <f t="shared" si="51"/>
        <v>Loyal</v>
      </c>
      <c r="W1621" t="s">
        <v>77</v>
      </c>
    </row>
    <row r="1622" spans="1:23" x14ac:dyDescent="0.25">
      <c r="A1622">
        <v>1621</v>
      </c>
      <c r="B1622">
        <v>25</v>
      </c>
      <c r="C1622" t="str" cm="1">
        <f t="array" ref="C1622">_xlfn.IFS(
  AND(B1622&gt;=18, B1622&lt;=24), "18-24",
  AND(B1622&gt;=25, B1622&lt;=34), "25-34",
  AND(B1622&gt;=35, B1622&lt;=44), "35-44",
  AND(B1622&gt;=45, B1622&lt;=54), "45-54",
  B1622&gt;=55, "55+"
)</f>
        <v>25-34</v>
      </c>
      <c r="D1622" t="s">
        <v>19</v>
      </c>
      <c r="E1622" t="s">
        <v>125</v>
      </c>
      <c r="F1622" t="s">
        <v>69</v>
      </c>
      <c r="G1622">
        <v>47</v>
      </c>
      <c r="H1622" t="s">
        <v>128</v>
      </c>
      <c r="I1622" t="s">
        <v>45</v>
      </c>
      <c r="J1622" t="s">
        <v>63</v>
      </c>
      <c r="K1622" t="s">
        <v>25</v>
      </c>
      <c r="L1622">
        <v>3.1</v>
      </c>
      <c r="M1622" t="s">
        <v>152</v>
      </c>
      <c r="N1622" t="s">
        <v>34</v>
      </c>
      <c r="O1622" t="s">
        <v>72</v>
      </c>
      <c r="P1622" t="s">
        <v>26</v>
      </c>
      <c r="Q1622" t="s">
        <v>26</v>
      </c>
      <c r="R1622">
        <v>27</v>
      </c>
      <c r="S1622" t="s">
        <v>46</v>
      </c>
      <c r="T1622" t="str">
        <f t="shared" si="50"/>
        <v>Quarterly</v>
      </c>
      <c r="U1622">
        <f>VLOOKUP(T1622,[1]tablescore!$B$3:$C$8, 2,FALSE)</f>
        <v>4</v>
      </c>
      <c r="V1622" t="str">
        <f t="shared" si="51"/>
        <v>Low Loyalty</v>
      </c>
      <c r="W1622" t="s">
        <v>97</v>
      </c>
    </row>
    <row r="1623" spans="1:23" x14ac:dyDescent="0.25">
      <c r="A1623">
        <v>1622</v>
      </c>
      <c r="B1623">
        <v>68</v>
      </c>
      <c r="C1623" t="str" cm="1">
        <f t="array" ref="C1623">_xlfn.IFS(
  AND(B1623&gt;=18, B1623&lt;=24), "18-24",
  AND(B1623&gt;=25, B1623&lt;=34), "25-34",
  AND(B1623&gt;=35, B1623&lt;=44), "35-44",
  AND(B1623&gt;=45, B1623&lt;=54), "45-54",
  B1623&gt;=55, "55+"
)</f>
        <v>55+</v>
      </c>
      <c r="D1623" t="s">
        <v>19</v>
      </c>
      <c r="E1623" t="s">
        <v>119</v>
      </c>
      <c r="F1623" t="s">
        <v>69</v>
      </c>
      <c r="G1623">
        <v>46</v>
      </c>
      <c r="H1623" t="s">
        <v>124</v>
      </c>
      <c r="I1623" t="s">
        <v>23</v>
      </c>
      <c r="J1623" t="s">
        <v>24</v>
      </c>
      <c r="K1623" t="s">
        <v>54</v>
      </c>
      <c r="L1623">
        <v>3.9</v>
      </c>
      <c r="M1623" t="s">
        <v>152</v>
      </c>
      <c r="N1623" t="s">
        <v>29</v>
      </c>
      <c r="O1623" t="s">
        <v>72</v>
      </c>
      <c r="P1623" t="s">
        <v>26</v>
      </c>
      <c r="Q1623" t="s">
        <v>26</v>
      </c>
      <c r="R1623">
        <v>38</v>
      </c>
      <c r="S1623" t="s">
        <v>59</v>
      </c>
      <c r="T1623" t="str">
        <f t="shared" si="50"/>
        <v>2-week</v>
      </c>
      <c r="U1623">
        <f>VLOOKUP(T1623,[1]tablescore!$B$3:$C$8, 2,FALSE)</f>
        <v>26</v>
      </c>
      <c r="V1623" t="str">
        <f t="shared" si="51"/>
        <v>Loyal</v>
      </c>
      <c r="W1623" t="s">
        <v>30</v>
      </c>
    </row>
    <row r="1624" spans="1:23" x14ac:dyDescent="0.25">
      <c r="A1624">
        <v>1623</v>
      </c>
      <c r="B1624">
        <v>31</v>
      </c>
      <c r="C1624" t="str" cm="1">
        <f t="array" ref="C1624">_xlfn.IFS(
  AND(B1624&gt;=18, B1624&lt;=24), "18-24",
  AND(B1624&gt;=25, B1624&lt;=34), "25-34",
  AND(B1624&gt;=35, B1624&lt;=44), "35-44",
  AND(B1624&gt;=45, B1624&lt;=54), "45-54",
  B1624&gt;=55, "55+"
)</f>
        <v>25-34</v>
      </c>
      <c r="D1624" t="s">
        <v>19</v>
      </c>
      <c r="E1624" t="s">
        <v>61</v>
      </c>
      <c r="F1624" t="s">
        <v>21</v>
      </c>
      <c r="G1624">
        <v>43</v>
      </c>
      <c r="H1624" t="s">
        <v>70</v>
      </c>
      <c r="I1624" t="s">
        <v>38</v>
      </c>
      <c r="J1624" t="s">
        <v>110</v>
      </c>
      <c r="K1624" t="s">
        <v>25</v>
      </c>
      <c r="L1624">
        <v>4</v>
      </c>
      <c r="M1624" t="s">
        <v>152</v>
      </c>
      <c r="N1624" t="s">
        <v>46</v>
      </c>
      <c r="O1624" t="s">
        <v>76</v>
      </c>
      <c r="P1624" t="s">
        <v>26</v>
      </c>
      <c r="Q1624" t="s">
        <v>26</v>
      </c>
      <c r="R1624">
        <v>37</v>
      </c>
      <c r="S1624" t="s">
        <v>34</v>
      </c>
      <c r="T1624" t="str">
        <f t="shared" si="50"/>
        <v>Quarterly</v>
      </c>
      <c r="U1624">
        <f>VLOOKUP(T1624,[1]tablescore!$B$3:$C$8, 2,FALSE)</f>
        <v>4</v>
      </c>
      <c r="V1624" t="str">
        <f t="shared" si="51"/>
        <v>Low Loyalty</v>
      </c>
      <c r="W1624" t="s">
        <v>97</v>
      </c>
    </row>
    <row r="1625" spans="1:23" x14ac:dyDescent="0.25">
      <c r="A1625">
        <v>1624</v>
      </c>
      <c r="B1625">
        <v>64</v>
      </c>
      <c r="C1625" t="str" cm="1">
        <f t="array" ref="C1625">_xlfn.IFS(
  AND(B1625&gt;=18, B1625&lt;=24), "18-24",
  AND(B1625&gt;=25, B1625&lt;=34), "25-34",
  AND(B1625&gt;=35, B1625&lt;=44), "35-44",
  AND(B1625&gt;=45, B1625&lt;=54), "45-54",
  B1625&gt;=55, "55+"
)</f>
        <v>55+</v>
      </c>
      <c r="D1625" t="s">
        <v>19</v>
      </c>
      <c r="E1625" t="s">
        <v>133</v>
      </c>
      <c r="F1625" t="s">
        <v>69</v>
      </c>
      <c r="G1625">
        <v>58</v>
      </c>
      <c r="H1625" t="s">
        <v>116</v>
      </c>
      <c r="I1625" t="s">
        <v>45</v>
      </c>
      <c r="J1625" t="s">
        <v>109</v>
      </c>
      <c r="K1625" t="s">
        <v>54</v>
      </c>
      <c r="L1625">
        <v>3.5</v>
      </c>
      <c r="M1625" t="s">
        <v>152</v>
      </c>
      <c r="N1625" t="s">
        <v>29</v>
      </c>
      <c r="O1625" t="s">
        <v>47</v>
      </c>
      <c r="P1625" t="s">
        <v>26</v>
      </c>
      <c r="Q1625" t="s">
        <v>26</v>
      </c>
      <c r="R1625">
        <v>50</v>
      </c>
      <c r="S1625" t="s">
        <v>59</v>
      </c>
      <c r="T1625" t="str">
        <f t="shared" si="50"/>
        <v>Annually</v>
      </c>
      <c r="U1625">
        <f>VLOOKUP(T1625,[1]tablescore!$B$3:$C$8, 2,FALSE)</f>
        <v>1</v>
      </c>
      <c r="V1625" t="str">
        <f t="shared" si="51"/>
        <v>Low Loyalty</v>
      </c>
      <c r="W1625" t="s">
        <v>50</v>
      </c>
    </row>
    <row r="1626" spans="1:23" x14ac:dyDescent="0.25">
      <c r="A1626">
        <v>1625</v>
      </c>
      <c r="B1626">
        <v>38</v>
      </c>
      <c r="C1626" t="str" cm="1">
        <f t="array" ref="C1626">_xlfn.IFS(
  AND(B1626&gt;=18, B1626&lt;=24), "18-24",
  AND(B1626&gt;=25, B1626&lt;=34), "25-34",
  AND(B1626&gt;=35, B1626&lt;=44), "35-44",
  AND(B1626&gt;=45, B1626&lt;=54), "45-54",
  B1626&gt;=55, "55+"
)</f>
        <v>35-44</v>
      </c>
      <c r="D1626" t="s">
        <v>19</v>
      </c>
      <c r="E1626" t="s">
        <v>31</v>
      </c>
      <c r="F1626" t="s">
        <v>21</v>
      </c>
      <c r="G1626">
        <v>32</v>
      </c>
      <c r="H1626" t="s">
        <v>103</v>
      </c>
      <c r="I1626" t="s">
        <v>45</v>
      </c>
      <c r="J1626" t="s">
        <v>53</v>
      </c>
      <c r="K1626" t="s">
        <v>25</v>
      </c>
      <c r="L1626">
        <v>3.6</v>
      </c>
      <c r="M1626" t="s">
        <v>152</v>
      </c>
      <c r="N1626" t="s">
        <v>29</v>
      </c>
      <c r="O1626" t="s">
        <v>40</v>
      </c>
      <c r="P1626" t="s">
        <v>26</v>
      </c>
      <c r="Q1626" t="s">
        <v>26</v>
      </c>
      <c r="R1626">
        <v>40</v>
      </c>
      <c r="S1626" t="s">
        <v>46</v>
      </c>
      <c r="T1626" t="str">
        <f t="shared" si="50"/>
        <v>Quarterly</v>
      </c>
      <c r="U1626">
        <f>VLOOKUP(T1626,[1]tablescore!$B$3:$C$8, 2,FALSE)</f>
        <v>4</v>
      </c>
      <c r="V1626" t="str">
        <f t="shared" si="51"/>
        <v>Low Loyalty</v>
      </c>
      <c r="W1626" t="s">
        <v>97</v>
      </c>
    </row>
    <row r="1627" spans="1:23" x14ac:dyDescent="0.25">
      <c r="A1627">
        <v>1626</v>
      </c>
      <c r="B1627">
        <v>34</v>
      </c>
      <c r="C1627" t="str" cm="1">
        <f t="array" ref="C1627">_xlfn.IFS(
  AND(B1627&gt;=18, B1627&lt;=24), "18-24",
  AND(B1627&gt;=25, B1627&lt;=34), "25-34",
  AND(B1627&gt;=35, B1627&lt;=44), "35-44",
  AND(B1627&gt;=45, B1627&lt;=54), "45-54",
  B1627&gt;=55, "55+"
)</f>
        <v>25-34</v>
      </c>
      <c r="D1627" t="s">
        <v>19</v>
      </c>
      <c r="E1627" t="s">
        <v>87</v>
      </c>
      <c r="F1627" t="s">
        <v>21</v>
      </c>
      <c r="G1627">
        <v>45</v>
      </c>
      <c r="H1627" t="s">
        <v>134</v>
      </c>
      <c r="I1627" t="s">
        <v>23</v>
      </c>
      <c r="J1627" t="s">
        <v>118</v>
      </c>
      <c r="K1627" t="s">
        <v>25</v>
      </c>
      <c r="L1627">
        <v>3</v>
      </c>
      <c r="M1627" t="s">
        <v>152</v>
      </c>
      <c r="N1627" t="s">
        <v>46</v>
      </c>
      <c r="O1627" t="s">
        <v>47</v>
      </c>
      <c r="P1627" t="s">
        <v>26</v>
      </c>
      <c r="Q1627" t="s">
        <v>26</v>
      </c>
      <c r="R1627">
        <v>3</v>
      </c>
      <c r="S1627" t="s">
        <v>46</v>
      </c>
      <c r="T1627" t="str">
        <f t="shared" si="50"/>
        <v>2-week</v>
      </c>
      <c r="U1627">
        <f>VLOOKUP(T1627,[1]tablescore!$B$3:$C$8, 2,FALSE)</f>
        <v>26</v>
      </c>
      <c r="V1627" t="str">
        <f t="shared" si="51"/>
        <v>Loyal</v>
      </c>
      <c r="W1627" t="s">
        <v>77</v>
      </c>
    </row>
    <row r="1628" spans="1:23" x14ac:dyDescent="0.25">
      <c r="A1628">
        <v>1627</v>
      </c>
      <c r="B1628">
        <v>32</v>
      </c>
      <c r="C1628" t="str" cm="1">
        <f t="array" ref="C1628">_xlfn.IFS(
  AND(B1628&gt;=18, B1628&lt;=24), "18-24",
  AND(B1628&gt;=25, B1628&lt;=34), "25-34",
  AND(B1628&gt;=35, B1628&lt;=44), "35-44",
  AND(B1628&gt;=45, B1628&lt;=54), "45-54",
  B1628&gt;=55, "55+"
)</f>
        <v>25-34</v>
      </c>
      <c r="D1628" t="s">
        <v>19</v>
      </c>
      <c r="E1628" t="s">
        <v>51</v>
      </c>
      <c r="F1628" t="s">
        <v>43</v>
      </c>
      <c r="G1628">
        <v>35</v>
      </c>
      <c r="H1628" t="s">
        <v>107</v>
      </c>
      <c r="I1628" t="s">
        <v>23</v>
      </c>
      <c r="J1628" t="s">
        <v>121</v>
      </c>
      <c r="K1628" t="s">
        <v>54</v>
      </c>
      <c r="L1628">
        <v>2.6</v>
      </c>
      <c r="M1628" t="s">
        <v>152</v>
      </c>
      <c r="N1628" t="s">
        <v>34</v>
      </c>
      <c r="O1628" t="s">
        <v>47</v>
      </c>
      <c r="P1628" t="s">
        <v>26</v>
      </c>
      <c r="Q1628" t="s">
        <v>26</v>
      </c>
      <c r="R1628">
        <v>45</v>
      </c>
      <c r="S1628" t="s">
        <v>27</v>
      </c>
      <c r="T1628" t="str">
        <f t="shared" si="50"/>
        <v>2-week</v>
      </c>
      <c r="U1628">
        <f>VLOOKUP(T1628,[1]tablescore!$B$3:$C$8, 2,FALSE)</f>
        <v>26</v>
      </c>
      <c r="V1628" t="str">
        <f t="shared" si="51"/>
        <v>Loyal</v>
      </c>
      <c r="W1628" t="s">
        <v>77</v>
      </c>
    </row>
    <row r="1629" spans="1:23" x14ac:dyDescent="0.25">
      <c r="A1629">
        <v>1628</v>
      </c>
      <c r="B1629">
        <v>69</v>
      </c>
      <c r="C1629" t="str" cm="1">
        <f t="array" ref="C1629">_xlfn.IFS(
  AND(B1629&gt;=18, B1629&lt;=24), "18-24",
  AND(B1629&gt;=25, B1629&lt;=34), "25-34",
  AND(B1629&gt;=35, B1629&lt;=44), "35-44",
  AND(B1629&gt;=45, B1629&lt;=54), "45-54",
  B1629&gt;=55, "55+"
)</f>
        <v>55+</v>
      </c>
      <c r="D1629" t="s">
        <v>19</v>
      </c>
      <c r="E1629" t="s">
        <v>89</v>
      </c>
      <c r="F1629" t="s">
        <v>69</v>
      </c>
      <c r="G1629">
        <v>21</v>
      </c>
      <c r="H1629" t="s">
        <v>32</v>
      </c>
      <c r="I1629" t="s">
        <v>45</v>
      </c>
      <c r="J1629" t="s">
        <v>79</v>
      </c>
      <c r="K1629" t="s">
        <v>25</v>
      </c>
      <c r="L1629">
        <v>2.9</v>
      </c>
      <c r="M1629" t="s">
        <v>152</v>
      </c>
      <c r="N1629" t="s">
        <v>29</v>
      </c>
      <c r="O1629" t="s">
        <v>47</v>
      </c>
      <c r="P1629" t="s">
        <v>26</v>
      </c>
      <c r="Q1629" t="s">
        <v>26</v>
      </c>
      <c r="R1629">
        <v>8</v>
      </c>
      <c r="S1629" t="s">
        <v>27</v>
      </c>
      <c r="T1629" t="str">
        <f t="shared" si="50"/>
        <v>Annually</v>
      </c>
      <c r="U1629">
        <f>VLOOKUP(T1629,[1]tablescore!$B$3:$C$8, 2,FALSE)</f>
        <v>1</v>
      </c>
      <c r="V1629" t="str">
        <f t="shared" si="51"/>
        <v>Low Loyalty</v>
      </c>
      <c r="W1629" t="s">
        <v>50</v>
      </c>
    </row>
    <row r="1630" spans="1:23" x14ac:dyDescent="0.25">
      <c r="A1630">
        <v>1629</v>
      </c>
      <c r="B1630">
        <v>45</v>
      </c>
      <c r="C1630" t="str" cm="1">
        <f t="array" ref="C1630">_xlfn.IFS(
  AND(B1630&gt;=18, B1630&lt;=24), "18-24",
  AND(B1630&gt;=25, B1630&lt;=34), "25-34",
  AND(B1630&gt;=35, B1630&lt;=44), "35-44",
  AND(B1630&gt;=45, B1630&lt;=54), "45-54",
  B1630&gt;=55, "55+"
)</f>
        <v>45-54</v>
      </c>
      <c r="D1630" t="s">
        <v>19</v>
      </c>
      <c r="E1630" t="s">
        <v>82</v>
      </c>
      <c r="F1630" t="s">
        <v>21</v>
      </c>
      <c r="G1630">
        <v>64</v>
      </c>
      <c r="H1630" t="s">
        <v>37</v>
      </c>
      <c r="I1630" t="s">
        <v>38</v>
      </c>
      <c r="J1630" t="s">
        <v>86</v>
      </c>
      <c r="K1630" t="s">
        <v>25</v>
      </c>
      <c r="L1630">
        <v>3.1</v>
      </c>
      <c r="M1630" t="s">
        <v>152</v>
      </c>
      <c r="N1630" t="s">
        <v>46</v>
      </c>
      <c r="O1630" t="s">
        <v>47</v>
      </c>
      <c r="P1630" t="s">
        <v>26</v>
      </c>
      <c r="Q1630" t="s">
        <v>26</v>
      </c>
      <c r="R1630">
        <v>7</v>
      </c>
      <c r="S1630" t="s">
        <v>35</v>
      </c>
      <c r="T1630" t="str">
        <f t="shared" si="50"/>
        <v>Month</v>
      </c>
      <c r="U1630">
        <f>VLOOKUP(T1630,[1]tablescore!$B$3:$C$8, 2,FALSE)</f>
        <v>12</v>
      </c>
      <c r="V1630" t="str">
        <f t="shared" si="51"/>
        <v>Moderate</v>
      </c>
      <c r="W1630" t="s">
        <v>88</v>
      </c>
    </row>
    <row r="1631" spans="1:23" x14ac:dyDescent="0.25">
      <c r="A1631">
        <v>1630</v>
      </c>
      <c r="B1631">
        <v>35</v>
      </c>
      <c r="C1631" t="str" cm="1">
        <f t="array" ref="C1631">_xlfn.IFS(
  AND(B1631&gt;=18, B1631&lt;=24), "18-24",
  AND(B1631&gt;=25, B1631&lt;=34), "25-34",
  AND(B1631&gt;=35, B1631&lt;=44), "35-44",
  AND(B1631&gt;=45, B1631&lt;=54), "45-54",
  B1631&gt;=55, "55+"
)</f>
        <v>35-44</v>
      </c>
      <c r="D1631" t="s">
        <v>19</v>
      </c>
      <c r="E1631" t="s">
        <v>20</v>
      </c>
      <c r="F1631" t="s">
        <v>21</v>
      </c>
      <c r="G1631">
        <v>88</v>
      </c>
      <c r="H1631" t="s">
        <v>114</v>
      </c>
      <c r="I1631" t="s">
        <v>38</v>
      </c>
      <c r="J1631" t="s">
        <v>67</v>
      </c>
      <c r="K1631" t="s">
        <v>39</v>
      </c>
      <c r="L1631">
        <v>3.3</v>
      </c>
      <c r="M1631" t="s">
        <v>152</v>
      </c>
      <c r="N1631" t="s">
        <v>27</v>
      </c>
      <c r="O1631" t="s">
        <v>47</v>
      </c>
      <c r="P1631" t="s">
        <v>26</v>
      </c>
      <c r="Q1631" t="s">
        <v>26</v>
      </c>
      <c r="R1631">
        <v>13</v>
      </c>
      <c r="S1631" t="s">
        <v>29</v>
      </c>
      <c r="T1631" t="str">
        <f t="shared" si="50"/>
        <v>Quarterly</v>
      </c>
      <c r="U1631">
        <f>VLOOKUP(T1631,[1]tablescore!$B$3:$C$8, 2,FALSE)</f>
        <v>4</v>
      </c>
      <c r="V1631" t="str">
        <f t="shared" si="51"/>
        <v>Low Loyalty</v>
      </c>
      <c r="W1631" t="s">
        <v>60</v>
      </c>
    </row>
    <row r="1632" spans="1:23" x14ac:dyDescent="0.25">
      <c r="A1632">
        <v>1631</v>
      </c>
      <c r="B1632">
        <v>63</v>
      </c>
      <c r="C1632" t="str" cm="1">
        <f t="array" ref="C1632">_xlfn.IFS(
  AND(B1632&gt;=18, B1632&lt;=24), "18-24",
  AND(B1632&gt;=25, B1632&lt;=34), "25-34",
  AND(B1632&gt;=35, B1632&lt;=44), "35-44",
  AND(B1632&gt;=45, B1632&lt;=54), "45-54",
  B1632&gt;=55, "55+"
)</f>
        <v>55+</v>
      </c>
      <c r="D1632" t="s">
        <v>19</v>
      </c>
      <c r="E1632" t="s">
        <v>73</v>
      </c>
      <c r="F1632" t="s">
        <v>43</v>
      </c>
      <c r="G1632">
        <v>48</v>
      </c>
      <c r="H1632" t="s">
        <v>137</v>
      </c>
      <c r="I1632" t="s">
        <v>45</v>
      </c>
      <c r="J1632" t="s">
        <v>81</v>
      </c>
      <c r="K1632" t="s">
        <v>54</v>
      </c>
      <c r="L1632">
        <v>2.9</v>
      </c>
      <c r="M1632" t="s">
        <v>152</v>
      </c>
      <c r="N1632" t="s">
        <v>59</v>
      </c>
      <c r="O1632" t="s">
        <v>76</v>
      </c>
      <c r="P1632" t="s">
        <v>26</v>
      </c>
      <c r="Q1632" t="s">
        <v>26</v>
      </c>
      <c r="R1632">
        <v>29</v>
      </c>
      <c r="S1632" t="s">
        <v>29</v>
      </c>
      <c r="T1632" t="str">
        <f t="shared" si="50"/>
        <v>Quarterly</v>
      </c>
      <c r="U1632">
        <f>VLOOKUP(T1632,[1]tablescore!$B$3:$C$8, 2,FALSE)</f>
        <v>4</v>
      </c>
      <c r="V1632" t="str">
        <f t="shared" si="51"/>
        <v>Low Loyalty</v>
      </c>
      <c r="W1632" t="s">
        <v>97</v>
      </c>
    </row>
    <row r="1633" spans="1:23" x14ac:dyDescent="0.25">
      <c r="A1633">
        <v>1632</v>
      </c>
      <c r="B1633">
        <v>65</v>
      </c>
      <c r="C1633" t="str" cm="1">
        <f t="array" ref="C1633">_xlfn.IFS(
  AND(B1633&gt;=18, B1633&lt;=24), "18-24",
  AND(B1633&gt;=25, B1633&lt;=34), "25-34",
  AND(B1633&gt;=35, B1633&lt;=44), "35-44",
  AND(B1633&gt;=45, B1633&lt;=54), "45-54",
  B1633&gt;=55, "55+"
)</f>
        <v>55+</v>
      </c>
      <c r="D1633" t="s">
        <v>19</v>
      </c>
      <c r="E1633" t="s">
        <v>31</v>
      </c>
      <c r="F1633" t="s">
        <v>21</v>
      </c>
      <c r="G1633">
        <v>36</v>
      </c>
      <c r="H1633" t="s">
        <v>116</v>
      </c>
      <c r="I1633" t="s">
        <v>23</v>
      </c>
      <c r="J1633" t="s">
        <v>84</v>
      </c>
      <c r="K1633" t="s">
        <v>54</v>
      </c>
      <c r="L1633">
        <v>3.9</v>
      </c>
      <c r="M1633" t="s">
        <v>152</v>
      </c>
      <c r="N1633" t="s">
        <v>46</v>
      </c>
      <c r="O1633" t="s">
        <v>72</v>
      </c>
      <c r="P1633" t="s">
        <v>26</v>
      </c>
      <c r="Q1633" t="s">
        <v>26</v>
      </c>
      <c r="R1633">
        <v>7</v>
      </c>
      <c r="S1633" t="s">
        <v>34</v>
      </c>
      <c r="T1633" t="str">
        <f t="shared" si="50"/>
        <v>2-week</v>
      </c>
      <c r="U1633">
        <f>VLOOKUP(T1633,[1]tablescore!$B$3:$C$8, 2,FALSE)</f>
        <v>26</v>
      </c>
      <c r="V1633" t="str">
        <f t="shared" si="51"/>
        <v>Loyal</v>
      </c>
      <c r="W1633" t="s">
        <v>30</v>
      </c>
    </row>
    <row r="1634" spans="1:23" x14ac:dyDescent="0.25">
      <c r="A1634">
        <v>1633</v>
      </c>
      <c r="B1634">
        <v>35</v>
      </c>
      <c r="C1634" t="str" cm="1">
        <f t="array" ref="C1634">_xlfn.IFS(
  AND(B1634&gt;=18, B1634&lt;=24), "18-24",
  AND(B1634&gt;=25, B1634&lt;=34), "25-34",
  AND(B1634&gt;=35, B1634&lt;=44), "35-44",
  AND(B1634&gt;=45, B1634&lt;=54), "45-54",
  B1634&gt;=55, "55+"
)</f>
        <v>35-44</v>
      </c>
      <c r="D1634" t="s">
        <v>19</v>
      </c>
      <c r="E1634" t="s">
        <v>127</v>
      </c>
      <c r="F1634" t="s">
        <v>69</v>
      </c>
      <c r="G1634">
        <v>28</v>
      </c>
      <c r="H1634" t="s">
        <v>48</v>
      </c>
      <c r="I1634" t="s">
        <v>38</v>
      </c>
      <c r="J1634" t="s">
        <v>53</v>
      </c>
      <c r="K1634" t="s">
        <v>54</v>
      </c>
      <c r="L1634">
        <v>4.7</v>
      </c>
      <c r="M1634" t="s">
        <v>152</v>
      </c>
      <c r="N1634" t="s">
        <v>46</v>
      </c>
      <c r="O1634" t="s">
        <v>72</v>
      </c>
      <c r="P1634" t="s">
        <v>26</v>
      </c>
      <c r="Q1634" t="s">
        <v>26</v>
      </c>
      <c r="R1634">
        <v>50</v>
      </c>
      <c r="S1634" t="s">
        <v>59</v>
      </c>
      <c r="T1634" t="str">
        <f t="shared" si="50"/>
        <v>Quarterly</v>
      </c>
      <c r="U1634">
        <f>VLOOKUP(T1634,[1]tablescore!$B$3:$C$8, 2,FALSE)</f>
        <v>4</v>
      </c>
      <c r="V1634" t="str">
        <f t="shared" si="51"/>
        <v>Low Loyalty</v>
      </c>
      <c r="W1634" t="s">
        <v>97</v>
      </c>
    </row>
    <row r="1635" spans="1:23" x14ac:dyDescent="0.25">
      <c r="A1635">
        <v>1634</v>
      </c>
      <c r="B1635">
        <v>54</v>
      </c>
      <c r="C1635" t="str" cm="1">
        <f t="array" ref="C1635">_xlfn.IFS(
  AND(B1635&gt;=18, B1635&lt;=24), "18-24",
  AND(B1635&gt;=25, B1635&lt;=34), "25-34",
  AND(B1635&gt;=35, B1635&lt;=44), "35-44",
  AND(B1635&gt;=45, B1635&lt;=54), "45-54",
  B1635&gt;=55, "55+"
)</f>
        <v>45-54</v>
      </c>
      <c r="D1635" t="s">
        <v>19</v>
      </c>
      <c r="E1635" t="s">
        <v>131</v>
      </c>
      <c r="F1635" t="s">
        <v>21</v>
      </c>
      <c r="G1635">
        <v>80</v>
      </c>
      <c r="H1635" t="s">
        <v>114</v>
      </c>
      <c r="I1635" t="s">
        <v>45</v>
      </c>
      <c r="J1635" t="s">
        <v>100</v>
      </c>
      <c r="K1635" t="s">
        <v>39</v>
      </c>
      <c r="L1635">
        <v>4.4000000000000004</v>
      </c>
      <c r="M1635" t="s">
        <v>152</v>
      </c>
      <c r="N1635" t="s">
        <v>34</v>
      </c>
      <c r="O1635" t="s">
        <v>72</v>
      </c>
      <c r="P1635" t="s">
        <v>26</v>
      </c>
      <c r="Q1635" t="s">
        <v>26</v>
      </c>
      <c r="R1635">
        <v>33</v>
      </c>
      <c r="S1635" t="s">
        <v>59</v>
      </c>
      <c r="T1635" t="str">
        <f t="shared" si="50"/>
        <v>2-week</v>
      </c>
      <c r="U1635">
        <f>VLOOKUP(T1635,[1]tablescore!$B$3:$C$8, 2,FALSE)</f>
        <v>26</v>
      </c>
      <c r="V1635" t="str">
        <f t="shared" si="51"/>
        <v>Loyal</v>
      </c>
      <c r="W1635" t="s">
        <v>77</v>
      </c>
    </row>
    <row r="1636" spans="1:23" x14ac:dyDescent="0.25">
      <c r="A1636">
        <v>1635</v>
      </c>
      <c r="B1636">
        <v>28</v>
      </c>
      <c r="C1636" t="str" cm="1">
        <f t="array" ref="C1636">_xlfn.IFS(
  AND(B1636&gt;=18, B1636&lt;=24), "18-24",
  AND(B1636&gt;=25, B1636&lt;=34), "25-34",
  AND(B1636&gt;=35, B1636&lt;=44), "35-44",
  AND(B1636&gt;=45, B1636&lt;=54), "45-54",
  B1636&gt;=55, "55+"
)</f>
        <v>25-34</v>
      </c>
      <c r="D1636" t="s">
        <v>19</v>
      </c>
      <c r="E1636" t="s">
        <v>64</v>
      </c>
      <c r="F1636" t="s">
        <v>65</v>
      </c>
      <c r="G1636">
        <v>23</v>
      </c>
      <c r="H1636" t="s">
        <v>126</v>
      </c>
      <c r="I1636" t="s">
        <v>38</v>
      </c>
      <c r="J1636" t="s">
        <v>121</v>
      </c>
      <c r="K1636" t="s">
        <v>54</v>
      </c>
      <c r="L1636">
        <v>3.6</v>
      </c>
      <c r="M1636" t="s">
        <v>152</v>
      </c>
      <c r="N1636" t="s">
        <v>59</v>
      </c>
      <c r="O1636" t="s">
        <v>76</v>
      </c>
      <c r="P1636" t="s">
        <v>26</v>
      </c>
      <c r="Q1636" t="s">
        <v>26</v>
      </c>
      <c r="R1636">
        <v>30</v>
      </c>
      <c r="S1636" t="s">
        <v>35</v>
      </c>
      <c r="T1636" t="str">
        <f t="shared" si="50"/>
        <v>Quarterly</v>
      </c>
      <c r="U1636">
        <f>VLOOKUP(T1636,[1]tablescore!$B$3:$C$8, 2,FALSE)</f>
        <v>4</v>
      </c>
      <c r="V1636" t="str">
        <f t="shared" si="51"/>
        <v>Low Loyalty</v>
      </c>
      <c r="W1636" t="s">
        <v>97</v>
      </c>
    </row>
    <row r="1637" spans="1:23" x14ac:dyDescent="0.25">
      <c r="A1637">
        <v>1636</v>
      </c>
      <c r="B1637">
        <v>68</v>
      </c>
      <c r="C1637" t="str" cm="1">
        <f t="array" ref="C1637">_xlfn.IFS(
  AND(B1637&gt;=18, B1637&lt;=24), "18-24",
  AND(B1637&gt;=25, B1637&lt;=34), "25-34",
  AND(B1637&gt;=35, B1637&lt;=44), "35-44",
  AND(B1637&gt;=45, B1637&lt;=54), "45-54",
  B1637&gt;=55, "55+"
)</f>
        <v>55+</v>
      </c>
      <c r="D1637" t="s">
        <v>19</v>
      </c>
      <c r="E1637" t="s">
        <v>89</v>
      </c>
      <c r="F1637" t="s">
        <v>69</v>
      </c>
      <c r="G1637">
        <v>24</v>
      </c>
      <c r="H1637" t="s">
        <v>98</v>
      </c>
      <c r="I1637" t="s">
        <v>23</v>
      </c>
      <c r="J1637" t="s">
        <v>84</v>
      </c>
      <c r="K1637" t="s">
        <v>54</v>
      </c>
      <c r="L1637">
        <v>3.2</v>
      </c>
      <c r="M1637" t="s">
        <v>152</v>
      </c>
      <c r="N1637" t="s">
        <v>35</v>
      </c>
      <c r="O1637" t="s">
        <v>55</v>
      </c>
      <c r="P1637" t="s">
        <v>26</v>
      </c>
      <c r="Q1637" t="s">
        <v>26</v>
      </c>
      <c r="R1637">
        <v>40</v>
      </c>
      <c r="S1637" t="s">
        <v>35</v>
      </c>
      <c r="T1637" t="str">
        <f t="shared" si="50"/>
        <v>Annually</v>
      </c>
      <c r="U1637">
        <f>VLOOKUP(T1637,[1]tablescore!$B$3:$C$8, 2,FALSE)</f>
        <v>1</v>
      </c>
      <c r="V1637" t="str">
        <f t="shared" si="51"/>
        <v>Low Loyalty</v>
      </c>
      <c r="W1637" t="s">
        <v>50</v>
      </c>
    </row>
    <row r="1638" spans="1:23" x14ac:dyDescent="0.25">
      <c r="A1638">
        <v>1637</v>
      </c>
      <c r="B1638">
        <v>58</v>
      </c>
      <c r="C1638" t="str" cm="1">
        <f t="array" ref="C1638">_xlfn.IFS(
  AND(B1638&gt;=18, B1638&lt;=24), "18-24",
  AND(B1638&gt;=25, B1638&lt;=34), "25-34",
  AND(B1638&gt;=35, B1638&lt;=44), "35-44",
  AND(B1638&gt;=45, B1638&lt;=54), "45-54",
  B1638&gt;=55, "55+"
)</f>
        <v>55+</v>
      </c>
      <c r="D1638" t="s">
        <v>19</v>
      </c>
      <c r="E1638" t="s">
        <v>132</v>
      </c>
      <c r="F1638" t="s">
        <v>43</v>
      </c>
      <c r="G1638">
        <v>22</v>
      </c>
      <c r="H1638" t="s">
        <v>114</v>
      </c>
      <c r="I1638" t="s">
        <v>23</v>
      </c>
      <c r="J1638" t="s">
        <v>96</v>
      </c>
      <c r="K1638" t="s">
        <v>58</v>
      </c>
      <c r="L1638">
        <v>4</v>
      </c>
      <c r="M1638" t="s">
        <v>152</v>
      </c>
      <c r="N1638" t="s">
        <v>27</v>
      </c>
      <c r="O1638" t="s">
        <v>40</v>
      </c>
      <c r="P1638" t="s">
        <v>26</v>
      </c>
      <c r="Q1638" t="s">
        <v>26</v>
      </c>
      <c r="R1638">
        <v>49</v>
      </c>
      <c r="S1638" t="s">
        <v>35</v>
      </c>
      <c r="T1638" t="str">
        <f t="shared" si="50"/>
        <v>2-week</v>
      </c>
      <c r="U1638">
        <f>VLOOKUP(T1638,[1]tablescore!$B$3:$C$8, 2,FALSE)</f>
        <v>26</v>
      </c>
      <c r="V1638" t="str">
        <f t="shared" si="51"/>
        <v>Loyal</v>
      </c>
      <c r="W1638" t="s">
        <v>30</v>
      </c>
    </row>
    <row r="1639" spans="1:23" x14ac:dyDescent="0.25">
      <c r="A1639">
        <v>1638</v>
      </c>
      <c r="B1639">
        <v>35</v>
      </c>
      <c r="C1639" t="str" cm="1">
        <f t="array" ref="C1639">_xlfn.IFS(
  AND(B1639&gt;=18, B1639&lt;=24), "18-24",
  AND(B1639&gt;=25, B1639&lt;=34), "25-34",
  AND(B1639&gt;=35, B1639&lt;=44), "35-44",
  AND(B1639&gt;=45, B1639&lt;=54), "45-54",
  B1639&gt;=55, "55+"
)</f>
        <v>35-44</v>
      </c>
      <c r="D1639" t="s">
        <v>19</v>
      </c>
      <c r="E1639" t="s">
        <v>82</v>
      </c>
      <c r="F1639" t="s">
        <v>21</v>
      </c>
      <c r="G1639">
        <v>21</v>
      </c>
      <c r="H1639" t="s">
        <v>37</v>
      </c>
      <c r="I1639" t="s">
        <v>45</v>
      </c>
      <c r="J1639" t="s">
        <v>100</v>
      </c>
      <c r="K1639" t="s">
        <v>39</v>
      </c>
      <c r="L1639">
        <v>3.5</v>
      </c>
      <c r="M1639" t="s">
        <v>152</v>
      </c>
      <c r="N1639" t="s">
        <v>34</v>
      </c>
      <c r="O1639" t="s">
        <v>47</v>
      </c>
      <c r="P1639" t="s">
        <v>26</v>
      </c>
      <c r="Q1639" t="s">
        <v>26</v>
      </c>
      <c r="R1639">
        <v>32</v>
      </c>
      <c r="S1639" t="s">
        <v>29</v>
      </c>
      <c r="T1639" t="str">
        <f t="shared" si="50"/>
        <v>2-week</v>
      </c>
      <c r="U1639">
        <f>VLOOKUP(T1639,[1]tablescore!$B$3:$C$8, 2,FALSE)</f>
        <v>26</v>
      </c>
      <c r="V1639" t="str">
        <f t="shared" si="51"/>
        <v>Loyal</v>
      </c>
      <c r="W1639" t="s">
        <v>30</v>
      </c>
    </row>
    <row r="1640" spans="1:23" x14ac:dyDescent="0.25">
      <c r="A1640">
        <v>1639</v>
      </c>
      <c r="B1640">
        <v>68</v>
      </c>
      <c r="C1640" t="str" cm="1">
        <f t="array" ref="C1640">_xlfn.IFS(
  AND(B1640&gt;=18, B1640&lt;=24), "18-24",
  AND(B1640&gt;=25, B1640&lt;=34), "25-34",
  AND(B1640&gt;=35, B1640&lt;=44), "35-44",
  AND(B1640&gt;=45, B1640&lt;=54), "45-54",
  B1640&gt;=55, "55+"
)</f>
        <v>55+</v>
      </c>
      <c r="D1640" t="s">
        <v>19</v>
      </c>
      <c r="E1640" t="s">
        <v>102</v>
      </c>
      <c r="F1640" t="s">
        <v>65</v>
      </c>
      <c r="G1640">
        <v>51</v>
      </c>
      <c r="H1640" t="s">
        <v>122</v>
      </c>
      <c r="I1640" t="s">
        <v>45</v>
      </c>
      <c r="J1640" t="s">
        <v>94</v>
      </c>
      <c r="K1640" t="s">
        <v>39</v>
      </c>
      <c r="L1640">
        <v>4.5999999999999996</v>
      </c>
      <c r="M1640" t="s">
        <v>152</v>
      </c>
      <c r="N1640" t="s">
        <v>46</v>
      </c>
      <c r="O1640" t="s">
        <v>40</v>
      </c>
      <c r="P1640" t="s">
        <v>26</v>
      </c>
      <c r="Q1640" t="s">
        <v>26</v>
      </c>
      <c r="R1640">
        <v>18</v>
      </c>
      <c r="S1640" t="s">
        <v>29</v>
      </c>
      <c r="T1640" t="str">
        <f t="shared" si="50"/>
        <v>Daily</v>
      </c>
      <c r="U1640">
        <f>VLOOKUP(T1640,[1]tablescore!$B$3:$C$8, 2,FALSE)</f>
        <v>30</v>
      </c>
      <c r="V1640" t="str">
        <f t="shared" si="51"/>
        <v>Highly Loyal</v>
      </c>
      <c r="W1640" t="s">
        <v>41</v>
      </c>
    </row>
    <row r="1641" spans="1:23" x14ac:dyDescent="0.25">
      <c r="A1641">
        <v>1640</v>
      </c>
      <c r="B1641">
        <v>41</v>
      </c>
      <c r="C1641" t="str" cm="1">
        <f t="array" ref="C1641">_xlfn.IFS(
  AND(B1641&gt;=18, B1641&lt;=24), "18-24",
  AND(B1641&gt;=25, B1641&lt;=34), "25-34",
  AND(B1641&gt;=35, B1641&lt;=44), "35-44",
  AND(B1641&gt;=45, B1641&lt;=54), "45-54",
  B1641&gt;=55, "55+"
)</f>
        <v>35-44</v>
      </c>
      <c r="D1641" t="s">
        <v>19</v>
      </c>
      <c r="E1641" t="s">
        <v>127</v>
      </c>
      <c r="F1641" t="s">
        <v>69</v>
      </c>
      <c r="G1641">
        <v>65</v>
      </c>
      <c r="H1641" t="s">
        <v>70</v>
      </c>
      <c r="I1641" t="s">
        <v>23</v>
      </c>
      <c r="J1641" t="s">
        <v>138</v>
      </c>
      <c r="K1641" t="s">
        <v>54</v>
      </c>
      <c r="L1641">
        <v>3.3</v>
      </c>
      <c r="M1641" t="s">
        <v>152</v>
      </c>
      <c r="N1641" t="s">
        <v>34</v>
      </c>
      <c r="O1641" t="s">
        <v>40</v>
      </c>
      <c r="P1641" t="s">
        <v>26</v>
      </c>
      <c r="Q1641" t="s">
        <v>26</v>
      </c>
      <c r="R1641">
        <v>50</v>
      </c>
      <c r="S1641" t="s">
        <v>46</v>
      </c>
      <c r="T1641" t="str">
        <f t="shared" si="50"/>
        <v>Annually</v>
      </c>
      <c r="U1641">
        <f>VLOOKUP(T1641,[1]tablescore!$B$3:$C$8, 2,FALSE)</f>
        <v>1</v>
      </c>
      <c r="V1641" t="str">
        <f t="shared" si="51"/>
        <v>Low Loyalty</v>
      </c>
      <c r="W1641" t="s">
        <v>50</v>
      </c>
    </row>
    <row r="1642" spans="1:23" x14ac:dyDescent="0.25">
      <c r="A1642">
        <v>1641</v>
      </c>
      <c r="B1642">
        <v>65</v>
      </c>
      <c r="C1642" t="str" cm="1">
        <f t="array" ref="C1642">_xlfn.IFS(
  AND(B1642&gt;=18, B1642&lt;=24), "18-24",
  AND(B1642&gt;=25, B1642&lt;=34), "25-34",
  AND(B1642&gt;=35, B1642&lt;=44), "35-44",
  AND(B1642&gt;=45, B1642&lt;=54), "45-54",
  B1642&gt;=55, "55+"
)</f>
        <v>55+</v>
      </c>
      <c r="D1642" t="s">
        <v>19</v>
      </c>
      <c r="E1642" t="s">
        <v>119</v>
      </c>
      <c r="F1642" t="s">
        <v>69</v>
      </c>
      <c r="G1642">
        <v>51</v>
      </c>
      <c r="H1642" t="s">
        <v>122</v>
      </c>
      <c r="I1642" t="s">
        <v>38</v>
      </c>
      <c r="J1642" t="s">
        <v>147</v>
      </c>
      <c r="K1642" t="s">
        <v>39</v>
      </c>
      <c r="L1642">
        <v>4</v>
      </c>
      <c r="M1642" t="s">
        <v>152</v>
      </c>
      <c r="N1642" t="s">
        <v>59</v>
      </c>
      <c r="O1642" t="s">
        <v>72</v>
      </c>
      <c r="P1642" t="s">
        <v>26</v>
      </c>
      <c r="Q1642" t="s">
        <v>26</v>
      </c>
      <c r="R1642">
        <v>13</v>
      </c>
      <c r="S1642" t="s">
        <v>46</v>
      </c>
      <c r="T1642" t="str">
        <f t="shared" si="50"/>
        <v>Daily</v>
      </c>
      <c r="U1642">
        <f>VLOOKUP(T1642,[1]tablescore!$B$3:$C$8, 2,FALSE)</f>
        <v>30</v>
      </c>
      <c r="V1642" t="str">
        <f t="shared" si="51"/>
        <v>Highly Loyal</v>
      </c>
      <c r="W1642" t="s">
        <v>41</v>
      </c>
    </row>
    <row r="1643" spans="1:23" x14ac:dyDescent="0.25">
      <c r="A1643">
        <v>1642</v>
      </c>
      <c r="B1643">
        <v>50</v>
      </c>
      <c r="C1643" t="str" cm="1">
        <f t="array" ref="C1643">_xlfn.IFS(
  AND(B1643&gt;=18, B1643&lt;=24), "18-24",
  AND(B1643&gt;=25, B1643&lt;=34), "25-34",
  AND(B1643&gt;=35, B1643&lt;=44), "35-44",
  AND(B1643&gt;=45, B1643&lt;=54), "45-54",
  B1643&gt;=55, "55+"
)</f>
        <v>45-54</v>
      </c>
      <c r="D1643" t="s">
        <v>19</v>
      </c>
      <c r="E1643" t="s">
        <v>104</v>
      </c>
      <c r="F1643" t="s">
        <v>21</v>
      </c>
      <c r="G1643">
        <v>32</v>
      </c>
      <c r="H1643" t="s">
        <v>112</v>
      </c>
      <c r="I1643" t="s">
        <v>23</v>
      </c>
      <c r="J1643" t="s">
        <v>84</v>
      </c>
      <c r="K1643" t="s">
        <v>54</v>
      </c>
      <c r="L1643">
        <v>3.4</v>
      </c>
      <c r="M1643" t="s">
        <v>152</v>
      </c>
      <c r="N1643" t="s">
        <v>34</v>
      </c>
      <c r="O1643" t="s">
        <v>40</v>
      </c>
      <c r="P1643" t="s">
        <v>26</v>
      </c>
      <c r="Q1643" t="s">
        <v>26</v>
      </c>
      <c r="R1643">
        <v>1</v>
      </c>
      <c r="S1643" t="s">
        <v>34</v>
      </c>
      <c r="T1643" t="str">
        <f t="shared" si="50"/>
        <v>Quarterly</v>
      </c>
      <c r="U1643">
        <f>VLOOKUP(T1643,[1]tablescore!$B$3:$C$8, 2,FALSE)</f>
        <v>4</v>
      </c>
      <c r="V1643" t="str">
        <f t="shared" si="51"/>
        <v>Low Loyalty</v>
      </c>
      <c r="W1643" t="s">
        <v>97</v>
      </c>
    </row>
    <row r="1644" spans="1:23" x14ac:dyDescent="0.25">
      <c r="A1644">
        <v>1643</v>
      </c>
      <c r="B1644">
        <v>18</v>
      </c>
      <c r="C1644" t="str" cm="1">
        <f t="array" ref="C1644">_xlfn.IFS(
  AND(B1644&gt;=18, B1644&lt;=24), "18-24",
  AND(B1644&gt;=25, B1644&lt;=34), "25-34",
  AND(B1644&gt;=35, B1644&lt;=44), "35-44",
  AND(B1644&gt;=45, B1644&lt;=54), "45-54",
  B1644&gt;=55, "55+"
)</f>
        <v>18-24</v>
      </c>
      <c r="D1644" t="s">
        <v>19</v>
      </c>
      <c r="E1644" t="s">
        <v>64</v>
      </c>
      <c r="F1644" t="s">
        <v>65</v>
      </c>
      <c r="G1644">
        <v>70</v>
      </c>
      <c r="H1644" t="s">
        <v>91</v>
      </c>
      <c r="I1644" t="s">
        <v>45</v>
      </c>
      <c r="J1644" t="s">
        <v>118</v>
      </c>
      <c r="K1644" t="s">
        <v>39</v>
      </c>
      <c r="L1644">
        <v>4.2</v>
      </c>
      <c r="M1644" t="s">
        <v>152</v>
      </c>
      <c r="N1644" t="s">
        <v>34</v>
      </c>
      <c r="O1644" t="s">
        <v>76</v>
      </c>
      <c r="P1644" t="s">
        <v>26</v>
      </c>
      <c r="Q1644" t="s">
        <v>26</v>
      </c>
      <c r="R1644">
        <v>16</v>
      </c>
      <c r="S1644" t="s">
        <v>46</v>
      </c>
      <c r="T1644" t="str">
        <f t="shared" si="50"/>
        <v>2-week</v>
      </c>
      <c r="U1644">
        <f>VLOOKUP(T1644,[1]tablescore!$B$3:$C$8, 2,FALSE)</f>
        <v>26</v>
      </c>
      <c r="V1644" t="str">
        <f t="shared" si="51"/>
        <v>Loyal</v>
      </c>
      <c r="W1644" t="s">
        <v>30</v>
      </c>
    </row>
    <row r="1645" spans="1:23" x14ac:dyDescent="0.25">
      <c r="A1645">
        <v>1644</v>
      </c>
      <c r="B1645">
        <v>38</v>
      </c>
      <c r="C1645" t="str" cm="1">
        <f t="array" ref="C1645">_xlfn.IFS(
  AND(B1645&gt;=18, B1645&lt;=24), "18-24",
  AND(B1645&gt;=25, B1645&lt;=34), "25-34",
  AND(B1645&gt;=35, B1645&lt;=44), "35-44",
  AND(B1645&gt;=45, B1645&lt;=54), "45-54",
  B1645&gt;=55, "55+"
)</f>
        <v>35-44</v>
      </c>
      <c r="D1645" t="s">
        <v>19</v>
      </c>
      <c r="E1645" t="s">
        <v>119</v>
      </c>
      <c r="F1645" t="s">
        <v>69</v>
      </c>
      <c r="G1645">
        <v>77</v>
      </c>
      <c r="H1645" t="s">
        <v>124</v>
      </c>
      <c r="I1645" t="s">
        <v>23</v>
      </c>
      <c r="J1645" t="s">
        <v>71</v>
      </c>
      <c r="K1645" t="s">
        <v>54</v>
      </c>
      <c r="L1645">
        <v>3.9</v>
      </c>
      <c r="M1645" t="s">
        <v>152</v>
      </c>
      <c r="N1645" t="s">
        <v>46</v>
      </c>
      <c r="O1645" t="s">
        <v>72</v>
      </c>
      <c r="P1645" t="s">
        <v>26</v>
      </c>
      <c r="Q1645" t="s">
        <v>26</v>
      </c>
      <c r="R1645">
        <v>6</v>
      </c>
      <c r="S1645" t="s">
        <v>46</v>
      </c>
      <c r="T1645" t="str">
        <f t="shared" si="50"/>
        <v>Month</v>
      </c>
      <c r="U1645">
        <f>VLOOKUP(T1645,[1]tablescore!$B$3:$C$8, 2,FALSE)</f>
        <v>12</v>
      </c>
      <c r="V1645" t="str">
        <f t="shared" si="51"/>
        <v>Moderate</v>
      </c>
      <c r="W1645" t="s">
        <v>88</v>
      </c>
    </row>
    <row r="1646" spans="1:23" x14ac:dyDescent="0.25">
      <c r="A1646">
        <v>1645</v>
      </c>
      <c r="B1646">
        <v>68</v>
      </c>
      <c r="C1646" t="str" cm="1">
        <f t="array" ref="C1646">_xlfn.IFS(
  AND(B1646&gt;=18, B1646&lt;=24), "18-24",
  AND(B1646&gt;=25, B1646&lt;=34), "25-34",
  AND(B1646&gt;=35, B1646&lt;=44), "35-44",
  AND(B1646&gt;=45, B1646&lt;=54), "45-54",
  B1646&gt;=55, "55+"
)</f>
        <v>55+</v>
      </c>
      <c r="D1646" t="s">
        <v>19</v>
      </c>
      <c r="E1646" t="s">
        <v>64</v>
      </c>
      <c r="F1646" t="s">
        <v>65</v>
      </c>
      <c r="G1646">
        <v>90</v>
      </c>
      <c r="H1646" t="s">
        <v>98</v>
      </c>
      <c r="I1646" t="s">
        <v>38</v>
      </c>
      <c r="J1646" t="s">
        <v>118</v>
      </c>
      <c r="K1646" t="s">
        <v>54</v>
      </c>
      <c r="L1646">
        <v>3.9</v>
      </c>
      <c r="M1646" t="s">
        <v>152</v>
      </c>
      <c r="N1646" t="s">
        <v>46</v>
      </c>
      <c r="O1646" t="s">
        <v>47</v>
      </c>
      <c r="P1646" t="s">
        <v>26</v>
      </c>
      <c r="Q1646" t="s">
        <v>26</v>
      </c>
      <c r="R1646">
        <v>21</v>
      </c>
      <c r="S1646" t="s">
        <v>59</v>
      </c>
      <c r="T1646" t="str">
        <f t="shared" si="50"/>
        <v>Month</v>
      </c>
      <c r="U1646">
        <f>VLOOKUP(T1646,[1]tablescore!$B$3:$C$8, 2,FALSE)</f>
        <v>12</v>
      </c>
      <c r="V1646" t="str">
        <f t="shared" si="51"/>
        <v>Moderate</v>
      </c>
      <c r="W1646" t="s">
        <v>88</v>
      </c>
    </row>
    <row r="1647" spans="1:23" x14ac:dyDescent="0.25">
      <c r="A1647">
        <v>1646</v>
      </c>
      <c r="B1647">
        <v>53</v>
      </c>
      <c r="C1647" t="str" cm="1">
        <f t="array" ref="C1647">_xlfn.IFS(
  AND(B1647&gt;=18, B1647&lt;=24), "18-24",
  AND(B1647&gt;=25, B1647&lt;=34), "25-34",
  AND(B1647&gt;=35, B1647&lt;=44), "35-44",
  AND(B1647&gt;=45, B1647&lt;=54), "45-54",
  B1647&gt;=55, "55+"
)</f>
        <v>45-54</v>
      </c>
      <c r="D1647" t="s">
        <v>19</v>
      </c>
      <c r="E1647" t="s">
        <v>119</v>
      </c>
      <c r="F1647" t="s">
        <v>69</v>
      </c>
      <c r="G1647">
        <v>36</v>
      </c>
      <c r="H1647" t="s">
        <v>124</v>
      </c>
      <c r="I1647" t="s">
        <v>23</v>
      </c>
      <c r="J1647" t="s">
        <v>96</v>
      </c>
      <c r="K1647" t="s">
        <v>54</v>
      </c>
      <c r="L1647">
        <v>2.8</v>
      </c>
      <c r="M1647" t="s">
        <v>152</v>
      </c>
      <c r="N1647" t="s">
        <v>34</v>
      </c>
      <c r="O1647" t="s">
        <v>55</v>
      </c>
      <c r="P1647" t="s">
        <v>26</v>
      </c>
      <c r="Q1647" t="s">
        <v>26</v>
      </c>
      <c r="R1647">
        <v>36</v>
      </c>
      <c r="S1647" t="s">
        <v>29</v>
      </c>
      <c r="T1647" t="str">
        <f t="shared" si="50"/>
        <v>Quarterly</v>
      </c>
      <c r="U1647">
        <f>VLOOKUP(T1647,[1]tablescore!$B$3:$C$8, 2,FALSE)</f>
        <v>4</v>
      </c>
      <c r="V1647" t="str">
        <f t="shared" si="51"/>
        <v>Low Loyalty</v>
      </c>
      <c r="W1647" t="s">
        <v>97</v>
      </c>
    </row>
    <row r="1648" spans="1:23" x14ac:dyDescent="0.25">
      <c r="A1648">
        <v>1647</v>
      </c>
      <c r="B1648">
        <v>58</v>
      </c>
      <c r="C1648" t="str" cm="1">
        <f t="array" ref="C1648">_xlfn.IFS(
  AND(B1648&gt;=18, B1648&lt;=24), "18-24",
  AND(B1648&gt;=25, B1648&lt;=34), "25-34",
  AND(B1648&gt;=35, B1648&lt;=44), "35-44",
  AND(B1648&gt;=45, B1648&lt;=54), "45-54",
  B1648&gt;=55, "55+"
)</f>
        <v>55+</v>
      </c>
      <c r="D1648" t="s">
        <v>19</v>
      </c>
      <c r="E1648" t="s">
        <v>68</v>
      </c>
      <c r="F1648" t="s">
        <v>69</v>
      </c>
      <c r="G1648">
        <v>77</v>
      </c>
      <c r="H1648" t="s">
        <v>143</v>
      </c>
      <c r="I1648" t="s">
        <v>38</v>
      </c>
      <c r="J1648" t="s">
        <v>67</v>
      </c>
      <c r="K1648" t="s">
        <v>54</v>
      </c>
      <c r="L1648">
        <v>3.7</v>
      </c>
      <c r="M1648" t="s">
        <v>152</v>
      </c>
      <c r="N1648" t="s">
        <v>27</v>
      </c>
      <c r="O1648" t="s">
        <v>55</v>
      </c>
      <c r="P1648" t="s">
        <v>26</v>
      </c>
      <c r="Q1648" t="s">
        <v>26</v>
      </c>
      <c r="R1648">
        <v>20</v>
      </c>
      <c r="S1648" t="s">
        <v>34</v>
      </c>
      <c r="T1648" t="str">
        <f t="shared" si="50"/>
        <v>Quarterly</v>
      </c>
      <c r="U1648">
        <f>VLOOKUP(T1648,[1]tablescore!$B$3:$C$8, 2,FALSE)</f>
        <v>4</v>
      </c>
      <c r="V1648" t="str">
        <f t="shared" si="51"/>
        <v>Low Loyalty</v>
      </c>
      <c r="W1648" t="s">
        <v>97</v>
      </c>
    </row>
    <row r="1649" spans="1:23" x14ac:dyDescent="0.25">
      <c r="A1649">
        <v>1648</v>
      </c>
      <c r="B1649">
        <v>34</v>
      </c>
      <c r="C1649" t="str" cm="1">
        <f t="array" ref="C1649">_xlfn.IFS(
  AND(B1649&gt;=18, B1649&lt;=24), "18-24",
  AND(B1649&gt;=25, B1649&lt;=34), "25-34",
  AND(B1649&gt;=35, B1649&lt;=44), "35-44",
  AND(B1649&gt;=45, B1649&lt;=54), "45-54",
  B1649&gt;=55, "55+"
)</f>
        <v>25-34</v>
      </c>
      <c r="D1649" t="s">
        <v>19</v>
      </c>
      <c r="E1649" t="s">
        <v>132</v>
      </c>
      <c r="F1649" t="s">
        <v>43</v>
      </c>
      <c r="G1649">
        <v>78</v>
      </c>
      <c r="H1649" t="s">
        <v>78</v>
      </c>
      <c r="I1649" t="s">
        <v>45</v>
      </c>
      <c r="J1649" t="s">
        <v>75</v>
      </c>
      <c r="K1649" t="s">
        <v>54</v>
      </c>
      <c r="L1649">
        <v>4.9000000000000004</v>
      </c>
      <c r="M1649" t="s">
        <v>152</v>
      </c>
      <c r="N1649" t="s">
        <v>27</v>
      </c>
      <c r="O1649" t="s">
        <v>76</v>
      </c>
      <c r="P1649" t="s">
        <v>26</v>
      </c>
      <c r="Q1649" t="s">
        <v>26</v>
      </c>
      <c r="R1649">
        <v>8</v>
      </c>
      <c r="S1649" t="s">
        <v>59</v>
      </c>
      <c r="T1649" t="str">
        <f t="shared" si="50"/>
        <v>Quarterly</v>
      </c>
      <c r="U1649">
        <f>VLOOKUP(T1649,[1]tablescore!$B$3:$C$8, 2,FALSE)</f>
        <v>4</v>
      </c>
      <c r="V1649" t="str">
        <f t="shared" si="51"/>
        <v>Low Loyalty</v>
      </c>
      <c r="W1649" t="s">
        <v>60</v>
      </c>
    </row>
    <row r="1650" spans="1:23" x14ac:dyDescent="0.25">
      <c r="A1650">
        <v>1649</v>
      </c>
      <c r="B1650">
        <v>36</v>
      </c>
      <c r="C1650" t="str" cm="1">
        <f t="array" ref="C1650">_xlfn.IFS(
  AND(B1650&gt;=18, B1650&lt;=24), "18-24",
  AND(B1650&gt;=25, B1650&lt;=34), "25-34",
  AND(B1650&gt;=35, B1650&lt;=44), "35-44",
  AND(B1650&gt;=45, B1650&lt;=54), "45-54",
  B1650&gt;=55, "55+"
)</f>
        <v>35-44</v>
      </c>
      <c r="D1650" t="s">
        <v>19</v>
      </c>
      <c r="E1650" t="s">
        <v>95</v>
      </c>
      <c r="F1650" t="s">
        <v>21</v>
      </c>
      <c r="G1650">
        <v>69</v>
      </c>
      <c r="H1650" t="s">
        <v>101</v>
      </c>
      <c r="I1650" t="s">
        <v>45</v>
      </c>
      <c r="J1650" t="s">
        <v>24</v>
      </c>
      <c r="K1650" t="s">
        <v>54</v>
      </c>
      <c r="L1650">
        <v>2.6</v>
      </c>
      <c r="M1650" t="s">
        <v>152</v>
      </c>
      <c r="N1650" t="s">
        <v>34</v>
      </c>
      <c r="O1650" t="s">
        <v>28</v>
      </c>
      <c r="P1650" t="s">
        <v>26</v>
      </c>
      <c r="Q1650" t="s">
        <v>26</v>
      </c>
      <c r="R1650">
        <v>22</v>
      </c>
      <c r="S1650" t="s">
        <v>27</v>
      </c>
      <c r="T1650" t="str">
        <f t="shared" si="50"/>
        <v>Month</v>
      </c>
      <c r="U1650">
        <f>VLOOKUP(T1650,[1]tablescore!$B$3:$C$8, 2,FALSE)</f>
        <v>12</v>
      </c>
      <c r="V1650" t="str">
        <f t="shared" si="51"/>
        <v>Moderate</v>
      </c>
      <c r="W1650" t="s">
        <v>88</v>
      </c>
    </row>
    <row r="1651" spans="1:23" x14ac:dyDescent="0.25">
      <c r="A1651">
        <v>1650</v>
      </c>
      <c r="B1651">
        <v>58</v>
      </c>
      <c r="C1651" t="str" cm="1">
        <f t="array" ref="C1651">_xlfn.IFS(
  AND(B1651&gt;=18, B1651&lt;=24), "18-24",
  AND(B1651&gt;=25, B1651&lt;=34), "25-34",
  AND(B1651&gt;=35, B1651&lt;=44), "35-44",
  AND(B1651&gt;=45, B1651&lt;=54), "45-54",
  B1651&gt;=55, "55+"
)</f>
        <v>55+</v>
      </c>
      <c r="D1651" t="s">
        <v>19</v>
      </c>
      <c r="E1651" t="s">
        <v>113</v>
      </c>
      <c r="F1651" t="s">
        <v>21</v>
      </c>
      <c r="G1651">
        <v>63</v>
      </c>
      <c r="H1651" t="s">
        <v>148</v>
      </c>
      <c r="I1651" t="s">
        <v>45</v>
      </c>
      <c r="J1651" t="s">
        <v>53</v>
      </c>
      <c r="K1651" t="s">
        <v>54</v>
      </c>
      <c r="L1651">
        <v>4.9000000000000004</v>
      </c>
      <c r="M1651" t="s">
        <v>152</v>
      </c>
      <c r="N1651" t="s">
        <v>46</v>
      </c>
      <c r="O1651" t="s">
        <v>40</v>
      </c>
      <c r="P1651" t="s">
        <v>26</v>
      </c>
      <c r="Q1651" t="s">
        <v>26</v>
      </c>
      <c r="R1651">
        <v>3</v>
      </c>
      <c r="S1651" t="s">
        <v>27</v>
      </c>
      <c r="T1651" t="str">
        <f t="shared" si="50"/>
        <v>Quarterly</v>
      </c>
      <c r="U1651">
        <f>VLOOKUP(T1651,[1]tablescore!$B$3:$C$8, 2,FALSE)</f>
        <v>4</v>
      </c>
      <c r="V1651" t="str">
        <f t="shared" si="51"/>
        <v>Low Loyalty</v>
      </c>
      <c r="W1651" t="s">
        <v>60</v>
      </c>
    </row>
    <row r="1652" spans="1:23" x14ac:dyDescent="0.25">
      <c r="A1652">
        <v>1651</v>
      </c>
      <c r="B1652">
        <v>60</v>
      </c>
      <c r="C1652" t="str" cm="1">
        <f t="array" ref="C1652">_xlfn.IFS(
  AND(B1652&gt;=18, B1652&lt;=24), "18-24",
  AND(B1652&gt;=25, B1652&lt;=34), "25-34",
  AND(B1652&gt;=35, B1652&lt;=44), "35-44",
  AND(B1652&gt;=45, B1652&lt;=54), "45-54",
  B1652&gt;=55, "55+"
)</f>
        <v>55+</v>
      </c>
      <c r="D1652" t="s">
        <v>19</v>
      </c>
      <c r="E1652" t="s">
        <v>119</v>
      </c>
      <c r="F1652" t="s">
        <v>69</v>
      </c>
      <c r="G1652">
        <v>36</v>
      </c>
      <c r="H1652" t="s">
        <v>74</v>
      </c>
      <c r="I1652" t="s">
        <v>45</v>
      </c>
      <c r="J1652" t="s">
        <v>67</v>
      </c>
      <c r="K1652" t="s">
        <v>25</v>
      </c>
      <c r="L1652">
        <v>3.4</v>
      </c>
      <c r="M1652" t="s">
        <v>152</v>
      </c>
      <c r="N1652" t="s">
        <v>29</v>
      </c>
      <c r="O1652" t="s">
        <v>47</v>
      </c>
      <c r="P1652" t="s">
        <v>26</v>
      </c>
      <c r="Q1652" t="s">
        <v>26</v>
      </c>
      <c r="R1652">
        <v>46</v>
      </c>
      <c r="S1652" t="s">
        <v>27</v>
      </c>
      <c r="T1652" t="str">
        <f t="shared" si="50"/>
        <v>2-week</v>
      </c>
      <c r="U1652">
        <f>VLOOKUP(T1652,[1]tablescore!$B$3:$C$8, 2,FALSE)</f>
        <v>26</v>
      </c>
      <c r="V1652" t="str">
        <f t="shared" si="51"/>
        <v>Loyal</v>
      </c>
      <c r="W1652" t="s">
        <v>30</v>
      </c>
    </row>
    <row r="1653" spans="1:23" x14ac:dyDescent="0.25">
      <c r="A1653">
        <v>1652</v>
      </c>
      <c r="B1653">
        <v>59</v>
      </c>
      <c r="C1653" t="str" cm="1">
        <f t="array" ref="C1653">_xlfn.IFS(
  AND(B1653&gt;=18, B1653&lt;=24), "18-24",
  AND(B1653&gt;=25, B1653&lt;=34), "25-34",
  AND(B1653&gt;=35, B1653&lt;=44), "35-44",
  AND(B1653&gt;=45, B1653&lt;=54), "45-54",
  B1653&gt;=55, "55+"
)</f>
        <v>55+</v>
      </c>
      <c r="D1653" t="s">
        <v>19</v>
      </c>
      <c r="E1653" t="s">
        <v>64</v>
      </c>
      <c r="F1653" t="s">
        <v>65</v>
      </c>
      <c r="G1653">
        <v>80</v>
      </c>
      <c r="H1653" t="s">
        <v>105</v>
      </c>
      <c r="I1653" t="s">
        <v>45</v>
      </c>
      <c r="J1653" t="s">
        <v>138</v>
      </c>
      <c r="K1653" t="s">
        <v>25</v>
      </c>
      <c r="L1653">
        <v>3.9</v>
      </c>
      <c r="M1653" t="s">
        <v>152</v>
      </c>
      <c r="N1653" t="s">
        <v>34</v>
      </c>
      <c r="O1653" t="s">
        <v>55</v>
      </c>
      <c r="P1653" t="s">
        <v>26</v>
      </c>
      <c r="Q1653" t="s">
        <v>26</v>
      </c>
      <c r="R1653">
        <v>42</v>
      </c>
      <c r="S1653" t="s">
        <v>59</v>
      </c>
      <c r="T1653" t="str">
        <f t="shared" si="50"/>
        <v>Month</v>
      </c>
      <c r="U1653">
        <f>VLOOKUP(T1653,[1]tablescore!$B$3:$C$8, 2,FALSE)</f>
        <v>12</v>
      </c>
      <c r="V1653" t="str">
        <f t="shared" si="51"/>
        <v>Moderate</v>
      </c>
      <c r="W1653" t="s">
        <v>88</v>
      </c>
    </row>
    <row r="1654" spans="1:23" x14ac:dyDescent="0.25">
      <c r="A1654">
        <v>1653</v>
      </c>
      <c r="B1654">
        <v>65</v>
      </c>
      <c r="C1654" t="str" cm="1">
        <f t="array" ref="C1654">_xlfn.IFS(
  AND(B1654&gt;=18, B1654&lt;=24), "18-24",
  AND(B1654&gt;=25, B1654&lt;=34), "25-34",
  AND(B1654&gt;=35, B1654&lt;=44), "35-44",
  AND(B1654&gt;=45, B1654&lt;=54), "45-54",
  B1654&gt;=55, "55+"
)</f>
        <v>55+</v>
      </c>
      <c r="D1654" t="s">
        <v>19</v>
      </c>
      <c r="E1654" t="s">
        <v>31</v>
      </c>
      <c r="F1654" t="s">
        <v>21</v>
      </c>
      <c r="G1654">
        <v>35</v>
      </c>
      <c r="H1654" t="s">
        <v>123</v>
      </c>
      <c r="I1654" t="s">
        <v>45</v>
      </c>
      <c r="J1654" t="s">
        <v>121</v>
      </c>
      <c r="K1654" t="s">
        <v>54</v>
      </c>
      <c r="L1654">
        <v>4</v>
      </c>
      <c r="M1654" t="s">
        <v>152</v>
      </c>
      <c r="N1654" t="s">
        <v>35</v>
      </c>
      <c r="O1654" t="s">
        <v>47</v>
      </c>
      <c r="P1654" t="s">
        <v>26</v>
      </c>
      <c r="Q1654" t="s">
        <v>26</v>
      </c>
      <c r="R1654">
        <v>1</v>
      </c>
      <c r="S1654" t="s">
        <v>34</v>
      </c>
      <c r="T1654" t="str">
        <f t="shared" si="50"/>
        <v>2-week</v>
      </c>
      <c r="U1654">
        <f>VLOOKUP(T1654,[1]tablescore!$B$3:$C$8, 2,FALSE)</f>
        <v>26</v>
      </c>
      <c r="V1654" t="str">
        <f t="shared" si="51"/>
        <v>Loyal</v>
      </c>
      <c r="W1654" t="s">
        <v>30</v>
      </c>
    </row>
    <row r="1655" spans="1:23" x14ac:dyDescent="0.25">
      <c r="A1655">
        <v>1654</v>
      </c>
      <c r="B1655">
        <v>31</v>
      </c>
      <c r="C1655" t="str" cm="1">
        <f t="array" ref="C1655">_xlfn.IFS(
  AND(B1655&gt;=18, B1655&lt;=24), "18-24",
  AND(B1655&gt;=25, B1655&lt;=34), "25-34",
  AND(B1655&gt;=35, B1655&lt;=44), "35-44",
  AND(B1655&gt;=45, B1655&lt;=54), "45-54",
  B1655&gt;=55, "55+"
)</f>
        <v>25-34</v>
      </c>
      <c r="D1655" t="s">
        <v>19</v>
      </c>
      <c r="E1655" t="s">
        <v>136</v>
      </c>
      <c r="F1655" t="s">
        <v>69</v>
      </c>
      <c r="G1655">
        <v>93</v>
      </c>
      <c r="H1655" t="s">
        <v>112</v>
      </c>
      <c r="I1655" t="s">
        <v>23</v>
      </c>
      <c r="J1655" t="s">
        <v>67</v>
      </c>
      <c r="K1655" t="s">
        <v>25</v>
      </c>
      <c r="L1655">
        <v>3</v>
      </c>
      <c r="M1655" t="s">
        <v>152</v>
      </c>
      <c r="N1655" t="s">
        <v>29</v>
      </c>
      <c r="O1655" t="s">
        <v>72</v>
      </c>
      <c r="P1655" t="s">
        <v>26</v>
      </c>
      <c r="Q1655" t="s">
        <v>26</v>
      </c>
      <c r="R1655">
        <v>29</v>
      </c>
      <c r="S1655" t="s">
        <v>59</v>
      </c>
      <c r="T1655" t="str">
        <f t="shared" si="50"/>
        <v>2-week</v>
      </c>
      <c r="U1655">
        <f>VLOOKUP(T1655,[1]tablescore!$B$3:$C$8, 2,FALSE)</f>
        <v>26</v>
      </c>
      <c r="V1655" t="str">
        <f t="shared" si="51"/>
        <v>Loyal</v>
      </c>
      <c r="W1655" t="s">
        <v>77</v>
      </c>
    </row>
    <row r="1656" spans="1:23" x14ac:dyDescent="0.25">
      <c r="A1656">
        <v>1655</v>
      </c>
      <c r="B1656">
        <v>43</v>
      </c>
      <c r="C1656" t="str" cm="1">
        <f t="array" ref="C1656">_xlfn.IFS(
  AND(B1656&gt;=18, B1656&lt;=24), "18-24",
  AND(B1656&gt;=25, B1656&lt;=34), "25-34",
  AND(B1656&gt;=35, B1656&lt;=44), "35-44",
  AND(B1656&gt;=45, B1656&lt;=54), "45-54",
  B1656&gt;=55, "55+"
)</f>
        <v>35-44</v>
      </c>
      <c r="D1656" t="s">
        <v>19</v>
      </c>
      <c r="E1656" t="s">
        <v>136</v>
      </c>
      <c r="F1656" t="s">
        <v>69</v>
      </c>
      <c r="G1656">
        <v>25</v>
      </c>
      <c r="H1656" t="s">
        <v>116</v>
      </c>
      <c r="I1656" t="s">
        <v>23</v>
      </c>
      <c r="J1656" t="s">
        <v>24</v>
      </c>
      <c r="K1656" t="s">
        <v>39</v>
      </c>
      <c r="L1656">
        <v>2.6</v>
      </c>
      <c r="M1656" t="s">
        <v>152</v>
      </c>
      <c r="N1656" t="s">
        <v>29</v>
      </c>
      <c r="O1656" t="s">
        <v>76</v>
      </c>
      <c r="P1656" t="s">
        <v>26</v>
      </c>
      <c r="Q1656" t="s">
        <v>26</v>
      </c>
      <c r="R1656">
        <v>14</v>
      </c>
      <c r="S1656" t="s">
        <v>27</v>
      </c>
      <c r="T1656" t="str">
        <f t="shared" si="50"/>
        <v>Quarterly</v>
      </c>
      <c r="U1656">
        <f>VLOOKUP(T1656,[1]tablescore!$B$3:$C$8, 2,FALSE)</f>
        <v>4</v>
      </c>
      <c r="V1656" t="str">
        <f t="shared" si="51"/>
        <v>Low Loyalty</v>
      </c>
      <c r="W1656" t="s">
        <v>60</v>
      </c>
    </row>
    <row r="1657" spans="1:23" x14ac:dyDescent="0.25">
      <c r="A1657">
        <v>1656</v>
      </c>
      <c r="B1657">
        <v>37</v>
      </c>
      <c r="C1657" t="str" cm="1">
        <f t="array" ref="C1657">_xlfn.IFS(
  AND(B1657&gt;=18, B1657&lt;=24), "18-24",
  AND(B1657&gt;=25, B1657&lt;=34), "25-34",
  AND(B1657&gt;=35, B1657&lt;=44), "35-44",
  AND(B1657&gt;=45, B1657&lt;=54), "45-54",
  B1657&gt;=55, "55+"
)</f>
        <v>35-44</v>
      </c>
      <c r="D1657" t="s">
        <v>19</v>
      </c>
      <c r="E1657" t="s">
        <v>31</v>
      </c>
      <c r="F1657" t="s">
        <v>21</v>
      </c>
      <c r="G1657">
        <v>81</v>
      </c>
      <c r="H1657" t="s">
        <v>117</v>
      </c>
      <c r="I1657" t="s">
        <v>23</v>
      </c>
      <c r="J1657" t="s">
        <v>81</v>
      </c>
      <c r="K1657" t="s">
        <v>39</v>
      </c>
      <c r="L1657">
        <v>3.2</v>
      </c>
      <c r="M1657" t="s">
        <v>152</v>
      </c>
      <c r="N1657" t="s">
        <v>29</v>
      </c>
      <c r="O1657" t="s">
        <v>47</v>
      </c>
      <c r="P1657" t="s">
        <v>26</v>
      </c>
      <c r="Q1657" t="s">
        <v>26</v>
      </c>
      <c r="R1657">
        <v>4</v>
      </c>
      <c r="S1657" t="s">
        <v>46</v>
      </c>
      <c r="T1657" t="str">
        <f t="shared" si="50"/>
        <v>Month</v>
      </c>
      <c r="U1657">
        <f>VLOOKUP(T1657,[1]tablescore!$B$3:$C$8, 2,FALSE)</f>
        <v>12</v>
      </c>
      <c r="V1657" t="str">
        <f t="shared" si="51"/>
        <v>Moderate</v>
      </c>
      <c r="W1657" t="s">
        <v>88</v>
      </c>
    </row>
    <row r="1658" spans="1:23" x14ac:dyDescent="0.25">
      <c r="A1658">
        <v>1657</v>
      </c>
      <c r="B1658">
        <v>21</v>
      </c>
      <c r="C1658" t="str" cm="1">
        <f t="array" ref="C1658">_xlfn.IFS(
  AND(B1658&gt;=18, B1658&lt;=24), "18-24",
  AND(B1658&gt;=25, B1658&lt;=34), "25-34",
  AND(B1658&gt;=35, B1658&lt;=44), "35-44",
  AND(B1658&gt;=45, B1658&lt;=54), "45-54",
  B1658&gt;=55, "55+"
)</f>
        <v>18-24</v>
      </c>
      <c r="D1658" t="s">
        <v>19</v>
      </c>
      <c r="E1658" t="s">
        <v>20</v>
      </c>
      <c r="F1658" t="s">
        <v>21</v>
      </c>
      <c r="G1658">
        <v>42</v>
      </c>
      <c r="H1658" t="s">
        <v>116</v>
      </c>
      <c r="I1658" t="s">
        <v>23</v>
      </c>
      <c r="J1658" t="s">
        <v>110</v>
      </c>
      <c r="K1658" t="s">
        <v>39</v>
      </c>
      <c r="L1658">
        <v>2.6</v>
      </c>
      <c r="M1658" t="s">
        <v>152</v>
      </c>
      <c r="N1658" t="s">
        <v>27</v>
      </c>
      <c r="O1658" t="s">
        <v>72</v>
      </c>
      <c r="P1658" t="s">
        <v>26</v>
      </c>
      <c r="Q1658" t="s">
        <v>26</v>
      </c>
      <c r="R1658">
        <v>41</v>
      </c>
      <c r="S1658" t="s">
        <v>46</v>
      </c>
      <c r="T1658" t="str">
        <f t="shared" si="50"/>
        <v>Quarterly</v>
      </c>
      <c r="U1658">
        <f>VLOOKUP(T1658,[1]tablescore!$B$3:$C$8, 2,FALSE)</f>
        <v>4</v>
      </c>
      <c r="V1658" t="str">
        <f t="shared" si="51"/>
        <v>Low Loyalty</v>
      </c>
      <c r="W1658" t="s">
        <v>97</v>
      </c>
    </row>
    <row r="1659" spans="1:23" x14ac:dyDescent="0.25">
      <c r="A1659">
        <v>1658</v>
      </c>
      <c r="B1659">
        <v>69</v>
      </c>
      <c r="C1659" t="str" cm="1">
        <f t="array" ref="C1659">_xlfn.IFS(
  AND(B1659&gt;=18, B1659&lt;=24), "18-24",
  AND(B1659&gt;=25, B1659&lt;=34), "25-34",
  AND(B1659&gt;=35, B1659&lt;=44), "35-44",
  AND(B1659&gt;=45, B1659&lt;=54), "45-54",
  B1659&gt;=55, "55+"
)</f>
        <v>55+</v>
      </c>
      <c r="D1659" t="s">
        <v>19</v>
      </c>
      <c r="E1659" t="s">
        <v>87</v>
      </c>
      <c r="F1659" t="s">
        <v>21</v>
      </c>
      <c r="G1659">
        <v>36</v>
      </c>
      <c r="H1659" t="s">
        <v>116</v>
      </c>
      <c r="I1659" t="s">
        <v>23</v>
      </c>
      <c r="J1659" t="s">
        <v>49</v>
      </c>
      <c r="K1659" t="s">
        <v>39</v>
      </c>
      <c r="L1659">
        <v>3.2</v>
      </c>
      <c r="M1659" t="s">
        <v>152</v>
      </c>
      <c r="N1659" t="s">
        <v>35</v>
      </c>
      <c r="O1659" t="s">
        <v>76</v>
      </c>
      <c r="P1659" t="s">
        <v>26</v>
      </c>
      <c r="Q1659" t="s">
        <v>26</v>
      </c>
      <c r="R1659">
        <v>4</v>
      </c>
      <c r="S1659" t="s">
        <v>59</v>
      </c>
      <c r="T1659" t="str">
        <f t="shared" si="50"/>
        <v>2-week</v>
      </c>
      <c r="U1659">
        <f>VLOOKUP(T1659,[1]tablescore!$B$3:$C$8, 2,FALSE)</f>
        <v>26</v>
      </c>
      <c r="V1659" t="str">
        <f t="shared" si="51"/>
        <v>Loyal</v>
      </c>
      <c r="W1659" t="s">
        <v>77</v>
      </c>
    </row>
    <row r="1660" spans="1:23" x14ac:dyDescent="0.25">
      <c r="A1660">
        <v>1659</v>
      </c>
      <c r="B1660">
        <v>32</v>
      </c>
      <c r="C1660" t="str" cm="1">
        <f t="array" ref="C1660">_xlfn.IFS(
  AND(B1660&gt;=18, B1660&lt;=24), "18-24",
  AND(B1660&gt;=25, B1660&lt;=34), "25-34",
  AND(B1660&gt;=35, B1660&lt;=44), "35-44",
  AND(B1660&gt;=45, B1660&lt;=54), "45-54",
  B1660&gt;=55, "55+"
)</f>
        <v>25-34</v>
      </c>
      <c r="D1660" t="s">
        <v>19</v>
      </c>
      <c r="E1660" t="s">
        <v>106</v>
      </c>
      <c r="F1660" t="s">
        <v>69</v>
      </c>
      <c r="G1660">
        <v>66</v>
      </c>
      <c r="H1660" t="s">
        <v>120</v>
      </c>
      <c r="I1660" t="s">
        <v>38</v>
      </c>
      <c r="J1660" t="s">
        <v>71</v>
      </c>
      <c r="K1660" t="s">
        <v>39</v>
      </c>
      <c r="L1660">
        <v>4.0999999999999996</v>
      </c>
      <c r="M1660" t="s">
        <v>152</v>
      </c>
      <c r="N1660" t="s">
        <v>59</v>
      </c>
      <c r="O1660" t="s">
        <v>76</v>
      </c>
      <c r="P1660" t="s">
        <v>26</v>
      </c>
      <c r="Q1660" t="s">
        <v>26</v>
      </c>
      <c r="R1660">
        <v>47</v>
      </c>
      <c r="S1660" t="s">
        <v>35</v>
      </c>
      <c r="T1660" t="str">
        <f t="shared" si="50"/>
        <v>Daily</v>
      </c>
      <c r="U1660">
        <f>VLOOKUP(T1660,[1]tablescore!$B$3:$C$8, 2,FALSE)</f>
        <v>30</v>
      </c>
      <c r="V1660" t="str">
        <f t="shared" si="51"/>
        <v>Highly Loyal</v>
      </c>
      <c r="W1660" t="s">
        <v>41</v>
      </c>
    </row>
    <row r="1661" spans="1:23" x14ac:dyDescent="0.25">
      <c r="A1661">
        <v>1660</v>
      </c>
      <c r="B1661">
        <v>53</v>
      </c>
      <c r="C1661" t="str" cm="1">
        <f t="array" ref="C1661">_xlfn.IFS(
  AND(B1661&gt;=18, B1661&lt;=24), "18-24",
  AND(B1661&gt;=25, B1661&lt;=34), "25-34",
  AND(B1661&gt;=35, B1661&lt;=44), "35-44",
  AND(B1661&gt;=45, B1661&lt;=54), "45-54",
  B1661&gt;=55, "55+"
)</f>
        <v>45-54</v>
      </c>
      <c r="D1661" t="s">
        <v>19</v>
      </c>
      <c r="E1661" t="s">
        <v>127</v>
      </c>
      <c r="F1661" t="s">
        <v>69</v>
      </c>
      <c r="G1661">
        <v>37</v>
      </c>
      <c r="H1661" t="s">
        <v>149</v>
      </c>
      <c r="I1661" t="s">
        <v>45</v>
      </c>
      <c r="J1661" t="s">
        <v>94</v>
      </c>
      <c r="K1661" t="s">
        <v>58</v>
      </c>
      <c r="L1661">
        <v>3.9</v>
      </c>
      <c r="M1661" t="s">
        <v>152</v>
      </c>
      <c r="N1661" t="s">
        <v>34</v>
      </c>
      <c r="O1661" t="s">
        <v>47</v>
      </c>
      <c r="P1661" t="s">
        <v>26</v>
      </c>
      <c r="Q1661" t="s">
        <v>26</v>
      </c>
      <c r="R1661">
        <v>44</v>
      </c>
      <c r="S1661" t="s">
        <v>29</v>
      </c>
      <c r="T1661" t="str">
        <f t="shared" si="50"/>
        <v>Annually</v>
      </c>
      <c r="U1661">
        <f>VLOOKUP(T1661,[1]tablescore!$B$3:$C$8, 2,FALSE)</f>
        <v>1</v>
      </c>
      <c r="V1661" t="str">
        <f t="shared" si="51"/>
        <v>Low Loyalty</v>
      </c>
      <c r="W1661" t="s">
        <v>50</v>
      </c>
    </row>
    <row r="1662" spans="1:23" x14ac:dyDescent="0.25">
      <c r="A1662">
        <v>1661</v>
      </c>
      <c r="B1662">
        <v>59</v>
      </c>
      <c r="C1662" t="str" cm="1">
        <f t="array" ref="C1662">_xlfn.IFS(
  AND(B1662&gt;=18, B1662&lt;=24), "18-24",
  AND(B1662&gt;=25, B1662&lt;=34), "25-34",
  AND(B1662&gt;=35, B1662&lt;=44), "35-44",
  AND(B1662&gt;=45, B1662&lt;=54), "45-54",
  B1662&gt;=55, "55+"
)</f>
        <v>55+</v>
      </c>
      <c r="D1662" t="s">
        <v>19</v>
      </c>
      <c r="E1662" t="s">
        <v>113</v>
      </c>
      <c r="F1662" t="s">
        <v>21</v>
      </c>
      <c r="G1662">
        <v>45</v>
      </c>
      <c r="H1662" t="s">
        <v>62</v>
      </c>
      <c r="I1662" t="s">
        <v>23</v>
      </c>
      <c r="J1662" t="s">
        <v>139</v>
      </c>
      <c r="K1662" t="s">
        <v>25</v>
      </c>
      <c r="L1662">
        <v>4.0999999999999996</v>
      </c>
      <c r="M1662" t="s">
        <v>152</v>
      </c>
      <c r="N1662" t="s">
        <v>29</v>
      </c>
      <c r="O1662" t="s">
        <v>55</v>
      </c>
      <c r="P1662" t="s">
        <v>26</v>
      </c>
      <c r="Q1662" t="s">
        <v>26</v>
      </c>
      <c r="R1662">
        <v>37</v>
      </c>
      <c r="S1662" t="s">
        <v>29</v>
      </c>
      <c r="T1662" t="str">
        <f t="shared" si="50"/>
        <v>Month</v>
      </c>
      <c r="U1662">
        <f>VLOOKUP(T1662,[1]tablescore!$B$3:$C$8, 2,FALSE)</f>
        <v>12</v>
      </c>
      <c r="V1662" t="str">
        <f t="shared" si="51"/>
        <v>Moderate</v>
      </c>
      <c r="W1662" t="s">
        <v>88</v>
      </c>
    </row>
    <row r="1663" spans="1:23" x14ac:dyDescent="0.25">
      <c r="A1663">
        <v>1662</v>
      </c>
      <c r="B1663">
        <v>64</v>
      </c>
      <c r="C1663" t="str" cm="1">
        <f t="array" ref="C1663">_xlfn.IFS(
  AND(B1663&gt;=18, B1663&lt;=24), "18-24",
  AND(B1663&gt;=25, B1663&lt;=34), "25-34",
  AND(B1663&gt;=35, B1663&lt;=44), "35-44",
  AND(B1663&gt;=45, B1663&lt;=54), "45-54",
  B1663&gt;=55, "55+"
)</f>
        <v>55+</v>
      </c>
      <c r="D1663" t="s">
        <v>19</v>
      </c>
      <c r="E1663" t="s">
        <v>127</v>
      </c>
      <c r="F1663" t="s">
        <v>69</v>
      </c>
      <c r="G1663">
        <v>86</v>
      </c>
      <c r="H1663" t="s">
        <v>150</v>
      </c>
      <c r="I1663" t="s">
        <v>38</v>
      </c>
      <c r="J1663" t="s">
        <v>118</v>
      </c>
      <c r="K1663" t="s">
        <v>54</v>
      </c>
      <c r="L1663">
        <v>2.7</v>
      </c>
      <c r="M1663" t="s">
        <v>152</v>
      </c>
      <c r="N1663" t="s">
        <v>27</v>
      </c>
      <c r="O1663" t="s">
        <v>72</v>
      </c>
      <c r="P1663" t="s">
        <v>26</v>
      </c>
      <c r="Q1663" t="s">
        <v>26</v>
      </c>
      <c r="R1663">
        <v>21</v>
      </c>
      <c r="S1663" t="s">
        <v>59</v>
      </c>
      <c r="T1663" t="str">
        <f t="shared" si="50"/>
        <v>Quarterly</v>
      </c>
      <c r="U1663">
        <f>VLOOKUP(T1663,[1]tablescore!$B$3:$C$8, 2,FALSE)</f>
        <v>4</v>
      </c>
      <c r="V1663" t="str">
        <f t="shared" si="51"/>
        <v>Low Loyalty</v>
      </c>
      <c r="W1663" t="s">
        <v>60</v>
      </c>
    </row>
    <row r="1664" spans="1:23" x14ac:dyDescent="0.25">
      <c r="A1664">
        <v>1663</v>
      </c>
      <c r="B1664">
        <v>63</v>
      </c>
      <c r="C1664" t="str" cm="1">
        <f t="array" ref="C1664">_xlfn.IFS(
  AND(B1664&gt;=18, B1664&lt;=24), "18-24",
  AND(B1664&gt;=25, B1664&lt;=34), "25-34",
  AND(B1664&gt;=35, B1664&lt;=44), "35-44",
  AND(B1664&gt;=45, B1664&lt;=54), "45-54",
  B1664&gt;=55, "55+"
)</f>
        <v>55+</v>
      </c>
      <c r="D1664" t="s">
        <v>19</v>
      </c>
      <c r="E1664" t="s">
        <v>89</v>
      </c>
      <c r="F1664" t="s">
        <v>69</v>
      </c>
      <c r="G1664">
        <v>24</v>
      </c>
      <c r="H1664" t="s">
        <v>123</v>
      </c>
      <c r="I1664" t="s">
        <v>45</v>
      </c>
      <c r="J1664" t="s">
        <v>79</v>
      </c>
      <c r="K1664" t="s">
        <v>25</v>
      </c>
      <c r="L1664">
        <v>4.5999999999999996</v>
      </c>
      <c r="M1664" t="s">
        <v>152</v>
      </c>
      <c r="N1664" t="s">
        <v>59</v>
      </c>
      <c r="O1664" t="s">
        <v>40</v>
      </c>
      <c r="P1664" t="s">
        <v>26</v>
      </c>
      <c r="Q1664" t="s">
        <v>26</v>
      </c>
      <c r="R1664">
        <v>46</v>
      </c>
      <c r="S1664" t="s">
        <v>59</v>
      </c>
      <c r="T1664" t="str">
        <f t="shared" si="50"/>
        <v>2-week</v>
      </c>
      <c r="U1664">
        <f>VLOOKUP(T1664,[1]tablescore!$B$3:$C$8, 2,FALSE)</f>
        <v>26</v>
      </c>
      <c r="V1664" t="str">
        <f t="shared" si="51"/>
        <v>Loyal</v>
      </c>
      <c r="W1664" t="s">
        <v>30</v>
      </c>
    </row>
    <row r="1665" spans="1:23" x14ac:dyDescent="0.25">
      <c r="A1665">
        <v>1664</v>
      </c>
      <c r="B1665">
        <v>43</v>
      </c>
      <c r="C1665" t="str" cm="1">
        <f t="array" ref="C1665">_xlfn.IFS(
  AND(B1665&gt;=18, B1665&lt;=24), "18-24",
  AND(B1665&gt;=25, B1665&lt;=34), "25-34",
  AND(B1665&gt;=35, B1665&lt;=44), "35-44",
  AND(B1665&gt;=45, B1665&lt;=54), "45-54",
  B1665&gt;=55, "55+"
)</f>
        <v>35-44</v>
      </c>
      <c r="D1665" t="s">
        <v>19</v>
      </c>
      <c r="E1665" t="s">
        <v>56</v>
      </c>
      <c r="F1665" t="s">
        <v>21</v>
      </c>
      <c r="G1665">
        <v>22</v>
      </c>
      <c r="H1665" t="s">
        <v>32</v>
      </c>
      <c r="I1665" t="s">
        <v>92</v>
      </c>
      <c r="J1665" t="s">
        <v>81</v>
      </c>
      <c r="K1665" t="s">
        <v>54</v>
      </c>
      <c r="L1665">
        <v>3.5</v>
      </c>
      <c r="M1665" t="s">
        <v>152</v>
      </c>
      <c r="N1665" t="s">
        <v>35</v>
      </c>
      <c r="O1665" t="s">
        <v>55</v>
      </c>
      <c r="P1665" t="s">
        <v>26</v>
      </c>
      <c r="Q1665" t="s">
        <v>26</v>
      </c>
      <c r="R1665">
        <v>1</v>
      </c>
      <c r="S1665" t="s">
        <v>35</v>
      </c>
      <c r="T1665" t="str">
        <f t="shared" si="50"/>
        <v>2-week</v>
      </c>
      <c r="U1665">
        <f>VLOOKUP(T1665,[1]tablescore!$B$3:$C$8, 2,FALSE)</f>
        <v>26</v>
      </c>
      <c r="V1665" t="str">
        <f t="shared" si="51"/>
        <v>Loyal</v>
      </c>
      <c r="W1665" t="s">
        <v>77</v>
      </c>
    </row>
    <row r="1666" spans="1:23" x14ac:dyDescent="0.25">
      <c r="A1666">
        <v>1665</v>
      </c>
      <c r="B1666">
        <v>19</v>
      </c>
      <c r="C1666" t="str" cm="1">
        <f t="array" ref="C1666">_xlfn.IFS(
  AND(B1666&gt;=18, B1666&lt;=24), "18-24",
  AND(B1666&gt;=25, B1666&lt;=34), "25-34",
  AND(B1666&gt;=35, B1666&lt;=44), "35-44",
  AND(B1666&gt;=45, B1666&lt;=54), "45-54",
  B1666&gt;=55, "55+"
)</f>
        <v>18-24</v>
      </c>
      <c r="D1666" t="s">
        <v>19</v>
      </c>
      <c r="E1666" t="s">
        <v>68</v>
      </c>
      <c r="F1666" t="s">
        <v>69</v>
      </c>
      <c r="G1666">
        <v>53</v>
      </c>
      <c r="H1666" t="s">
        <v>134</v>
      </c>
      <c r="I1666" t="s">
        <v>45</v>
      </c>
      <c r="J1666" t="s">
        <v>75</v>
      </c>
      <c r="K1666" t="s">
        <v>39</v>
      </c>
      <c r="L1666">
        <v>5</v>
      </c>
      <c r="M1666" t="s">
        <v>152</v>
      </c>
      <c r="N1666" t="s">
        <v>46</v>
      </c>
      <c r="O1666" t="s">
        <v>47</v>
      </c>
      <c r="P1666" t="s">
        <v>26</v>
      </c>
      <c r="Q1666" t="s">
        <v>26</v>
      </c>
      <c r="R1666">
        <v>35</v>
      </c>
      <c r="S1666" t="s">
        <v>46</v>
      </c>
      <c r="T1666" t="str">
        <f t="shared" si="50"/>
        <v>Daily</v>
      </c>
      <c r="U1666">
        <f>VLOOKUP(T1666,[1]tablescore!$B$3:$C$8, 2,FALSE)</f>
        <v>30</v>
      </c>
      <c r="V1666" t="str">
        <f t="shared" si="51"/>
        <v>Highly Loyal</v>
      </c>
      <c r="W1666" t="s">
        <v>41</v>
      </c>
    </row>
    <row r="1667" spans="1:23" x14ac:dyDescent="0.25">
      <c r="A1667">
        <v>1666</v>
      </c>
      <c r="B1667">
        <v>40</v>
      </c>
      <c r="C1667" t="str" cm="1">
        <f t="array" ref="C1667">_xlfn.IFS(
  AND(B1667&gt;=18, B1667&lt;=24), "18-24",
  AND(B1667&gt;=25, B1667&lt;=34), "25-34",
  AND(B1667&gt;=35, B1667&lt;=44), "35-44",
  AND(B1667&gt;=45, B1667&lt;=54), "45-54",
  B1667&gt;=55, "55+"
)</f>
        <v>35-44</v>
      </c>
      <c r="D1667" t="s">
        <v>19</v>
      </c>
      <c r="E1667" t="s">
        <v>102</v>
      </c>
      <c r="F1667" t="s">
        <v>65</v>
      </c>
      <c r="G1667">
        <v>41</v>
      </c>
      <c r="H1667" t="s">
        <v>123</v>
      </c>
      <c r="I1667" t="s">
        <v>23</v>
      </c>
      <c r="J1667" t="s">
        <v>71</v>
      </c>
      <c r="K1667" t="s">
        <v>58</v>
      </c>
      <c r="L1667">
        <v>3.4</v>
      </c>
      <c r="M1667" t="s">
        <v>152</v>
      </c>
      <c r="N1667" t="s">
        <v>35</v>
      </c>
      <c r="O1667" t="s">
        <v>47</v>
      </c>
      <c r="P1667" t="s">
        <v>26</v>
      </c>
      <c r="Q1667" t="s">
        <v>26</v>
      </c>
      <c r="R1667">
        <v>49</v>
      </c>
      <c r="S1667" t="s">
        <v>29</v>
      </c>
      <c r="T1667" t="str">
        <f t="shared" ref="T1667:T1730" si="52">IF(TRIM(W1667)="Every 3 months","Quarterly",IF(TRIM(W1667)="Fortnightly","2-week",IF(TRIM(W1667)="Bi-Weekly","2-week",IF(TRIM(W1667)="Weekly","Daily",IF(TRIM(W1667)="Monthly","Month",TRIM(W1667))))))</f>
        <v>Month</v>
      </c>
      <c r="U1667">
        <f>VLOOKUP(T1667,[1]tablescore!$B$3:$C$8, 2,FALSE)</f>
        <v>12</v>
      </c>
      <c r="V1667" t="str">
        <f t="shared" ref="V1667:V1730" si="53">_xlfn.IFS(U1667&gt;=30, "Highly Loyal", U1667&gt;=26, "Loyal", U1667&gt;=12, "Moderate", U1667&lt;5, "Low Loyalty")</f>
        <v>Moderate</v>
      </c>
      <c r="W1667" t="s">
        <v>88</v>
      </c>
    </row>
    <row r="1668" spans="1:23" x14ac:dyDescent="0.25">
      <c r="A1668">
        <v>1667</v>
      </c>
      <c r="B1668">
        <v>51</v>
      </c>
      <c r="C1668" t="str" cm="1">
        <f t="array" ref="C1668">_xlfn.IFS(
  AND(B1668&gt;=18, B1668&lt;=24), "18-24",
  AND(B1668&gt;=25, B1668&lt;=34), "25-34",
  AND(B1668&gt;=35, B1668&lt;=44), "35-44",
  AND(B1668&gt;=45, B1668&lt;=54), "45-54",
  B1668&gt;=55, "55+"
)</f>
        <v>45-54</v>
      </c>
      <c r="D1668" t="s">
        <v>19</v>
      </c>
      <c r="E1668" t="s">
        <v>87</v>
      </c>
      <c r="F1668" t="s">
        <v>21</v>
      </c>
      <c r="G1668">
        <v>64</v>
      </c>
      <c r="H1668" t="s">
        <v>74</v>
      </c>
      <c r="I1668" t="s">
        <v>45</v>
      </c>
      <c r="J1668" t="s">
        <v>138</v>
      </c>
      <c r="K1668" t="s">
        <v>54</v>
      </c>
      <c r="L1668">
        <v>3.1</v>
      </c>
      <c r="M1668" t="s">
        <v>152</v>
      </c>
      <c r="N1668" t="s">
        <v>35</v>
      </c>
      <c r="O1668" t="s">
        <v>76</v>
      </c>
      <c r="P1668" t="s">
        <v>26</v>
      </c>
      <c r="Q1668" t="s">
        <v>26</v>
      </c>
      <c r="R1668">
        <v>47</v>
      </c>
      <c r="S1668" t="s">
        <v>46</v>
      </c>
      <c r="T1668" t="str">
        <f t="shared" si="52"/>
        <v>Annually</v>
      </c>
      <c r="U1668">
        <f>VLOOKUP(T1668,[1]tablescore!$B$3:$C$8, 2,FALSE)</f>
        <v>1</v>
      </c>
      <c r="V1668" t="str">
        <f t="shared" si="53"/>
        <v>Low Loyalty</v>
      </c>
      <c r="W1668" t="s">
        <v>50</v>
      </c>
    </row>
    <row r="1669" spans="1:23" x14ac:dyDescent="0.25">
      <c r="A1669">
        <v>1668</v>
      </c>
      <c r="B1669">
        <v>51</v>
      </c>
      <c r="C1669" t="str" cm="1">
        <f t="array" ref="C1669">_xlfn.IFS(
  AND(B1669&gt;=18, B1669&lt;=24), "18-24",
  AND(B1669&gt;=25, B1669&lt;=34), "25-34",
  AND(B1669&gt;=35, B1669&lt;=44), "35-44",
  AND(B1669&gt;=45, B1669&lt;=54), "45-54",
  B1669&gt;=55, "55+"
)</f>
        <v>45-54</v>
      </c>
      <c r="D1669" t="s">
        <v>19</v>
      </c>
      <c r="E1669" t="s">
        <v>68</v>
      </c>
      <c r="F1669" t="s">
        <v>69</v>
      </c>
      <c r="G1669">
        <v>40</v>
      </c>
      <c r="H1669" t="s">
        <v>101</v>
      </c>
      <c r="I1669" t="s">
        <v>23</v>
      </c>
      <c r="J1669" t="s">
        <v>110</v>
      </c>
      <c r="K1669" t="s">
        <v>25</v>
      </c>
      <c r="L1669">
        <v>3.4</v>
      </c>
      <c r="M1669" t="s">
        <v>152</v>
      </c>
      <c r="N1669" t="s">
        <v>34</v>
      </c>
      <c r="O1669" t="s">
        <v>72</v>
      </c>
      <c r="P1669" t="s">
        <v>26</v>
      </c>
      <c r="Q1669" t="s">
        <v>26</v>
      </c>
      <c r="R1669">
        <v>24</v>
      </c>
      <c r="S1669" t="s">
        <v>34</v>
      </c>
      <c r="T1669" t="str">
        <f t="shared" si="52"/>
        <v>Quarterly</v>
      </c>
      <c r="U1669">
        <f>VLOOKUP(T1669,[1]tablescore!$B$3:$C$8, 2,FALSE)</f>
        <v>4</v>
      </c>
      <c r="V1669" t="str">
        <f t="shared" si="53"/>
        <v>Low Loyalty</v>
      </c>
      <c r="W1669" t="s">
        <v>97</v>
      </c>
    </row>
    <row r="1670" spans="1:23" x14ac:dyDescent="0.25">
      <c r="A1670">
        <v>1669</v>
      </c>
      <c r="B1670">
        <v>66</v>
      </c>
      <c r="C1670" t="str" cm="1">
        <f t="array" ref="C1670">_xlfn.IFS(
  AND(B1670&gt;=18, B1670&lt;=24), "18-24",
  AND(B1670&gt;=25, B1670&lt;=34), "25-34",
  AND(B1670&gt;=35, B1670&lt;=44), "35-44",
  AND(B1670&gt;=45, B1670&lt;=54), "45-54",
  B1670&gt;=55, "55+"
)</f>
        <v>55+</v>
      </c>
      <c r="D1670" t="s">
        <v>19</v>
      </c>
      <c r="E1670" t="s">
        <v>20</v>
      </c>
      <c r="F1670" t="s">
        <v>21</v>
      </c>
      <c r="G1670">
        <v>33</v>
      </c>
      <c r="H1670" t="s">
        <v>149</v>
      </c>
      <c r="I1670" t="s">
        <v>23</v>
      </c>
      <c r="J1670" t="s">
        <v>63</v>
      </c>
      <c r="K1670" t="s">
        <v>54</v>
      </c>
      <c r="L1670">
        <v>4</v>
      </c>
      <c r="M1670" t="s">
        <v>152</v>
      </c>
      <c r="N1670" t="s">
        <v>27</v>
      </c>
      <c r="O1670" t="s">
        <v>55</v>
      </c>
      <c r="P1670" t="s">
        <v>26</v>
      </c>
      <c r="Q1670" t="s">
        <v>26</v>
      </c>
      <c r="R1670">
        <v>28</v>
      </c>
      <c r="S1670" t="s">
        <v>59</v>
      </c>
      <c r="T1670" t="str">
        <f t="shared" si="52"/>
        <v>2-week</v>
      </c>
      <c r="U1670">
        <f>VLOOKUP(T1670,[1]tablescore!$B$3:$C$8, 2,FALSE)</f>
        <v>26</v>
      </c>
      <c r="V1670" t="str">
        <f t="shared" si="53"/>
        <v>Loyal</v>
      </c>
      <c r="W1670" t="s">
        <v>30</v>
      </c>
    </row>
    <row r="1671" spans="1:23" x14ac:dyDescent="0.25">
      <c r="A1671">
        <v>1670</v>
      </c>
      <c r="B1671">
        <v>42</v>
      </c>
      <c r="C1671" t="str" cm="1">
        <f t="array" ref="C1671">_xlfn.IFS(
  AND(B1671&gt;=18, B1671&lt;=24), "18-24",
  AND(B1671&gt;=25, B1671&lt;=34), "25-34",
  AND(B1671&gt;=35, B1671&lt;=44), "35-44",
  AND(B1671&gt;=45, B1671&lt;=54), "45-54",
  B1671&gt;=55, "55+"
)</f>
        <v>35-44</v>
      </c>
      <c r="D1671" t="s">
        <v>19</v>
      </c>
      <c r="E1671" t="s">
        <v>113</v>
      </c>
      <c r="F1671" t="s">
        <v>21</v>
      </c>
      <c r="G1671">
        <v>59</v>
      </c>
      <c r="H1671" t="s">
        <v>148</v>
      </c>
      <c r="I1671" t="s">
        <v>23</v>
      </c>
      <c r="J1671" t="s">
        <v>33</v>
      </c>
      <c r="K1671" t="s">
        <v>25</v>
      </c>
      <c r="L1671">
        <v>2.7</v>
      </c>
      <c r="M1671" t="s">
        <v>152</v>
      </c>
      <c r="N1671" t="s">
        <v>46</v>
      </c>
      <c r="O1671" t="s">
        <v>76</v>
      </c>
      <c r="P1671" t="s">
        <v>26</v>
      </c>
      <c r="Q1671" t="s">
        <v>26</v>
      </c>
      <c r="R1671">
        <v>22</v>
      </c>
      <c r="S1671" t="s">
        <v>34</v>
      </c>
      <c r="T1671" t="str">
        <f t="shared" si="52"/>
        <v>Quarterly</v>
      </c>
      <c r="U1671">
        <f>VLOOKUP(T1671,[1]tablescore!$B$3:$C$8, 2,FALSE)</f>
        <v>4</v>
      </c>
      <c r="V1671" t="str">
        <f t="shared" si="53"/>
        <v>Low Loyalty</v>
      </c>
      <c r="W1671" t="s">
        <v>60</v>
      </c>
    </row>
    <row r="1672" spans="1:23" x14ac:dyDescent="0.25">
      <c r="A1672">
        <v>1671</v>
      </c>
      <c r="B1672">
        <v>22</v>
      </c>
      <c r="C1672" t="str" cm="1">
        <f t="array" ref="C1672">_xlfn.IFS(
  AND(B1672&gt;=18, B1672&lt;=24), "18-24",
  AND(B1672&gt;=25, B1672&lt;=34), "25-34",
  AND(B1672&gt;=35, B1672&lt;=44), "35-44",
  AND(B1672&gt;=45, B1672&lt;=54), "45-54",
  B1672&gt;=55, "55+"
)</f>
        <v>18-24</v>
      </c>
      <c r="D1672" t="s">
        <v>19</v>
      </c>
      <c r="E1672" t="s">
        <v>95</v>
      </c>
      <c r="F1672" t="s">
        <v>21</v>
      </c>
      <c r="G1672">
        <v>73</v>
      </c>
      <c r="H1672" t="s">
        <v>149</v>
      </c>
      <c r="I1672" t="s">
        <v>23</v>
      </c>
      <c r="J1672" t="s">
        <v>109</v>
      </c>
      <c r="K1672" t="s">
        <v>58</v>
      </c>
      <c r="L1672">
        <v>3.6</v>
      </c>
      <c r="M1672" t="s">
        <v>152</v>
      </c>
      <c r="N1672" t="s">
        <v>29</v>
      </c>
      <c r="O1672" t="s">
        <v>40</v>
      </c>
      <c r="P1672" t="s">
        <v>26</v>
      </c>
      <c r="Q1672" t="s">
        <v>26</v>
      </c>
      <c r="R1672">
        <v>20</v>
      </c>
      <c r="S1672" t="s">
        <v>35</v>
      </c>
      <c r="T1672" t="str">
        <f t="shared" si="52"/>
        <v>Daily</v>
      </c>
      <c r="U1672">
        <f>VLOOKUP(T1672,[1]tablescore!$B$3:$C$8, 2,FALSE)</f>
        <v>30</v>
      </c>
      <c r="V1672" t="str">
        <f t="shared" si="53"/>
        <v>Highly Loyal</v>
      </c>
      <c r="W1672" t="s">
        <v>41</v>
      </c>
    </row>
    <row r="1673" spans="1:23" x14ac:dyDescent="0.25">
      <c r="A1673">
        <v>1672</v>
      </c>
      <c r="B1673">
        <v>31</v>
      </c>
      <c r="C1673" t="str" cm="1">
        <f t="array" ref="C1673">_xlfn.IFS(
  AND(B1673&gt;=18, B1673&lt;=24), "18-24",
  AND(B1673&gt;=25, B1673&lt;=34), "25-34",
  AND(B1673&gt;=35, B1673&lt;=44), "35-44",
  AND(B1673&gt;=45, B1673&lt;=54), "45-54",
  B1673&gt;=55, "55+"
)</f>
        <v>25-34</v>
      </c>
      <c r="D1673" t="s">
        <v>19</v>
      </c>
      <c r="E1673" t="s">
        <v>104</v>
      </c>
      <c r="F1673" t="s">
        <v>21</v>
      </c>
      <c r="G1673">
        <v>22</v>
      </c>
      <c r="H1673" t="s">
        <v>149</v>
      </c>
      <c r="I1673" t="s">
        <v>45</v>
      </c>
      <c r="J1673" t="s">
        <v>79</v>
      </c>
      <c r="K1673" t="s">
        <v>25</v>
      </c>
      <c r="L1673">
        <v>4</v>
      </c>
      <c r="M1673" t="s">
        <v>152</v>
      </c>
      <c r="N1673" t="s">
        <v>46</v>
      </c>
      <c r="O1673" t="s">
        <v>40</v>
      </c>
      <c r="P1673" t="s">
        <v>26</v>
      </c>
      <c r="Q1673" t="s">
        <v>26</v>
      </c>
      <c r="R1673">
        <v>25</v>
      </c>
      <c r="S1673" t="s">
        <v>34</v>
      </c>
      <c r="T1673" t="str">
        <f t="shared" si="52"/>
        <v>Daily</v>
      </c>
      <c r="U1673">
        <f>VLOOKUP(T1673,[1]tablescore!$B$3:$C$8, 2,FALSE)</f>
        <v>30</v>
      </c>
      <c r="V1673" t="str">
        <f t="shared" si="53"/>
        <v>Highly Loyal</v>
      </c>
      <c r="W1673" t="s">
        <v>41</v>
      </c>
    </row>
    <row r="1674" spans="1:23" x14ac:dyDescent="0.25">
      <c r="A1674">
        <v>1673</v>
      </c>
      <c r="B1674">
        <v>18</v>
      </c>
      <c r="C1674" t="str" cm="1">
        <f t="array" ref="C1674">_xlfn.IFS(
  AND(B1674&gt;=18, B1674&lt;=24), "18-24",
  AND(B1674&gt;=25, B1674&lt;=34), "25-34",
  AND(B1674&gt;=35, B1674&lt;=44), "35-44",
  AND(B1674&gt;=45, B1674&lt;=54), "45-54",
  B1674&gt;=55, "55+"
)</f>
        <v>18-24</v>
      </c>
      <c r="D1674" t="s">
        <v>19</v>
      </c>
      <c r="E1674" t="s">
        <v>132</v>
      </c>
      <c r="F1674" t="s">
        <v>43</v>
      </c>
      <c r="G1674">
        <v>73</v>
      </c>
      <c r="H1674" t="s">
        <v>126</v>
      </c>
      <c r="I1674" t="s">
        <v>23</v>
      </c>
      <c r="J1674" t="s">
        <v>81</v>
      </c>
      <c r="K1674" t="s">
        <v>58</v>
      </c>
      <c r="L1674">
        <v>3.8</v>
      </c>
      <c r="M1674" t="s">
        <v>152</v>
      </c>
      <c r="N1674" t="s">
        <v>59</v>
      </c>
      <c r="O1674" t="s">
        <v>40</v>
      </c>
      <c r="P1674" t="s">
        <v>26</v>
      </c>
      <c r="Q1674" t="s">
        <v>26</v>
      </c>
      <c r="R1674">
        <v>15</v>
      </c>
      <c r="S1674" t="s">
        <v>29</v>
      </c>
      <c r="T1674" t="str">
        <f t="shared" si="52"/>
        <v>Quarterly</v>
      </c>
      <c r="U1674">
        <f>VLOOKUP(T1674,[1]tablescore!$B$3:$C$8, 2,FALSE)</f>
        <v>4</v>
      </c>
      <c r="V1674" t="str">
        <f t="shared" si="53"/>
        <v>Low Loyalty</v>
      </c>
      <c r="W1674" t="s">
        <v>60</v>
      </c>
    </row>
    <row r="1675" spans="1:23" x14ac:dyDescent="0.25">
      <c r="A1675">
        <v>1674</v>
      </c>
      <c r="B1675">
        <v>21</v>
      </c>
      <c r="C1675" t="str" cm="1">
        <f t="array" ref="C1675">_xlfn.IFS(
  AND(B1675&gt;=18, B1675&lt;=24), "18-24",
  AND(B1675&gt;=25, B1675&lt;=34), "25-34",
  AND(B1675&gt;=35, B1675&lt;=44), "35-44",
  AND(B1675&gt;=45, B1675&lt;=54), "45-54",
  B1675&gt;=55, "55+"
)</f>
        <v>18-24</v>
      </c>
      <c r="D1675" t="s">
        <v>19</v>
      </c>
      <c r="E1675" t="s">
        <v>20</v>
      </c>
      <c r="F1675" t="s">
        <v>21</v>
      </c>
      <c r="G1675">
        <v>62</v>
      </c>
      <c r="H1675" t="s">
        <v>78</v>
      </c>
      <c r="I1675" t="s">
        <v>45</v>
      </c>
      <c r="J1675" t="s">
        <v>84</v>
      </c>
      <c r="K1675" t="s">
        <v>58</v>
      </c>
      <c r="L1675">
        <v>3.4</v>
      </c>
      <c r="M1675" t="s">
        <v>152</v>
      </c>
      <c r="N1675" t="s">
        <v>59</v>
      </c>
      <c r="O1675" t="s">
        <v>47</v>
      </c>
      <c r="P1675" t="s">
        <v>26</v>
      </c>
      <c r="Q1675" t="s">
        <v>26</v>
      </c>
      <c r="R1675">
        <v>49</v>
      </c>
      <c r="S1675" t="s">
        <v>29</v>
      </c>
      <c r="T1675" t="str">
        <f t="shared" si="52"/>
        <v>2-week</v>
      </c>
      <c r="U1675">
        <f>VLOOKUP(T1675,[1]tablescore!$B$3:$C$8, 2,FALSE)</f>
        <v>26</v>
      </c>
      <c r="V1675" t="str">
        <f t="shared" si="53"/>
        <v>Loyal</v>
      </c>
      <c r="W1675" t="s">
        <v>77</v>
      </c>
    </row>
    <row r="1676" spans="1:23" x14ac:dyDescent="0.25">
      <c r="A1676">
        <v>1675</v>
      </c>
      <c r="B1676">
        <v>35</v>
      </c>
      <c r="C1676" t="str" cm="1">
        <f t="array" ref="C1676">_xlfn.IFS(
  AND(B1676&gt;=18, B1676&lt;=24), "18-24",
  AND(B1676&gt;=25, B1676&lt;=34), "25-34",
  AND(B1676&gt;=35, B1676&lt;=44), "35-44",
  AND(B1676&gt;=45, B1676&lt;=54), "45-54",
  B1676&gt;=55, "55+"
)</f>
        <v>35-44</v>
      </c>
      <c r="D1676" t="s">
        <v>19</v>
      </c>
      <c r="E1676" t="s">
        <v>64</v>
      </c>
      <c r="F1676" t="s">
        <v>65</v>
      </c>
      <c r="G1676">
        <v>56</v>
      </c>
      <c r="H1676" t="s">
        <v>120</v>
      </c>
      <c r="I1676" t="s">
        <v>45</v>
      </c>
      <c r="J1676" t="s">
        <v>100</v>
      </c>
      <c r="K1676" t="s">
        <v>25</v>
      </c>
      <c r="L1676">
        <v>3.2</v>
      </c>
      <c r="M1676" t="s">
        <v>152</v>
      </c>
      <c r="N1676" t="s">
        <v>46</v>
      </c>
      <c r="O1676" t="s">
        <v>40</v>
      </c>
      <c r="P1676" t="s">
        <v>26</v>
      </c>
      <c r="Q1676" t="s">
        <v>26</v>
      </c>
      <c r="R1676">
        <v>10</v>
      </c>
      <c r="S1676" t="s">
        <v>59</v>
      </c>
      <c r="T1676" t="str">
        <f t="shared" si="52"/>
        <v>2-week</v>
      </c>
      <c r="U1676">
        <f>VLOOKUP(T1676,[1]tablescore!$B$3:$C$8, 2,FALSE)</f>
        <v>26</v>
      </c>
      <c r="V1676" t="str">
        <f t="shared" si="53"/>
        <v>Loyal</v>
      </c>
      <c r="W1676" t="s">
        <v>30</v>
      </c>
    </row>
    <row r="1677" spans="1:23" x14ac:dyDescent="0.25">
      <c r="A1677">
        <v>1676</v>
      </c>
      <c r="B1677">
        <v>35</v>
      </c>
      <c r="C1677" t="str" cm="1">
        <f t="array" ref="C1677">_xlfn.IFS(
  AND(B1677&gt;=18, B1677&lt;=24), "18-24",
  AND(B1677&gt;=25, B1677&lt;=34), "25-34",
  AND(B1677&gt;=35, B1677&lt;=44), "35-44",
  AND(B1677&gt;=45, B1677&lt;=54), "45-54",
  B1677&gt;=55, "55+"
)</f>
        <v>35-44</v>
      </c>
      <c r="D1677" t="s">
        <v>19</v>
      </c>
      <c r="E1677" t="s">
        <v>95</v>
      </c>
      <c r="F1677" t="s">
        <v>21</v>
      </c>
      <c r="G1677">
        <v>90</v>
      </c>
      <c r="H1677" t="s">
        <v>112</v>
      </c>
      <c r="I1677" t="s">
        <v>45</v>
      </c>
      <c r="J1677" t="s">
        <v>118</v>
      </c>
      <c r="K1677" t="s">
        <v>39</v>
      </c>
      <c r="L1677">
        <v>4.7</v>
      </c>
      <c r="M1677" t="s">
        <v>152</v>
      </c>
      <c r="N1677" t="s">
        <v>29</v>
      </c>
      <c r="O1677" t="s">
        <v>47</v>
      </c>
      <c r="P1677" t="s">
        <v>26</v>
      </c>
      <c r="Q1677" t="s">
        <v>26</v>
      </c>
      <c r="R1677">
        <v>21</v>
      </c>
      <c r="S1677" t="s">
        <v>27</v>
      </c>
      <c r="T1677" t="str">
        <f t="shared" si="52"/>
        <v>Annually</v>
      </c>
      <c r="U1677">
        <f>VLOOKUP(T1677,[1]tablescore!$B$3:$C$8, 2,FALSE)</f>
        <v>1</v>
      </c>
      <c r="V1677" t="str">
        <f t="shared" si="53"/>
        <v>Low Loyalty</v>
      </c>
      <c r="W1677" t="s">
        <v>50</v>
      </c>
    </row>
    <row r="1678" spans="1:23" x14ac:dyDescent="0.25">
      <c r="A1678">
        <v>1677</v>
      </c>
      <c r="B1678">
        <v>27</v>
      </c>
      <c r="C1678" t="str" cm="1">
        <f t="array" ref="C1678">_xlfn.IFS(
  AND(B1678&gt;=18, B1678&lt;=24), "18-24",
  AND(B1678&gt;=25, B1678&lt;=34), "25-34",
  AND(B1678&gt;=35, B1678&lt;=44), "35-44",
  AND(B1678&gt;=45, B1678&lt;=54), "45-54",
  B1678&gt;=55, "55+"
)</f>
        <v>25-34</v>
      </c>
      <c r="D1678" t="s">
        <v>19</v>
      </c>
      <c r="E1678" t="s">
        <v>89</v>
      </c>
      <c r="F1678" t="s">
        <v>69</v>
      </c>
      <c r="G1678">
        <v>44</v>
      </c>
      <c r="H1678" t="s">
        <v>66</v>
      </c>
      <c r="I1678" t="s">
        <v>45</v>
      </c>
      <c r="J1678" t="s">
        <v>109</v>
      </c>
      <c r="K1678" t="s">
        <v>25</v>
      </c>
      <c r="L1678">
        <v>3.1</v>
      </c>
      <c r="M1678" t="s">
        <v>152</v>
      </c>
      <c r="N1678" t="s">
        <v>46</v>
      </c>
      <c r="O1678" t="s">
        <v>47</v>
      </c>
      <c r="P1678" t="s">
        <v>26</v>
      </c>
      <c r="Q1678" t="s">
        <v>26</v>
      </c>
      <c r="R1678">
        <v>34</v>
      </c>
      <c r="S1678" t="s">
        <v>34</v>
      </c>
      <c r="T1678" t="str">
        <f t="shared" si="52"/>
        <v>Daily</v>
      </c>
      <c r="U1678">
        <f>VLOOKUP(T1678,[1]tablescore!$B$3:$C$8, 2,FALSE)</f>
        <v>30</v>
      </c>
      <c r="V1678" t="str">
        <f t="shared" si="53"/>
        <v>Highly Loyal</v>
      </c>
      <c r="W1678" t="s">
        <v>41</v>
      </c>
    </row>
    <row r="1679" spans="1:23" x14ac:dyDescent="0.25">
      <c r="A1679">
        <v>1678</v>
      </c>
      <c r="B1679">
        <v>65</v>
      </c>
      <c r="C1679" t="str" cm="1">
        <f t="array" ref="C1679">_xlfn.IFS(
  AND(B1679&gt;=18, B1679&lt;=24), "18-24",
  AND(B1679&gt;=25, B1679&lt;=34), "25-34",
  AND(B1679&gt;=35, B1679&lt;=44), "35-44",
  AND(B1679&gt;=45, B1679&lt;=54), "45-54",
  B1679&gt;=55, "55+"
)</f>
        <v>55+</v>
      </c>
      <c r="D1679" t="s">
        <v>19</v>
      </c>
      <c r="E1679" t="s">
        <v>36</v>
      </c>
      <c r="F1679" t="s">
        <v>21</v>
      </c>
      <c r="G1679">
        <v>35</v>
      </c>
      <c r="H1679" t="s">
        <v>48</v>
      </c>
      <c r="I1679" t="s">
        <v>23</v>
      </c>
      <c r="J1679" t="s">
        <v>67</v>
      </c>
      <c r="K1679" t="s">
        <v>54</v>
      </c>
      <c r="L1679">
        <v>3.3</v>
      </c>
      <c r="M1679" t="s">
        <v>152</v>
      </c>
      <c r="N1679" t="s">
        <v>46</v>
      </c>
      <c r="O1679" t="s">
        <v>47</v>
      </c>
      <c r="P1679" t="s">
        <v>152</v>
      </c>
      <c r="Q1679" t="s">
        <v>152</v>
      </c>
      <c r="R1679">
        <v>41</v>
      </c>
      <c r="S1679" t="s">
        <v>59</v>
      </c>
      <c r="T1679" t="str">
        <f t="shared" si="52"/>
        <v>Daily</v>
      </c>
      <c r="U1679">
        <f>VLOOKUP(T1679,[1]tablescore!$B$3:$C$8, 2,FALSE)</f>
        <v>30</v>
      </c>
      <c r="V1679" t="str">
        <f t="shared" si="53"/>
        <v>Highly Loyal</v>
      </c>
      <c r="W1679" t="s">
        <v>41</v>
      </c>
    </row>
    <row r="1680" spans="1:23" x14ac:dyDescent="0.25">
      <c r="A1680">
        <v>1679</v>
      </c>
      <c r="B1680">
        <v>41</v>
      </c>
      <c r="C1680" t="str" cm="1">
        <f t="array" ref="C1680">_xlfn.IFS(
  AND(B1680&gt;=18, B1680&lt;=24), "18-24",
  AND(B1680&gt;=25, B1680&lt;=34), "25-34",
  AND(B1680&gt;=35, B1680&lt;=44), "35-44",
  AND(B1680&gt;=45, B1680&lt;=54), "45-54",
  B1680&gt;=55, "55+"
)</f>
        <v>35-44</v>
      </c>
      <c r="D1680" t="s">
        <v>19</v>
      </c>
      <c r="E1680" t="s">
        <v>95</v>
      </c>
      <c r="F1680" t="s">
        <v>21</v>
      </c>
      <c r="G1680">
        <v>71</v>
      </c>
      <c r="H1680" t="s">
        <v>124</v>
      </c>
      <c r="I1680" t="s">
        <v>38</v>
      </c>
      <c r="J1680" t="s">
        <v>147</v>
      </c>
      <c r="K1680" t="s">
        <v>54</v>
      </c>
      <c r="L1680">
        <v>4.8</v>
      </c>
      <c r="M1680" t="s">
        <v>152</v>
      </c>
      <c r="N1680" t="s">
        <v>46</v>
      </c>
      <c r="O1680" t="s">
        <v>72</v>
      </c>
      <c r="P1680" t="s">
        <v>152</v>
      </c>
      <c r="Q1680" t="s">
        <v>152</v>
      </c>
      <c r="R1680">
        <v>30</v>
      </c>
      <c r="S1680" t="s">
        <v>29</v>
      </c>
      <c r="T1680" t="str">
        <f t="shared" si="52"/>
        <v>2-week</v>
      </c>
      <c r="U1680">
        <f>VLOOKUP(T1680,[1]tablescore!$B$3:$C$8, 2,FALSE)</f>
        <v>26</v>
      </c>
      <c r="V1680" t="str">
        <f t="shared" si="53"/>
        <v>Loyal</v>
      </c>
      <c r="W1680" t="s">
        <v>30</v>
      </c>
    </row>
    <row r="1681" spans="1:23" x14ac:dyDescent="0.25">
      <c r="A1681">
        <v>1680</v>
      </c>
      <c r="B1681">
        <v>60</v>
      </c>
      <c r="C1681" t="str" cm="1">
        <f t="array" ref="C1681">_xlfn.IFS(
  AND(B1681&gt;=18, B1681&lt;=24), "18-24",
  AND(B1681&gt;=25, B1681&lt;=34), "25-34",
  AND(B1681&gt;=35, B1681&lt;=44), "35-44",
  AND(B1681&gt;=45, B1681&lt;=54), "45-54",
  B1681&gt;=55, "55+"
)</f>
        <v>55+</v>
      </c>
      <c r="D1681" t="s">
        <v>19</v>
      </c>
      <c r="E1681" t="s">
        <v>82</v>
      </c>
      <c r="F1681" t="s">
        <v>21</v>
      </c>
      <c r="G1681">
        <v>52</v>
      </c>
      <c r="H1681" t="s">
        <v>37</v>
      </c>
      <c r="I1681" t="s">
        <v>38</v>
      </c>
      <c r="J1681" t="s">
        <v>94</v>
      </c>
      <c r="K1681" t="s">
        <v>58</v>
      </c>
      <c r="L1681">
        <v>4.5</v>
      </c>
      <c r="M1681" t="s">
        <v>152</v>
      </c>
      <c r="N1681" t="s">
        <v>46</v>
      </c>
      <c r="O1681" t="s">
        <v>47</v>
      </c>
      <c r="P1681" t="s">
        <v>152</v>
      </c>
      <c r="Q1681" t="s">
        <v>152</v>
      </c>
      <c r="R1681">
        <v>24</v>
      </c>
      <c r="S1681" t="s">
        <v>59</v>
      </c>
      <c r="T1681" t="str">
        <f t="shared" si="52"/>
        <v>2-week</v>
      </c>
      <c r="U1681">
        <f>VLOOKUP(T1681,[1]tablescore!$B$3:$C$8, 2,FALSE)</f>
        <v>26</v>
      </c>
      <c r="V1681" t="str">
        <f t="shared" si="53"/>
        <v>Loyal</v>
      </c>
      <c r="W1681" t="s">
        <v>77</v>
      </c>
    </row>
    <row r="1682" spans="1:23" x14ac:dyDescent="0.25">
      <c r="A1682">
        <v>1681</v>
      </c>
      <c r="B1682">
        <v>61</v>
      </c>
      <c r="C1682" t="str" cm="1">
        <f t="array" ref="C1682">_xlfn.IFS(
  AND(B1682&gt;=18, B1682&lt;=24), "18-24",
  AND(B1682&gt;=25, B1682&lt;=34), "25-34",
  AND(B1682&gt;=35, B1682&lt;=44), "35-44",
  AND(B1682&gt;=45, B1682&lt;=54), "45-54",
  B1682&gt;=55, "55+"
)</f>
        <v>55+</v>
      </c>
      <c r="D1682" t="s">
        <v>19</v>
      </c>
      <c r="E1682" t="s">
        <v>73</v>
      </c>
      <c r="F1682" t="s">
        <v>43</v>
      </c>
      <c r="G1682">
        <v>37</v>
      </c>
      <c r="H1682" t="s">
        <v>62</v>
      </c>
      <c r="I1682" t="s">
        <v>45</v>
      </c>
      <c r="J1682" t="s">
        <v>79</v>
      </c>
      <c r="K1682" t="s">
        <v>54</v>
      </c>
      <c r="L1682">
        <v>3.4</v>
      </c>
      <c r="M1682" t="s">
        <v>152</v>
      </c>
      <c r="N1682" t="s">
        <v>27</v>
      </c>
      <c r="O1682" t="s">
        <v>76</v>
      </c>
      <c r="P1682" t="s">
        <v>152</v>
      </c>
      <c r="Q1682" t="s">
        <v>152</v>
      </c>
      <c r="R1682">
        <v>6</v>
      </c>
      <c r="S1682" t="s">
        <v>27</v>
      </c>
      <c r="T1682" t="str">
        <f t="shared" si="52"/>
        <v>Annually</v>
      </c>
      <c r="U1682">
        <f>VLOOKUP(T1682,[1]tablescore!$B$3:$C$8, 2,FALSE)</f>
        <v>1</v>
      </c>
      <c r="V1682" t="str">
        <f t="shared" si="53"/>
        <v>Low Loyalty</v>
      </c>
      <c r="W1682" t="s">
        <v>50</v>
      </c>
    </row>
    <row r="1683" spans="1:23" x14ac:dyDescent="0.25">
      <c r="A1683">
        <v>1682</v>
      </c>
      <c r="B1683">
        <v>24</v>
      </c>
      <c r="C1683" t="str" cm="1">
        <f t="array" ref="C1683">_xlfn.IFS(
  AND(B1683&gt;=18, B1683&lt;=24), "18-24",
  AND(B1683&gt;=25, B1683&lt;=34), "25-34",
  AND(B1683&gt;=35, B1683&lt;=44), "35-44",
  AND(B1683&gt;=45, B1683&lt;=54), "45-54",
  B1683&gt;=55, "55+"
)</f>
        <v>18-24</v>
      </c>
      <c r="D1683" t="s">
        <v>19</v>
      </c>
      <c r="E1683" t="s">
        <v>51</v>
      </c>
      <c r="F1683" t="s">
        <v>43</v>
      </c>
      <c r="G1683">
        <v>95</v>
      </c>
      <c r="H1683" t="s">
        <v>128</v>
      </c>
      <c r="I1683" t="s">
        <v>23</v>
      </c>
      <c r="J1683" t="s">
        <v>96</v>
      </c>
      <c r="K1683" t="s">
        <v>25</v>
      </c>
      <c r="L1683">
        <v>3.7</v>
      </c>
      <c r="M1683" t="s">
        <v>152</v>
      </c>
      <c r="N1683" t="s">
        <v>35</v>
      </c>
      <c r="O1683" t="s">
        <v>72</v>
      </c>
      <c r="P1683" t="s">
        <v>152</v>
      </c>
      <c r="Q1683" t="s">
        <v>152</v>
      </c>
      <c r="R1683">
        <v>14</v>
      </c>
      <c r="S1683" t="s">
        <v>27</v>
      </c>
      <c r="T1683" t="str">
        <f t="shared" si="52"/>
        <v>2-week</v>
      </c>
      <c r="U1683">
        <f>VLOOKUP(T1683,[1]tablescore!$B$3:$C$8, 2,FALSE)</f>
        <v>26</v>
      </c>
      <c r="V1683" t="str">
        <f t="shared" si="53"/>
        <v>Loyal</v>
      </c>
      <c r="W1683" t="s">
        <v>77</v>
      </c>
    </row>
    <row r="1684" spans="1:23" x14ac:dyDescent="0.25">
      <c r="A1684">
        <v>1683</v>
      </c>
      <c r="B1684">
        <v>65</v>
      </c>
      <c r="C1684" t="str" cm="1">
        <f t="array" ref="C1684">_xlfn.IFS(
  AND(B1684&gt;=18, B1684&lt;=24), "18-24",
  AND(B1684&gt;=25, B1684&lt;=34), "25-34",
  AND(B1684&gt;=35, B1684&lt;=44), "35-44",
  AND(B1684&gt;=45, B1684&lt;=54), "45-54",
  B1684&gt;=55, "55+"
)</f>
        <v>55+</v>
      </c>
      <c r="D1684" t="s">
        <v>19</v>
      </c>
      <c r="E1684" t="s">
        <v>131</v>
      </c>
      <c r="F1684" t="s">
        <v>21</v>
      </c>
      <c r="G1684">
        <v>97</v>
      </c>
      <c r="H1684" t="s">
        <v>85</v>
      </c>
      <c r="I1684" t="s">
        <v>45</v>
      </c>
      <c r="J1684" t="s">
        <v>139</v>
      </c>
      <c r="K1684" t="s">
        <v>58</v>
      </c>
      <c r="L1684">
        <v>4.9000000000000004</v>
      </c>
      <c r="M1684" t="s">
        <v>152</v>
      </c>
      <c r="N1684" t="s">
        <v>29</v>
      </c>
      <c r="O1684" t="s">
        <v>72</v>
      </c>
      <c r="P1684" t="s">
        <v>152</v>
      </c>
      <c r="Q1684" t="s">
        <v>152</v>
      </c>
      <c r="R1684">
        <v>37</v>
      </c>
      <c r="S1684" t="s">
        <v>27</v>
      </c>
      <c r="T1684" t="str">
        <f t="shared" si="52"/>
        <v>2-week</v>
      </c>
      <c r="U1684">
        <f>VLOOKUP(T1684,[1]tablescore!$B$3:$C$8, 2,FALSE)</f>
        <v>26</v>
      </c>
      <c r="V1684" t="str">
        <f t="shared" si="53"/>
        <v>Loyal</v>
      </c>
      <c r="W1684" t="s">
        <v>77</v>
      </c>
    </row>
    <row r="1685" spans="1:23" x14ac:dyDescent="0.25">
      <c r="A1685">
        <v>1684</v>
      </c>
      <c r="B1685">
        <v>23</v>
      </c>
      <c r="C1685" t="str" cm="1">
        <f t="array" ref="C1685">_xlfn.IFS(
  AND(B1685&gt;=18, B1685&lt;=24), "18-24",
  AND(B1685&gt;=25, B1685&lt;=34), "25-34",
  AND(B1685&gt;=35, B1685&lt;=44), "35-44",
  AND(B1685&gt;=45, B1685&lt;=54), "45-54",
  B1685&gt;=55, "55+"
)</f>
        <v>18-24</v>
      </c>
      <c r="D1685" t="s">
        <v>19</v>
      </c>
      <c r="E1685" t="s">
        <v>64</v>
      </c>
      <c r="F1685" t="s">
        <v>65</v>
      </c>
      <c r="G1685">
        <v>57</v>
      </c>
      <c r="H1685" t="s">
        <v>74</v>
      </c>
      <c r="I1685" t="s">
        <v>38</v>
      </c>
      <c r="J1685" t="s">
        <v>93</v>
      </c>
      <c r="K1685" t="s">
        <v>39</v>
      </c>
      <c r="L1685">
        <v>3.5</v>
      </c>
      <c r="M1685" t="s">
        <v>152</v>
      </c>
      <c r="N1685" t="s">
        <v>59</v>
      </c>
      <c r="O1685" t="s">
        <v>47</v>
      </c>
      <c r="P1685" t="s">
        <v>152</v>
      </c>
      <c r="Q1685" t="s">
        <v>152</v>
      </c>
      <c r="R1685">
        <v>37</v>
      </c>
      <c r="S1685" t="s">
        <v>29</v>
      </c>
      <c r="T1685" t="str">
        <f t="shared" si="52"/>
        <v>Quarterly</v>
      </c>
      <c r="U1685">
        <f>VLOOKUP(T1685,[1]tablescore!$B$3:$C$8, 2,FALSE)</f>
        <v>4</v>
      </c>
      <c r="V1685" t="str">
        <f t="shared" si="53"/>
        <v>Low Loyalty</v>
      </c>
      <c r="W1685" t="s">
        <v>60</v>
      </c>
    </row>
    <row r="1686" spans="1:23" x14ac:dyDescent="0.25">
      <c r="A1686">
        <v>1685</v>
      </c>
      <c r="B1686">
        <v>30</v>
      </c>
      <c r="C1686" t="str" cm="1">
        <f t="array" ref="C1686">_xlfn.IFS(
  AND(B1686&gt;=18, B1686&lt;=24), "18-24",
  AND(B1686&gt;=25, B1686&lt;=34), "25-34",
  AND(B1686&gt;=35, B1686&lt;=44), "35-44",
  AND(B1686&gt;=45, B1686&lt;=54), "45-54",
  B1686&gt;=55, "55+"
)</f>
        <v>25-34</v>
      </c>
      <c r="D1686" t="s">
        <v>19</v>
      </c>
      <c r="E1686" t="s">
        <v>56</v>
      </c>
      <c r="F1686" t="s">
        <v>21</v>
      </c>
      <c r="G1686">
        <v>93</v>
      </c>
      <c r="H1686" t="s">
        <v>123</v>
      </c>
      <c r="I1686" t="s">
        <v>45</v>
      </c>
      <c r="J1686" t="s">
        <v>129</v>
      </c>
      <c r="K1686" t="s">
        <v>39</v>
      </c>
      <c r="L1686">
        <v>4.5999999999999996</v>
      </c>
      <c r="M1686" t="s">
        <v>152</v>
      </c>
      <c r="N1686" t="s">
        <v>35</v>
      </c>
      <c r="O1686" t="s">
        <v>55</v>
      </c>
      <c r="P1686" t="s">
        <v>152</v>
      </c>
      <c r="Q1686" t="s">
        <v>152</v>
      </c>
      <c r="R1686">
        <v>28</v>
      </c>
      <c r="S1686" t="s">
        <v>46</v>
      </c>
      <c r="T1686" t="str">
        <f t="shared" si="52"/>
        <v>Daily</v>
      </c>
      <c r="U1686">
        <f>VLOOKUP(T1686,[1]tablescore!$B$3:$C$8, 2,FALSE)</f>
        <v>30</v>
      </c>
      <c r="V1686" t="str">
        <f t="shared" si="53"/>
        <v>Highly Loyal</v>
      </c>
      <c r="W1686" t="s">
        <v>41</v>
      </c>
    </row>
    <row r="1687" spans="1:23" x14ac:dyDescent="0.25">
      <c r="A1687">
        <v>1686</v>
      </c>
      <c r="B1687">
        <v>33</v>
      </c>
      <c r="C1687" t="str" cm="1">
        <f t="array" ref="C1687">_xlfn.IFS(
  AND(B1687&gt;=18, B1687&lt;=24), "18-24",
  AND(B1687&gt;=25, B1687&lt;=34), "25-34",
  AND(B1687&gt;=35, B1687&lt;=44), "35-44",
  AND(B1687&gt;=45, B1687&lt;=54), "45-54",
  B1687&gt;=55, "55+"
)</f>
        <v>25-34</v>
      </c>
      <c r="D1687" t="s">
        <v>19</v>
      </c>
      <c r="E1687" t="s">
        <v>20</v>
      </c>
      <c r="F1687" t="s">
        <v>21</v>
      </c>
      <c r="G1687">
        <v>48</v>
      </c>
      <c r="H1687" t="s">
        <v>134</v>
      </c>
      <c r="I1687" t="s">
        <v>45</v>
      </c>
      <c r="J1687" t="s">
        <v>71</v>
      </c>
      <c r="K1687" t="s">
        <v>25</v>
      </c>
      <c r="L1687">
        <v>4.5999999999999996</v>
      </c>
      <c r="M1687" t="s">
        <v>152</v>
      </c>
      <c r="N1687" t="s">
        <v>29</v>
      </c>
      <c r="O1687" t="s">
        <v>55</v>
      </c>
      <c r="P1687" t="s">
        <v>152</v>
      </c>
      <c r="Q1687" t="s">
        <v>152</v>
      </c>
      <c r="R1687">
        <v>43</v>
      </c>
      <c r="S1687" t="s">
        <v>46</v>
      </c>
      <c r="T1687" t="str">
        <f t="shared" si="52"/>
        <v>2-week</v>
      </c>
      <c r="U1687">
        <f>VLOOKUP(T1687,[1]tablescore!$B$3:$C$8, 2,FALSE)</f>
        <v>26</v>
      </c>
      <c r="V1687" t="str">
        <f t="shared" si="53"/>
        <v>Loyal</v>
      </c>
      <c r="W1687" t="s">
        <v>77</v>
      </c>
    </row>
    <row r="1688" spans="1:23" x14ac:dyDescent="0.25">
      <c r="A1688">
        <v>1687</v>
      </c>
      <c r="B1688">
        <v>22</v>
      </c>
      <c r="C1688" t="str" cm="1">
        <f t="array" ref="C1688">_xlfn.IFS(
  AND(B1688&gt;=18, B1688&lt;=24), "18-24",
  AND(B1688&gt;=25, B1688&lt;=34), "25-34",
  AND(B1688&gt;=35, B1688&lt;=44), "35-44",
  AND(B1688&gt;=45, B1688&lt;=54), "45-54",
  B1688&gt;=55, "55+"
)</f>
        <v>18-24</v>
      </c>
      <c r="D1688" t="s">
        <v>19</v>
      </c>
      <c r="E1688" t="s">
        <v>127</v>
      </c>
      <c r="F1688" t="s">
        <v>69</v>
      </c>
      <c r="G1688">
        <v>75</v>
      </c>
      <c r="H1688" t="s">
        <v>115</v>
      </c>
      <c r="I1688" t="s">
        <v>23</v>
      </c>
      <c r="J1688" t="s">
        <v>108</v>
      </c>
      <c r="K1688" t="s">
        <v>58</v>
      </c>
      <c r="L1688">
        <v>4.2</v>
      </c>
      <c r="M1688" t="s">
        <v>152</v>
      </c>
      <c r="N1688" t="s">
        <v>27</v>
      </c>
      <c r="O1688" t="s">
        <v>76</v>
      </c>
      <c r="P1688" t="s">
        <v>152</v>
      </c>
      <c r="Q1688" t="s">
        <v>152</v>
      </c>
      <c r="R1688">
        <v>25</v>
      </c>
      <c r="S1688" t="s">
        <v>35</v>
      </c>
      <c r="T1688" t="str">
        <f t="shared" si="52"/>
        <v>Annually</v>
      </c>
      <c r="U1688">
        <f>VLOOKUP(T1688,[1]tablescore!$B$3:$C$8, 2,FALSE)</f>
        <v>1</v>
      </c>
      <c r="V1688" t="str">
        <f t="shared" si="53"/>
        <v>Low Loyalty</v>
      </c>
      <c r="W1688" t="s">
        <v>50</v>
      </c>
    </row>
    <row r="1689" spans="1:23" x14ac:dyDescent="0.25">
      <c r="A1689">
        <v>1688</v>
      </c>
      <c r="B1689">
        <v>67</v>
      </c>
      <c r="C1689" t="str" cm="1">
        <f t="array" ref="C1689">_xlfn.IFS(
  AND(B1689&gt;=18, B1689&lt;=24), "18-24",
  AND(B1689&gt;=25, B1689&lt;=34), "25-34",
  AND(B1689&gt;=35, B1689&lt;=44), "35-44",
  AND(B1689&gt;=45, B1689&lt;=54), "45-54",
  B1689&gt;=55, "55+"
)</f>
        <v>55+</v>
      </c>
      <c r="D1689" t="s">
        <v>19</v>
      </c>
      <c r="E1689" t="s">
        <v>87</v>
      </c>
      <c r="F1689" t="s">
        <v>21</v>
      </c>
      <c r="G1689">
        <v>70</v>
      </c>
      <c r="H1689" t="s">
        <v>142</v>
      </c>
      <c r="I1689" t="s">
        <v>38</v>
      </c>
      <c r="J1689" t="s">
        <v>147</v>
      </c>
      <c r="K1689" t="s">
        <v>25</v>
      </c>
      <c r="L1689">
        <v>3.7</v>
      </c>
      <c r="M1689" t="s">
        <v>152</v>
      </c>
      <c r="N1689" t="s">
        <v>29</v>
      </c>
      <c r="O1689" t="s">
        <v>40</v>
      </c>
      <c r="P1689" t="s">
        <v>152</v>
      </c>
      <c r="Q1689" t="s">
        <v>152</v>
      </c>
      <c r="R1689">
        <v>4</v>
      </c>
      <c r="S1689" t="s">
        <v>46</v>
      </c>
      <c r="T1689" t="str">
        <f t="shared" si="52"/>
        <v>Annually</v>
      </c>
      <c r="U1689">
        <f>VLOOKUP(T1689,[1]tablescore!$B$3:$C$8, 2,FALSE)</f>
        <v>1</v>
      </c>
      <c r="V1689" t="str">
        <f t="shared" si="53"/>
        <v>Low Loyalty</v>
      </c>
      <c r="W1689" t="s">
        <v>50</v>
      </c>
    </row>
    <row r="1690" spans="1:23" x14ac:dyDescent="0.25">
      <c r="A1690">
        <v>1689</v>
      </c>
      <c r="B1690">
        <v>28</v>
      </c>
      <c r="C1690" t="str" cm="1">
        <f t="array" ref="C1690">_xlfn.IFS(
  AND(B1690&gt;=18, B1690&lt;=24), "18-24",
  AND(B1690&gt;=25, B1690&lt;=34), "25-34",
  AND(B1690&gt;=35, B1690&lt;=44), "35-44",
  AND(B1690&gt;=45, B1690&lt;=54), "45-54",
  B1690&gt;=55, "55+"
)</f>
        <v>25-34</v>
      </c>
      <c r="D1690" t="s">
        <v>19</v>
      </c>
      <c r="E1690" t="s">
        <v>68</v>
      </c>
      <c r="F1690" t="s">
        <v>69</v>
      </c>
      <c r="G1690">
        <v>26</v>
      </c>
      <c r="H1690" t="s">
        <v>91</v>
      </c>
      <c r="I1690" t="s">
        <v>38</v>
      </c>
      <c r="J1690" t="s">
        <v>100</v>
      </c>
      <c r="K1690" t="s">
        <v>25</v>
      </c>
      <c r="L1690">
        <v>3</v>
      </c>
      <c r="M1690" t="s">
        <v>152</v>
      </c>
      <c r="N1690" t="s">
        <v>27</v>
      </c>
      <c r="O1690" t="s">
        <v>47</v>
      </c>
      <c r="P1690" t="s">
        <v>152</v>
      </c>
      <c r="Q1690" t="s">
        <v>152</v>
      </c>
      <c r="R1690">
        <v>13</v>
      </c>
      <c r="S1690" t="s">
        <v>29</v>
      </c>
      <c r="T1690" t="str">
        <f t="shared" si="52"/>
        <v>2-week</v>
      </c>
      <c r="U1690">
        <f>VLOOKUP(T1690,[1]tablescore!$B$3:$C$8, 2,FALSE)</f>
        <v>26</v>
      </c>
      <c r="V1690" t="str">
        <f t="shared" si="53"/>
        <v>Loyal</v>
      </c>
      <c r="W1690" t="s">
        <v>30</v>
      </c>
    </row>
    <row r="1691" spans="1:23" x14ac:dyDescent="0.25">
      <c r="A1691">
        <v>1690</v>
      </c>
      <c r="B1691">
        <v>32</v>
      </c>
      <c r="C1691" t="str" cm="1">
        <f t="array" ref="C1691">_xlfn.IFS(
  AND(B1691&gt;=18, B1691&lt;=24), "18-24",
  AND(B1691&gt;=25, B1691&lt;=34), "25-34",
  AND(B1691&gt;=35, B1691&lt;=44), "35-44",
  AND(B1691&gt;=45, B1691&lt;=54), "45-54",
  B1691&gt;=55, "55+"
)</f>
        <v>25-34</v>
      </c>
      <c r="D1691" t="s">
        <v>19</v>
      </c>
      <c r="E1691" t="s">
        <v>56</v>
      </c>
      <c r="F1691" t="s">
        <v>21</v>
      </c>
      <c r="G1691">
        <v>73</v>
      </c>
      <c r="H1691" t="s">
        <v>98</v>
      </c>
      <c r="I1691" t="s">
        <v>23</v>
      </c>
      <c r="J1691" t="s">
        <v>49</v>
      </c>
      <c r="K1691" t="s">
        <v>25</v>
      </c>
      <c r="L1691">
        <v>4.5999999999999996</v>
      </c>
      <c r="M1691" t="s">
        <v>152</v>
      </c>
      <c r="N1691" t="s">
        <v>27</v>
      </c>
      <c r="O1691" t="s">
        <v>76</v>
      </c>
      <c r="P1691" t="s">
        <v>152</v>
      </c>
      <c r="Q1691" t="s">
        <v>152</v>
      </c>
      <c r="R1691">
        <v>32</v>
      </c>
      <c r="S1691" t="s">
        <v>34</v>
      </c>
      <c r="T1691" t="str">
        <f t="shared" si="52"/>
        <v>Month</v>
      </c>
      <c r="U1691">
        <f>VLOOKUP(T1691,[1]tablescore!$B$3:$C$8, 2,FALSE)</f>
        <v>12</v>
      </c>
      <c r="V1691" t="str">
        <f t="shared" si="53"/>
        <v>Moderate</v>
      </c>
      <c r="W1691" t="s">
        <v>88</v>
      </c>
    </row>
    <row r="1692" spans="1:23" x14ac:dyDescent="0.25">
      <c r="A1692">
        <v>1691</v>
      </c>
      <c r="B1692">
        <v>40</v>
      </c>
      <c r="C1692" t="str" cm="1">
        <f t="array" ref="C1692">_xlfn.IFS(
  AND(B1692&gt;=18, B1692&lt;=24), "18-24",
  AND(B1692&gt;=25, B1692&lt;=34), "25-34",
  AND(B1692&gt;=35, B1692&lt;=44), "35-44",
  AND(B1692&gt;=45, B1692&lt;=54), "45-54",
  B1692&gt;=55, "55+"
)</f>
        <v>35-44</v>
      </c>
      <c r="D1692" t="s">
        <v>19</v>
      </c>
      <c r="E1692" t="s">
        <v>64</v>
      </c>
      <c r="F1692" t="s">
        <v>65</v>
      </c>
      <c r="G1692">
        <v>30</v>
      </c>
      <c r="H1692" t="s">
        <v>107</v>
      </c>
      <c r="I1692" t="s">
        <v>45</v>
      </c>
      <c r="J1692" t="s">
        <v>94</v>
      </c>
      <c r="K1692" t="s">
        <v>54</v>
      </c>
      <c r="L1692">
        <v>3.2</v>
      </c>
      <c r="M1692" t="s">
        <v>152</v>
      </c>
      <c r="N1692" t="s">
        <v>35</v>
      </c>
      <c r="O1692" t="s">
        <v>40</v>
      </c>
      <c r="P1692" t="s">
        <v>152</v>
      </c>
      <c r="Q1692" t="s">
        <v>152</v>
      </c>
      <c r="R1692">
        <v>1</v>
      </c>
      <c r="S1692" t="s">
        <v>35</v>
      </c>
      <c r="T1692" t="str">
        <f t="shared" si="52"/>
        <v>Annually</v>
      </c>
      <c r="U1692">
        <f>VLOOKUP(T1692,[1]tablescore!$B$3:$C$8, 2,FALSE)</f>
        <v>1</v>
      </c>
      <c r="V1692" t="str">
        <f t="shared" si="53"/>
        <v>Low Loyalty</v>
      </c>
      <c r="W1692" t="s">
        <v>50</v>
      </c>
    </row>
    <row r="1693" spans="1:23" x14ac:dyDescent="0.25">
      <c r="A1693">
        <v>1692</v>
      </c>
      <c r="B1693">
        <v>64</v>
      </c>
      <c r="C1693" t="str" cm="1">
        <f t="array" ref="C1693">_xlfn.IFS(
  AND(B1693&gt;=18, B1693&lt;=24), "18-24",
  AND(B1693&gt;=25, B1693&lt;=34), "25-34",
  AND(B1693&gt;=35, B1693&lt;=44), "35-44",
  AND(B1693&gt;=45, B1693&lt;=54), "45-54",
  B1693&gt;=55, "55+"
)</f>
        <v>55+</v>
      </c>
      <c r="D1693" t="s">
        <v>19</v>
      </c>
      <c r="E1693" t="s">
        <v>73</v>
      </c>
      <c r="F1693" t="s">
        <v>43</v>
      </c>
      <c r="G1693">
        <v>61</v>
      </c>
      <c r="H1693" t="s">
        <v>146</v>
      </c>
      <c r="I1693" t="s">
        <v>23</v>
      </c>
      <c r="J1693" t="s">
        <v>138</v>
      </c>
      <c r="K1693" t="s">
        <v>54</v>
      </c>
      <c r="L1693">
        <v>3.5</v>
      </c>
      <c r="M1693" t="s">
        <v>152</v>
      </c>
      <c r="N1693" t="s">
        <v>27</v>
      </c>
      <c r="O1693" t="s">
        <v>47</v>
      </c>
      <c r="P1693" t="s">
        <v>152</v>
      </c>
      <c r="Q1693" t="s">
        <v>152</v>
      </c>
      <c r="R1693">
        <v>4</v>
      </c>
      <c r="S1693" t="s">
        <v>35</v>
      </c>
      <c r="T1693" t="str">
        <f t="shared" si="52"/>
        <v>Annually</v>
      </c>
      <c r="U1693">
        <f>VLOOKUP(T1693,[1]tablescore!$B$3:$C$8, 2,FALSE)</f>
        <v>1</v>
      </c>
      <c r="V1693" t="str">
        <f t="shared" si="53"/>
        <v>Low Loyalty</v>
      </c>
      <c r="W1693" t="s">
        <v>50</v>
      </c>
    </row>
    <row r="1694" spans="1:23" x14ac:dyDescent="0.25">
      <c r="A1694">
        <v>1693</v>
      </c>
      <c r="B1694">
        <v>56</v>
      </c>
      <c r="C1694" t="str" cm="1">
        <f t="array" ref="C1694">_xlfn.IFS(
  AND(B1694&gt;=18, B1694&lt;=24), "18-24",
  AND(B1694&gt;=25, B1694&lt;=34), "25-34",
  AND(B1694&gt;=35, B1694&lt;=44), "35-44",
  AND(B1694&gt;=45, B1694&lt;=54), "45-54",
  B1694&gt;=55, "55+"
)</f>
        <v>55+</v>
      </c>
      <c r="D1694" t="s">
        <v>19</v>
      </c>
      <c r="E1694" t="s">
        <v>68</v>
      </c>
      <c r="F1694" t="s">
        <v>69</v>
      </c>
      <c r="G1694">
        <v>75</v>
      </c>
      <c r="H1694" t="s">
        <v>149</v>
      </c>
      <c r="I1694" t="s">
        <v>45</v>
      </c>
      <c r="J1694" t="s">
        <v>118</v>
      </c>
      <c r="K1694" t="s">
        <v>25</v>
      </c>
      <c r="L1694">
        <v>2.6</v>
      </c>
      <c r="M1694" t="s">
        <v>152</v>
      </c>
      <c r="N1694" t="s">
        <v>59</v>
      </c>
      <c r="O1694" t="s">
        <v>55</v>
      </c>
      <c r="P1694" t="s">
        <v>152</v>
      </c>
      <c r="Q1694" t="s">
        <v>152</v>
      </c>
      <c r="R1694">
        <v>33</v>
      </c>
      <c r="S1694" t="s">
        <v>35</v>
      </c>
      <c r="T1694" t="str">
        <f t="shared" si="52"/>
        <v>2-week</v>
      </c>
      <c r="U1694">
        <f>VLOOKUP(T1694,[1]tablescore!$B$3:$C$8, 2,FALSE)</f>
        <v>26</v>
      </c>
      <c r="V1694" t="str">
        <f t="shared" si="53"/>
        <v>Loyal</v>
      </c>
      <c r="W1694" t="s">
        <v>77</v>
      </c>
    </row>
    <row r="1695" spans="1:23" x14ac:dyDescent="0.25">
      <c r="A1695">
        <v>1694</v>
      </c>
      <c r="B1695">
        <v>63</v>
      </c>
      <c r="C1695" t="str" cm="1">
        <f t="array" ref="C1695">_xlfn.IFS(
  AND(B1695&gt;=18, B1695&lt;=24), "18-24",
  AND(B1695&gt;=25, B1695&lt;=34), "25-34",
  AND(B1695&gt;=35, B1695&lt;=44), "35-44",
  AND(B1695&gt;=45, B1695&lt;=54), "45-54",
  B1695&gt;=55, "55+"
)</f>
        <v>55+</v>
      </c>
      <c r="D1695" t="s">
        <v>19</v>
      </c>
      <c r="E1695" t="s">
        <v>102</v>
      </c>
      <c r="F1695" t="s">
        <v>65</v>
      </c>
      <c r="G1695">
        <v>88</v>
      </c>
      <c r="H1695" t="s">
        <v>122</v>
      </c>
      <c r="I1695" t="s">
        <v>92</v>
      </c>
      <c r="J1695" t="s">
        <v>79</v>
      </c>
      <c r="K1695" t="s">
        <v>58</v>
      </c>
      <c r="L1695">
        <v>4.9000000000000004</v>
      </c>
      <c r="M1695" t="s">
        <v>152</v>
      </c>
      <c r="N1695" t="s">
        <v>29</v>
      </c>
      <c r="O1695" t="s">
        <v>55</v>
      </c>
      <c r="P1695" t="s">
        <v>152</v>
      </c>
      <c r="Q1695" t="s">
        <v>152</v>
      </c>
      <c r="R1695">
        <v>45</v>
      </c>
      <c r="S1695" t="s">
        <v>34</v>
      </c>
      <c r="T1695" t="str">
        <f t="shared" si="52"/>
        <v>2-week</v>
      </c>
      <c r="U1695">
        <f>VLOOKUP(T1695,[1]tablescore!$B$3:$C$8, 2,FALSE)</f>
        <v>26</v>
      </c>
      <c r="V1695" t="str">
        <f t="shared" si="53"/>
        <v>Loyal</v>
      </c>
      <c r="W1695" t="s">
        <v>30</v>
      </c>
    </row>
    <row r="1696" spans="1:23" x14ac:dyDescent="0.25">
      <c r="A1696">
        <v>1695</v>
      </c>
      <c r="B1696">
        <v>20</v>
      </c>
      <c r="C1696" t="str" cm="1">
        <f t="array" ref="C1696">_xlfn.IFS(
  AND(B1696&gt;=18, B1696&lt;=24), "18-24",
  AND(B1696&gt;=25, B1696&lt;=34), "25-34",
  AND(B1696&gt;=35, B1696&lt;=44), "35-44",
  AND(B1696&gt;=45, B1696&lt;=54), "45-54",
  B1696&gt;=55, "55+"
)</f>
        <v>18-24</v>
      </c>
      <c r="D1696" t="s">
        <v>19</v>
      </c>
      <c r="E1696" t="s">
        <v>56</v>
      </c>
      <c r="F1696" t="s">
        <v>21</v>
      </c>
      <c r="G1696">
        <v>67</v>
      </c>
      <c r="H1696" t="s">
        <v>91</v>
      </c>
      <c r="I1696" t="s">
        <v>45</v>
      </c>
      <c r="J1696" t="s">
        <v>49</v>
      </c>
      <c r="K1696" t="s">
        <v>54</v>
      </c>
      <c r="L1696">
        <v>2.7</v>
      </c>
      <c r="M1696" t="s">
        <v>152</v>
      </c>
      <c r="N1696" t="s">
        <v>27</v>
      </c>
      <c r="O1696" t="s">
        <v>28</v>
      </c>
      <c r="P1696" t="s">
        <v>152</v>
      </c>
      <c r="Q1696" t="s">
        <v>152</v>
      </c>
      <c r="R1696">
        <v>20</v>
      </c>
      <c r="S1696" t="s">
        <v>59</v>
      </c>
      <c r="T1696" t="str">
        <f t="shared" si="52"/>
        <v>2-week</v>
      </c>
      <c r="U1696">
        <f>VLOOKUP(T1696,[1]tablescore!$B$3:$C$8, 2,FALSE)</f>
        <v>26</v>
      </c>
      <c r="V1696" t="str">
        <f t="shared" si="53"/>
        <v>Loyal</v>
      </c>
      <c r="W1696" t="s">
        <v>30</v>
      </c>
    </row>
    <row r="1697" spans="1:23" x14ac:dyDescent="0.25">
      <c r="A1697">
        <v>1696</v>
      </c>
      <c r="B1697">
        <v>54</v>
      </c>
      <c r="C1697" t="str" cm="1">
        <f t="array" ref="C1697">_xlfn.IFS(
  AND(B1697&gt;=18, B1697&lt;=24), "18-24",
  AND(B1697&gt;=25, B1697&lt;=34), "25-34",
  AND(B1697&gt;=35, B1697&lt;=44), "35-44",
  AND(B1697&gt;=45, B1697&lt;=54), "45-54",
  B1697&gt;=55, "55+"
)</f>
        <v>45-54</v>
      </c>
      <c r="D1697" t="s">
        <v>19</v>
      </c>
      <c r="E1697" t="s">
        <v>125</v>
      </c>
      <c r="F1697" t="s">
        <v>69</v>
      </c>
      <c r="G1697">
        <v>95</v>
      </c>
      <c r="H1697" t="s">
        <v>143</v>
      </c>
      <c r="I1697" t="s">
        <v>38</v>
      </c>
      <c r="J1697" t="s">
        <v>139</v>
      </c>
      <c r="K1697" t="s">
        <v>58</v>
      </c>
      <c r="L1697">
        <v>4.7</v>
      </c>
      <c r="M1697" t="s">
        <v>152</v>
      </c>
      <c r="N1697" t="s">
        <v>29</v>
      </c>
      <c r="O1697" t="s">
        <v>72</v>
      </c>
      <c r="P1697" t="s">
        <v>152</v>
      </c>
      <c r="Q1697" t="s">
        <v>152</v>
      </c>
      <c r="R1697">
        <v>1</v>
      </c>
      <c r="S1697" t="s">
        <v>46</v>
      </c>
      <c r="T1697" t="str">
        <f t="shared" si="52"/>
        <v>2-week</v>
      </c>
      <c r="U1697">
        <f>VLOOKUP(T1697,[1]tablescore!$B$3:$C$8, 2,FALSE)</f>
        <v>26</v>
      </c>
      <c r="V1697" t="str">
        <f t="shared" si="53"/>
        <v>Loyal</v>
      </c>
      <c r="W1697" t="s">
        <v>30</v>
      </c>
    </row>
    <row r="1698" spans="1:23" x14ac:dyDescent="0.25">
      <c r="A1698">
        <v>1697</v>
      </c>
      <c r="B1698">
        <v>31</v>
      </c>
      <c r="C1698" t="str" cm="1">
        <f t="array" ref="C1698">_xlfn.IFS(
  AND(B1698&gt;=18, B1698&lt;=24), "18-24",
  AND(B1698&gt;=25, B1698&lt;=34), "25-34",
  AND(B1698&gt;=35, B1698&lt;=44), "35-44",
  AND(B1698&gt;=45, B1698&lt;=54), "45-54",
  B1698&gt;=55, "55+"
)</f>
        <v>25-34</v>
      </c>
      <c r="D1698" t="s">
        <v>19</v>
      </c>
      <c r="E1698" t="s">
        <v>89</v>
      </c>
      <c r="F1698" t="s">
        <v>69</v>
      </c>
      <c r="G1698">
        <v>69</v>
      </c>
      <c r="H1698" t="s">
        <v>66</v>
      </c>
      <c r="I1698" t="s">
        <v>38</v>
      </c>
      <c r="J1698" t="s">
        <v>49</v>
      </c>
      <c r="K1698" t="s">
        <v>39</v>
      </c>
      <c r="L1698">
        <v>4</v>
      </c>
      <c r="M1698" t="s">
        <v>152</v>
      </c>
      <c r="N1698" t="s">
        <v>34</v>
      </c>
      <c r="O1698" t="s">
        <v>40</v>
      </c>
      <c r="P1698" t="s">
        <v>152</v>
      </c>
      <c r="Q1698" t="s">
        <v>152</v>
      </c>
      <c r="R1698">
        <v>7</v>
      </c>
      <c r="S1698" t="s">
        <v>27</v>
      </c>
      <c r="T1698" t="str">
        <f t="shared" si="52"/>
        <v>2-week</v>
      </c>
      <c r="U1698">
        <f>VLOOKUP(T1698,[1]tablescore!$B$3:$C$8, 2,FALSE)</f>
        <v>26</v>
      </c>
      <c r="V1698" t="str">
        <f t="shared" si="53"/>
        <v>Loyal</v>
      </c>
      <c r="W1698" t="s">
        <v>77</v>
      </c>
    </row>
    <row r="1699" spans="1:23" x14ac:dyDescent="0.25">
      <c r="A1699">
        <v>1698</v>
      </c>
      <c r="B1699">
        <v>36</v>
      </c>
      <c r="C1699" t="str" cm="1">
        <f t="array" ref="C1699">_xlfn.IFS(
  AND(B1699&gt;=18, B1699&lt;=24), "18-24",
  AND(B1699&gt;=25, B1699&lt;=34), "25-34",
  AND(B1699&gt;=35, B1699&lt;=44), "35-44",
  AND(B1699&gt;=45, B1699&lt;=54), "45-54",
  B1699&gt;=55, "55+"
)</f>
        <v>35-44</v>
      </c>
      <c r="D1699" t="s">
        <v>19</v>
      </c>
      <c r="E1699" t="s">
        <v>56</v>
      </c>
      <c r="F1699" t="s">
        <v>21</v>
      </c>
      <c r="G1699">
        <v>87</v>
      </c>
      <c r="H1699" t="s">
        <v>126</v>
      </c>
      <c r="I1699" t="s">
        <v>23</v>
      </c>
      <c r="J1699" t="s">
        <v>93</v>
      </c>
      <c r="K1699" t="s">
        <v>58</v>
      </c>
      <c r="L1699">
        <v>3.5</v>
      </c>
      <c r="M1699" t="s">
        <v>152</v>
      </c>
      <c r="N1699" t="s">
        <v>29</v>
      </c>
      <c r="O1699" t="s">
        <v>47</v>
      </c>
      <c r="P1699" t="s">
        <v>152</v>
      </c>
      <c r="Q1699" t="s">
        <v>152</v>
      </c>
      <c r="R1699">
        <v>48</v>
      </c>
      <c r="S1699" t="s">
        <v>27</v>
      </c>
      <c r="T1699" t="str">
        <f t="shared" si="52"/>
        <v>Quarterly</v>
      </c>
      <c r="U1699">
        <f>VLOOKUP(T1699,[1]tablescore!$B$3:$C$8, 2,FALSE)</f>
        <v>4</v>
      </c>
      <c r="V1699" t="str">
        <f t="shared" si="53"/>
        <v>Low Loyalty</v>
      </c>
      <c r="W1699" t="s">
        <v>97</v>
      </c>
    </row>
    <row r="1700" spans="1:23" x14ac:dyDescent="0.25">
      <c r="A1700">
        <v>1699</v>
      </c>
      <c r="B1700">
        <v>25</v>
      </c>
      <c r="C1700" t="str" cm="1">
        <f t="array" ref="C1700">_xlfn.IFS(
  AND(B1700&gt;=18, B1700&lt;=24), "18-24",
  AND(B1700&gt;=25, B1700&lt;=34), "25-34",
  AND(B1700&gt;=35, B1700&lt;=44), "35-44",
  AND(B1700&gt;=45, B1700&lt;=54), "45-54",
  B1700&gt;=55, "55+"
)</f>
        <v>25-34</v>
      </c>
      <c r="D1700" t="s">
        <v>19</v>
      </c>
      <c r="E1700" t="s">
        <v>136</v>
      </c>
      <c r="F1700" t="s">
        <v>69</v>
      </c>
      <c r="G1700">
        <v>41</v>
      </c>
      <c r="H1700" t="s">
        <v>150</v>
      </c>
      <c r="I1700" t="s">
        <v>92</v>
      </c>
      <c r="J1700" t="s">
        <v>49</v>
      </c>
      <c r="K1700" t="s">
        <v>25</v>
      </c>
      <c r="L1700">
        <v>4.8</v>
      </c>
      <c r="M1700" t="s">
        <v>152</v>
      </c>
      <c r="N1700" t="s">
        <v>27</v>
      </c>
      <c r="O1700" t="s">
        <v>55</v>
      </c>
      <c r="P1700" t="s">
        <v>152</v>
      </c>
      <c r="Q1700" t="s">
        <v>152</v>
      </c>
      <c r="R1700">
        <v>46</v>
      </c>
      <c r="S1700" t="s">
        <v>34</v>
      </c>
      <c r="T1700" t="str">
        <f t="shared" si="52"/>
        <v>Quarterly</v>
      </c>
      <c r="U1700">
        <f>VLOOKUP(T1700,[1]tablescore!$B$3:$C$8, 2,FALSE)</f>
        <v>4</v>
      </c>
      <c r="V1700" t="str">
        <f t="shared" si="53"/>
        <v>Low Loyalty</v>
      </c>
      <c r="W1700" t="s">
        <v>60</v>
      </c>
    </row>
    <row r="1701" spans="1:23" x14ac:dyDescent="0.25">
      <c r="A1701">
        <v>1700</v>
      </c>
      <c r="B1701">
        <v>20</v>
      </c>
      <c r="C1701" t="str" cm="1">
        <f t="array" ref="C1701">_xlfn.IFS(
  AND(B1701&gt;=18, B1701&lt;=24), "18-24",
  AND(B1701&gt;=25, B1701&lt;=34), "25-34",
  AND(B1701&gt;=35, B1701&lt;=44), "35-44",
  AND(B1701&gt;=45, B1701&lt;=54), "45-54",
  B1701&gt;=55, "55+"
)</f>
        <v>18-24</v>
      </c>
      <c r="D1701" t="s">
        <v>19</v>
      </c>
      <c r="E1701" t="s">
        <v>31</v>
      </c>
      <c r="F1701" t="s">
        <v>21</v>
      </c>
      <c r="G1701">
        <v>67</v>
      </c>
      <c r="H1701" t="s">
        <v>114</v>
      </c>
      <c r="I1701" t="s">
        <v>23</v>
      </c>
      <c r="J1701" t="s">
        <v>86</v>
      </c>
      <c r="K1701" t="s">
        <v>39</v>
      </c>
      <c r="L1701">
        <v>4</v>
      </c>
      <c r="M1701" t="s">
        <v>152</v>
      </c>
      <c r="N1701" t="s">
        <v>34</v>
      </c>
      <c r="O1701" t="s">
        <v>40</v>
      </c>
      <c r="P1701" t="s">
        <v>152</v>
      </c>
      <c r="Q1701" t="s">
        <v>152</v>
      </c>
      <c r="R1701">
        <v>34</v>
      </c>
      <c r="S1701" t="s">
        <v>59</v>
      </c>
      <c r="T1701" t="str">
        <f t="shared" si="52"/>
        <v>Annually</v>
      </c>
      <c r="U1701">
        <f>VLOOKUP(T1701,[1]tablescore!$B$3:$C$8, 2,FALSE)</f>
        <v>1</v>
      </c>
      <c r="V1701" t="str">
        <f t="shared" si="53"/>
        <v>Low Loyalty</v>
      </c>
      <c r="W1701" t="s">
        <v>50</v>
      </c>
    </row>
    <row r="1702" spans="1:23" x14ac:dyDescent="0.25">
      <c r="A1702">
        <v>1701</v>
      </c>
      <c r="B1702">
        <v>62</v>
      </c>
      <c r="C1702" t="str" cm="1">
        <f t="array" ref="C1702">_xlfn.IFS(
  AND(B1702&gt;=18, B1702&lt;=24), "18-24",
  AND(B1702&gt;=25, B1702&lt;=34), "25-34",
  AND(B1702&gt;=35, B1702&lt;=44), "35-44",
  AND(B1702&gt;=45, B1702&lt;=54), "45-54",
  B1702&gt;=55, "55+"
)</f>
        <v>55+</v>
      </c>
      <c r="D1702" t="s">
        <v>19</v>
      </c>
      <c r="E1702" t="s">
        <v>104</v>
      </c>
      <c r="F1702" t="s">
        <v>21</v>
      </c>
      <c r="G1702">
        <v>70</v>
      </c>
      <c r="H1702" t="s">
        <v>66</v>
      </c>
      <c r="I1702" t="s">
        <v>23</v>
      </c>
      <c r="J1702" t="s">
        <v>94</v>
      </c>
      <c r="K1702" t="s">
        <v>58</v>
      </c>
      <c r="L1702">
        <v>4.0999999999999996</v>
      </c>
      <c r="M1702" t="s">
        <v>152</v>
      </c>
      <c r="N1702" t="s">
        <v>27</v>
      </c>
      <c r="O1702" t="s">
        <v>28</v>
      </c>
      <c r="P1702" t="s">
        <v>152</v>
      </c>
      <c r="Q1702" t="s">
        <v>152</v>
      </c>
      <c r="R1702">
        <v>36</v>
      </c>
      <c r="S1702" t="s">
        <v>34</v>
      </c>
      <c r="T1702" t="str">
        <f t="shared" si="52"/>
        <v>Month</v>
      </c>
      <c r="U1702">
        <f>VLOOKUP(T1702,[1]tablescore!$B$3:$C$8, 2,FALSE)</f>
        <v>12</v>
      </c>
      <c r="V1702" t="str">
        <f t="shared" si="53"/>
        <v>Moderate</v>
      </c>
      <c r="W1702" t="s">
        <v>88</v>
      </c>
    </row>
    <row r="1703" spans="1:23" x14ac:dyDescent="0.25">
      <c r="A1703">
        <v>1702</v>
      </c>
      <c r="B1703">
        <v>69</v>
      </c>
      <c r="C1703" t="str" cm="1">
        <f t="array" ref="C1703">_xlfn.IFS(
  AND(B1703&gt;=18, B1703&lt;=24), "18-24",
  AND(B1703&gt;=25, B1703&lt;=34), "25-34",
  AND(B1703&gt;=35, B1703&lt;=44), "35-44",
  AND(B1703&gt;=45, B1703&lt;=54), "45-54",
  B1703&gt;=55, "55+"
)</f>
        <v>55+</v>
      </c>
      <c r="D1703" t="s">
        <v>19</v>
      </c>
      <c r="E1703" t="s">
        <v>68</v>
      </c>
      <c r="F1703" t="s">
        <v>69</v>
      </c>
      <c r="G1703">
        <v>41</v>
      </c>
      <c r="H1703" t="s">
        <v>91</v>
      </c>
      <c r="I1703" t="s">
        <v>92</v>
      </c>
      <c r="J1703" t="s">
        <v>138</v>
      </c>
      <c r="K1703" t="s">
        <v>25</v>
      </c>
      <c r="L1703">
        <v>3.8</v>
      </c>
      <c r="M1703" t="s">
        <v>152</v>
      </c>
      <c r="N1703" t="s">
        <v>46</v>
      </c>
      <c r="O1703" t="s">
        <v>47</v>
      </c>
      <c r="P1703" t="s">
        <v>152</v>
      </c>
      <c r="Q1703" t="s">
        <v>152</v>
      </c>
      <c r="R1703">
        <v>44</v>
      </c>
      <c r="S1703" t="s">
        <v>59</v>
      </c>
      <c r="T1703" t="str">
        <f t="shared" si="52"/>
        <v>Quarterly</v>
      </c>
      <c r="U1703">
        <f>VLOOKUP(T1703,[1]tablescore!$B$3:$C$8, 2,FALSE)</f>
        <v>4</v>
      </c>
      <c r="V1703" t="str">
        <f t="shared" si="53"/>
        <v>Low Loyalty</v>
      </c>
      <c r="W1703" t="s">
        <v>97</v>
      </c>
    </row>
    <row r="1704" spans="1:23" x14ac:dyDescent="0.25">
      <c r="A1704">
        <v>1703</v>
      </c>
      <c r="B1704">
        <v>54</v>
      </c>
      <c r="C1704" t="str" cm="1">
        <f t="array" ref="C1704">_xlfn.IFS(
  AND(B1704&gt;=18, B1704&lt;=24), "18-24",
  AND(B1704&gt;=25, B1704&lt;=34), "25-34",
  AND(B1704&gt;=35, B1704&lt;=44), "35-44",
  AND(B1704&gt;=45, B1704&lt;=54), "45-54",
  B1704&gt;=55, "55+"
)</f>
        <v>45-54</v>
      </c>
      <c r="D1704" t="s">
        <v>19</v>
      </c>
      <c r="E1704" t="s">
        <v>36</v>
      </c>
      <c r="F1704" t="s">
        <v>21</v>
      </c>
      <c r="G1704">
        <v>83</v>
      </c>
      <c r="H1704" t="s">
        <v>90</v>
      </c>
      <c r="I1704" t="s">
        <v>92</v>
      </c>
      <c r="J1704" t="s">
        <v>139</v>
      </c>
      <c r="K1704" t="s">
        <v>54</v>
      </c>
      <c r="L1704">
        <v>5</v>
      </c>
      <c r="M1704" t="s">
        <v>152</v>
      </c>
      <c r="N1704" t="s">
        <v>59</v>
      </c>
      <c r="O1704" t="s">
        <v>28</v>
      </c>
      <c r="P1704" t="s">
        <v>152</v>
      </c>
      <c r="Q1704" t="s">
        <v>152</v>
      </c>
      <c r="R1704">
        <v>48</v>
      </c>
      <c r="S1704" t="s">
        <v>34</v>
      </c>
      <c r="T1704" t="str">
        <f t="shared" si="52"/>
        <v>Daily</v>
      </c>
      <c r="U1704">
        <f>VLOOKUP(T1704,[1]tablescore!$B$3:$C$8, 2,FALSE)</f>
        <v>30</v>
      </c>
      <c r="V1704" t="str">
        <f t="shared" si="53"/>
        <v>Highly Loyal</v>
      </c>
      <c r="W1704" t="s">
        <v>41</v>
      </c>
    </row>
    <row r="1705" spans="1:23" x14ac:dyDescent="0.25">
      <c r="A1705">
        <v>1704</v>
      </c>
      <c r="B1705">
        <v>39</v>
      </c>
      <c r="C1705" t="str" cm="1">
        <f t="array" ref="C1705">_xlfn.IFS(
  AND(B1705&gt;=18, B1705&lt;=24), "18-24",
  AND(B1705&gt;=25, B1705&lt;=34), "25-34",
  AND(B1705&gt;=35, B1705&lt;=44), "35-44",
  AND(B1705&gt;=45, B1705&lt;=54), "45-54",
  B1705&gt;=55, "55+"
)</f>
        <v>35-44</v>
      </c>
      <c r="D1705" t="s">
        <v>19</v>
      </c>
      <c r="E1705" t="s">
        <v>133</v>
      </c>
      <c r="F1705" t="s">
        <v>69</v>
      </c>
      <c r="G1705">
        <v>22</v>
      </c>
      <c r="H1705" t="s">
        <v>99</v>
      </c>
      <c r="I1705" t="s">
        <v>45</v>
      </c>
      <c r="J1705" t="s">
        <v>94</v>
      </c>
      <c r="K1705" t="s">
        <v>39</v>
      </c>
      <c r="L1705">
        <v>4</v>
      </c>
      <c r="M1705" t="s">
        <v>152</v>
      </c>
      <c r="N1705" t="s">
        <v>29</v>
      </c>
      <c r="O1705" t="s">
        <v>47</v>
      </c>
      <c r="P1705" t="s">
        <v>152</v>
      </c>
      <c r="Q1705" t="s">
        <v>152</v>
      </c>
      <c r="R1705">
        <v>12</v>
      </c>
      <c r="S1705" t="s">
        <v>34</v>
      </c>
      <c r="T1705" t="str">
        <f t="shared" si="52"/>
        <v>Annually</v>
      </c>
      <c r="U1705">
        <f>VLOOKUP(T1705,[1]tablescore!$B$3:$C$8, 2,FALSE)</f>
        <v>1</v>
      </c>
      <c r="V1705" t="str">
        <f t="shared" si="53"/>
        <v>Low Loyalty</v>
      </c>
      <c r="W1705" t="s">
        <v>50</v>
      </c>
    </row>
    <row r="1706" spans="1:23" x14ac:dyDescent="0.25">
      <c r="A1706">
        <v>1705</v>
      </c>
      <c r="B1706">
        <v>56</v>
      </c>
      <c r="C1706" t="str" cm="1">
        <f t="array" ref="C1706">_xlfn.IFS(
  AND(B1706&gt;=18, B1706&lt;=24), "18-24",
  AND(B1706&gt;=25, B1706&lt;=34), "25-34",
  AND(B1706&gt;=35, B1706&lt;=44), "35-44",
  AND(B1706&gt;=45, B1706&lt;=54), "45-54",
  B1706&gt;=55, "55+"
)</f>
        <v>55+</v>
      </c>
      <c r="D1706" t="s">
        <v>19</v>
      </c>
      <c r="E1706" t="s">
        <v>51</v>
      </c>
      <c r="F1706" t="s">
        <v>43</v>
      </c>
      <c r="G1706">
        <v>20</v>
      </c>
      <c r="H1706" t="s">
        <v>144</v>
      </c>
      <c r="I1706" t="s">
        <v>45</v>
      </c>
      <c r="J1706" t="s">
        <v>93</v>
      </c>
      <c r="K1706" t="s">
        <v>54</v>
      </c>
      <c r="L1706">
        <v>3.9</v>
      </c>
      <c r="M1706" t="s">
        <v>152</v>
      </c>
      <c r="N1706" t="s">
        <v>34</v>
      </c>
      <c r="O1706" t="s">
        <v>76</v>
      </c>
      <c r="P1706" t="s">
        <v>152</v>
      </c>
      <c r="Q1706" t="s">
        <v>152</v>
      </c>
      <c r="R1706">
        <v>19</v>
      </c>
      <c r="S1706" t="s">
        <v>35</v>
      </c>
      <c r="T1706" t="str">
        <f t="shared" si="52"/>
        <v>Quarterly</v>
      </c>
      <c r="U1706">
        <f>VLOOKUP(T1706,[1]tablescore!$B$3:$C$8, 2,FALSE)</f>
        <v>4</v>
      </c>
      <c r="V1706" t="str">
        <f t="shared" si="53"/>
        <v>Low Loyalty</v>
      </c>
      <c r="W1706" t="s">
        <v>97</v>
      </c>
    </row>
    <row r="1707" spans="1:23" x14ac:dyDescent="0.25">
      <c r="A1707">
        <v>1706</v>
      </c>
      <c r="B1707">
        <v>39</v>
      </c>
      <c r="C1707" t="str" cm="1">
        <f t="array" ref="C1707">_xlfn.IFS(
  AND(B1707&gt;=18, B1707&lt;=24), "18-24",
  AND(B1707&gt;=25, B1707&lt;=34), "25-34",
  AND(B1707&gt;=35, B1707&lt;=44), "35-44",
  AND(B1707&gt;=45, B1707&lt;=54), "45-54",
  B1707&gt;=55, "55+"
)</f>
        <v>35-44</v>
      </c>
      <c r="D1707" t="s">
        <v>19</v>
      </c>
      <c r="E1707" t="s">
        <v>106</v>
      </c>
      <c r="F1707" t="s">
        <v>69</v>
      </c>
      <c r="G1707">
        <v>29</v>
      </c>
      <c r="H1707" t="s">
        <v>130</v>
      </c>
      <c r="I1707" t="s">
        <v>23</v>
      </c>
      <c r="J1707" t="s">
        <v>109</v>
      </c>
      <c r="K1707" t="s">
        <v>54</v>
      </c>
      <c r="L1707">
        <v>3.4</v>
      </c>
      <c r="M1707" t="s">
        <v>152</v>
      </c>
      <c r="N1707" t="s">
        <v>29</v>
      </c>
      <c r="O1707" t="s">
        <v>72</v>
      </c>
      <c r="P1707" t="s">
        <v>152</v>
      </c>
      <c r="Q1707" t="s">
        <v>152</v>
      </c>
      <c r="R1707">
        <v>49</v>
      </c>
      <c r="S1707" t="s">
        <v>29</v>
      </c>
      <c r="T1707" t="str">
        <f t="shared" si="52"/>
        <v>2-week</v>
      </c>
      <c r="U1707">
        <f>VLOOKUP(T1707,[1]tablescore!$B$3:$C$8, 2,FALSE)</f>
        <v>26</v>
      </c>
      <c r="V1707" t="str">
        <f t="shared" si="53"/>
        <v>Loyal</v>
      </c>
      <c r="W1707" t="s">
        <v>77</v>
      </c>
    </row>
    <row r="1708" spans="1:23" x14ac:dyDescent="0.25">
      <c r="A1708">
        <v>1707</v>
      </c>
      <c r="B1708">
        <v>37</v>
      </c>
      <c r="C1708" t="str" cm="1">
        <f t="array" ref="C1708">_xlfn.IFS(
  AND(B1708&gt;=18, B1708&lt;=24), "18-24",
  AND(B1708&gt;=25, B1708&lt;=34), "25-34",
  AND(B1708&gt;=35, B1708&lt;=44), "35-44",
  AND(B1708&gt;=45, B1708&lt;=54), "45-54",
  B1708&gt;=55, "55+"
)</f>
        <v>35-44</v>
      </c>
      <c r="D1708" t="s">
        <v>19</v>
      </c>
      <c r="E1708" t="s">
        <v>89</v>
      </c>
      <c r="F1708" t="s">
        <v>69</v>
      </c>
      <c r="G1708">
        <v>87</v>
      </c>
      <c r="H1708" t="s">
        <v>114</v>
      </c>
      <c r="I1708" t="s">
        <v>45</v>
      </c>
      <c r="J1708" t="s">
        <v>110</v>
      </c>
      <c r="K1708" t="s">
        <v>39</v>
      </c>
      <c r="L1708">
        <v>3</v>
      </c>
      <c r="M1708" t="s">
        <v>152</v>
      </c>
      <c r="N1708" t="s">
        <v>27</v>
      </c>
      <c r="O1708" t="s">
        <v>55</v>
      </c>
      <c r="P1708" t="s">
        <v>152</v>
      </c>
      <c r="Q1708" t="s">
        <v>152</v>
      </c>
      <c r="R1708">
        <v>25</v>
      </c>
      <c r="S1708" t="s">
        <v>29</v>
      </c>
      <c r="T1708" t="str">
        <f t="shared" si="52"/>
        <v>2-week</v>
      </c>
      <c r="U1708">
        <f>VLOOKUP(T1708,[1]tablescore!$B$3:$C$8, 2,FALSE)</f>
        <v>26</v>
      </c>
      <c r="V1708" t="str">
        <f t="shared" si="53"/>
        <v>Loyal</v>
      </c>
      <c r="W1708" t="s">
        <v>30</v>
      </c>
    </row>
    <row r="1709" spans="1:23" x14ac:dyDescent="0.25">
      <c r="A1709">
        <v>1708</v>
      </c>
      <c r="B1709">
        <v>25</v>
      </c>
      <c r="C1709" t="str" cm="1">
        <f t="array" ref="C1709">_xlfn.IFS(
  AND(B1709&gt;=18, B1709&lt;=24), "18-24",
  AND(B1709&gt;=25, B1709&lt;=34), "25-34",
  AND(B1709&gt;=35, B1709&lt;=44), "35-44",
  AND(B1709&gt;=45, B1709&lt;=54), "45-54",
  B1709&gt;=55, "55+"
)</f>
        <v>25-34</v>
      </c>
      <c r="D1709" t="s">
        <v>19</v>
      </c>
      <c r="E1709" t="s">
        <v>61</v>
      </c>
      <c r="F1709" t="s">
        <v>21</v>
      </c>
      <c r="G1709">
        <v>81</v>
      </c>
      <c r="H1709" t="s">
        <v>107</v>
      </c>
      <c r="I1709" t="s">
        <v>23</v>
      </c>
      <c r="J1709" t="s">
        <v>33</v>
      </c>
      <c r="K1709" t="s">
        <v>58</v>
      </c>
      <c r="L1709">
        <v>4.9000000000000004</v>
      </c>
      <c r="M1709" t="s">
        <v>152</v>
      </c>
      <c r="N1709" t="s">
        <v>27</v>
      </c>
      <c r="O1709" t="s">
        <v>72</v>
      </c>
      <c r="P1709" t="s">
        <v>152</v>
      </c>
      <c r="Q1709" t="s">
        <v>152</v>
      </c>
      <c r="R1709">
        <v>25</v>
      </c>
      <c r="S1709" t="s">
        <v>35</v>
      </c>
      <c r="T1709" t="str">
        <f t="shared" si="52"/>
        <v>2-week</v>
      </c>
      <c r="U1709">
        <f>VLOOKUP(T1709,[1]tablescore!$B$3:$C$8, 2,FALSE)</f>
        <v>26</v>
      </c>
      <c r="V1709" t="str">
        <f t="shared" si="53"/>
        <v>Loyal</v>
      </c>
      <c r="W1709" t="s">
        <v>77</v>
      </c>
    </row>
    <row r="1710" spans="1:23" x14ac:dyDescent="0.25">
      <c r="A1710">
        <v>1709</v>
      </c>
      <c r="B1710">
        <v>35</v>
      </c>
      <c r="C1710" t="str" cm="1">
        <f t="array" ref="C1710">_xlfn.IFS(
  AND(B1710&gt;=18, B1710&lt;=24), "18-24",
  AND(B1710&gt;=25, B1710&lt;=34), "25-34",
  AND(B1710&gt;=35, B1710&lt;=44), "35-44",
  AND(B1710&gt;=45, B1710&lt;=54), "45-54",
  B1710&gt;=55, "55+"
)</f>
        <v>35-44</v>
      </c>
      <c r="D1710" t="s">
        <v>19</v>
      </c>
      <c r="E1710" t="s">
        <v>132</v>
      </c>
      <c r="F1710" t="s">
        <v>43</v>
      </c>
      <c r="G1710">
        <v>58</v>
      </c>
      <c r="H1710" t="s">
        <v>103</v>
      </c>
      <c r="I1710" t="s">
        <v>23</v>
      </c>
      <c r="J1710" t="s">
        <v>109</v>
      </c>
      <c r="K1710" t="s">
        <v>39</v>
      </c>
      <c r="L1710">
        <v>3.2</v>
      </c>
      <c r="M1710" t="s">
        <v>152</v>
      </c>
      <c r="N1710" t="s">
        <v>34</v>
      </c>
      <c r="O1710" t="s">
        <v>28</v>
      </c>
      <c r="P1710" t="s">
        <v>152</v>
      </c>
      <c r="Q1710" t="s">
        <v>152</v>
      </c>
      <c r="R1710">
        <v>1</v>
      </c>
      <c r="S1710" t="s">
        <v>27</v>
      </c>
      <c r="T1710" t="str">
        <f t="shared" si="52"/>
        <v>Quarterly</v>
      </c>
      <c r="U1710">
        <f>VLOOKUP(T1710,[1]tablescore!$B$3:$C$8, 2,FALSE)</f>
        <v>4</v>
      </c>
      <c r="V1710" t="str">
        <f t="shared" si="53"/>
        <v>Low Loyalty</v>
      </c>
      <c r="W1710" t="s">
        <v>60</v>
      </c>
    </row>
    <row r="1711" spans="1:23" x14ac:dyDescent="0.25">
      <c r="A1711">
        <v>1710</v>
      </c>
      <c r="B1711">
        <v>45</v>
      </c>
      <c r="C1711" t="str" cm="1">
        <f t="array" ref="C1711">_xlfn.IFS(
  AND(B1711&gt;=18, B1711&lt;=24), "18-24",
  AND(B1711&gt;=25, B1711&lt;=34), "25-34",
  AND(B1711&gt;=35, B1711&lt;=44), "35-44",
  AND(B1711&gt;=45, B1711&lt;=54), "45-54",
  B1711&gt;=55, "55+"
)</f>
        <v>45-54</v>
      </c>
      <c r="D1711" t="s">
        <v>19</v>
      </c>
      <c r="E1711" t="s">
        <v>87</v>
      </c>
      <c r="F1711" t="s">
        <v>21</v>
      </c>
      <c r="G1711">
        <v>83</v>
      </c>
      <c r="H1711" t="s">
        <v>116</v>
      </c>
      <c r="I1711" t="s">
        <v>45</v>
      </c>
      <c r="J1711" t="s">
        <v>71</v>
      </c>
      <c r="K1711" t="s">
        <v>25</v>
      </c>
      <c r="L1711">
        <v>3.8</v>
      </c>
      <c r="M1711" t="s">
        <v>152</v>
      </c>
      <c r="N1711" t="s">
        <v>29</v>
      </c>
      <c r="O1711" t="s">
        <v>55</v>
      </c>
      <c r="P1711" t="s">
        <v>152</v>
      </c>
      <c r="Q1711" t="s">
        <v>152</v>
      </c>
      <c r="R1711">
        <v>19</v>
      </c>
      <c r="S1711" t="s">
        <v>34</v>
      </c>
      <c r="T1711" t="str">
        <f t="shared" si="52"/>
        <v>Annually</v>
      </c>
      <c r="U1711">
        <f>VLOOKUP(T1711,[1]tablescore!$B$3:$C$8, 2,FALSE)</f>
        <v>1</v>
      </c>
      <c r="V1711" t="str">
        <f t="shared" si="53"/>
        <v>Low Loyalty</v>
      </c>
      <c r="W1711" t="s">
        <v>50</v>
      </c>
    </row>
    <row r="1712" spans="1:23" x14ac:dyDescent="0.25">
      <c r="A1712">
        <v>1711</v>
      </c>
      <c r="B1712">
        <v>19</v>
      </c>
      <c r="C1712" t="str" cm="1">
        <f t="array" ref="C1712">_xlfn.IFS(
  AND(B1712&gt;=18, B1712&lt;=24), "18-24",
  AND(B1712&gt;=25, B1712&lt;=34), "25-34",
  AND(B1712&gt;=35, B1712&lt;=44), "35-44",
  AND(B1712&gt;=45, B1712&lt;=54), "45-54",
  B1712&gt;=55, "55+"
)</f>
        <v>18-24</v>
      </c>
      <c r="D1712" t="s">
        <v>19</v>
      </c>
      <c r="E1712" t="s">
        <v>95</v>
      </c>
      <c r="F1712" t="s">
        <v>21</v>
      </c>
      <c r="G1712">
        <v>59</v>
      </c>
      <c r="H1712" t="s">
        <v>74</v>
      </c>
      <c r="I1712" t="s">
        <v>92</v>
      </c>
      <c r="J1712" t="s">
        <v>121</v>
      </c>
      <c r="K1712" t="s">
        <v>58</v>
      </c>
      <c r="L1712">
        <v>3.8</v>
      </c>
      <c r="M1712" t="s">
        <v>152</v>
      </c>
      <c r="N1712" t="s">
        <v>59</v>
      </c>
      <c r="O1712" t="s">
        <v>76</v>
      </c>
      <c r="P1712" t="s">
        <v>152</v>
      </c>
      <c r="Q1712" t="s">
        <v>152</v>
      </c>
      <c r="R1712">
        <v>7</v>
      </c>
      <c r="S1712" t="s">
        <v>27</v>
      </c>
      <c r="T1712" t="str">
        <f t="shared" si="52"/>
        <v>Quarterly</v>
      </c>
      <c r="U1712">
        <f>VLOOKUP(T1712,[1]tablescore!$B$3:$C$8, 2,FALSE)</f>
        <v>4</v>
      </c>
      <c r="V1712" t="str">
        <f t="shared" si="53"/>
        <v>Low Loyalty</v>
      </c>
      <c r="W1712" t="s">
        <v>60</v>
      </c>
    </row>
    <row r="1713" spans="1:23" x14ac:dyDescent="0.25">
      <c r="A1713">
        <v>1712</v>
      </c>
      <c r="B1713">
        <v>21</v>
      </c>
      <c r="C1713" t="str" cm="1">
        <f t="array" ref="C1713">_xlfn.IFS(
  AND(B1713&gt;=18, B1713&lt;=24), "18-24",
  AND(B1713&gt;=25, B1713&lt;=34), "25-34",
  AND(B1713&gt;=35, B1713&lt;=44), "35-44",
  AND(B1713&gt;=45, B1713&lt;=54), "45-54",
  B1713&gt;=55, "55+"
)</f>
        <v>18-24</v>
      </c>
      <c r="D1713" t="s">
        <v>19</v>
      </c>
      <c r="E1713" t="s">
        <v>113</v>
      </c>
      <c r="F1713" t="s">
        <v>21</v>
      </c>
      <c r="G1713">
        <v>93</v>
      </c>
      <c r="H1713" t="s">
        <v>98</v>
      </c>
      <c r="I1713" t="s">
        <v>45</v>
      </c>
      <c r="J1713" t="s">
        <v>93</v>
      </c>
      <c r="K1713" t="s">
        <v>39</v>
      </c>
      <c r="L1713">
        <v>4.7</v>
      </c>
      <c r="M1713" t="s">
        <v>152</v>
      </c>
      <c r="N1713" t="s">
        <v>59</v>
      </c>
      <c r="O1713" t="s">
        <v>28</v>
      </c>
      <c r="P1713" t="s">
        <v>152</v>
      </c>
      <c r="Q1713" t="s">
        <v>152</v>
      </c>
      <c r="R1713">
        <v>19</v>
      </c>
      <c r="S1713" t="s">
        <v>27</v>
      </c>
      <c r="T1713" t="str">
        <f t="shared" si="52"/>
        <v>Month</v>
      </c>
      <c r="U1713">
        <f>VLOOKUP(T1713,[1]tablescore!$B$3:$C$8, 2,FALSE)</f>
        <v>12</v>
      </c>
      <c r="V1713" t="str">
        <f t="shared" si="53"/>
        <v>Moderate</v>
      </c>
      <c r="W1713" t="s">
        <v>88</v>
      </c>
    </row>
    <row r="1714" spans="1:23" x14ac:dyDescent="0.25">
      <c r="A1714">
        <v>1713</v>
      </c>
      <c r="B1714">
        <v>65</v>
      </c>
      <c r="C1714" t="str" cm="1">
        <f t="array" ref="C1714">_xlfn.IFS(
  AND(B1714&gt;=18, B1714&lt;=24), "18-24",
  AND(B1714&gt;=25, B1714&lt;=34), "25-34",
  AND(B1714&gt;=35, B1714&lt;=44), "35-44",
  AND(B1714&gt;=45, B1714&lt;=54), "45-54",
  B1714&gt;=55, "55+"
)</f>
        <v>55+</v>
      </c>
      <c r="D1714" t="s">
        <v>19</v>
      </c>
      <c r="E1714" t="s">
        <v>113</v>
      </c>
      <c r="F1714" t="s">
        <v>21</v>
      </c>
      <c r="G1714">
        <v>87</v>
      </c>
      <c r="H1714" t="s">
        <v>115</v>
      </c>
      <c r="I1714" t="s">
        <v>38</v>
      </c>
      <c r="J1714" t="s">
        <v>118</v>
      </c>
      <c r="K1714" t="s">
        <v>58</v>
      </c>
      <c r="L1714">
        <v>3.8</v>
      </c>
      <c r="M1714" t="s">
        <v>152</v>
      </c>
      <c r="N1714" t="s">
        <v>59</v>
      </c>
      <c r="O1714" t="s">
        <v>72</v>
      </c>
      <c r="P1714" t="s">
        <v>152</v>
      </c>
      <c r="Q1714" t="s">
        <v>152</v>
      </c>
      <c r="R1714">
        <v>9</v>
      </c>
      <c r="S1714" t="s">
        <v>35</v>
      </c>
      <c r="T1714" t="str">
        <f t="shared" si="52"/>
        <v>2-week</v>
      </c>
      <c r="U1714">
        <f>VLOOKUP(T1714,[1]tablescore!$B$3:$C$8, 2,FALSE)</f>
        <v>26</v>
      </c>
      <c r="V1714" t="str">
        <f t="shared" si="53"/>
        <v>Loyal</v>
      </c>
      <c r="W1714" t="s">
        <v>30</v>
      </c>
    </row>
    <row r="1715" spans="1:23" x14ac:dyDescent="0.25">
      <c r="A1715">
        <v>1714</v>
      </c>
      <c r="B1715">
        <v>49</v>
      </c>
      <c r="C1715" t="str" cm="1">
        <f t="array" ref="C1715">_xlfn.IFS(
  AND(B1715&gt;=18, B1715&lt;=24), "18-24",
  AND(B1715&gt;=25, B1715&lt;=34), "25-34",
  AND(B1715&gt;=35, B1715&lt;=44), "35-44",
  AND(B1715&gt;=45, B1715&lt;=54), "45-54",
  B1715&gt;=55, "55+"
)</f>
        <v>45-54</v>
      </c>
      <c r="D1715" t="s">
        <v>19</v>
      </c>
      <c r="E1715" t="s">
        <v>102</v>
      </c>
      <c r="F1715" t="s">
        <v>65</v>
      </c>
      <c r="G1715">
        <v>22</v>
      </c>
      <c r="H1715" t="s">
        <v>70</v>
      </c>
      <c r="I1715" t="s">
        <v>45</v>
      </c>
      <c r="J1715" t="s">
        <v>71</v>
      </c>
      <c r="K1715" t="s">
        <v>25</v>
      </c>
      <c r="L1715">
        <v>4.5999999999999996</v>
      </c>
      <c r="M1715" t="s">
        <v>152</v>
      </c>
      <c r="N1715" t="s">
        <v>29</v>
      </c>
      <c r="O1715" t="s">
        <v>40</v>
      </c>
      <c r="P1715" t="s">
        <v>152</v>
      </c>
      <c r="Q1715" t="s">
        <v>152</v>
      </c>
      <c r="R1715">
        <v>37</v>
      </c>
      <c r="S1715" t="s">
        <v>46</v>
      </c>
      <c r="T1715" t="str">
        <f t="shared" si="52"/>
        <v>Quarterly</v>
      </c>
      <c r="U1715">
        <f>VLOOKUP(T1715,[1]tablescore!$B$3:$C$8, 2,FALSE)</f>
        <v>4</v>
      </c>
      <c r="V1715" t="str">
        <f t="shared" si="53"/>
        <v>Low Loyalty</v>
      </c>
      <c r="W1715" t="s">
        <v>60</v>
      </c>
    </row>
    <row r="1716" spans="1:23" x14ac:dyDescent="0.25">
      <c r="A1716">
        <v>1715</v>
      </c>
      <c r="B1716">
        <v>30</v>
      </c>
      <c r="C1716" t="str" cm="1">
        <f t="array" ref="C1716">_xlfn.IFS(
  AND(B1716&gt;=18, B1716&lt;=24), "18-24",
  AND(B1716&gt;=25, B1716&lt;=34), "25-34",
  AND(B1716&gt;=35, B1716&lt;=44), "35-44",
  AND(B1716&gt;=45, B1716&lt;=54), "45-54",
  B1716&gt;=55, "55+"
)</f>
        <v>25-34</v>
      </c>
      <c r="D1716" t="s">
        <v>19</v>
      </c>
      <c r="E1716" t="s">
        <v>36</v>
      </c>
      <c r="F1716" t="s">
        <v>21</v>
      </c>
      <c r="G1716">
        <v>71</v>
      </c>
      <c r="H1716" t="s">
        <v>130</v>
      </c>
      <c r="I1716" t="s">
        <v>38</v>
      </c>
      <c r="J1716" t="s">
        <v>63</v>
      </c>
      <c r="K1716" t="s">
        <v>54</v>
      </c>
      <c r="L1716">
        <v>4.4000000000000004</v>
      </c>
      <c r="M1716" t="s">
        <v>152</v>
      </c>
      <c r="N1716" t="s">
        <v>34</v>
      </c>
      <c r="O1716" t="s">
        <v>55</v>
      </c>
      <c r="P1716" t="s">
        <v>152</v>
      </c>
      <c r="Q1716" t="s">
        <v>152</v>
      </c>
      <c r="R1716">
        <v>15</v>
      </c>
      <c r="S1716" t="s">
        <v>35</v>
      </c>
      <c r="T1716" t="str">
        <f t="shared" si="52"/>
        <v>Month</v>
      </c>
      <c r="U1716">
        <f>VLOOKUP(T1716,[1]tablescore!$B$3:$C$8, 2,FALSE)</f>
        <v>12</v>
      </c>
      <c r="V1716" t="str">
        <f t="shared" si="53"/>
        <v>Moderate</v>
      </c>
      <c r="W1716" t="s">
        <v>88</v>
      </c>
    </row>
    <row r="1717" spans="1:23" x14ac:dyDescent="0.25">
      <c r="A1717">
        <v>1716</v>
      </c>
      <c r="B1717">
        <v>23</v>
      </c>
      <c r="C1717" t="str" cm="1">
        <f t="array" ref="C1717">_xlfn.IFS(
  AND(B1717&gt;=18, B1717&lt;=24), "18-24",
  AND(B1717&gt;=25, B1717&lt;=34), "25-34",
  AND(B1717&gt;=35, B1717&lt;=44), "35-44",
  AND(B1717&gt;=45, B1717&lt;=54), "45-54",
  B1717&gt;=55, "55+"
)</f>
        <v>18-24</v>
      </c>
      <c r="D1717" t="s">
        <v>19</v>
      </c>
      <c r="E1717" t="s">
        <v>82</v>
      </c>
      <c r="F1717" t="s">
        <v>21</v>
      </c>
      <c r="G1717">
        <v>69</v>
      </c>
      <c r="H1717" t="s">
        <v>144</v>
      </c>
      <c r="I1717" t="s">
        <v>92</v>
      </c>
      <c r="J1717" t="s">
        <v>24</v>
      </c>
      <c r="K1717" t="s">
        <v>39</v>
      </c>
      <c r="L1717">
        <v>3.4</v>
      </c>
      <c r="M1717" t="s">
        <v>152</v>
      </c>
      <c r="N1717" t="s">
        <v>46</v>
      </c>
      <c r="O1717" t="s">
        <v>72</v>
      </c>
      <c r="P1717" t="s">
        <v>152</v>
      </c>
      <c r="Q1717" t="s">
        <v>152</v>
      </c>
      <c r="R1717">
        <v>30</v>
      </c>
      <c r="S1717" t="s">
        <v>46</v>
      </c>
      <c r="T1717" t="str">
        <f t="shared" si="52"/>
        <v>2-week</v>
      </c>
      <c r="U1717">
        <f>VLOOKUP(T1717,[1]tablescore!$B$3:$C$8, 2,FALSE)</f>
        <v>26</v>
      </c>
      <c r="V1717" t="str">
        <f t="shared" si="53"/>
        <v>Loyal</v>
      </c>
      <c r="W1717" t="s">
        <v>77</v>
      </c>
    </row>
    <row r="1718" spans="1:23" x14ac:dyDescent="0.25">
      <c r="A1718">
        <v>1717</v>
      </c>
      <c r="B1718">
        <v>69</v>
      </c>
      <c r="C1718" t="str" cm="1">
        <f t="array" ref="C1718">_xlfn.IFS(
  AND(B1718&gt;=18, B1718&lt;=24), "18-24",
  AND(B1718&gt;=25, B1718&lt;=34), "25-34",
  AND(B1718&gt;=35, B1718&lt;=44), "35-44",
  AND(B1718&gt;=45, B1718&lt;=54), "45-54",
  B1718&gt;=55, "55+"
)</f>
        <v>55+</v>
      </c>
      <c r="D1718" t="s">
        <v>19</v>
      </c>
      <c r="E1718" t="s">
        <v>20</v>
      </c>
      <c r="F1718" t="s">
        <v>21</v>
      </c>
      <c r="G1718">
        <v>47</v>
      </c>
      <c r="H1718" t="s">
        <v>146</v>
      </c>
      <c r="I1718" t="s">
        <v>45</v>
      </c>
      <c r="J1718" t="s">
        <v>109</v>
      </c>
      <c r="K1718" t="s">
        <v>25</v>
      </c>
      <c r="L1718">
        <v>4.7</v>
      </c>
      <c r="M1718" t="s">
        <v>152</v>
      </c>
      <c r="N1718" t="s">
        <v>29</v>
      </c>
      <c r="O1718" t="s">
        <v>55</v>
      </c>
      <c r="P1718" t="s">
        <v>152</v>
      </c>
      <c r="Q1718" t="s">
        <v>152</v>
      </c>
      <c r="R1718">
        <v>30</v>
      </c>
      <c r="S1718" t="s">
        <v>35</v>
      </c>
      <c r="T1718" t="str">
        <f t="shared" si="52"/>
        <v>Quarterly</v>
      </c>
      <c r="U1718">
        <f>VLOOKUP(T1718,[1]tablescore!$B$3:$C$8, 2,FALSE)</f>
        <v>4</v>
      </c>
      <c r="V1718" t="str">
        <f t="shared" si="53"/>
        <v>Low Loyalty</v>
      </c>
      <c r="W1718" t="s">
        <v>97</v>
      </c>
    </row>
    <row r="1719" spans="1:23" x14ac:dyDescent="0.25">
      <c r="A1719">
        <v>1718</v>
      </c>
      <c r="B1719">
        <v>29</v>
      </c>
      <c r="C1719" t="str" cm="1">
        <f t="array" ref="C1719">_xlfn.IFS(
  AND(B1719&gt;=18, B1719&lt;=24), "18-24",
  AND(B1719&gt;=25, B1719&lt;=34), "25-34",
  AND(B1719&gt;=35, B1719&lt;=44), "35-44",
  AND(B1719&gt;=45, B1719&lt;=54), "45-54",
  B1719&gt;=55, "55+"
)</f>
        <v>25-34</v>
      </c>
      <c r="D1719" t="s">
        <v>19</v>
      </c>
      <c r="E1719" t="s">
        <v>104</v>
      </c>
      <c r="F1719" t="s">
        <v>21</v>
      </c>
      <c r="G1719">
        <v>50</v>
      </c>
      <c r="H1719" t="s">
        <v>78</v>
      </c>
      <c r="I1719" t="s">
        <v>23</v>
      </c>
      <c r="J1719" t="s">
        <v>121</v>
      </c>
      <c r="K1719" t="s">
        <v>54</v>
      </c>
      <c r="L1719">
        <v>2.9</v>
      </c>
      <c r="M1719" t="s">
        <v>152</v>
      </c>
      <c r="N1719" t="s">
        <v>35</v>
      </c>
      <c r="O1719" t="s">
        <v>28</v>
      </c>
      <c r="P1719" t="s">
        <v>152</v>
      </c>
      <c r="Q1719" t="s">
        <v>152</v>
      </c>
      <c r="R1719">
        <v>16</v>
      </c>
      <c r="S1719" t="s">
        <v>59</v>
      </c>
      <c r="T1719" t="str">
        <f t="shared" si="52"/>
        <v>2-week</v>
      </c>
      <c r="U1719">
        <f>VLOOKUP(T1719,[1]tablescore!$B$3:$C$8, 2,FALSE)</f>
        <v>26</v>
      </c>
      <c r="V1719" t="str">
        <f t="shared" si="53"/>
        <v>Loyal</v>
      </c>
      <c r="W1719" t="s">
        <v>77</v>
      </c>
    </row>
    <row r="1720" spans="1:23" x14ac:dyDescent="0.25">
      <c r="A1720">
        <v>1719</v>
      </c>
      <c r="B1720">
        <v>54</v>
      </c>
      <c r="C1720" t="str" cm="1">
        <f t="array" ref="C1720">_xlfn.IFS(
  AND(B1720&gt;=18, B1720&lt;=24), "18-24",
  AND(B1720&gt;=25, B1720&lt;=34), "25-34",
  AND(B1720&gt;=35, B1720&lt;=44), "35-44",
  AND(B1720&gt;=45, B1720&lt;=54), "45-54",
  B1720&gt;=55, "55+"
)</f>
        <v>45-54</v>
      </c>
      <c r="D1720" t="s">
        <v>19</v>
      </c>
      <c r="E1720" t="s">
        <v>113</v>
      </c>
      <c r="F1720" t="s">
        <v>21</v>
      </c>
      <c r="G1720">
        <v>96</v>
      </c>
      <c r="H1720" t="s">
        <v>135</v>
      </c>
      <c r="I1720" t="s">
        <v>23</v>
      </c>
      <c r="J1720" t="s">
        <v>71</v>
      </c>
      <c r="K1720" t="s">
        <v>25</v>
      </c>
      <c r="L1720">
        <v>3.4</v>
      </c>
      <c r="M1720" t="s">
        <v>152</v>
      </c>
      <c r="N1720" t="s">
        <v>35</v>
      </c>
      <c r="O1720" t="s">
        <v>72</v>
      </c>
      <c r="P1720" t="s">
        <v>152</v>
      </c>
      <c r="Q1720" t="s">
        <v>152</v>
      </c>
      <c r="R1720">
        <v>14</v>
      </c>
      <c r="S1720" t="s">
        <v>46</v>
      </c>
      <c r="T1720" t="str">
        <f t="shared" si="52"/>
        <v>Quarterly</v>
      </c>
      <c r="U1720">
        <f>VLOOKUP(T1720,[1]tablescore!$B$3:$C$8, 2,FALSE)</f>
        <v>4</v>
      </c>
      <c r="V1720" t="str">
        <f t="shared" si="53"/>
        <v>Low Loyalty</v>
      </c>
      <c r="W1720" t="s">
        <v>97</v>
      </c>
    </row>
    <row r="1721" spans="1:23" x14ac:dyDescent="0.25">
      <c r="A1721">
        <v>1720</v>
      </c>
      <c r="B1721">
        <v>45</v>
      </c>
      <c r="C1721" t="str" cm="1">
        <f t="array" ref="C1721">_xlfn.IFS(
  AND(B1721&gt;=18, B1721&lt;=24), "18-24",
  AND(B1721&gt;=25, B1721&lt;=34), "25-34",
  AND(B1721&gt;=35, B1721&lt;=44), "35-44",
  AND(B1721&gt;=45, B1721&lt;=54), "45-54",
  B1721&gt;=55, "55+"
)</f>
        <v>45-54</v>
      </c>
      <c r="D1721" t="s">
        <v>19</v>
      </c>
      <c r="E1721" t="s">
        <v>31</v>
      </c>
      <c r="F1721" t="s">
        <v>21</v>
      </c>
      <c r="G1721">
        <v>39</v>
      </c>
      <c r="H1721" t="s">
        <v>135</v>
      </c>
      <c r="I1721" t="s">
        <v>45</v>
      </c>
      <c r="J1721" t="s">
        <v>53</v>
      </c>
      <c r="K1721" t="s">
        <v>25</v>
      </c>
      <c r="L1721">
        <v>3.2</v>
      </c>
      <c r="M1721" t="s">
        <v>152</v>
      </c>
      <c r="N1721" t="s">
        <v>29</v>
      </c>
      <c r="O1721" t="s">
        <v>40</v>
      </c>
      <c r="P1721" t="s">
        <v>152</v>
      </c>
      <c r="Q1721" t="s">
        <v>152</v>
      </c>
      <c r="R1721">
        <v>8</v>
      </c>
      <c r="S1721" t="s">
        <v>29</v>
      </c>
      <c r="T1721" t="str">
        <f t="shared" si="52"/>
        <v>Quarterly</v>
      </c>
      <c r="U1721">
        <f>VLOOKUP(T1721,[1]tablescore!$B$3:$C$8, 2,FALSE)</f>
        <v>4</v>
      </c>
      <c r="V1721" t="str">
        <f t="shared" si="53"/>
        <v>Low Loyalty</v>
      </c>
      <c r="W1721" t="s">
        <v>60</v>
      </c>
    </row>
    <row r="1722" spans="1:23" x14ac:dyDescent="0.25">
      <c r="A1722">
        <v>1721</v>
      </c>
      <c r="B1722">
        <v>25</v>
      </c>
      <c r="C1722" t="str" cm="1">
        <f t="array" ref="C1722">_xlfn.IFS(
  AND(B1722&gt;=18, B1722&lt;=24), "18-24",
  AND(B1722&gt;=25, B1722&lt;=34), "25-34",
  AND(B1722&gt;=35, B1722&lt;=44), "35-44",
  AND(B1722&gt;=45, B1722&lt;=54), "45-54",
  B1722&gt;=55, "55+"
)</f>
        <v>25-34</v>
      </c>
      <c r="D1722" t="s">
        <v>19</v>
      </c>
      <c r="E1722" t="s">
        <v>61</v>
      </c>
      <c r="F1722" t="s">
        <v>21</v>
      </c>
      <c r="G1722">
        <v>84</v>
      </c>
      <c r="H1722" t="s">
        <v>37</v>
      </c>
      <c r="I1722" t="s">
        <v>38</v>
      </c>
      <c r="J1722" t="s">
        <v>118</v>
      </c>
      <c r="K1722" t="s">
        <v>25</v>
      </c>
      <c r="L1722">
        <v>2.8</v>
      </c>
      <c r="M1722" t="s">
        <v>152</v>
      </c>
      <c r="N1722" t="s">
        <v>35</v>
      </c>
      <c r="O1722" t="s">
        <v>28</v>
      </c>
      <c r="P1722" t="s">
        <v>152</v>
      </c>
      <c r="Q1722" t="s">
        <v>152</v>
      </c>
      <c r="R1722">
        <v>40</v>
      </c>
      <c r="S1722" t="s">
        <v>59</v>
      </c>
      <c r="T1722" t="str">
        <f t="shared" si="52"/>
        <v>2-week</v>
      </c>
      <c r="U1722">
        <f>VLOOKUP(T1722,[1]tablescore!$B$3:$C$8, 2,FALSE)</f>
        <v>26</v>
      </c>
      <c r="V1722" t="str">
        <f t="shared" si="53"/>
        <v>Loyal</v>
      </c>
      <c r="W1722" t="s">
        <v>77</v>
      </c>
    </row>
    <row r="1723" spans="1:23" x14ac:dyDescent="0.25">
      <c r="A1723">
        <v>1722</v>
      </c>
      <c r="B1723">
        <v>34</v>
      </c>
      <c r="C1723" t="str" cm="1">
        <f t="array" ref="C1723">_xlfn.IFS(
  AND(B1723&gt;=18, B1723&lt;=24), "18-24",
  AND(B1723&gt;=25, B1723&lt;=34), "25-34",
  AND(B1723&gt;=35, B1723&lt;=44), "35-44",
  AND(B1723&gt;=45, B1723&lt;=54), "45-54",
  B1723&gt;=55, "55+"
)</f>
        <v>25-34</v>
      </c>
      <c r="D1723" t="s">
        <v>19</v>
      </c>
      <c r="E1723" t="s">
        <v>106</v>
      </c>
      <c r="F1723" t="s">
        <v>69</v>
      </c>
      <c r="G1723">
        <v>28</v>
      </c>
      <c r="H1723" t="s">
        <v>80</v>
      </c>
      <c r="I1723" t="s">
        <v>38</v>
      </c>
      <c r="J1723" t="s">
        <v>147</v>
      </c>
      <c r="K1723" t="s">
        <v>39</v>
      </c>
      <c r="L1723">
        <v>4.3</v>
      </c>
      <c r="M1723" t="s">
        <v>152</v>
      </c>
      <c r="N1723" t="s">
        <v>29</v>
      </c>
      <c r="O1723" t="s">
        <v>40</v>
      </c>
      <c r="P1723" t="s">
        <v>152</v>
      </c>
      <c r="Q1723" t="s">
        <v>152</v>
      </c>
      <c r="R1723">
        <v>24</v>
      </c>
      <c r="S1723" t="s">
        <v>27</v>
      </c>
      <c r="T1723" t="str">
        <f t="shared" si="52"/>
        <v>Month</v>
      </c>
      <c r="U1723">
        <f>VLOOKUP(T1723,[1]tablescore!$B$3:$C$8, 2,FALSE)</f>
        <v>12</v>
      </c>
      <c r="V1723" t="str">
        <f t="shared" si="53"/>
        <v>Moderate</v>
      </c>
      <c r="W1723" t="s">
        <v>88</v>
      </c>
    </row>
    <row r="1724" spans="1:23" x14ac:dyDescent="0.25">
      <c r="A1724">
        <v>1723</v>
      </c>
      <c r="B1724">
        <v>46</v>
      </c>
      <c r="C1724" t="str" cm="1">
        <f t="array" ref="C1724">_xlfn.IFS(
  AND(B1724&gt;=18, B1724&lt;=24), "18-24",
  AND(B1724&gt;=25, B1724&lt;=34), "25-34",
  AND(B1724&gt;=35, B1724&lt;=44), "35-44",
  AND(B1724&gt;=45, B1724&lt;=54), "45-54",
  B1724&gt;=55, "55+"
)</f>
        <v>45-54</v>
      </c>
      <c r="D1724" t="s">
        <v>19</v>
      </c>
      <c r="E1724" t="s">
        <v>113</v>
      </c>
      <c r="F1724" t="s">
        <v>21</v>
      </c>
      <c r="G1724">
        <v>51</v>
      </c>
      <c r="H1724" t="s">
        <v>37</v>
      </c>
      <c r="I1724" t="s">
        <v>23</v>
      </c>
      <c r="J1724" t="s">
        <v>84</v>
      </c>
      <c r="K1724" t="s">
        <v>54</v>
      </c>
      <c r="L1724">
        <v>3.3</v>
      </c>
      <c r="M1724" t="s">
        <v>152</v>
      </c>
      <c r="N1724" t="s">
        <v>35</v>
      </c>
      <c r="O1724" t="s">
        <v>55</v>
      </c>
      <c r="P1724" t="s">
        <v>152</v>
      </c>
      <c r="Q1724" t="s">
        <v>152</v>
      </c>
      <c r="R1724">
        <v>14</v>
      </c>
      <c r="S1724" t="s">
        <v>35</v>
      </c>
      <c r="T1724" t="str">
        <f t="shared" si="52"/>
        <v>2-week</v>
      </c>
      <c r="U1724">
        <f>VLOOKUP(T1724,[1]tablescore!$B$3:$C$8, 2,FALSE)</f>
        <v>26</v>
      </c>
      <c r="V1724" t="str">
        <f t="shared" si="53"/>
        <v>Loyal</v>
      </c>
      <c r="W1724" t="s">
        <v>30</v>
      </c>
    </row>
    <row r="1725" spans="1:23" x14ac:dyDescent="0.25">
      <c r="A1725">
        <v>1724</v>
      </c>
      <c r="B1725">
        <v>70</v>
      </c>
      <c r="C1725" t="str" cm="1">
        <f t="array" ref="C1725">_xlfn.IFS(
  AND(B1725&gt;=18, B1725&lt;=24), "18-24",
  AND(B1725&gt;=25, B1725&lt;=34), "25-34",
  AND(B1725&gt;=35, B1725&lt;=44), "35-44",
  AND(B1725&gt;=45, B1725&lt;=54), "45-54",
  B1725&gt;=55, "55+"
)</f>
        <v>55+</v>
      </c>
      <c r="D1725" t="s">
        <v>19</v>
      </c>
      <c r="E1725" t="s">
        <v>119</v>
      </c>
      <c r="F1725" t="s">
        <v>69</v>
      </c>
      <c r="G1725">
        <v>20</v>
      </c>
      <c r="H1725" t="s">
        <v>85</v>
      </c>
      <c r="I1725" t="s">
        <v>92</v>
      </c>
      <c r="J1725" t="s">
        <v>81</v>
      </c>
      <c r="K1725" t="s">
        <v>39</v>
      </c>
      <c r="L1725">
        <v>3.3</v>
      </c>
      <c r="M1725" t="s">
        <v>152</v>
      </c>
      <c r="N1725" t="s">
        <v>34</v>
      </c>
      <c r="O1725" t="s">
        <v>55</v>
      </c>
      <c r="P1725" t="s">
        <v>152</v>
      </c>
      <c r="Q1725" t="s">
        <v>152</v>
      </c>
      <c r="R1725">
        <v>39</v>
      </c>
      <c r="S1725" t="s">
        <v>46</v>
      </c>
      <c r="T1725" t="str">
        <f t="shared" si="52"/>
        <v>Annually</v>
      </c>
      <c r="U1725">
        <f>VLOOKUP(T1725,[1]tablescore!$B$3:$C$8, 2,FALSE)</f>
        <v>1</v>
      </c>
      <c r="V1725" t="str">
        <f t="shared" si="53"/>
        <v>Low Loyalty</v>
      </c>
      <c r="W1725" t="s">
        <v>50</v>
      </c>
    </row>
    <row r="1726" spans="1:23" x14ac:dyDescent="0.25">
      <c r="A1726">
        <v>1725</v>
      </c>
      <c r="B1726">
        <v>42</v>
      </c>
      <c r="C1726" t="str" cm="1">
        <f t="array" ref="C1726">_xlfn.IFS(
  AND(B1726&gt;=18, B1726&lt;=24), "18-24",
  AND(B1726&gt;=25, B1726&lt;=34), "25-34",
  AND(B1726&gt;=35, B1726&lt;=44), "35-44",
  AND(B1726&gt;=45, B1726&lt;=54), "45-54",
  B1726&gt;=55, "55+"
)</f>
        <v>35-44</v>
      </c>
      <c r="D1726" t="s">
        <v>19</v>
      </c>
      <c r="E1726" t="s">
        <v>73</v>
      </c>
      <c r="F1726" t="s">
        <v>43</v>
      </c>
      <c r="G1726">
        <v>72</v>
      </c>
      <c r="H1726" t="s">
        <v>80</v>
      </c>
      <c r="I1726" t="s">
        <v>38</v>
      </c>
      <c r="J1726" t="s">
        <v>86</v>
      </c>
      <c r="K1726" t="s">
        <v>25</v>
      </c>
      <c r="L1726">
        <v>3.3</v>
      </c>
      <c r="M1726" t="s">
        <v>152</v>
      </c>
      <c r="N1726" t="s">
        <v>46</v>
      </c>
      <c r="O1726" t="s">
        <v>40</v>
      </c>
      <c r="P1726" t="s">
        <v>152</v>
      </c>
      <c r="Q1726" t="s">
        <v>152</v>
      </c>
      <c r="R1726">
        <v>21</v>
      </c>
      <c r="S1726" t="s">
        <v>46</v>
      </c>
      <c r="T1726" t="str">
        <f t="shared" si="52"/>
        <v>Daily</v>
      </c>
      <c r="U1726">
        <f>VLOOKUP(T1726,[1]tablescore!$B$3:$C$8, 2,FALSE)</f>
        <v>30</v>
      </c>
      <c r="V1726" t="str">
        <f t="shared" si="53"/>
        <v>Highly Loyal</v>
      </c>
      <c r="W1726" t="s">
        <v>41</v>
      </c>
    </row>
    <row r="1727" spans="1:23" x14ac:dyDescent="0.25">
      <c r="A1727">
        <v>1726</v>
      </c>
      <c r="B1727">
        <v>45</v>
      </c>
      <c r="C1727" t="str" cm="1">
        <f t="array" ref="C1727">_xlfn.IFS(
  AND(B1727&gt;=18, B1727&lt;=24), "18-24",
  AND(B1727&gt;=25, B1727&lt;=34), "25-34",
  AND(B1727&gt;=35, B1727&lt;=44), "35-44",
  AND(B1727&gt;=45, B1727&lt;=54), "45-54",
  B1727&gt;=55, "55+"
)</f>
        <v>45-54</v>
      </c>
      <c r="D1727" t="s">
        <v>19</v>
      </c>
      <c r="E1727" t="s">
        <v>89</v>
      </c>
      <c r="F1727" t="s">
        <v>69</v>
      </c>
      <c r="G1727">
        <v>33</v>
      </c>
      <c r="H1727" t="s">
        <v>37</v>
      </c>
      <c r="I1727" t="s">
        <v>45</v>
      </c>
      <c r="J1727" t="s">
        <v>129</v>
      </c>
      <c r="K1727" t="s">
        <v>39</v>
      </c>
      <c r="L1727">
        <v>3</v>
      </c>
      <c r="M1727" t="s">
        <v>152</v>
      </c>
      <c r="N1727" t="s">
        <v>35</v>
      </c>
      <c r="O1727" t="s">
        <v>47</v>
      </c>
      <c r="P1727" t="s">
        <v>152</v>
      </c>
      <c r="Q1727" t="s">
        <v>152</v>
      </c>
      <c r="R1727">
        <v>32</v>
      </c>
      <c r="S1727" t="s">
        <v>29</v>
      </c>
      <c r="T1727" t="str">
        <f t="shared" si="52"/>
        <v>Quarterly</v>
      </c>
      <c r="U1727">
        <f>VLOOKUP(T1727,[1]tablescore!$B$3:$C$8, 2,FALSE)</f>
        <v>4</v>
      </c>
      <c r="V1727" t="str">
        <f t="shared" si="53"/>
        <v>Low Loyalty</v>
      </c>
      <c r="W1727" t="s">
        <v>60</v>
      </c>
    </row>
    <row r="1728" spans="1:23" x14ac:dyDescent="0.25">
      <c r="A1728">
        <v>1727</v>
      </c>
      <c r="B1728">
        <v>57</v>
      </c>
      <c r="C1728" t="str" cm="1">
        <f t="array" ref="C1728">_xlfn.IFS(
  AND(B1728&gt;=18, B1728&lt;=24), "18-24",
  AND(B1728&gt;=25, B1728&lt;=34), "25-34",
  AND(B1728&gt;=35, B1728&lt;=44), "35-44",
  AND(B1728&gt;=45, B1728&lt;=54), "45-54",
  B1728&gt;=55, "55+"
)</f>
        <v>55+</v>
      </c>
      <c r="D1728" t="s">
        <v>19</v>
      </c>
      <c r="E1728" t="s">
        <v>64</v>
      </c>
      <c r="F1728" t="s">
        <v>65</v>
      </c>
      <c r="G1728">
        <v>28</v>
      </c>
      <c r="H1728" t="s">
        <v>116</v>
      </c>
      <c r="I1728" t="s">
        <v>38</v>
      </c>
      <c r="J1728" t="s">
        <v>79</v>
      </c>
      <c r="K1728" t="s">
        <v>54</v>
      </c>
      <c r="L1728">
        <v>2.8</v>
      </c>
      <c r="M1728" t="s">
        <v>152</v>
      </c>
      <c r="N1728" t="s">
        <v>27</v>
      </c>
      <c r="O1728" t="s">
        <v>28</v>
      </c>
      <c r="P1728" t="s">
        <v>152</v>
      </c>
      <c r="Q1728" t="s">
        <v>152</v>
      </c>
      <c r="R1728">
        <v>45</v>
      </c>
      <c r="S1728" t="s">
        <v>59</v>
      </c>
      <c r="T1728" t="str">
        <f t="shared" si="52"/>
        <v>Daily</v>
      </c>
      <c r="U1728">
        <f>VLOOKUP(T1728,[1]tablescore!$B$3:$C$8, 2,FALSE)</f>
        <v>30</v>
      </c>
      <c r="V1728" t="str">
        <f t="shared" si="53"/>
        <v>Highly Loyal</v>
      </c>
      <c r="W1728" t="s">
        <v>41</v>
      </c>
    </row>
    <row r="1729" spans="1:23" x14ac:dyDescent="0.25">
      <c r="A1729">
        <v>1728</v>
      </c>
      <c r="B1729">
        <v>49</v>
      </c>
      <c r="C1729" t="str" cm="1">
        <f t="array" ref="C1729">_xlfn.IFS(
  AND(B1729&gt;=18, B1729&lt;=24), "18-24",
  AND(B1729&gt;=25, B1729&lt;=34), "25-34",
  AND(B1729&gt;=35, B1729&lt;=44), "35-44",
  AND(B1729&gt;=45, B1729&lt;=54), "45-54",
  B1729&gt;=55, "55+"
)</f>
        <v>45-54</v>
      </c>
      <c r="D1729" t="s">
        <v>19</v>
      </c>
      <c r="E1729" t="s">
        <v>20</v>
      </c>
      <c r="F1729" t="s">
        <v>21</v>
      </c>
      <c r="G1729">
        <v>53</v>
      </c>
      <c r="H1729" t="s">
        <v>128</v>
      </c>
      <c r="I1729" t="s">
        <v>38</v>
      </c>
      <c r="J1729" t="s">
        <v>84</v>
      </c>
      <c r="K1729" t="s">
        <v>39</v>
      </c>
      <c r="L1729">
        <v>4</v>
      </c>
      <c r="M1729" t="s">
        <v>152</v>
      </c>
      <c r="N1729" t="s">
        <v>27</v>
      </c>
      <c r="O1729" t="s">
        <v>28</v>
      </c>
      <c r="P1729" t="s">
        <v>152</v>
      </c>
      <c r="Q1729" t="s">
        <v>152</v>
      </c>
      <c r="R1729">
        <v>19</v>
      </c>
      <c r="S1729" t="s">
        <v>46</v>
      </c>
      <c r="T1729" t="str">
        <f t="shared" si="52"/>
        <v>Month</v>
      </c>
      <c r="U1729">
        <f>VLOOKUP(T1729,[1]tablescore!$B$3:$C$8, 2,FALSE)</f>
        <v>12</v>
      </c>
      <c r="V1729" t="str">
        <f t="shared" si="53"/>
        <v>Moderate</v>
      </c>
      <c r="W1729" t="s">
        <v>88</v>
      </c>
    </row>
    <row r="1730" spans="1:23" x14ac:dyDescent="0.25">
      <c r="A1730">
        <v>1729</v>
      </c>
      <c r="B1730">
        <v>23</v>
      </c>
      <c r="C1730" t="str" cm="1">
        <f t="array" ref="C1730">_xlfn.IFS(
  AND(B1730&gt;=18, B1730&lt;=24), "18-24",
  AND(B1730&gt;=25, B1730&lt;=34), "25-34",
  AND(B1730&gt;=35, B1730&lt;=44), "35-44",
  AND(B1730&gt;=45, B1730&lt;=54), "45-54",
  B1730&gt;=55, "55+"
)</f>
        <v>18-24</v>
      </c>
      <c r="D1730" t="s">
        <v>19</v>
      </c>
      <c r="E1730" t="s">
        <v>36</v>
      </c>
      <c r="F1730" t="s">
        <v>21</v>
      </c>
      <c r="G1730">
        <v>48</v>
      </c>
      <c r="H1730" t="s">
        <v>52</v>
      </c>
      <c r="I1730" t="s">
        <v>23</v>
      </c>
      <c r="J1730" t="s">
        <v>94</v>
      </c>
      <c r="K1730" t="s">
        <v>58</v>
      </c>
      <c r="L1730">
        <v>4.3</v>
      </c>
      <c r="M1730" t="s">
        <v>152</v>
      </c>
      <c r="N1730" t="s">
        <v>59</v>
      </c>
      <c r="O1730" t="s">
        <v>28</v>
      </c>
      <c r="P1730" t="s">
        <v>152</v>
      </c>
      <c r="Q1730" t="s">
        <v>152</v>
      </c>
      <c r="R1730">
        <v>1</v>
      </c>
      <c r="S1730" t="s">
        <v>59</v>
      </c>
      <c r="T1730" t="str">
        <f t="shared" si="52"/>
        <v>Quarterly</v>
      </c>
      <c r="U1730">
        <f>VLOOKUP(T1730,[1]tablescore!$B$3:$C$8, 2,FALSE)</f>
        <v>4</v>
      </c>
      <c r="V1730" t="str">
        <f t="shared" si="53"/>
        <v>Low Loyalty</v>
      </c>
      <c r="W1730" t="s">
        <v>97</v>
      </c>
    </row>
    <row r="1731" spans="1:23" x14ac:dyDescent="0.25">
      <c r="A1731">
        <v>1730</v>
      </c>
      <c r="B1731">
        <v>47</v>
      </c>
      <c r="C1731" t="str" cm="1">
        <f t="array" ref="C1731">_xlfn.IFS(
  AND(B1731&gt;=18, B1731&lt;=24), "18-24",
  AND(B1731&gt;=25, B1731&lt;=34), "25-34",
  AND(B1731&gt;=35, B1731&lt;=44), "35-44",
  AND(B1731&gt;=45, B1731&lt;=54), "45-54",
  B1731&gt;=55, "55+"
)</f>
        <v>45-54</v>
      </c>
      <c r="D1731" t="s">
        <v>19</v>
      </c>
      <c r="E1731" t="s">
        <v>61</v>
      </c>
      <c r="F1731" t="s">
        <v>21</v>
      </c>
      <c r="G1731">
        <v>21</v>
      </c>
      <c r="H1731" t="s">
        <v>115</v>
      </c>
      <c r="I1731" t="s">
        <v>45</v>
      </c>
      <c r="J1731" t="s">
        <v>110</v>
      </c>
      <c r="K1731" t="s">
        <v>25</v>
      </c>
      <c r="L1731">
        <v>3.8</v>
      </c>
      <c r="M1731" t="s">
        <v>152</v>
      </c>
      <c r="N1731" t="s">
        <v>29</v>
      </c>
      <c r="O1731" t="s">
        <v>76</v>
      </c>
      <c r="P1731" t="s">
        <v>152</v>
      </c>
      <c r="Q1731" t="s">
        <v>152</v>
      </c>
      <c r="R1731">
        <v>12</v>
      </c>
      <c r="S1731" t="s">
        <v>29</v>
      </c>
      <c r="T1731" t="str">
        <f t="shared" ref="T1731:T1794" si="54">IF(TRIM(W1731)="Every 3 months","Quarterly",IF(TRIM(W1731)="Fortnightly","2-week",IF(TRIM(W1731)="Bi-Weekly","2-week",IF(TRIM(W1731)="Weekly","Daily",IF(TRIM(W1731)="Monthly","Month",TRIM(W1731))))))</f>
        <v>2-week</v>
      </c>
      <c r="U1731">
        <f>VLOOKUP(T1731,[1]tablescore!$B$3:$C$8, 2,FALSE)</f>
        <v>26</v>
      </c>
      <c r="V1731" t="str">
        <f t="shared" ref="V1731:V1794" si="55">_xlfn.IFS(U1731&gt;=30, "Highly Loyal", U1731&gt;=26, "Loyal", U1731&gt;=12, "Moderate", U1731&lt;5, "Low Loyalty")</f>
        <v>Loyal</v>
      </c>
      <c r="W1731" t="s">
        <v>30</v>
      </c>
    </row>
    <row r="1732" spans="1:23" x14ac:dyDescent="0.25">
      <c r="A1732">
        <v>1731</v>
      </c>
      <c r="B1732">
        <v>23</v>
      </c>
      <c r="C1732" t="str" cm="1">
        <f t="array" ref="C1732">_xlfn.IFS(
  AND(B1732&gt;=18, B1732&lt;=24), "18-24",
  AND(B1732&gt;=25, B1732&lt;=34), "25-34",
  AND(B1732&gt;=35, B1732&lt;=44), "35-44",
  AND(B1732&gt;=45, B1732&lt;=54), "45-54",
  B1732&gt;=55, "55+"
)</f>
        <v>18-24</v>
      </c>
      <c r="D1732" t="s">
        <v>19</v>
      </c>
      <c r="E1732" t="s">
        <v>56</v>
      </c>
      <c r="F1732" t="s">
        <v>21</v>
      </c>
      <c r="G1732">
        <v>22</v>
      </c>
      <c r="H1732" t="s">
        <v>90</v>
      </c>
      <c r="I1732" t="s">
        <v>38</v>
      </c>
      <c r="J1732" t="s">
        <v>67</v>
      </c>
      <c r="K1732" t="s">
        <v>58</v>
      </c>
      <c r="L1732">
        <v>4.2</v>
      </c>
      <c r="M1732" t="s">
        <v>152</v>
      </c>
      <c r="N1732" t="s">
        <v>35</v>
      </c>
      <c r="O1732" t="s">
        <v>40</v>
      </c>
      <c r="P1732" t="s">
        <v>152</v>
      </c>
      <c r="Q1732" t="s">
        <v>152</v>
      </c>
      <c r="R1732">
        <v>26</v>
      </c>
      <c r="S1732" t="s">
        <v>27</v>
      </c>
      <c r="T1732" t="str">
        <f t="shared" si="54"/>
        <v>Daily</v>
      </c>
      <c r="U1732">
        <f>VLOOKUP(T1732,[1]tablescore!$B$3:$C$8, 2,FALSE)</f>
        <v>30</v>
      </c>
      <c r="V1732" t="str">
        <f t="shared" si="55"/>
        <v>Highly Loyal</v>
      </c>
      <c r="W1732" t="s">
        <v>41</v>
      </c>
    </row>
    <row r="1733" spans="1:23" x14ac:dyDescent="0.25">
      <c r="A1733">
        <v>1732</v>
      </c>
      <c r="B1733">
        <v>21</v>
      </c>
      <c r="C1733" t="str" cm="1">
        <f t="array" ref="C1733">_xlfn.IFS(
  AND(B1733&gt;=18, B1733&lt;=24), "18-24",
  AND(B1733&gt;=25, B1733&lt;=34), "25-34",
  AND(B1733&gt;=35, B1733&lt;=44), "35-44",
  AND(B1733&gt;=45, B1733&lt;=54), "45-54",
  B1733&gt;=55, "55+"
)</f>
        <v>18-24</v>
      </c>
      <c r="D1733" t="s">
        <v>19</v>
      </c>
      <c r="E1733" t="s">
        <v>133</v>
      </c>
      <c r="F1733" t="s">
        <v>69</v>
      </c>
      <c r="G1733">
        <v>87</v>
      </c>
      <c r="H1733" t="s">
        <v>144</v>
      </c>
      <c r="I1733" t="s">
        <v>45</v>
      </c>
      <c r="J1733" t="s">
        <v>24</v>
      </c>
      <c r="K1733" t="s">
        <v>58</v>
      </c>
      <c r="L1733">
        <v>3.1</v>
      </c>
      <c r="M1733" t="s">
        <v>152</v>
      </c>
      <c r="N1733" t="s">
        <v>59</v>
      </c>
      <c r="O1733" t="s">
        <v>47</v>
      </c>
      <c r="P1733" t="s">
        <v>152</v>
      </c>
      <c r="Q1733" t="s">
        <v>152</v>
      </c>
      <c r="R1733">
        <v>12</v>
      </c>
      <c r="S1733" t="s">
        <v>35</v>
      </c>
      <c r="T1733" t="str">
        <f t="shared" si="54"/>
        <v>Month</v>
      </c>
      <c r="U1733">
        <f>VLOOKUP(T1733,[1]tablescore!$B$3:$C$8, 2,FALSE)</f>
        <v>12</v>
      </c>
      <c r="V1733" t="str">
        <f t="shared" si="55"/>
        <v>Moderate</v>
      </c>
      <c r="W1733" t="s">
        <v>88</v>
      </c>
    </row>
    <row r="1734" spans="1:23" x14ac:dyDescent="0.25">
      <c r="A1734">
        <v>1733</v>
      </c>
      <c r="B1734">
        <v>45</v>
      </c>
      <c r="C1734" t="str" cm="1">
        <f t="array" ref="C1734">_xlfn.IFS(
  AND(B1734&gt;=18, B1734&lt;=24), "18-24",
  AND(B1734&gt;=25, B1734&lt;=34), "25-34",
  AND(B1734&gt;=35, B1734&lt;=44), "35-44",
  AND(B1734&gt;=45, B1734&lt;=54), "45-54",
  B1734&gt;=55, "55+"
)</f>
        <v>45-54</v>
      </c>
      <c r="D1734" t="s">
        <v>19</v>
      </c>
      <c r="E1734" t="s">
        <v>136</v>
      </c>
      <c r="F1734" t="s">
        <v>69</v>
      </c>
      <c r="G1734">
        <v>50</v>
      </c>
      <c r="H1734" t="s">
        <v>44</v>
      </c>
      <c r="I1734" t="s">
        <v>38</v>
      </c>
      <c r="J1734" t="s">
        <v>63</v>
      </c>
      <c r="K1734" t="s">
        <v>25</v>
      </c>
      <c r="L1734">
        <v>2.6</v>
      </c>
      <c r="M1734" t="s">
        <v>152</v>
      </c>
      <c r="N1734" t="s">
        <v>35</v>
      </c>
      <c r="O1734" t="s">
        <v>40</v>
      </c>
      <c r="P1734" t="s">
        <v>152</v>
      </c>
      <c r="Q1734" t="s">
        <v>152</v>
      </c>
      <c r="R1734">
        <v>36</v>
      </c>
      <c r="S1734" t="s">
        <v>35</v>
      </c>
      <c r="T1734" t="str">
        <f t="shared" si="54"/>
        <v>Quarterly</v>
      </c>
      <c r="U1734">
        <f>VLOOKUP(T1734,[1]tablescore!$B$3:$C$8, 2,FALSE)</f>
        <v>4</v>
      </c>
      <c r="V1734" t="str">
        <f t="shared" si="55"/>
        <v>Low Loyalty</v>
      </c>
      <c r="W1734" t="s">
        <v>97</v>
      </c>
    </row>
    <row r="1735" spans="1:23" x14ac:dyDescent="0.25">
      <c r="A1735">
        <v>1734</v>
      </c>
      <c r="B1735">
        <v>67</v>
      </c>
      <c r="C1735" t="str" cm="1">
        <f t="array" ref="C1735">_xlfn.IFS(
  AND(B1735&gt;=18, B1735&lt;=24), "18-24",
  AND(B1735&gt;=25, B1735&lt;=34), "25-34",
  AND(B1735&gt;=35, B1735&lt;=44), "35-44",
  AND(B1735&gt;=45, B1735&lt;=54), "45-54",
  B1735&gt;=55, "55+"
)</f>
        <v>55+</v>
      </c>
      <c r="D1735" t="s">
        <v>19</v>
      </c>
      <c r="E1735" t="s">
        <v>20</v>
      </c>
      <c r="F1735" t="s">
        <v>21</v>
      </c>
      <c r="G1735">
        <v>85</v>
      </c>
      <c r="H1735" t="s">
        <v>85</v>
      </c>
      <c r="I1735" t="s">
        <v>23</v>
      </c>
      <c r="J1735" t="s">
        <v>94</v>
      </c>
      <c r="K1735" t="s">
        <v>54</v>
      </c>
      <c r="L1735">
        <v>3.4</v>
      </c>
      <c r="M1735" t="s">
        <v>152</v>
      </c>
      <c r="N1735" t="s">
        <v>34</v>
      </c>
      <c r="O1735" t="s">
        <v>28</v>
      </c>
      <c r="P1735" t="s">
        <v>152</v>
      </c>
      <c r="Q1735" t="s">
        <v>152</v>
      </c>
      <c r="R1735">
        <v>22</v>
      </c>
      <c r="S1735" t="s">
        <v>27</v>
      </c>
      <c r="T1735" t="str">
        <f t="shared" si="54"/>
        <v>Annually</v>
      </c>
      <c r="U1735">
        <f>VLOOKUP(T1735,[1]tablescore!$B$3:$C$8, 2,FALSE)</f>
        <v>1</v>
      </c>
      <c r="V1735" t="str">
        <f t="shared" si="55"/>
        <v>Low Loyalty</v>
      </c>
      <c r="W1735" t="s">
        <v>50</v>
      </c>
    </row>
    <row r="1736" spans="1:23" x14ac:dyDescent="0.25">
      <c r="A1736">
        <v>1735</v>
      </c>
      <c r="B1736">
        <v>31</v>
      </c>
      <c r="C1736" t="str" cm="1">
        <f t="array" ref="C1736">_xlfn.IFS(
  AND(B1736&gt;=18, B1736&lt;=24), "18-24",
  AND(B1736&gt;=25, B1736&lt;=34), "25-34",
  AND(B1736&gt;=35, B1736&lt;=44), "35-44",
  AND(B1736&gt;=45, B1736&lt;=54), "45-54",
  B1736&gt;=55, "55+"
)</f>
        <v>25-34</v>
      </c>
      <c r="D1736" t="s">
        <v>19</v>
      </c>
      <c r="E1736" t="s">
        <v>36</v>
      </c>
      <c r="F1736" t="s">
        <v>21</v>
      </c>
      <c r="G1736">
        <v>98</v>
      </c>
      <c r="H1736" t="s">
        <v>70</v>
      </c>
      <c r="I1736" t="s">
        <v>23</v>
      </c>
      <c r="J1736" t="s">
        <v>110</v>
      </c>
      <c r="K1736" t="s">
        <v>39</v>
      </c>
      <c r="L1736">
        <v>3.1</v>
      </c>
      <c r="M1736" t="s">
        <v>152</v>
      </c>
      <c r="N1736" t="s">
        <v>27</v>
      </c>
      <c r="O1736" t="s">
        <v>47</v>
      </c>
      <c r="P1736" t="s">
        <v>152</v>
      </c>
      <c r="Q1736" t="s">
        <v>152</v>
      </c>
      <c r="R1736">
        <v>16</v>
      </c>
      <c r="S1736" t="s">
        <v>46</v>
      </c>
      <c r="T1736" t="str">
        <f t="shared" si="54"/>
        <v>Quarterly</v>
      </c>
      <c r="U1736">
        <f>VLOOKUP(T1736,[1]tablescore!$B$3:$C$8, 2,FALSE)</f>
        <v>4</v>
      </c>
      <c r="V1736" t="str">
        <f t="shared" si="55"/>
        <v>Low Loyalty</v>
      </c>
      <c r="W1736" t="s">
        <v>60</v>
      </c>
    </row>
    <row r="1737" spans="1:23" x14ac:dyDescent="0.25">
      <c r="A1737">
        <v>1736</v>
      </c>
      <c r="B1737">
        <v>58</v>
      </c>
      <c r="C1737" t="str" cm="1">
        <f t="array" ref="C1737">_xlfn.IFS(
  AND(B1737&gt;=18, B1737&lt;=24), "18-24",
  AND(B1737&gt;=25, B1737&lt;=34), "25-34",
  AND(B1737&gt;=35, B1737&lt;=44), "35-44",
  AND(B1737&gt;=45, B1737&lt;=54), "45-54",
  B1737&gt;=55, "55+"
)</f>
        <v>55+</v>
      </c>
      <c r="D1737" t="s">
        <v>19</v>
      </c>
      <c r="E1737" t="s">
        <v>82</v>
      </c>
      <c r="F1737" t="s">
        <v>21</v>
      </c>
      <c r="G1737">
        <v>34</v>
      </c>
      <c r="H1737" t="s">
        <v>105</v>
      </c>
      <c r="I1737" t="s">
        <v>45</v>
      </c>
      <c r="J1737" t="s">
        <v>75</v>
      </c>
      <c r="K1737" t="s">
        <v>25</v>
      </c>
      <c r="L1737">
        <v>3.6</v>
      </c>
      <c r="M1737" t="s">
        <v>152</v>
      </c>
      <c r="N1737" t="s">
        <v>59</v>
      </c>
      <c r="O1737" t="s">
        <v>28</v>
      </c>
      <c r="P1737" t="s">
        <v>152</v>
      </c>
      <c r="Q1737" t="s">
        <v>152</v>
      </c>
      <c r="R1737">
        <v>31</v>
      </c>
      <c r="S1737" t="s">
        <v>29</v>
      </c>
      <c r="T1737" t="str">
        <f t="shared" si="54"/>
        <v>Annually</v>
      </c>
      <c r="U1737">
        <f>VLOOKUP(T1737,[1]tablescore!$B$3:$C$8, 2,FALSE)</f>
        <v>1</v>
      </c>
      <c r="V1737" t="str">
        <f t="shared" si="55"/>
        <v>Low Loyalty</v>
      </c>
      <c r="W1737" t="s">
        <v>50</v>
      </c>
    </row>
    <row r="1738" spans="1:23" x14ac:dyDescent="0.25">
      <c r="A1738">
        <v>1737</v>
      </c>
      <c r="B1738">
        <v>57</v>
      </c>
      <c r="C1738" t="str" cm="1">
        <f t="array" ref="C1738">_xlfn.IFS(
  AND(B1738&gt;=18, B1738&lt;=24), "18-24",
  AND(B1738&gt;=25, B1738&lt;=34), "25-34",
  AND(B1738&gt;=35, B1738&lt;=44), "35-44",
  AND(B1738&gt;=45, B1738&lt;=54), "45-54",
  B1738&gt;=55, "55+"
)</f>
        <v>55+</v>
      </c>
      <c r="D1738" t="s">
        <v>19</v>
      </c>
      <c r="E1738" t="s">
        <v>61</v>
      </c>
      <c r="F1738" t="s">
        <v>21</v>
      </c>
      <c r="G1738">
        <v>61</v>
      </c>
      <c r="H1738" t="s">
        <v>122</v>
      </c>
      <c r="I1738" t="s">
        <v>45</v>
      </c>
      <c r="J1738" t="s">
        <v>75</v>
      </c>
      <c r="K1738" t="s">
        <v>54</v>
      </c>
      <c r="L1738">
        <v>2.6</v>
      </c>
      <c r="M1738" t="s">
        <v>152</v>
      </c>
      <c r="N1738" t="s">
        <v>35</v>
      </c>
      <c r="O1738" t="s">
        <v>72</v>
      </c>
      <c r="P1738" t="s">
        <v>152</v>
      </c>
      <c r="Q1738" t="s">
        <v>152</v>
      </c>
      <c r="R1738">
        <v>43</v>
      </c>
      <c r="S1738" t="s">
        <v>35</v>
      </c>
      <c r="T1738" t="str">
        <f t="shared" si="54"/>
        <v>Quarterly</v>
      </c>
      <c r="U1738">
        <f>VLOOKUP(T1738,[1]tablescore!$B$3:$C$8, 2,FALSE)</f>
        <v>4</v>
      </c>
      <c r="V1738" t="str">
        <f t="shared" si="55"/>
        <v>Low Loyalty</v>
      </c>
      <c r="W1738" t="s">
        <v>60</v>
      </c>
    </row>
    <row r="1739" spans="1:23" x14ac:dyDescent="0.25">
      <c r="A1739">
        <v>1738</v>
      </c>
      <c r="B1739">
        <v>42</v>
      </c>
      <c r="C1739" t="str" cm="1">
        <f t="array" ref="C1739">_xlfn.IFS(
  AND(B1739&gt;=18, B1739&lt;=24), "18-24",
  AND(B1739&gt;=25, B1739&lt;=34), "25-34",
  AND(B1739&gt;=35, B1739&lt;=44), "35-44",
  AND(B1739&gt;=45, B1739&lt;=54), "45-54",
  B1739&gt;=55, "55+"
)</f>
        <v>35-44</v>
      </c>
      <c r="D1739" t="s">
        <v>19</v>
      </c>
      <c r="E1739" t="s">
        <v>106</v>
      </c>
      <c r="F1739" t="s">
        <v>69</v>
      </c>
      <c r="G1739">
        <v>98</v>
      </c>
      <c r="H1739" t="s">
        <v>124</v>
      </c>
      <c r="I1739" t="s">
        <v>23</v>
      </c>
      <c r="J1739" t="s">
        <v>24</v>
      </c>
      <c r="K1739" t="s">
        <v>54</v>
      </c>
      <c r="L1739">
        <v>4.2</v>
      </c>
      <c r="M1739" t="s">
        <v>152</v>
      </c>
      <c r="N1739" t="s">
        <v>34</v>
      </c>
      <c r="O1739" t="s">
        <v>76</v>
      </c>
      <c r="P1739" t="s">
        <v>152</v>
      </c>
      <c r="Q1739" t="s">
        <v>152</v>
      </c>
      <c r="R1739">
        <v>50</v>
      </c>
      <c r="S1739" t="s">
        <v>29</v>
      </c>
      <c r="T1739" t="str">
        <f t="shared" si="54"/>
        <v>2-week</v>
      </c>
      <c r="U1739">
        <f>VLOOKUP(T1739,[1]tablescore!$B$3:$C$8, 2,FALSE)</f>
        <v>26</v>
      </c>
      <c r="V1739" t="str">
        <f t="shared" si="55"/>
        <v>Loyal</v>
      </c>
      <c r="W1739" t="s">
        <v>77</v>
      </c>
    </row>
    <row r="1740" spans="1:23" x14ac:dyDescent="0.25">
      <c r="A1740">
        <v>1739</v>
      </c>
      <c r="B1740">
        <v>60</v>
      </c>
      <c r="C1740" t="str" cm="1">
        <f t="array" ref="C1740">_xlfn.IFS(
  AND(B1740&gt;=18, B1740&lt;=24), "18-24",
  AND(B1740&gt;=25, B1740&lt;=34), "25-34",
  AND(B1740&gt;=35, B1740&lt;=44), "35-44",
  AND(B1740&gt;=45, B1740&lt;=54), "45-54",
  B1740&gt;=55, "55+"
)</f>
        <v>55+</v>
      </c>
      <c r="D1740" t="s">
        <v>19</v>
      </c>
      <c r="E1740" t="s">
        <v>68</v>
      </c>
      <c r="F1740" t="s">
        <v>69</v>
      </c>
      <c r="G1740">
        <v>61</v>
      </c>
      <c r="H1740" t="s">
        <v>122</v>
      </c>
      <c r="I1740" t="s">
        <v>45</v>
      </c>
      <c r="J1740" t="s">
        <v>96</v>
      </c>
      <c r="K1740" t="s">
        <v>39</v>
      </c>
      <c r="L1740">
        <v>2.9</v>
      </c>
      <c r="M1740" t="s">
        <v>152</v>
      </c>
      <c r="N1740" t="s">
        <v>46</v>
      </c>
      <c r="O1740" t="s">
        <v>72</v>
      </c>
      <c r="P1740" t="s">
        <v>152</v>
      </c>
      <c r="Q1740" t="s">
        <v>152</v>
      </c>
      <c r="R1740">
        <v>37</v>
      </c>
      <c r="S1740" t="s">
        <v>27</v>
      </c>
      <c r="T1740" t="str">
        <f t="shared" si="54"/>
        <v>Daily</v>
      </c>
      <c r="U1740">
        <f>VLOOKUP(T1740,[1]tablescore!$B$3:$C$8, 2,FALSE)</f>
        <v>30</v>
      </c>
      <c r="V1740" t="str">
        <f t="shared" si="55"/>
        <v>Highly Loyal</v>
      </c>
      <c r="W1740" t="s">
        <v>41</v>
      </c>
    </row>
    <row r="1741" spans="1:23" x14ac:dyDescent="0.25">
      <c r="A1741">
        <v>1740</v>
      </c>
      <c r="B1741">
        <v>21</v>
      </c>
      <c r="C1741" t="str" cm="1">
        <f t="array" ref="C1741">_xlfn.IFS(
  AND(B1741&gt;=18, B1741&lt;=24), "18-24",
  AND(B1741&gt;=25, B1741&lt;=34), "25-34",
  AND(B1741&gt;=35, B1741&lt;=44), "35-44",
  AND(B1741&gt;=45, B1741&lt;=54), "45-54",
  B1741&gt;=55, "55+"
)</f>
        <v>18-24</v>
      </c>
      <c r="D1741" t="s">
        <v>19</v>
      </c>
      <c r="E1741" t="s">
        <v>106</v>
      </c>
      <c r="F1741" t="s">
        <v>69</v>
      </c>
      <c r="G1741">
        <v>98</v>
      </c>
      <c r="H1741" t="s">
        <v>134</v>
      </c>
      <c r="I1741" t="s">
        <v>23</v>
      </c>
      <c r="J1741" t="s">
        <v>67</v>
      </c>
      <c r="K1741" t="s">
        <v>25</v>
      </c>
      <c r="L1741">
        <v>4.2</v>
      </c>
      <c r="M1741" t="s">
        <v>152</v>
      </c>
      <c r="N1741" t="s">
        <v>27</v>
      </c>
      <c r="O1741" t="s">
        <v>28</v>
      </c>
      <c r="P1741" t="s">
        <v>152</v>
      </c>
      <c r="Q1741" t="s">
        <v>152</v>
      </c>
      <c r="R1741">
        <v>23</v>
      </c>
      <c r="S1741" t="s">
        <v>35</v>
      </c>
      <c r="T1741" t="str">
        <f t="shared" si="54"/>
        <v>Daily</v>
      </c>
      <c r="U1741">
        <f>VLOOKUP(T1741,[1]tablescore!$B$3:$C$8, 2,FALSE)</f>
        <v>30</v>
      </c>
      <c r="V1741" t="str">
        <f t="shared" si="55"/>
        <v>Highly Loyal</v>
      </c>
      <c r="W1741" t="s">
        <v>41</v>
      </c>
    </row>
    <row r="1742" spans="1:23" x14ac:dyDescent="0.25">
      <c r="A1742">
        <v>1741</v>
      </c>
      <c r="B1742">
        <v>69</v>
      </c>
      <c r="C1742" t="str" cm="1">
        <f t="array" ref="C1742">_xlfn.IFS(
  AND(B1742&gt;=18, B1742&lt;=24), "18-24",
  AND(B1742&gt;=25, B1742&lt;=34), "25-34",
  AND(B1742&gt;=35, B1742&lt;=44), "35-44",
  AND(B1742&gt;=45, B1742&lt;=54), "45-54",
  B1742&gt;=55, "55+"
)</f>
        <v>55+</v>
      </c>
      <c r="D1742" t="s">
        <v>19</v>
      </c>
      <c r="E1742" t="s">
        <v>95</v>
      </c>
      <c r="F1742" t="s">
        <v>21</v>
      </c>
      <c r="G1742">
        <v>21</v>
      </c>
      <c r="H1742" t="s">
        <v>148</v>
      </c>
      <c r="I1742" t="s">
        <v>23</v>
      </c>
      <c r="J1742" t="s">
        <v>63</v>
      </c>
      <c r="K1742" t="s">
        <v>58</v>
      </c>
      <c r="L1742">
        <v>3.3</v>
      </c>
      <c r="M1742" t="s">
        <v>152</v>
      </c>
      <c r="N1742" t="s">
        <v>35</v>
      </c>
      <c r="O1742" t="s">
        <v>47</v>
      </c>
      <c r="P1742" t="s">
        <v>152</v>
      </c>
      <c r="Q1742" t="s">
        <v>152</v>
      </c>
      <c r="R1742">
        <v>10</v>
      </c>
      <c r="S1742" t="s">
        <v>34</v>
      </c>
      <c r="T1742" t="str">
        <f t="shared" si="54"/>
        <v>Quarterly</v>
      </c>
      <c r="U1742">
        <f>VLOOKUP(T1742,[1]tablescore!$B$3:$C$8, 2,FALSE)</f>
        <v>4</v>
      </c>
      <c r="V1742" t="str">
        <f t="shared" si="55"/>
        <v>Low Loyalty</v>
      </c>
      <c r="W1742" t="s">
        <v>97</v>
      </c>
    </row>
    <row r="1743" spans="1:23" x14ac:dyDescent="0.25">
      <c r="A1743">
        <v>1742</v>
      </c>
      <c r="B1743">
        <v>41</v>
      </c>
      <c r="C1743" t="str" cm="1">
        <f t="array" ref="C1743">_xlfn.IFS(
  AND(B1743&gt;=18, B1743&lt;=24), "18-24",
  AND(B1743&gt;=25, B1743&lt;=34), "25-34",
  AND(B1743&gt;=35, B1743&lt;=44), "35-44",
  AND(B1743&gt;=45, B1743&lt;=54), "45-54",
  B1743&gt;=55, "55+"
)</f>
        <v>35-44</v>
      </c>
      <c r="D1743" t="s">
        <v>19</v>
      </c>
      <c r="E1743" t="s">
        <v>95</v>
      </c>
      <c r="F1743" t="s">
        <v>21</v>
      </c>
      <c r="G1743">
        <v>51</v>
      </c>
      <c r="H1743" t="s">
        <v>80</v>
      </c>
      <c r="I1743" t="s">
        <v>92</v>
      </c>
      <c r="J1743" t="s">
        <v>86</v>
      </c>
      <c r="K1743" t="s">
        <v>25</v>
      </c>
      <c r="L1743">
        <v>3.6</v>
      </c>
      <c r="M1743" t="s">
        <v>152</v>
      </c>
      <c r="N1743" t="s">
        <v>29</v>
      </c>
      <c r="O1743" t="s">
        <v>47</v>
      </c>
      <c r="P1743" t="s">
        <v>152</v>
      </c>
      <c r="Q1743" t="s">
        <v>152</v>
      </c>
      <c r="R1743">
        <v>20</v>
      </c>
      <c r="S1743" t="s">
        <v>34</v>
      </c>
      <c r="T1743" t="str">
        <f t="shared" si="54"/>
        <v>Month</v>
      </c>
      <c r="U1743">
        <f>VLOOKUP(T1743,[1]tablescore!$B$3:$C$8, 2,FALSE)</f>
        <v>12</v>
      </c>
      <c r="V1743" t="str">
        <f t="shared" si="55"/>
        <v>Moderate</v>
      </c>
      <c r="W1743" t="s">
        <v>88</v>
      </c>
    </row>
    <row r="1744" spans="1:23" x14ac:dyDescent="0.25">
      <c r="A1744">
        <v>1743</v>
      </c>
      <c r="B1744">
        <v>51</v>
      </c>
      <c r="C1744" t="str" cm="1">
        <f t="array" ref="C1744">_xlfn.IFS(
  AND(B1744&gt;=18, B1744&lt;=24), "18-24",
  AND(B1744&gt;=25, B1744&lt;=34), "25-34",
  AND(B1744&gt;=35, B1744&lt;=44), "35-44",
  AND(B1744&gt;=45, B1744&lt;=54), "45-54",
  B1744&gt;=55, "55+"
)</f>
        <v>45-54</v>
      </c>
      <c r="D1744" t="s">
        <v>19</v>
      </c>
      <c r="E1744" t="s">
        <v>42</v>
      </c>
      <c r="F1744" t="s">
        <v>43</v>
      </c>
      <c r="G1744">
        <v>80</v>
      </c>
      <c r="H1744" t="s">
        <v>111</v>
      </c>
      <c r="I1744" t="s">
        <v>92</v>
      </c>
      <c r="J1744" t="s">
        <v>53</v>
      </c>
      <c r="K1744" t="s">
        <v>39</v>
      </c>
      <c r="L1744">
        <v>4.3</v>
      </c>
      <c r="M1744" t="s">
        <v>152</v>
      </c>
      <c r="N1744" t="s">
        <v>27</v>
      </c>
      <c r="O1744" t="s">
        <v>28</v>
      </c>
      <c r="P1744" t="s">
        <v>152</v>
      </c>
      <c r="Q1744" t="s">
        <v>152</v>
      </c>
      <c r="R1744">
        <v>18</v>
      </c>
      <c r="S1744" t="s">
        <v>29</v>
      </c>
      <c r="T1744" t="str">
        <f t="shared" si="54"/>
        <v>Quarterly</v>
      </c>
      <c r="U1744">
        <f>VLOOKUP(T1744,[1]tablescore!$B$3:$C$8, 2,FALSE)</f>
        <v>4</v>
      </c>
      <c r="V1744" t="str">
        <f t="shared" si="55"/>
        <v>Low Loyalty</v>
      </c>
      <c r="W1744" t="s">
        <v>97</v>
      </c>
    </row>
    <row r="1745" spans="1:23" x14ac:dyDescent="0.25">
      <c r="A1745">
        <v>1744</v>
      </c>
      <c r="B1745">
        <v>23</v>
      </c>
      <c r="C1745" t="str" cm="1">
        <f t="array" ref="C1745">_xlfn.IFS(
  AND(B1745&gt;=18, B1745&lt;=24), "18-24",
  AND(B1745&gt;=25, B1745&lt;=34), "25-34",
  AND(B1745&gt;=35, B1745&lt;=44), "35-44",
  AND(B1745&gt;=45, B1745&lt;=54), "45-54",
  B1745&gt;=55, "55+"
)</f>
        <v>18-24</v>
      </c>
      <c r="D1745" t="s">
        <v>19</v>
      </c>
      <c r="E1745" t="s">
        <v>87</v>
      </c>
      <c r="F1745" t="s">
        <v>21</v>
      </c>
      <c r="G1745">
        <v>72</v>
      </c>
      <c r="H1745" t="s">
        <v>70</v>
      </c>
      <c r="I1745" t="s">
        <v>92</v>
      </c>
      <c r="J1745" t="s">
        <v>110</v>
      </c>
      <c r="K1745" t="s">
        <v>25</v>
      </c>
      <c r="L1745">
        <v>3.3</v>
      </c>
      <c r="M1745" t="s">
        <v>152</v>
      </c>
      <c r="N1745" t="s">
        <v>59</v>
      </c>
      <c r="O1745" t="s">
        <v>55</v>
      </c>
      <c r="P1745" t="s">
        <v>152</v>
      </c>
      <c r="Q1745" t="s">
        <v>152</v>
      </c>
      <c r="R1745">
        <v>3</v>
      </c>
      <c r="S1745" t="s">
        <v>34</v>
      </c>
      <c r="T1745" t="str">
        <f t="shared" si="54"/>
        <v>Daily</v>
      </c>
      <c r="U1745">
        <f>VLOOKUP(T1745,[1]tablescore!$B$3:$C$8, 2,FALSE)</f>
        <v>30</v>
      </c>
      <c r="V1745" t="str">
        <f t="shared" si="55"/>
        <v>Highly Loyal</v>
      </c>
      <c r="W1745" t="s">
        <v>41</v>
      </c>
    </row>
    <row r="1746" spans="1:23" x14ac:dyDescent="0.25">
      <c r="A1746">
        <v>1745</v>
      </c>
      <c r="B1746">
        <v>57</v>
      </c>
      <c r="C1746" t="str" cm="1">
        <f t="array" ref="C1746">_xlfn.IFS(
  AND(B1746&gt;=18, B1746&lt;=24), "18-24",
  AND(B1746&gt;=25, B1746&lt;=34), "25-34",
  AND(B1746&gt;=35, B1746&lt;=44), "35-44",
  AND(B1746&gt;=45, B1746&lt;=54), "45-54",
  B1746&gt;=55, "55+"
)</f>
        <v>55+</v>
      </c>
      <c r="D1746" t="s">
        <v>19</v>
      </c>
      <c r="E1746" t="s">
        <v>89</v>
      </c>
      <c r="F1746" t="s">
        <v>69</v>
      </c>
      <c r="G1746">
        <v>63</v>
      </c>
      <c r="H1746" t="s">
        <v>151</v>
      </c>
      <c r="I1746" t="s">
        <v>23</v>
      </c>
      <c r="J1746" t="s">
        <v>86</v>
      </c>
      <c r="K1746" t="s">
        <v>25</v>
      </c>
      <c r="L1746">
        <v>3</v>
      </c>
      <c r="M1746" t="s">
        <v>152</v>
      </c>
      <c r="N1746" t="s">
        <v>46</v>
      </c>
      <c r="O1746" t="s">
        <v>55</v>
      </c>
      <c r="P1746" t="s">
        <v>152</v>
      </c>
      <c r="Q1746" t="s">
        <v>152</v>
      </c>
      <c r="R1746">
        <v>23</v>
      </c>
      <c r="S1746" t="s">
        <v>46</v>
      </c>
      <c r="T1746" t="str">
        <f t="shared" si="54"/>
        <v>Daily</v>
      </c>
      <c r="U1746">
        <f>VLOOKUP(T1746,[1]tablescore!$B$3:$C$8, 2,FALSE)</f>
        <v>30</v>
      </c>
      <c r="V1746" t="str">
        <f t="shared" si="55"/>
        <v>Highly Loyal</v>
      </c>
      <c r="W1746" t="s">
        <v>41</v>
      </c>
    </row>
    <row r="1747" spans="1:23" x14ac:dyDescent="0.25">
      <c r="A1747">
        <v>1746</v>
      </c>
      <c r="B1747">
        <v>40</v>
      </c>
      <c r="C1747" t="str" cm="1">
        <f t="array" ref="C1747">_xlfn.IFS(
  AND(B1747&gt;=18, B1747&lt;=24), "18-24",
  AND(B1747&gt;=25, B1747&lt;=34), "25-34",
  AND(B1747&gt;=35, B1747&lt;=44), "35-44",
  AND(B1747&gt;=45, B1747&lt;=54), "45-54",
  B1747&gt;=55, "55+"
)</f>
        <v>35-44</v>
      </c>
      <c r="D1747" t="s">
        <v>19</v>
      </c>
      <c r="E1747" t="s">
        <v>87</v>
      </c>
      <c r="F1747" t="s">
        <v>21</v>
      </c>
      <c r="G1747">
        <v>27</v>
      </c>
      <c r="H1747" t="s">
        <v>66</v>
      </c>
      <c r="I1747" t="s">
        <v>23</v>
      </c>
      <c r="J1747" t="s">
        <v>108</v>
      </c>
      <c r="K1747" t="s">
        <v>25</v>
      </c>
      <c r="L1747">
        <v>3.6</v>
      </c>
      <c r="M1747" t="s">
        <v>152</v>
      </c>
      <c r="N1747" t="s">
        <v>27</v>
      </c>
      <c r="O1747" t="s">
        <v>76</v>
      </c>
      <c r="P1747" t="s">
        <v>152</v>
      </c>
      <c r="Q1747" t="s">
        <v>152</v>
      </c>
      <c r="R1747">
        <v>27</v>
      </c>
      <c r="S1747" t="s">
        <v>35</v>
      </c>
      <c r="T1747" t="str">
        <f t="shared" si="54"/>
        <v>Daily</v>
      </c>
      <c r="U1747">
        <f>VLOOKUP(T1747,[1]tablescore!$B$3:$C$8, 2,FALSE)</f>
        <v>30</v>
      </c>
      <c r="V1747" t="str">
        <f t="shared" si="55"/>
        <v>Highly Loyal</v>
      </c>
      <c r="W1747" t="s">
        <v>41</v>
      </c>
    </row>
    <row r="1748" spans="1:23" x14ac:dyDescent="0.25">
      <c r="A1748">
        <v>1747</v>
      </c>
      <c r="B1748">
        <v>65</v>
      </c>
      <c r="C1748" t="str" cm="1">
        <f t="array" ref="C1748">_xlfn.IFS(
  AND(B1748&gt;=18, B1748&lt;=24), "18-24",
  AND(B1748&gt;=25, B1748&lt;=34), "25-34",
  AND(B1748&gt;=35, B1748&lt;=44), "35-44",
  AND(B1748&gt;=45, B1748&lt;=54), "45-54",
  B1748&gt;=55, "55+"
)</f>
        <v>55+</v>
      </c>
      <c r="D1748" t="s">
        <v>19</v>
      </c>
      <c r="E1748" t="s">
        <v>68</v>
      </c>
      <c r="F1748" t="s">
        <v>69</v>
      </c>
      <c r="G1748">
        <v>44</v>
      </c>
      <c r="H1748" t="s">
        <v>90</v>
      </c>
      <c r="I1748" t="s">
        <v>23</v>
      </c>
      <c r="J1748" t="s">
        <v>110</v>
      </c>
      <c r="K1748" t="s">
        <v>54</v>
      </c>
      <c r="L1748">
        <v>3.1</v>
      </c>
      <c r="M1748" t="s">
        <v>152</v>
      </c>
      <c r="N1748" t="s">
        <v>34</v>
      </c>
      <c r="O1748" t="s">
        <v>76</v>
      </c>
      <c r="P1748" t="s">
        <v>152</v>
      </c>
      <c r="Q1748" t="s">
        <v>152</v>
      </c>
      <c r="R1748">
        <v>44</v>
      </c>
      <c r="S1748" t="s">
        <v>34</v>
      </c>
      <c r="T1748" t="str">
        <f t="shared" si="54"/>
        <v>2-week</v>
      </c>
      <c r="U1748">
        <f>VLOOKUP(T1748,[1]tablescore!$B$3:$C$8, 2,FALSE)</f>
        <v>26</v>
      </c>
      <c r="V1748" t="str">
        <f t="shared" si="55"/>
        <v>Loyal</v>
      </c>
      <c r="W1748" t="s">
        <v>30</v>
      </c>
    </row>
    <row r="1749" spans="1:23" x14ac:dyDescent="0.25">
      <c r="A1749">
        <v>1748</v>
      </c>
      <c r="B1749">
        <v>61</v>
      </c>
      <c r="C1749" t="str" cm="1">
        <f t="array" ref="C1749">_xlfn.IFS(
  AND(B1749&gt;=18, B1749&lt;=24), "18-24",
  AND(B1749&gt;=25, B1749&lt;=34), "25-34",
  AND(B1749&gt;=35, B1749&lt;=44), "35-44",
  AND(B1749&gt;=45, B1749&lt;=54), "45-54",
  B1749&gt;=55, "55+"
)</f>
        <v>55+</v>
      </c>
      <c r="D1749" t="s">
        <v>19</v>
      </c>
      <c r="E1749" t="s">
        <v>64</v>
      </c>
      <c r="F1749" t="s">
        <v>65</v>
      </c>
      <c r="G1749">
        <v>23</v>
      </c>
      <c r="H1749" t="s">
        <v>83</v>
      </c>
      <c r="I1749" t="s">
        <v>45</v>
      </c>
      <c r="J1749" t="s">
        <v>139</v>
      </c>
      <c r="K1749" t="s">
        <v>25</v>
      </c>
      <c r="L1749">
        <v>2.9</v>
      </c>
      <c r="M1749" t="s">
        <v>152</v>
      </c>
      <c r="N1749" t="s">
        <v>35</v>
      </c>
      <c r="O1749" t="s">
        <v>28</v>
      </c>
      <c r="P1749" t="s">
        <v>152</v>
      </c>
      <c r="Q1749" t="s">
        <v>152</v>
      </c>
      <c r="R1749">
        <v>41</v>
      </c>
      <c r="S1749" t="s">
        <v>29</v>
      </c>
      <c r="T1749" t="str">
        <f t="shared" si="54"/>
        <v>Quarterly</v>
      </c>
      <c r="U1749">
        <f>VLOOKUP(T1749,[1]tablescore!$B$3:$C$8, 2,FALSE)</f>
        <v>4</v>
      </c>
      <c r="V1749" t="str">
        <f t="shared" si="55"/>
        <v>Low Loyalty</v>
      </c>
      <c r="W1749" t="s">
        <v>60</v>
      </c>
    </row>
    <row r="1750" spans="1:23" x14ac:dyDescent="0.25">
      <c r="A1750">
        <v>1749</v>
      </c>
      <c r="B1750">
        <v>34</v>
      </c>
      <c r="C1750" t="str" cm="1">
        <f t="array" ref="C1750">_xlfn.IFS(
  AND(B1750&gt;=18, B1750&lt;=24), "18-24",
  AND(B1750&gt;=25, B1750&lt;=34), "25-34",
  AND(B1750&gt;=35, B1750&lt;=44), "35-44",
  AND(B1750&gt;=45, B1750&lt;=54), "45-54",
  B1750&gt;=55, "55+"
)</f>
        <v>25-34</v>
      </c>
      <c r="D1750" t="s">
        <v>19</v>
      </c>
      <c r="E1750" t="s">
        <v>87</v>
      </c>
      <c r="F1750" t="s">
        <v>21</v>
      </c>
      <c r="G1750">
        <v>93</v>
      </c>
      <c r="H1750" t="s">
        <v>57</v>
      </c>
      <c r="I1750" t="s">
        <v>23</v>
      </c>
      <c r="J1750" t="s">
        <v>86</v>
      </c>
      <c r="K1750" t="s">
        <v>25</v>
      </c>
      <c r="L1750">
        <v>3.9</v>
      </c>
      <c r="M1750" t="s">
        <v>152</v>
      </c>
      <c r="N1750" t="s">
        <v>34</v>
      </c>
      <c r="O1750" t="s">
        <v>72</v>
      </c>
      <c r="P1750" t="s">
        <v>152</v>
      </c>
      <c r="Q1750" t="s">
        <v>152</v>
      </c>
      <c r="R1750">
        <v>41</v>
      </c>
      <c r="S1750" t="s">
        <v>34</v>
      </c>
      <c r="T1750" t="str">
        <f t="shared" si="54"/>
        <v>Annually</v>
      </c>
      <c r="U1750">
        <f>VLOOKUP(T1750,[1]tablescore!$B$3:$C$8, 2,FALSE)</f>
        <v>1</v>
      </c>
      <c r="V1750" t="str">
        <f t="shared" si="55"/>
        <v>Low Loyalty</v>
      </c>
      <c r="W1750" t="s">
        <v>50</v>
      </c>
    </row>
    <row r="1751" spans="1:23" x14ac:dyDescent="0.25">
      <c r="A1751">
        <v>1750</v>
      </c>
      <c r="B1751">
        <v>43</v>
      </c>
      <c r="C1751" t="str" cm="1">
        <f t="array" ref="C1751">_xlfn.IFS(
  AND(B1751&gt;=18, B1751&lt;=24), "18-24",
  AND(B1751&gt;=25, B1751&lt;=34), "25-34",
  AND(B1751&gt;=35, B1751&lt;=44), "35-44",
  AND(B1751&gt;=45, B1751&lt;=54), "45-54",
  B1751&gt;=55, "55+"
)</f>
        <v>35-44</v>
      </c>
      <c r="D1751" t="s">
        <v>19</v>
      </c>
      <c r="E1751" t="s">
        <v>104</v>
      </c>
      <c r="F1751" t="s">
        <v>21</v>
      </c>
      <c r="G1751">
        <v>70</v>
      </c>
      <c r="H1751" t="s">
        <v>52</v>
      </c>
      <c r="I1751" t="s">
        <v>23</v>
      </c>
      <c r="J1751" t="s">
        <v>71</v>
      </c>
      <c r="K1751" t="s">
        <v>58</v>
      </c>
      <c r="L1751">
        <v>3.2</v>
      </c>
      <c r="M1751" t="s">
        <v>152</v>
      </c>
      <c r="N1751" t="s">
        <v>27</v>
      </c>
      <c r="O1751" t="s">
        <v>72</v>
      </c>
      <c r="P1751" t="s">
        <v>152</v>
      </c>
      <c r="Q1751" t="s">
        <v>152</v>
      </c>
      <c r="R1751">
        <v>36</v>
      </c>
      <c r="S1751" t="s">
        <v>59</v>
      </c>
      <c r="T1751" t="str">
        <f t="shared" si="54"/>
        <v>Quarterly</v>
      </c>
      <c r="U1751">
        <f>VLOOKUP(T1751,[1]tablescore!$B$3:$C$8, 2,FALSE)</f>
        <v>4</v>
      </c>
      <c r="V1751" t="str">
        <f t="shared" si="55"/>
        <v>Low Loyalty</v>
      </c>
      <c r="W1751" t="s">
        <v>97</v>
      </c>
    </row>
    <row r="1752" spans="1:23" x14ac:dyDescent="0.25">
      <c r="A1752">
        <v>1751</v>
      </c>
      <c r="B1752">
        <v>31</v>
      </c>
      <c r="C1752" t="str" cm="1">
        <f t="array" ref="C1752">_xlfn.IFS(
  AND(B1752&gt;=18, B1752&lt;=24), "18-24",
  AND(B1752&gt;=25, B1752&lt;=34), "25-34",
  AND(B1752&gt;=35, B1752&lt;=44), "35-44",
  AND(B1752&gt;=45, B1752&lt;=54), "45-54",
  B1752&gt;=55, "55+"
)</f>
        <v>25-34</v>
      </c>
      <c r="D1752" t="s">
        <v>19</v>
      </c>
      <c r="E1752" t="s">
        <v>89</v>
      </c>
      <c r="F1752" t="s">
        <v>69</v>
      </c>
      <c r="G1752">
        <v>85</v>
      </c>
      <c r="H1752" t="s">
        <v>70</v>
      </c>
      <c r="I1752" t="s">
        <v>45</v>
      </c>
      <c r="J1752" t="s">
        <v>53</v>
      </c>
      <c r="K1752" t="s">
        <v>58</v>
      </c>
      <c r="L1752">
        <v>3.1</v>
      </c>
      <c r="M1752" t="s">
        <v>152</v>
      </c>
      <c r="N1752" t="s">
        <v>27</v>
      </c>
      <c r="O1752" t="s">
        <v>28</v>
      </c>
      <c r="P1752" t="s">
        <v>152</v>
      </c>
      <c r="Q1752" t="s">
        <v>152</v>
      </c>
      <c r="R1752">
        <v>38</v>
      </c>
      <c r="S1752" t="s">
        <v>29</v>
      </c>
      <c r="T1752" t="str">
        <f t="shared" si="54"/>
        <v>Quarterly</v>
      </c>
      <c r="U1752">
        <f>VLOOKUP(T1752,[1]tablescore!$B$3:$C$8, 2,FALSE)</f>
        <v>4</v>
      </c>
      <c r="V1752" t="str">
        <f t="shared" si="55"/>
        <v>Low Loyalty</v>
      </c>
      <c r="W1752" t="s">
        <v>97</v>
      </c>
    </row>
    <row r="1753" spans="1:23" x14ac:dyDescent="0.25">
      <c r="A1753">
        <v>1752</v>
      </c>
      <c r="B1753">
        <v>57</v>
      </c>
      <c r="C1753" t="str" cm="1">
        <f t="array" ref="C1753">_xlfn.IFS(
  AND(B1753&gt;=18, B1753&lt;=24), "18-24",
  AND(B1753&gt;=25, B1753&lt;=34), "25-34",
  AND(B1753&gt;=35, B1753&lt;=44), "35-44",
  AND(B1753&gt;=45, B1753&lt;=54), "45-54",
  B1753&gt;=55, "55+"
)</f>
        <v>55+</v>
      </c>
      <c r="D1753" t="s">
        <v>19</v>
      </c>
      <c r="E1753" t="s">
        <v>31</v>
      </c>
      <c r="F1753" t="s">
        <v>21</v>
      </c>
      <c r="G1753">
        <v>40</v>
      </c>
      <c r="H1753" t="s">
        <v>124</v>
      </c>
      <c r="I1753" t="s">
        <v>45</v>
      </c>
      <c r="J1753" t="s">
        <v>67</v>
      </c>
      <c r="K1753" t="s">
        <v>25</v>
      </c>
      <c r="L1753">
        <v>3.2</v>
      </c>
      <c r="M1753" t="s">
        <v>152</v>
      </c>
      <c r="N1753" t="s">
        <v>46</v>
      </c>
      <c r="O1753" t="s">
        <v>72</v>
      </c>
      <c r="P1753" t="s">
        <v>152</v>
      </c>
      <c r="Q1753" t="s">
        <v>152</v>
      </c>
      <c r="R1753">
        <v>34</v>
      </c>
      <c r="S1753" t="s">
        <v>35</v>
      </c>
      <c r="T1753" t="str">
        <f t="shared" si="54"/>
        <v>Annually</v>
      </c>
      <c r="U1753">
        <f>VLOOKUP(T1753,[1]tablescore!$B$3:$C$8, 2,FALSE)</f>
        <v>1</v>
      </c>
      <c r="V1753" t="str">
        <f t="shared" si="55"/>
        <v>Low Loyalty</v>
      </c>
      <c r="W1753" t="s">
        <v>50</v>
      </c>
    </row>
    <row r="1754" spans="1:23" x14ac:dyDescent="0.25">
      <c r="A1754">
        <v>1753</v>
      </c>
      <c r="B1754">
        <v>34</v>
      </c>
      <c r="C1754" t="str" cm="1">
        <f t="array" ref="C1754">_xlfn.IFS(
  AND(B1754&gt;=18, B1754&lt;=24), "18-24",
  AND(B1754&gt;=25, B1754&lt;=34), "25-34",
  AND(B1754&gt;=35, B1754&lt;=44), "35-44",
  AND(B1754&gt;=45, B1754&lt;=54), "45-54",
  B1754&gt;=55, "55+"
)</f>
        <v>25-34</v>
      </c>
      <c r="D1754" t="s">
        <v>19</v>
      </c>
      <c r="E1754" t="s">
        <v>132</v>
      </c>
      <c r="F1754" t="s">
        <v>43</v>
      </c>
      <c r="G1754">
        <v>29</v>
      </c>
      <c r="H1754" t="s">
        <v>130</v>
      </c>
      <c r="I1754" t="s">
        <v>23</v>
      </c>
      <c r="J1754" t="s">
        <v>138</v>
      </c>
      <c r="K1754" t="s">
        <v>25</v>
      </c>
      <c r="L1754">
        <v>3.3</v>
      </c>
      <c r="M1754" t="s">
        <v>152</v>
      </c>
      <c r="N1754" t="s">
        <v>59</v>
      </c>
      <c r="O1754" t="s">
        <v>76</v>
      </c>
      <c r="P1754" t="s">
        <v>152</v>
      </c>
      <c r="Q1754" t="s">
        <v>152</v>
      </c>
      <c r="R1754">
        <v>14</v>
      </c>
      <c r="S1754" t="s">
        <v>29</v>
      </c>
      <c r="T1754" t="str">
        <f t="shared" si="54"/>
        <v>Quarterly</v>
      </c>
      <c r="U1754">
        <f>VLOOKUP(T1754,[1]tablescore!$B$3:$C$8, 2,FALSE)</f>
        <v>4</v>
      </c>
      <c r="V1754" t="str">
        <f t="shared" si="55"/>
        <v>Low Loyalty</v>
      </c>
      <c r="W1754" t="s">
        <v>60</v>
      </c>
    </row>
    <row r="1755" spans="1:23" x14ac:dyDescent="0.25">
      <c r="A1755">
        <v>1754</v>
      </c>
      <c r="B1755">
        <v>25</v>
      </c>
      <c r="C1755" t="str" cm="1">
        <f t="array" ref="C1755">_xlfn.IFS(
  AND(B1755&gt;=18, B1755&lt;=24), "18-24",
  AND(B1755&gt;=25, B1755&lt;=34), "25-34",
  AND(B1755&gt;=35, B1755&lt;=44), "35-44",
  AND(B1755&gt;=45, B1755&lt;=54), "45-54",
  B1755&gt;=55, "55+"
)</f>
        <v>25-34</v>
      </c>
      <c r="D1755" t="s">
        <v>19</v>
      </c>
      <c r="E1755" t="s">
        <v>87</v>
      </c>
      <c r="F1755" t="s">
        <v>21</v>
      </c>
      <c r="G1755">
        <v>27</v>
      </c>
      <c r="H1755" t="s">
        <v>112</v>
      </c>
      <c r="I1755" t="s">
        <v>23</v>
      </c>
      <c r="J1755" t="s">
        <v>94</v>
      </c>
      <c r="K1755" t="s">
        <v>58</v>
      </c>
      <c r="L1755">
        <v>4.8</v>
      </c>
      <c r="M1755" t="s">
        <v>152</v>
      </c>
      <c r="N1755" t="s">
        <v>29</v>
      </c>
      <c r="O1755" t="s">
        <v>47</v>
      </c>
      <c r="P1755" t="s">
        <v>152</v>
      </c>
      <c r="Q1755" t="s">
        <v>152</v>
      </c>
      <c r="R1755">
        <v>23</v>
      </c>
      <c r="S1755" t="s">
        <v>27</v>
      </c>
      <c r="T1755" t="str">
        <f t="shared" si="54"/>
        <v>2-week</v>
      </c>
      <c r="U1755">
        <f>VLOOKUP(T1755,[1]tablescore!$B$3:$C$8, 2,FALSE)</f>
        <v>26</v>
      </c>
      <c r="V1755" t="str">
        <f t="shared" si="55"/>
        <v>Loyal</v>
      </c>
      <c r="W1755" t="s">
        <v>30</v>
      </c>
    </row>
    <row r="1756" spans="1:23" x14ac:dyDescent="0.25">
      <c r="A1756">
        <v>1755</v>
      </c>
      <c r="B1756">
        <v>66</v>
      </c>
      <c r="C1756" t="str" cm="1">
        <f t="array" ref="C1756">_xlfn.IFS(
  AND(B1756&gt;=18, B1756&lt;=24), "18-24",
  AND(B1756&gt;=25, B1756&lt;=34), "25-34",
  AND(B1756&gt;=35, B1756&lt;=44), "35-44",
  AND(B1756&gt;=45, B1756&lt;=54), "45-54",
  B1756&gt;=55, "55+"
)</f>
        <v>55+</v>
      </c>
      <c r="D1756" t="s">
        <v>19</v>
      </c>
      <c r="E1756" t="s">
        <v>82</v>
      </c>
      <c r="F1756" t="s">
        <v>21</v>
      </c>
      <c r="G1756">
        <v>93</v>
      </c>
      <c r="H1756" t="s">
        <v>37</v>
      </c>
      <c r="I1756" t="s">
        <v>38</v>
      </c>
      <c r="J1756" t="s">
        <v>118</v>
      </c>
      <c r="K1756" t="s">
        <v>58</v>
      </c>
      <c r="L1756">
        <v>3.8</v>
      </c>
      <c r="M1756" t="s">
        <v>152</v>
      </c>
      <c r="N1756" t="s">
        <v>59</v>
      </c>
      <c r="O1756" t="s">
        <v>72</v>
      </c>
      <c r="P1756" t="s">
        <v>152</v>
      </c>
      <c r="Q1756" t="s">
        <v>152</v>
      </c>
      <c r="R1756">
        <v>18</v>
      </c>
      <c r="S1756" t="s">
        <v>27</v>
      </c>
      <c r="T1756" t="str">
        <f t="shared" si="54"/>
        <v>2-week</v>
      </c>
      <c r="U1756">
        <f>VLOOKUP(T1756,[1]tablescore!$B$3:$C$8, 2,FALSE)</f>
        <v>26</v>
      </c>
      <c r="V1756" t="str">
        <f t="shared" si="55"/>
        <v>Loyal</v>
      </c>
      <c r="W1756" t="s">
        <v>30</v>
      </c>
    </row>
    <row r="1757" spans="1:23" x14ac:dyDescent="0.25">
      <c r="A1757">
        <v>1756</v>
      </c>
      <c r="B1757">
        <v>56</v>
      </c>
      <c r="C1757" t="str" cm="1">
        <f t="array" ref="C1757">_xlfn.IFS(
  AND(B1757&gt;=18, B1757&lt;=24), "18-24",
  AND(B1757&gt;=25, B1757&lt;=34), "25-34",
  AND(B1757&gt;=35, B1757&lt;=44), "35-44",
  AND(B1757&gt;=45, B1757&lt;=54), "45-54",
  B1757&gt;=55, "55+"
)</f>
        <v>55+</v>
      </c>
      <c r="D1757" t="s">
        <v>19</v>
      </c>
      <c r="E1757" t="s">
        <v>136</v>
      </c>
      <c r="F1757" t="s">
        <v>69</v>
      </c>
      <c r="G1757">
        <v>20</v>
      </c>
      <c r="H1757" t="s">
        <v>80</v>
      </c>
      <c r="I1757" t="s">
        <v>92</v>
      </c>
      <c r="J1757" t="s">
        <v>63</v>
      </c>
      <c r="K1757" t="s">
        <v>39</v>
      </c>
      <c r="L1757">
        <v>4.5999999999999996</v>
      </c>
      <c r="M1757" t="s">
        <v>152</v>
      </c>
      <c r="N1757" t="s">
        <v>35</v>
      </c>
      <c r="O1757" t="s">
        <v>47</v>
      </c>
      <c r="P1757" t="s">
        <v>152</v>
      </c>
      <c r="Q1757" t="s">
        <v>152</v>
      </c>
      <c r="R1757">
        <v>45</v>
      </c>
      <c r="S1757" t="s">
        <v>35</v>
      </c>
      <c r="T1757" t="str">
        <f t="shared" si="54"/>
        <v>Month</v>
      </c>
      <c r="U1757">
        <f>VLOOKUP(T1757,[1]tablescore!$B$3:$C$8, 2,FALSE)</f>
        <v>12</v>
      </c>
      <c r="V1757" t="str">
        <f t="shared" si="55"/>
        <v>Moderate</v>
      </c>
      <c r="W1757" t="s">
        <v>88</v>
      </c>
    </row>
    <row r="1758" spans="1:23" x14ac:dyDescent="0.25">
      <c r="A1758">
        <v>1757</v>
      </c>
      <c r="B1758">
        <v>49</v>
      </c>
      <c r="C1758" t="str" cm="1">
        <f t="array" ref="C1758">_xlfn.IFS(
  AND(B1758&gt;=18, B1758&lt;=24), "18-24",
  AND(B1758&gt;=25, B1758&lt;=34), "25-34",
  AND(B1758&gt;=35, B1758&lt;=44), "35-44",
  AND(B1758&gt;=45, B1758&lt;=54), "45-54",
  B1758&gt;=55, "55+"
)</f>
        <v>45-54</v>
      </c>
      <c r="D1758" t="s">
        <v>19</v>
      </c>
      <c r="E1758" t="s">
        <v>106</v>
      </c>
      <c r="F1758" t="s">
        <v>69</v>
      </c>
      <c r="G1758">
        <v>55</v>
      </c>
      <c r="H1758" t="s">
        <v>83</v>
      </c>
      <c r="I1758" t="s">
        <v>38</v>
      </c>
      <c r="J1758" t="s">
        <v>109</v>
      </c>
      <c r="K1758" t="s">
        <v>58</v>
      </c>
      <c r="L1758">
        <v>2.8</v>
      </c>
      <c r="M1758" t="s">
        <v>152</v>
      </c>
      <c r="N1758" t="s">
        <v>46</v>
      </c>
      <c r="O1758" t="s">
        <v>40</v>
      </c>
      <c r="P1758" t="s">
        <v>152</v>
      </c>
      <c r="Q1758" t="s">
        <v>152</v>
      </c>
      <c r="R1758">
        <v>14</v>
      </c>
      <c r="S1758" t="s">
        <v>34</v>
      </c>
      <c r="T1758" t="str">
        <f t="shared" si="54"/>
        <v>Daily</v>
      </c>
      <c r="U1758">
        <f>VLOOKUP(T1758,[1]tablescore!$B$3:$C$8, 2,FALSE)</f>
        <v>30</v>
      </c>
      <c r="V1758" t="str">
        <f t="shared" si="55"/>
        <v>Highly Loyal</v>
      </c>
      <c r="W1758" t="s">
        <v>41</v>
      </c>
    </row>
    <row r="1759" spans="1:23" x14ac:dyDescent="0.25">
      <c r="A1759">
        <v>1758</v>
      </c>
      <c r="B1759">
        <v>19</v>
      </c>
      <c r="C1759" t="str" cm="1">
        <f t="array" ref="C1759">_xlfn.IFS(
  AND(B1759&gt;=18, B1759&lt;=24), "18-24",
  AND(B1759&gt;=25, B1759&lt;=34), "25-34",
  AND(B1759&gt;=35, B1759&lt;=44), "35-44",
  AND(B1759&gt;=45, B1759&lt;=54), "45-54",
  B1759&gt;=55, "55+"
)</f>
        <v>18-24</v>
      </c>
      <c r="D1759" t="s">
        <v>19</v>
      </c>
      <c r="E1759" t="s">
        <v>82</v>
      </c>
      <c r="F1759" t="s">
        <v>21</v>
      </c>
      <c r="G1759">
        <v>94</v>
      </c>
      <c r="H1759" t="s">
        <v>151</v>
      </c>
      <c r="I1759" t="s">
        <v>23</v>
      </c>
      <c r="J1759" t="s">
        <v>139</v>
      </c>
      <c r="K1759" t="s">
        <v>58</v>
      </c>
      <c r="L1759">
        <v>3.6</v>
      </c>
      <c r="M1759" t="s">
        <v>152</v>
      </c>
      <c r="N1759" t="s">
        <v>34</v>
      </c>
      <c r="O1759" t="s">
        <v>55</v>
      </c>
      <c r="P1759" t="s">
        <v>152</v>
      </c>
      <c r="Q1759" t="s">
        <v>152</v>
      </c>
      <c r="R1759">
        <v>48</v>
      </c>
      <c r="S1759" t="s">
        <v>59</v>
      </c>
      <c r="T1759" t="str">
        <f t="shared" si="54"/>
        <v>Annually</v>
      </c>
      <c r="U1759">
        <f>VLOOKUP(T1759,[1]tablescore!$B$3:$C$8, 2,FALSE)</f>
        <v>1</v>
      </c>
      <c r="V1759" t="str">
        <f t="shared" si="55"/>
        <v>Low Loyalty</v>
      </c>
      <c r="W1759" t="s">
        <v>50</v>
      </c>
    </row>
    <row r="1760" spans="1:23" x14ac:dyDescent="0.25">
      <c r="A1760">
        <v>1759</v>
      </c>
      <c r="B1760">
        <v>27</v>
      </c>
      <c r="C1760" t="str" cm="1">
        <f t="array" ref="C1760">_xlfn.IFS(
  AND(B1760&gt;=18, B1760&lt;=24), "18-24",
  AND(B1760&gt;=25, B1760&lt;=34), "25-34",
  AND(B1760&gt;=35, B1760&lt;=44), "35-44",
  AND(B1760&gt;=45, B1760&lt;=54), "45-54",
  B1760&gt;=55, "55+"
)</f>
        <v>25-34</v>
      </c>
      <c r="D1760" t="s">
        <v>19</v>
      </c>
      <c r="E1760" t="s">
        <v>125</v>
      </c>
      <c r="F1760" t="s">
        <v>69</v>
      </c>
      <c r="G1760">
        <v>56</v>
      </c>
      <c r="H1760" t="s">
        <v>141</v>
      </c>
      <c r="I1760" t="s">
        <v>45</v>
      </c>
      <c r="J1760" t="s">
        <v>67</v>
      </c>
      <c r="K1760" t="s">
        <v>25</v>
      </c>
      <c r="L1760">
        <v>4.3</v>
      </c>
      <c r="M1760" t="s">
        <v>152</v>
      </c>
      <c r="N1760" t="s">
        <v>59</v>
      </c>
      <c r="O1760" t="s">
        <v>40</v>
      </c>
      <c r="P1760" t="s">
        <v>152</v>
      </c>
      <c r="Q1760" t="s">
        <v>152</v>
      </c>
      <c r="R1760">
        <v>17</v>
      </c>
      <c r="S1760" t="s">
        <v>29</v>
      </c>
      <c r="T1760" t="str">
        <f t="shared" si="54"/>
        <v>2-week</v>
      </c>
      <c r="U1760">
        <f>VLOOKUP(T1760,[1]tablescore!$B$3:$C$8, 2,FALSE)</f>
        <v>26</v>
      </c>
      <c r="V1760" t="str">
        <f t="shared" si="55"/>
        <v>Loyal</v>
      </c>
      <c r="W1760" t="s">
        <v>77</v>
      </c>
    </row>
    <row r="1761" spans="1:23" x14ac:dyDescent="0.25">
      <c r="A1761">
        <v>1760</v>
      </c>
      <c r="B1761">
        <v>68</v>
      </c>
      <c r="C1761" t="str" cm="1">
        <f t="array" ref="C1761">_xlfn.IFS(
  AND(B1761&gt;=18, B1761&lt;=24), "18-24",
  AND(B1761&gt;=25, B1761&lt;=34), "25-34",
  AND(B1761&gt;=35, B1761&lt;=44), "35-44",
  AND(B1761&gt;=45, B1761&lt;=54), "45-54",
  B1761&gt;=55, "55+"
)</f>
        <v>55+</v>
      </c>
      <c r="D1761" t="s">
        <v>19</v>
      </c>
      <c r="E1761" t="s">
        <v>31</v>
      </c>
      <c r="F1761" t="s">
        <v>21</v>
      </c>
      <c r="G1761">
        <v>58</v>
      </c>
      <c r="H1761" t="s">
        <v>62</v>
      </c>
      <c r="I1761" t="s">
        <v>23</v>
      </c>
      <c r="J1761" t="s">
        <v>96</v>
      </c>
      <c r="K1761" t="s">
        <v>39</v>
      </c>
      <c r="L1761">
        <v>4</v>
      </c>
      <c r="M1761" t="s">
        <v>152</v>
      </c>
      <c r="N1761" t="s">
        <v>29</v>
      </c>
      <c r="O1761" t="s">
        <v>47</v>
      </c>
      <c r="P1761" t="s">
        <v>152</v>
      </c>
      <c r="Q1761" t="s">
        <v>152</v>
      </c>
      <c r="R1761">
        <v>1</v>
      </c>
      <c r="S1761" t="s">
        <v>46</v>
      </c>
      <c r="T1761" t="str">
        <f t="shared" si="54"/>
        <v>Daily</v>
      </c>
      <c r="U1761">
        <f>VLOOKUP(T1761,[1]tablescore!$B$3:$C$8, 2,FALSE)</f>
        <v>30</v>
      </c>
      <c r="V1761" t="str">
        <f t="shared" si="55"/>
        <v>Highly Loyal</v>
      </c>
      <c r="W1761" t="s">
        <v>41</v>
      </c>
    </row>
    <row r="1762" spans="1:23" x14ac:dyDescent="0.25">
      <c r="A1762">
        <v>1761</v>
      </c>
      <c r="B1762">
        <v>20</v>
      </c>
      <c r="C1762" t="str" cm="1">
        <f t="array" ref="C1762">_xlfn.IFS(
  AND(B1762&gt;=18, B1762&lt;=24), "18-24",
  AND(B1762&gt;=25, B1762&lt;=34), "25-34",
  AND(B1762&gt;=35, B1762&lt;=44), "35-44",
  AND(B1762&gt;=45, B1762&lt;=54), "45-54",
  B1762&gt;=55, "55+"
)</f>
        <v>18-24</v>
      </c>
      <c r="D1762" t="s">
        <v>19</v>
      </c>
      <c r="E1762" t="s">
        <v>87</v>
      </c>
      <c r="F1762" t="s">
        <v>21</v>
      </c>
      <c r="G1762">
        <v>44</v>
      </c>
      <c r="H1762" t="s">
        <v>134</v>
      </c>
      <c r="I1762" t="s">
        <v>92</v>
      </c>
      <c r="J1762" t="s">
        <v>100</v>
      </c>
      <c r="K1762" t="s">
        <v>39</v>
      </c>
      <c r="L1762">
        <v>3.5</v>
      </c>
      <c r="M1762" t="s">
        <v>152</v>
      </c>
      <c r="N1762" t="s">
        <v>27</v>
      </c>
      <c r="O1762" t="s">
        <v>55</v>
      </c>
      <c r="P1762" t="s">
        <v>152</v>
      </c>
      <c r="Q1762" t="s">
        <v>152</v>
      </c>
      <c r="R1762">
        <v>39</v>
      </c>
      <c r="S1762" t="s">
        <v>46</v>
      </c>
      <c r="T1762" t="str">
        <f t="shared" si="54"/>
        <v>Daily</v>
      </c>
      <c r="U1762">
        <f>VLOOKUP(T1762,[1]tablescore!$B$3:$C$8, 2,FALSE)</f>
        <v>30</v>
      </c>
      <c r="V1762" t="str">
        <f t="shared" si="55"/>
        <v>Highly Loyal</v>
      </c>
      <c r="W1762" t="s">
        <v>41</v>
      </c>
    </row>
    <row r="1763" spans="1:23" x14ac:dyDescent="0.25">
      <c r="A1763">
        <v>1762</v>
      </c>
      <c r="B1763">
        <v>21</v>
      </c>
      <c r="C1763" t="str" cm="1">
        <f t="array" ref="C1763">_xlfn.IFS(
  AND(B1763&gt;=18, B1763&lt;=24), "18-24",
  AND(B1763&gt;=25, B1763&lt;=34), "25-34",
  AND(B1763&gt;=35, B1763&lt;=44), "35-44",
  AND(B1763&gt;=45, B1763&lt;=54), "45-54",
  B1763&gt;=55, "55+"
)</f>
        <v>18-24</v>
      </c>
      <c r="D1763" t="s">
        <v>19</v>
      </c>
      <c r="E1763" t="s">
        <v>104</v>
      </c>
      <c r="F1763" t="s">
        <v>21</v>
      </c>
      <c r="G1763">
        <v>95</v>
      </c>
      <c r="H1763" t="s">
        <v>78</v>
      </c>
      <c r="I1763" t="s">
        <v>38</v>
      </c>
      <c r="J1763" t="s">
        <v>96</v>
      </c>
      <c r="K1763" t="s">
        <v>58</v>
      </c>
      <c r="L1763">
        <v>4.9000000000000004</v>
      </c>
      <c r="M1763" t="s">
        <v>152</v>
      </c>
      <c r="N1763" t="s">
        <v>46</v>
      </c>
      <c r="O1763" t="s">
        <v>72</v>
      </c>
      <c r="P1763" t="s">
        <v>152</v>
      </c>
      <c r="Q1763" t="s">
        <v>152</v>
      </c>
      <c r="R1763">
        <v>24</v>
      </c>
      <c r="S1763" t="s">
        <v>35</v>
      </c>
      <c r="T1763" t="str">
        <f t="shared" si="54"/>
        <v>Daily</v>
      </c>
      <c r="U1763">
        <f>VLOOKUP(T1763,[1]tablescore!$B$3:$C$8, 2,FALSE)</f>
        <v>30</v>
      </c>
      <c r="V1763" t="str">
        <f t="shared" si="55"/>
        <v>Highly Loyal</v>
      </c>
      <c r="W1763" t="s">
        <v>41</v>
      </c>
    </row>
    <row r="1764" spans="1:23" x14ac:dyDescent="0.25">
      <c r="A1764">
        <v>1763</v>
      </c>
      <c r="B1764">
        <v>36</v>
      </c>
      <c r="C1764" t="str" cm="1">
        <f t="array" ref="C1764">_xlfn.IFS(
  AND(B1764&gt;=18, B1764&lt;=24), "18-24",
  AND(B1764&gt;=25, B1764&lt;=34), "25-34",
  AND(B1764&gt;=35, B1764&lt;=44), "35-44",
  AND(B1764&gt;=45, B1764&lt;=54), "45-54",
  B1764&gt;=55, "55+"
)</f>
        <v>35-44</v>
      </c>
      <c r="D1764" t="s">
        <v>19</v>
      </c>
      <c r="E1764" t="s">
        <v>42</v>
      </c>
      <c r="F1764" t="s">
        <v>43</v>
      </c>
      <c r="G1764">
        <v>42</v>
      </c>
      <c r="H1764" t="s">
        <v>144</v>
      </c>
      <c r="I1764" t="s">
        <v>45</v>
      </c>
      <c r="J1764" t="s">
        <v>110</v>
      </c>
      <c r="K1764" t="s">
        <v>54</v>
      </c>
      <c r="L1764">
        <v>3.1</v>
      </c>
      <c r="M1764" t="s">
        <v>152</v>
      </c>
      <c r="N1764" t="s">
        <v>27</v>
      </c>
      <c r="O1764" t="s">
        <v>28</v>
      </c>
      <c r="P1764" t="s">
        <v>152</v>
      </c>
      <c r="Q1764" t="s">
        <v>152</v>
      </c>
      <c r="R1764">
        <v>41</v>
      </c>
      <c r="S1764" t="s">
        <v>34</v>
      </c>
      <c r="T1764" t="str">
        <f t="shared" si="54"/>
        <v>2-week</v>
      </c>
      <c r="U1764">
        <f>VLOOKUP(T1764,[1]tablescore!$B$3:$C$8, 2,FALSE)</f>
        <v>26</v>
      </c>
      <c r="V1764" t="str">
        <f t="shared" si="55"/>
        <v>Loyal</v>
      </c>
      <c r="W1764" t="s">
        <v>30</v>
      </c>
    </row>
    <row r="1765" spans="1:23" x14ac:dyDescent="0.25">
      <c r="A1765">
        <v>1764</v>
      </c>
      <c r="B1765">
        <v>37</v>
      </c>
      <c r="C1765" t="str" cm="1">
        <f t="array" ref="C1765">_xlfn.IFS(
  AND(B1765&gt;=18, B1765&lt;=24), "18-24",
  AND(B1765&gt;=25, B1765&lt;=34), "25-34",
  AND(B1765&gt;=35, B1765&lt;=44), "35-44",
  AND(B1765&gt;=45, B1765&lt;=54), "45-54",
  B1765&gt;=55, "55+"
)</f>
        <v>35-44</v>
      </c>
      <c r="D1765" t="s">
        <v>19</v>
      </c>
      <c r="E1765" t="s">
        <v>106</v>
      </c>
      <c r="F1765" t="s">
        <v>69</v>
      </c>
      <c r="G1765">
        <v>93</v>
      </c>
      <c r="H1765" t="s">
        <v>145</v>
      </c>
      <c r="I1765" t="s">
        <v>45</v>
      </c>
      <c r="J1765" t="s">
        <v>93</v>
      </c>
      <c r="K1765" t="s">
        <v>25</v>
      </c>
      <c r="L1765">
        <v>3.9</v>
      </c>
      <c r="M1765" t="s">
        <v>152</v>
      </c>
      <c r="N1765" t="s">
        <v>29</v>
      </c>
      <c r="O1765" t="s">
        <v>76</v>
      </c>
      <c r="P1765" t="s">
        <v>152</v>
      </c>
      <c r="Q1765" t="s">
        <v>152</v>
      </c>
      <c r="R1765">
        <v>28</v>
      </c>
      <c r="S1765" t="s">
        <v>46</v>
      </c>
      <c r="T1765" t="str">
        <f t="shared" si="54"/>
        <v>Annually</v>
      </c>
      <c r="U1765">
        <f>VLOOKUP(T1765,[1]tablescore!$B$3:$C$8, 2,FALSE)</f>
        <v>1</v>
      </c>
      <c r="V1765" t="str">
        <f t="shared" si="55"/>
        <v>Low Loyalty</v>
      </c>
      <c r="W1765" t="s">
        <v>50</v>
      </c>
    </row>
    <row r="1766" spans="1:23" x14ac:dyDescent="0.25">
      <c r="A1766">
        <v>1765</v>
      </c>
      <c r="B1766">
        <v>61</v>
      </c>
      <c r="C1766" t="str" cm="1">
        <f t="array" ref="C1766">_xlfn.IFS(
  AND(B1766&gt;=18, B1766&lt;=24), "18-24",
  AND(B1766&gt;=25, B1766&lt;=34), "25-34",
  AND(B1766&gt;=35, B1766&lt;=44), "35-44",
  AND(B1766&gt;=45, B1766&lt;=54), "45-54",
  B1766&gt;=55, "55+"
)</f>
        <v>55+</v>
      </c>
      <c r="D1766" t="s">
        <v>19</v>
      </c>
      <c r="E1766" t="s">
        <v>82</v>
      </c>
      <c r="F1766" t="s">
        <v>21</v>
      </c>
      <c r="G1766">
        <v>56</v>
      </c>
      <c r="H1766" t="s">
        <v>80</v>
      </c>
      <c r="I1766" t="s">
        <v>45</v>
      </c>
      <c r="J1766" t="s">
        <v>63</v>
      </c>
      <c r="K1766" t="s">
        <v>54</v>
      </c>
      <c r="L1766">
        <v>3</v>
      </c>
      <c r="M1766" t="s">
        <v>152</v>
      </c>
      <c r="N1766" t="s">
        <v>46</v>
      </c>
      <c r="O1766" t="s">
        <v>76</v>
      </c>
      <c r="P1766" t="s">
        <v>152</v>
      </c>
      <c r="Q1766" t="s">
        <v>152</v>
      </c>
      <c r="R1766">
        <v>34</v>
      </c>
      <c r="S1766" t="s">
        <v>29</v>
      </c>
      <c r="T1766" t="str">
        <f t="shared" si="54"/>
        <v>Quarterly</v>
      </c>
      <c r="U1766">
        <f>VLOOKUP(T1766,[1]tablescore!$B$3:$C$8, 2,FALSE)</f>
        <v>4</v>
      </c>
      <c r="V1766" t="str">
        <f t="shared" si="55"/>
        <v>Low Loyalty</v>
      </c>
      <c r="W1766" t="s">
        <v>60</v>
      </c>
    </row>
    <row r="1767" spans="1:23" x14ac:dyDescent="0.25">
      <c r="A1767">
        <v>1766</v>
      </c>
      <c r="B1767">
        <v>68</v>
      </c>
      <c r="C1767" t="str" cm="1">
        <f t="array" ref="C1767">_xlfn.IFS(
  AND(B1767&gt;=18, B1767&lt;=24), "18-24",
  AND(B1767&gt;=25, B1767&lt;=34), "25-34",
  AND(B1767&gt;=35, B1767&lt;=44), "35-44",
  AND(B1767&gt;=45, B1767&lt;=54), "45-54",
  B1767&gt;=55, "55+"
)</f>
        <v>55+</v>
      </c>
      <c r="D1767" t="s">
        <v>19</v>
      </c>
      <c r="E1767" t="s">
        <v>104</v>
      </c>
      <c r="F1767" t="s">
        <v>21</v>
      </c>
      <c r="G1767">
        <v>88</v>
      </c>
      <c r="H1767" t="s">
        <v>123</v>
      </c>
      <c r="I1767" t="s">
        <v>45</v>
      </c>
      <c r="J1767" t="s">
        <v>121</v>
      </c>
      <c r="K1767" t="s">
        <v>39</v>
      </c>
      <c r="L1767">
        <v>4.0999999999999996</v>
      </c>
      <c r="M1767" t="s">
        <v>152</v>
      </c>
      <c r="N1767" t="s">
        <v>34</v>
      </c>
      <c r="O1767" t="s">
        <v>72</v>
      </c>
      <c r="P1767" t="s">
        <v>152</v>
      </c>
      <c r="Q1767" t="s">
        <v>152</v>
      </c>
      <c r="R1767">
        <v>41</v>
      </c>
      <c r="S1767" t="s">
        <v>29</v>
      </c>
      <c r="T1767" t="str">
        <f t="shared" si="54"/>
        <v>Quarterly</v>
      </c>
      <c r="U1767">
        <f>VLOOKUP(T1767,[1]tablescore!$B$3:$C$8, 2,FALSE)</f>
        <v>4</v>
      </c>
      <c r="V1767" t="str">
        <f t="shared" si="55"/>
        <v>Low Loyalty</v>
      </c>
      <c r="W1767" t="s">
        <v>60</v>
      </c>
    </row>
    <row r="1768" spans="1:23" x14ac:dyDescent="0.25">
      <c r="A1768">
        <v>1767</v>
      </c>
      <c r="B1768">
        <v>60</v>
      </c>
      <c r="C1768" t="str" cm="1">
        <f t="array" ref="C1768">_xlfn.IFS(
  AND(B1768&gt;=18, B1768&lt;=24), "18-24",
  AND(B1768&gt;=25, B1768&lt;=34), "25-34",
  AND(B1768&gt;=35, B1768&lt;=44), "35-44",
  AND(B1768&gt;=45, B1768&lt;=54), "45-54",
  B1768&gt;=55, "55+"
)</f>
        <v>55+</v>
      </c>
      <c r="D1768" t="s">
        <v>19</v>
      </c>
      <c r="E1768" t="s">
        <v>31</v>
      </c>
      <c r="F1768" t="s">
        <v>21</v>
      </c>
      <c r="G1768">
        <v>54</v>
      </c>
      <c r="H1768" t="s">
        <v>120</v>
      </c>
      <c r="I1768" t="s">
        <v>38</v>
      </c>
      <c r="J1768" t="s">
        <v>109</v>
      </c>
      <c r="K1768" t="s">
        <v>25</v>
      </c>
      <c r="L1768">
        <v>4.3</v>
      </c>
      <c r="M1768" t="s">
        <v>152</v>
      </c>
      <c r="N1768" t="s">
        <v>29</v>
      </c>
      <c r="O1768" t="s">
        <v>72</v>
      </c>
      <c r="P1768" t="s">
        <v>152</v>
      </c>
      <c r="Q1768" t="s">
        <v>152</v>
      </c>
      <c r="R1768">
        <v>27</v>
      </c>
      <c r="S1768" t="s">
        <v>35</v>
      </c>
      <c r="T1768" t="str">
        <f t="shared" si="54"/>
        <v>2-week</v>
      </c>
      <c r="U1768">
        <f>VLOOKUP(T1768,[1]tablescore!$B$3:$C$8, 2,FALSE)</f>
        <v>26</v>
      </c>
      <c r="V1768" t="str">
        <f t="shared" si="55"/>
        <v>Loyal</v>
      </c>
      <c r="W1768" t="s">
        <v>77</v>
      </c>
    </row>
    <row r="1769" spans="1:23" x14ac:dyDescent="0.25">
      <c r="A1769">
        <v>1768</v>
      </c>
      <c r="B1769">
        <v>69</v>
      </c>
      <c r="C1769" t="str" cm="1">
        <f t="array" ref="C1769">_xlfn.IFS(
  AND(B1769&gt;=18, B1769&lt;=24), "18-24",
  AND(B1769&gt;=25, B1769&lt;=34), "25-34",
  AND(B1769&gt;=35, B1769&lt;=44), "35-44",
  AND(B1769&gt;=45, B1769&lt;=54), "45-54",
  B1769&gt;=55, "55+"
)</f>
        <v>55+</v>
      </c>
      <c r="D1769" t="s">
        <v>19</v>
      </c>
      <c r="E1769" t="s">
        <v>106</v>
      </c>
      <c r="F1769" t="s">
        <v>69</v>
      </c>
      <c r="G1769">
        <v>89</v>
      </c>
      <c r="H1769" t="s">
        <v>134</v>
      </c>
      <c r="I1769" t="s">
        <v>23</v>
      </c>
      <c r="J1769" t="s">
        <v>93</v>
      </c>
      <c r="K1769" t="s">
        <v>58</v>
      </c>
      <c r="L1769">
        <v>3.8</v>
      </c>
      <c r="M1769" t="s">
        <v>152</v>
      </c>
      <c r="N1769" t="s">
        <v>46</v>
      </c>
      <c r="O1769" t="s">
        <v>72</v>
      </c>
      <c r="P1769" t="s">
        <v>152</v>
      </c>
      <c r="Q1769" t="s">
        <v>152</v>
      </c>
      <c r="R1769">
        <v>46</v>
      </c>
      <c r="S1769" t="s">
        <v>59</v>
      </c>
      <c r="T1769" t="str">
        <f t="shared" si="54"/>
        <v>2-week</v>
      </c>
      <c r="U1769">
        <f>VLOOKUP(T1769,[1]tablescore!$B$3:$C$8, 2,FALSE)</f>
        <v>26</v>
      </c>
      <c r="V1769" t="str">
        <f t="shared" si="55"/>
        <v>Loyal</v>
      </c>
      <c r="W1769" t="s">
        <v>30</v>
      </c>
    </row>
    <row r="1770" spans="1:23" x14ac:dyDescent="0.25">
      <c r="A1770">
        <v>1769</v>
      </c>
      <c r="B1770">
        <v>25</v>
      </c>
      <c r="C1770" t="str" cm="1">
        <f t="array" ref="C1770">_xlfn.IFS(
  AND(B1770&gt;=18, B1770&lt;=24), "18-24",
  AND(B1770&gt;=25, B1770&lt;=34), "25-34",
  AND(B1770&gt;=35, B1770&lt;=44), "35-44",
  AND(B1770&gt;=45, B1770&lt;=54), "45-54",
  B1770&gt;=55, "55+"
)</f>
        <v>25-34</v>
      </c>
      <c r="D1770" t="s">
        <v>19</v>
      </c>
      <c r="E1770" t="s">
        <v>42</v>
      </c>
      <c r="F1770" t="s">
        <v>43</v>
      </c>
      <c r="G1770">
        <v>45</v>
      </c>
      <c r="H1770" t="s">
        <v>143</v>
      </c>
      <c r="I1770" t="s">
        <v>45</v>
      </c>
      <c r="J1770" t="s">
        <v>129</v>
      </c>
      <c r="K1770" t="s">
        <v>54</v>
      </c>
      <c r="L1770">
        <v>3.9</v>
      </c>
      <c r="M1770" t="s">
        <v>152</v>
      </c>
      <c r="N1770" t="s">
        <v>29</v>
      </c>
      <c r="O1770" t="s">
        <v>72</v>
      </c>
      <c r="P1770" t="s">
        <v>152</v>
      </c>
      <c r="Q1770" t="s">
        <v>152</v>
      </c>
      <c r="R1770">
        <v>2</v>
      </c>
      <c r="S1770" t="s">
        <v>46</v>
      </c>
      <c r="T1770" t="str">
        <f t="shared" si="54"/>
        <v>Quarterly</v>
      </c>
      <c r="U1770">
        <f>VLOOKUP(T1770,[1]tablescore!$B$3:$C$8, 2,FALSE)</f>
        <v>4</v>
      </c>
      <c r="V1770" t="str">
        <f t="shared" si="55"/>
        <v>Low Loyalty</v>
      </c>
      <c r="W1770" t="s">
        <v>97</v>
      </c>
    </row>
    <row r="1771" spans="1:23" x14ac:dyDescent="0.25">
      <c r="A1771">
        <v>1770</v>
      </c>
      <c r="B1771">
        <v>32</v>
      </c>
      <c r="C1771" t="str" cm="1">
        <f t="array" ref="C1771">_xlfn.IFS(
  AND(B1771&gt;=18, B1771&lt;=24), "18-24",
  AND(B1771&gt;=25, B1771&lt;=34), "25-34",
  AND(B1771&gt;=35, B1771&lt;=44), "35-44",
  AND(B1771&gt;=45, B1771&lt;=54), "45-54",
  B1771&gt;=55, "55+"
)</f>
        <v>25-34</v>
      </c>
      <c r="D1771" t="s">
        <v>19</v>
      </c>
      <c r="E1771" t="s">
        <v>131</v>
      </c>
      <c r="F1771" t="s">
        <v>21</v>
      </c>
      <c r="G1771">
        <v>75</v>
      </c>
      <c r="H1771" t="s">
        <v>120</v>
      </c>
      <c r="I1771" t="s">
        <v>23</v>
      </c>
      <c r="J1771" t="s">
        <v>110</v>
      </c>
      <c r="K1771" t="s">
        <v>25</v>
      </c>
      <c r="L1771">
        <v>4.3</v>
      </c>
      <c r="M1771" t="s">
        <v>152</v>
      </c>
      <c r="N1771" t="s">
        <v>27</v>
      </c>
      <c r="O1771" t="s">
        <v>40</v>
      </c>
      <c r="P1771" t="s">
        <v>152</v>
      </c>
      <c r="Q1771" t="s">
        <v>152</v>
      </c>
      <c r="R1771">
        <v>45</v>
      </c>
      <c r="S1771" t="s">
        <v>35</v>
      </c>
      <c r="T1771" t="str">
        <f t="shared" si="54"/>
        <v>Month</v>
      </c>
      <c r="U1771">
        <f>VLOOKUP(T1771,[1]tablescore!$B$3:$C$8, 2,FALSE)</f>
        <v>12</v>
      </c>
      <c r="V1771" t="str">
        <f t="shared" si="55"/>
        <v>Moderate</v>
      </c>
      <c r="W1771" t="s">
        <v>88</v>
      </c>
    </row>
    <row r="1772" spans="1:23" x14ac:dyDescent="0.25">
      <c r="A1772">
        <v>1771</v>
      </c>
      <c r="B1772">
        <v>53</v>
      </c>
      <c r="C1772" t="str" cm="1">
        <f t="array" ref="C1772">_xlfn.IFS(
  AND(B1772&gt;=18, B1772&lt;=24), "18-24",
  AND(B1772&gt;=25, B1772&lt;=34), "25-34",
  AND(B1772&gt;=35, B1772&lt;=44), "35-44",
  AND(B1772&gt;=45, B1772&lt;=54), "45-54",
  B1772&gt;=55, "55+"
)</f>
        <v>45-54</v>
      </c>
      <c r="D1772" t="s">
        <v>19</v>
      </c>
      <c r="E1772" t="s">
        <v>133</v>
      </c>
      <c r="F1772" t="s">
        <v>69</v>
      </c>
      <c r="G1772">
        <v>22</v>
      </c>
      <c r="H1772" t="s">
        <v>151</v>
      </c>
      <c r="I1772" t="s">
        <v>45</v>
      </c>
      <c r="J1772" t="s">
        <v>71</v>
      </c>
      <c r="K1772" t="s">
        <v>58</v>
      </c>
      <c r="L1772">
        <v>4.3</v>
      </c>
      <c r="M1772" t="s">
        <v>152</v>
      </c>
      <c r="N1772" t="s">
        <v>27</v>
      </c>
      <c r="O1772" t="s">
        <v>28</v>
      </c>
      <c r="P1772" t="s">
        <v>152</v>
      </c>
      <c r="Q1772" t="s">
        <v>152</v>
      </c>
      <c r="R1772">
        <v>34</v>
      </c>
      <c r="S1772" t="s">
        <v>34</v>
      </c>
      <c r="T1772" t="str">
        <f t="shared" si="54"/>
        <v>Daily</v>
      </c>
      <c r="U1772">
        <f>VLOOKUP(T1772,[1]tablescore!$B$3:$C$8, 2,FALSE)</f>
        <v>30</v>
      </c>
      <c r="V1772" t="str">
        <f t="shared" si="55"/>
        <v>Highly Loyal</v>
      </c>
      <c r="W1772" t="s">
        <v>41</v>
      </c>
    </row>
    <row r="1773" spans="1:23" x14ac:dyDescent="0.25">
      <c r="A1773">
        <v>1772</v>
      </c>
      <c r="B1773">
        <v>46</v>
      </c>
      <c r="C1773" t="str" cm="1">
        <f t="array" ref="C1773">_xlfn.IFS(
  AND(B1773&gt;=18, B1773&lt;=24), "18-24",
  AND(B1773&gt;=25, B1773&lt;=34), "25-34",
  AND(B1773&gt;=35, B1773&lt;=44), "35-44",
  AND(B1773&gt;=45, B1773&lt;=54), "45-54",
  B1773&gt;=55, "55+"
)</f>
        <v>45-54</v>
      </c>
      <c r="D1773" t="s">
        <v>19</v>
      </c>
      <c r="E1773" t="s">
        <v>56</v>
      </c>
      <c r="F1773" t="s">
        <v>21</v>
      </c>
      <c r="G1773">
        <v>82</v>
      </c>
      <c r="H1773" t="s">
        <v>116</v>
      </c>
      <c r="I1773" t="s">
        <v>92</v>
      </c>
      <c r="J1773" t="s">
        <v>49</v>
      </c>
      <c r="K1773" t="s">
        <v>58</v>
      </c>
      <c r="L1773">
        <v>4.7</v>
      </c>
      <c r="M1773" t="s">
        <v>152</v>
      </c>
      <c r="N1773" t="s">
        <v>27</v>
      </c>
      <c r="O1773" t="s">
        <v>76</v>
      </c>
      <c r="P1773" t="s">
        <v>152</v>
      </c>
      <c r="Q1773" t="s">
        <v>152</v>
      </c>
      <c r="R1773">
        <v>9</v>
      </c>
      <c r="S1773" t="s">
        <v>27</v>
      </c>
      <c r="T1773" t="str">
        <f t="shared" si="54"/>
        <v>Annually</v>
      </c>
      <c r="U1773">
        <f>VLOOKUP(T1773,[1]tablescore!$B$3:$C$8, 2,FALSE)</f>
        <v>1</v>
      </c>
      <c r="V1773" t="str">
        <f t="shared" si="55"/>
        <v>Low Loyalty</v>
      </c>
      <c r="W1773" t="s">
        <v>50</v>
      </c>
    </row>
    <row r="1774" spans="1:23" x14ac:dyDescent="0.25">
      <c r="A1774">
        <v>1773</v>
      </c>
      <c r="B1774">
        <v>58</v>
      </c>
      <c r="C1774" t="str" cm="1">
        <f t="array" ref="C1774">_xlfn.IFS(
  AND(B1774&gt;=18, B1774&lt;=24), "18-24",
  AND(B1774&gt;=25, B1774&lt;=34), "25-34",
  AND(B1774&gt;=35, B1774&lt;=44), "35-44",
  AND(B1774&gt;=45, B1774&lt;=54), "45-54",
  B1774&gt;=55, "55+"
)</f>
        <v>55+</v>
      </c>
      <c r="D1774" t="s">
        <v>19</v>
      </c>
      <c r="E1774" t="s">
        <v>73</v>
      </c>
      <c r="F1774" t="s">
        <v>43</v>
      </c>
      <c r="G1774">
        <v>34</v>
      </c>
      <c r="H1774" t="s">
        <v>78</v>
      </c>
      <c r="I1774" t="s">
        <v>45</v>
      </c>
      <c r="J1774" t="s">
        <v>81</v>
      </c>
      <c r="K1774" t="s">
        <v>54</v>
      </c>
      <c r="L1774">
        <v>3.1</v>
      </c>
      <c r="M1774" t="s">
        <v>152</v>
      </c>
      <c r="N1774" t="s">
        <v>46</v>
      </c>
      <c r="O1774" t="s">
        <v>72</v>
      </c>
      <c r="P1774" t="s">
        <v>152</v>
      </c>
      <c r="Q1774" t="s">
        <v>152</v>
      </c>
      <c r="R1774">
        <v>1</v>
      </c>
      <c r="S1774" t="s">
        <v>34</v>
      </c>
      <c r="T1774" t="str">
        <f t="shared" si="54"/>
        <v>Annually</v>
      </c>
      <c r="U1774">
        <f>VLOOKUP(T1774,[1]tablescore!$B$3:$C$8, 2,FALSE)</f>
        <v>1</v>
      </c>
      <c r="V1774" t="str">
        <f t="shared" si="55"/>
        <v>Low Loyalty</v>
      </c>
      <c r="W1774" t="s">
        <v>50</v>
      </c>
    </row>
    <row r="1775" spans="1:23" x14ac:dyDescent="0.25">
      <c r="A1775">
        <v>1774</v>
      </c>
      <c r="B1775">
        <v>21</v>
      </c>
      <c r="C1775" t="str" cm="1">
        <f t="array" ref="C1775">_xlfn.IFS(
  AND(B1775&gt;=18, B1775&lt;=24), "18-24",
  AND(B1775&gt;=25, B1775&lt;=34), "25-34",
  AND(B1775&gt;=35, B1775&lt;=44), "35-44",
  AND(B1775&gt;=45, B1775&lt;=54), "45-54",
  B1775&gt;=55, "55+"
)</f>
        <v>18-24</v>
      </c>
      <c r="D1775" t="s">
        <v>19</v>
      </c>
      <c r="E1775" t="s">
        <v>64</v>
      </c>
      <c r="F1775" t="s">
        <v>65</v>
      </c>
      <c r="G1775">
        <v>92</v>
      </c>
      <c r="H1775" t="s">
        <v>66</v>
      </c>
      <c r="I1775" t="s">
        <v>45</v>
      </c>
      <c r="J1775" t="s">
        <v>138</v>
      </c>
      <c r="K1775" t="s">
        <v>54</v>
      </c>
      <c r="L1775">
        <v>2.7</v>
      </c>
      <c r="M1775" t="s">
        <v>152</v>
      </c>
      <c r="N1775" t="s">
        <v>35</v>
      </c>
      <c r="O1775" t="s">
        <v>40</v>
      </c>
      <c r="P1775" t="s">
        <v>152</v>
      </c>
      <c r="Q1775" t="s">
        <v>152</v>
      </c>
      <c r="R1775">
        <v>17</v>
      </c>
      <c r="S1775" t="s">
        <v>46</v>
      </c>
      <c r="T1775" t="str">
        <f t="shared" si="54"/>
        <v>Annually</v>
      </c>
      <c r="U1775">
        <f>VLOOKUP(T1775,[1]tablescore!$B$3:$C$8, 2,FALSE)</f>
        <v>1</v>
      </c>
      <c r="V1775" t="str">
        <f t="shared" si="55"/>
        <v>Low Loyalty</v>
      </c>
      <c r="W1775" t="s">
        <v>50</v>
      </c>
    </row>
    <row r="1776" spans="1:23" x14ac:dyDescent="0.25">
      <c r="A1776">
        <v>1775</v>
      </c>
      <c r="B1776">
        <v>46</v>
      </c>
      <c r="C1776" t="str" cm="1">
        <f t="array" ref="C1776">_xlfn.IFS(
  AND(B1776&gt;=18, B1776&lt;=24), "18-24",
  AND(B1776&gt;=25, B1776&lt;=34), "25-34",
  AND(B1776&gt;=35, B1776&lt;=44), "35-44",
  AND(B1776&gt;=45, B1776&lt;=54), "45-54",
  B1776&gt;=55, "55+"
)</f>
        <v>45-54</v>
      </c>
      <c r="D1776" t="s">
        <v>19</v>
      </c>
      <c r="E1776" t="s">
        <v>31</v>
      </c>
      <c r="F1776" t="s">
        <v>21</v>
      </c>
      <c r="G1776">
        <v>78</v>
      </c>
      <c r="H1776" t="s">
        <v>85</v>
      </c>
      <c r="I1776" t="s">
        <v>45</v>
      </c>
      <c r="J1776" t="s">
        <v>93</v>
      </c>
      <c r="K1776" t="s">
        <v>39</v>
      </c>
      <c r="L1776">
        <v>3.7</v>
      </c>
      <c r="M1776" t="s">
        <v>152</v>
      </c>
      <c r="N1776" t="s">
        <v>34</v>
      </c>
      <c r="O1776" t="s">
        <v>28</v>
      </c>
      <c r="P1776" t="s">
        <v>152</v>
      </c>
      <c r="Q1776" t="s">
        <v>152</v>
      </c>
      <c r="R1776">
        <v>6</v>
      </c>
      <c r="S1776" t="s">
        <v>46</v>
      </c>
      <c r="T1776" t="str">
        <f t="shared" si="54"/>
        <v>Daily</v>
      </c>
      <c r="U1776">
        <f>VLOOKUP(T1776,[1]tablescore!$B$3:$C$8, 2,FALSE)</f>
        <v>30</v>
      </c>
      <c r="V1776" t="str">
        <f t="shared" si="55"/>
        <v>Highly Loyal</v>
      </c>
      <c r="W1776" t="s">
        <v>41</v>
      </c>
    </row>
    <row r="1777" spans="1:23" x14ac:dyDescent="0.25">
      <c r="A1777">
        <v>1776</v>
      </c>
      <c r="B1777">
        <v>18</v>
      </c>
      <c r="C1777" t="str" cm="1">
        <f t="array" ref="C1777">_xlfn.IFS(
  AND(B1777&gt;=18, B1777&lt;=24), "18-24",
  AND(B1777&gt;=25, B1777&lt;=34), "25-34",
  AND(B1777&gt;=35, B1777&lt;=44), "35-44",
  AND(B1777&gt;=45, B1777&lt;=54), "45-54",
  B1777&gt;=55, "55+"
)</f>
        <v>18-24</v>
      </c>
      <c r="D1777" t="s">
        <v>19</v>
      </c>
      <c r="E1777" t="s">
        <v>102</v>
      </c>
      <c r="F1777" t="s">
        <v>65</v>
      </c>
      <c r="G1777">
        <v>47</v>
      </c>
      <c r="H1777" t="s">
        <v>150</v>
      </c>
      <c r="I1777" t="s">
        <v>45</v>
      </c>
      <c r="J1777" t="s">
        <v>84</v>
      </c>
      <c r="K1777" t="s">
        <v>39</v>
      </c>
      <c r="L1777">
        <v>3.3</v>
      </c>
      <c r="M1777" t="s">
        <v>152</v>
      </c>
      <c r="N1777" t="s">
        <v>34</v>
      </c>
      <c r="O1777" t="s">
        <v>72</v>
      </c>
      <c r="P1777" t="s">
        <v>152</v>
      </c>
      <c r="Q1777" t="s">
        <v>152</v>
      </c>
      <c r="R1777">
        <v>12</v>
      </c>
      <c r="S1777" t="s">
        <v>35</v>
      </c>
      <c r="T1777" t="str">
        <f t="shared" si="54"/>
        <v>2-week</v>
      </c>
      <c r="U1777">
        <f>VLOOKUP(T1777,[1]tablescore!$B$3:$C$8, 2,FALSE)</f>
        <v>26</v>
      </c>
      <c r="V1777" t="str">
        <f t="shared" si="55"/>
        <v>Loyal</v>
      </c>
      <c r="W1777" t="s">
        <v>77</v>
      </c>
    </row>
    <row r="1778" spans="1:23" x14ac:dyDescent="0.25">
      <c r="A1778">
        <v>1777</v>
      </c>
      <c r="B1778">
        <v>56</v>
      </c>
      <c r="C1778" t="str" cm="1">
        <f t="array" ref="C1778">_xlfn.IFS(
  AND(B1778&gt;=18, B1778&lt;=24), "18-24",
  AND(B1778&gt;=25, B1778&lt;=34), "25-34",
  AND(B1778&gt;=35, B1778&lt;=44), "35-44",
  AND(B1778&gt;=45, B1778&lt;=54), "45-54",
  B1778&gt;=55, "55+"
)</f>
        <v>55+</v>
      </c>
      <c r="D1778" t="s">
        <v>19</v>
      </c>
      <c r="E1778" t="s">
        <v>102</v>
      </c>
      <c r="F1778" t="s">
        <v>65</v>
      </c>
      <c r="G1778">
        <v>64</v>
      </c>
      <c r="H1778" t="s">
        <v>117</v>
      </c>
      <c r="I1778" t="s">
        <v>23</v>
      </c>
      <c r="J1778" t="s">
        <v>109</v>
      </c>
      <c r="K1778" t="s">
        <v>54</v>
      </c>
      <c r="L1778">
        <v>3.4</v>
      </c>
      <c r="M1778" t="s">
        <v>152</v>
      </c>
      <c r="N1778" t="s">
        <v>34</v>
      </c>
      <c r="O1778" t="s">
        <v>40</v>
      </c>
      <c r="P1778" t="s">
        <v>152</v>
      </c>
      <c r="Q1778" t="s">
        <v>152</v>
      </c>
      <c r="R1778">
        <v>10</v>
      </c>
      <c r="S1778" t="s">
        <v>29</v>
      </c>
      <c r="T1778" t="str">
        <f t="shared" si="54"/>
        <v>Quarterly</v>
      </c>
      <c r="U1778">
        <f>VLOOKUP(T1778,[1]tablescore!$B$3:$C$8, 2,FALSE)</f>
        <v>4</v>
      </c>
      <c r="V1778" t="str">
        <f t="shared" si="55"/>
        <v>Low Loyalty</v>
      </c>
      <c r="W1778" t="s">
        <v>97</v>
      </c>
    </row>
    <row r="1779" spans="1:23" x14ac:dyDescent="0.25">
      <c r="A1779">
        <v>1778</v>
      </c>
      <c r="B1779">
        <v>18</v>
      </c>
      <c r="C1779" t="str" cm="1">
        <f t="array" ref="C1779">_xlfn.IFS(
  AND(B1779&gt;=18, B1779&lt;=24), "18-24",
  AND(B1779&gt;=25, B1779&lt;=34), "25-34",
  AND(B1779&gt;=35, B1779&lt;=44), "35-44",
  AND(B1779&gt;=45, B1779&lt;=54), "45-54",
  B1779&gt;=55, "55+"
)</f>
        <v>18-24</v>
      </c>
      <c r="D1779" t="s">
        <v>19</v>
      </c>
      <c r="E1779" t="s">
        <v>51</v>
      </c>
      <c r="F1779" t="s">
        <v>43</v>
      </c>
      <c r="G1779">
        <v>44</v>
      </c>
      <c r="H1779" t="s">
        <v>134</v>
      </c>
      <c r="I1779" t="s">
        <v>23</v>
      </c>
      <c r="J1779" t="s">
        <v>75</v>
      </c>
      <c r="K1779" t="s">
        <v>25</v>
      </c>
      <c r="L1779">
        <v>4.7</v>
      </c>
      <c r="M1779" t="s">
        <v>152</v>
      </c>
      <c r="N1779" t="s">
        <v>35</v>
      </c>
      <c r="O1779" t="s">
        <v>40</v>
      </c>
      <c r="P1779" t="s">
        <v>152</v>
      </c>
      <c r="Q1779" t="s">
        <v>152</v>
      </c>
      <c r="R1779">
        <v>4</v>
      </c>
      <c r="S1779" t="s">
        <v>35</v>
      </c>
      <c r="T1779" t="str">
        <f t="shared" si="54"/>
        <v>2-week</v>
      </c>
      <c r="U1779">
        <f>VLOOKUP(T1779,[1]tablescore!$B$3:$C$8, 2,FALSE)</f>
        <v>26</v>
      </c>
      <c r="V1779" t="str">
        <f t="shared" si="55"/>
        <v>Loyal</v>
      </c>
      <c r="W1779" t="s">
        <v>30</v>
      </c>
    </row>
    <row r="1780" spans="1:23" x14ac:dyDescent="0.25">
      <c r="A1780">
        <v>1779</v>
      </c>
      <c r="B1780">
        <v>49</v>
      </c>
      <c r="C1780" t="str" cm="1">
        <f t="array" ref="C1780">_xlfn.IFS(
  AND(B1780&gt;=18, B1780&lt;=24), "18-24",
  AND(B1780&gt;=25, B1780&lt;=34), "25-34",
  AND(B1780&gt;=35, B1780&lt;=44), "35-44",
  AND(B1780&gt;=45, B1780&lt;=54), "45-54",
  B1780&gt;=55, "55+"
)</f>
        <v>45-54</v>
      </c>
      <c r="D1780" t="s">
        <v>19</v>
      </c>
      <c r="E1780" t="s">
        <v>136</v>
      </c>
      <c r="F1780" t="s">
        <v>69</v>
      </c>
      <c r="G1780">
        <v>94</v>
      </c>
      <c r="H1780" t="s">
        <v>105</v>
      </c>
      <c r="I1780" t="s">
        <v>45</v>
      </c>
      <c r="J1780" t="s">
        <v>108</v>
      </c>
      <c r="K1780" t="s">
        <v>25</v>
      </c>
      <c r="L1780">
        <v>4.9000000000000004</v>
      </c>
      <c r="M1780" t="s">
        <v>152</v>
      </c>
      <c r="N1780" t="s">
        <v>59</v>
      </c>
      <c r="O1780" t="s">
        <v>76</v>
      </c>
      <c r="P1780" t="s">
        <v>152</v>
      </c>
      <c r="Q1780" t="s">
        <v>152</v>
      </c>
      <c r="R1780">
        <v>8</v>
      </c>
      <c r="S1780" t="s">
        <v>59</v>
      </c>
      <c r="T1780" t="str">
        <f t="shared" si="54"/>
        <v>2-week</v>
      </c>
      <c r="U1780">
        <f>VLOOKUP(T1780,[1]tablescore!$B$3:$C$8, 2,FALSE)</f>
        <v>26</v>
      </c>
      <c r="V1780" t="str">
        <f t="shared" si="55"/>
        <v>Loyal</v>
      </c>
      <c r="W1780" t="s">
        <v>77</v>
      </c>
    </row>
    <row r="1781" spans="1:23" x14ac:dyDescent="0.25">
      <c r="A1781">
        <v>1780</v>
      </c>
      <c r="B1781">
        <v>29</v>
      </c>
      <c r="C1781" t="str" cm="1">
        <f t="array" ref="C1781">_xlfn.IFS(
  AND(B1781&gt;=18, B1781&lt;=24), "18-24",
  AND(B1781&gt;=25, B1781&lt;=34), "25-34",
  AND(B1781&gt;=35, B1781&lt;=44), "35-44",
  AND(B1781&gt;=45, B1781&lt;=54), "45-54",
  B1781&gt;=55, "55+"
)</f>
        <v>25-34</v>
      </c>
      <c r="D1781" t="s">
        <v>19</v>
      </c>
      <c r="E1781" t="s">
        <v>119</v>
      </c>
      <c r="F1781" t="s">
        <v>69</v>
      </c>
      <c r="G1781">
        <v>62</v>
      </c>
      <c r="H1781" t="s">
        <v>128</v>
      </c>
      <c r="I1781" t="s">
        <v>45</v>
      </c>
      <c r="J1781" t="s">
        <v>63</v>
      </c>
      <c r="K1781" t="s">
        <v>25</v>
      </c>
      <c r="L1781">
        <v>4.3</v>
      </c>
      <c r="M1781" t="s">
        <v>152</v>
      </c>
      <c r="N1781" t="s">
        <v>34</v>
      </c>
      <c r="O1781" t="s">
        <v>40</v>
      </c>
      <c r="P1781" t="s">
        <v>152</v>
      </c>
      <c r="Q1781" t="s">
        <v>152</v>
      </c>
      <c r="R1781">
        <v>41</v>
      </c>
      <c r="S1781" t="s">
        <v>29</v>
      </c>
      <c r="T1781" t="str">
        <f t="shared" si="54"/>
        <v>Daily</v>
      </c>
      <c r="U1781">
        <f>VLOOKUP(T1781,[1]tablescore!$B$3:$C$8, 2,FALSE)</f>
        <v>30</v>
      </c>
      <c r="V1781" t="str">
        <f t="shared" si="55"/>
        <v>Highly Loyal</v>
      </c>
      <c r="W1781" t="s">
        <v>41</v>
      </c>
    </row>
    <row r="1782" spans="1:23" x14ac:dyDescent="0.25">
      <c r="A1782">
        <v>1781</v>
      </c>
      <c r="B1782">
        <v>67</v>
      </c>
      <c r="C1782" t="str" cm="1">
        <f t="array" ref="C1782">_xlfn.IFS(
  AND(B1782&gt;=18, B1782&lt;=24), "18-24",
  AND(B1782&gt;=25, B1782&lt;=34), "25-34",
  AND(B1782&gt;=35, B1782&lt;=44), "35-44",
  AND(B1782&gt;=45, B1782&lt;=54), "45-54",
  B1782&gt;=55, "55+"
)</f>
        <v>55+</v>
      </c>
      <c r="D1782" t="s">
        <v>19</v>
      </c>
      <c r="E1782" t="s">
        <v>106</v>
      </c>
      <c r="F1782" t="s">
        <v>69</v>
      </c>
      <c r="G1782">
        <v>81</v>
      </c>
      <c r="H1782" t="s">
        <v>114</v>
      </c>
      <c r="I1782" t="s">
        <v>38</v>
      </c>
      <c r="J1782" t="s">
        <v>24</v>
      </c>
      <c r="K1782" t="s">
        <v>54</v>
      </c>
      <c r="L1782">
        <v>4.2</v>
      </c>
      <c r="M1782" t="s">
        <v>152</v>
      </c>
      <c r="N1782" t="s">
        <v>35</v>
      </c>
      <c r="O1782" t="s">
        <v>47</v>
      </c>
      <c r="P1782" t="s">
        <v>152</v>
      </c>
      <c r="Q1782" t="s">
        <v>152</v>
      </c>
      <c r="R1782">
        <v>49</v>
      </c>
      <c r="S1782" t="s">
        <v>27</v>
      </c>
      <c r="T1782" t="str">
        <f t="shared" si="54"/>
        <v>Daily</v>
      </c>
      <c r="U1782">
        <f>VLOOKUP(T1782,[1]tablescore!$B$3:$C$8, 2,FALSE)</f>
        <v>30</v>
      </c>
      <c r="V1782" t="str">
        <f t="shared" si="55"/>
        <v>Highly Loyal</v>
      </c>
      <c r="W1782" t="s">
        <v>41</v>
      </c>
    </row>
    <row r="1783" spans="1:23" x14ac:dyDescent="0.25">
      <c r="A1783">
        <v>1782</v>
      </c>
      <c r="B1783">
        <v>31</v>
      </c>
      <c r="C1783" t="str" cm="1">
        <f t="array" ref="C1783">_xlfn.IFS(
  AND(B1783&gt;=18, B1783&lt;=24), "18-24",
  AND(B1783&gt;=25, B1783&lt;=34), "25-34",
  AND(B1783&gt;=35, B1783&lt;=44), "35-44",
  AND(B1783&gt;=45, B1783&lt;=54), "45-54",
  B1783&gt;=55, "55+"
)</f>
        <v>25-34</v>
      </c>
      <c r="D1783" t="s">
        <v>19</v>
      </c>
      <c r="E1783" t="s">
        <v>113</v>
      </c>
      <c r="F1783" t="s">
        <v>21</v>
      </c>
      <c r="G1783">
        <v>33</v>
      </c>
      <c r="H1783" t="s">
        <v>150</v>
      </c>
      <c r="I1783" t="s">
        <v>45</v>
      </c>
      <c r="J1783" t="s">
        <v>71</v>
      </c>
      <c r="K1783" t="s">
        <v>58</v>
      </c>
      <c r="L1783">
        <v>3.7</v>
      </c>
      <c r="M1783" t="s">
        <v>152</v>
      </c>
      <c r="N1783" t="s">
        <v>46</v>
      </c>
      <c r="O1783" t="s">
        <v>28</v>
      </c>
      <c r="P1783" t="s">
        <v>152</v>
      </c>
      <c r="Q1783" t="s">
        <v>152</v>
      </c>
      <c r="R1783">
        <v>49</v>
      </c>
      <c r="S1783" t="s">
        <v>34</v>
      </c>
      <c r="T1783" t="str">
        <f t="shared" si="54"/>
        <v>Quarterly</v>
      </c>
      <c r="U1783">
        <f>VLOOKUP(T1783,[1]tablescore!$B$3:$C$8, 2,FALSE)</f>
        <v>4</v>
      </c>
      <c r="V1783" t="str">
        <f t="shared" si="55"/>
        <v>Low Loyalty</v>
      </c>
      <c r="W1783" t="s">
        <v>60</v>
      </c>
    </row>
    <row r="1784" spans="1:23" x14ac:dyDescent="0.25">
      <c r="A1784">
        <v>1783</v>
      </c>
      <c r="B1784">
        <v>52</v>
      </c>
      <c r="C1784" t="str" cm="1">
        <f t="array" ref="C1784">_xlfn.IFS(
  AND(B1784&gt;=18, B1784&lt;=24), "18-24",
  AND(B1784&gt;=25, B1784&lt;=34), "25-34",
  AND(B1784&gt;=35, B1784&lt;=44), "35-44",
  AND(B1784&gt;=45, B1784&lt;=54), "45-54",
  B1784&gt;=55, "55+"
)</f>
        <v>45-54</v>
      </c>
      <c r="D1784" t="s">
        <v>19</v>
      </c>
      <c r="E1784" t="s">
        <v>95</v>
      </c>
      <c r="F1784" t="s">
        <v>21</v>
      </c>
      <c r="G1784">
        <v>88</v>
      </c>
      <c r="H1784" t="s">
        <v>149</v>
      </c>
      <c r="I1784" t="s">
        <v>45</v>
      </c>
      <c r="J1784" t="s">
        <v>93</v>
      </c>
      <c r="K1784" t="s">
        <v>58</v>
      </c>
      <c r="L1784">
        <v>2.7</v>
      </c>
      <c r="M1784" t="s">
        <v>152</v>
      </c>
      <c r="N1784" t="s">
        <v>27</v>
      </c>
      <c r="O1784" t="s">
        <v>47</v>
      </c>
      <c r="P1784" t="s">
        <v>152</v>
      </c>
      <c r="Q1784" t="s">
        <v>152</v>
      </c>
      <c r="R1784">
        <v>40</v>
      </c>
      <c r="S1784" t="s">
        <v>34</v>
      </c>
      <c r="T1784" t="str">
        <f t="shared" si="54"/>
        <v>2-week</v>
      </c>
      <c r="U1784">
        <f>VLOOKUP(T1784,[1]tablescore!$B$3:$C$8, 2,FALSE)</f>
        <v>26</v>
      </c>
      <c r="V1784" t="str">
        <f t="shared" si="55"/>
        <v>Loyal</v>
      </c>
      <c r="W1784" t="s">
        <v>30</v>
      </c>
    </row>
    <row r="1785" spans="1:23" x14ac:dyDescent="0.25">
      <c r="A1785">
        <v>1784</v>
      </c>
      <c r="B1785">
        <v>42</v>
      </c>
      <c r="C1785" t="str" cm="1">
        <f t="array" ref="C1785">_xlfn.IFS(
  AND(B1785&gt;=18, B1785&lt;=24), "18-24",
  AND(B1785&gt;=25, B1785&lt;=34), "25-34",
  AND(B1785&gt;=35, B1785&lt;=44), "35-44",
  AND(B1785&gt;=45, B1785&lt;=54), "45-54",
  B1785&gt;=55, "55+"
)</f>
        <v>35-44</v>
      </c>
      <c r="D1785" t="s">
        <v>19</v>
      </c>
      <c r="E1785" t="s">
        <v>68</v>
      </c>
      <c r="F1785" t="s">
        <v>69</v>
      </c>
      <c r="G1785">
        <v>49</v>
      </c>
      <c r="H1785" t="s">
        <v>124</v>
      </c>
      <c r="I1785" t="s">
        <v>23</v>
      </c>
      <c r="J1785" t="s">
        <v>93</v>
      </c>
      <c r="K1785" t="s">
        <v>25</v>
      </c>
      <c r="L1785">
        <v>3.3</v>
      </c>
      <c r="M1785" t="s">
        <v>152</v>
      </c>
      <c r="N1785" t="s">
        <v>35</v>
      </c>
      <c r="O1785" t="s">
        <v>40</v>
      </c>
      <c r="P1785" t="s">
        <v>152</v>
      </c>
      <c r="Q1785" t="s">
        <v>152</v>
      </c>
      <c r="R1785">
        <v>30</v>
      </c>
      <c r="S1785" t="s">
        <v>27</v>
      </c>
      <c r="T1785" t="str">
        <f t="shared" si="54"/>
        <v>Month</v>
      </c>
      <c r="U1785">
        <f>VLOOKUP(T1785,[1]tablescore!$B$3:$C$8, 2,FALSE)</f>
        <v>12</v>
      </c>
      <c r="V1785" t="str">
        <f t="shared" si="55"/>
        <v>Moderate</v>
      </c>
      <c r="W1785" t="s">
        <v>88</v>
      </c>
    </row>
    <row r="1786" spans="1:23" x14ac:dyDescent="0.25">
      <c r="A1786">
        <v>1785</v>
      </c>
      <c r="B1786">
        <v>32</v>
      </c>
      <c r="C1786" t="str" cm="1">
        <f t="array" ref="C1786">_xlfn.IFS(
  AND(B1786&gt;=18, B1786&lt;=24), "18-24",
  AND(B1786&gt;=25, B1786&lt;=34), "25-34",
  AND(B1786&gt;=35, B1786&lt;=44), "35-44",
  AND(B1786&gt;=45, B1786&lt;=54), "45-54",
  B1786&gt;=55, "55+"
)</f>
        <v>25-34</v>
      </c>
      <c r="D1786" t="s">
        <v>19</v>
      </c>
      <c r="E1786" t="s">
        <v>133</v>
      </c>
      <c r="F1786" t="s">
        <v>69</v>
      </c>
      <c r="G1786">
        <v>31</v>
      </c>
      <c r="H1786" t="s">
        <v>62</v>
      </c>
      <c r="I1786" t="s">
        <v>23</v>
      </c>
      <c r="J1786" t="s">
        <v>139</v>
      </c>
      <c r="K1786" t="s">
        <v>54</v>
      </c>
      <c r="L1786">
        <v>4.8</v>
      </c>
      <c r="M1786" t="s">
        <v>152</v>
      </c>
      <c r="N1786" t="s">
        <v>35</v>
      </c>
      <c r="O1786" t="s">
        <v>55</v>
      </c>
      <c r="P1786" t="s">
        <v>152</v>
      </c>
      <c r="Q1786" t="s">
        <v>152</v>
      </c>
      <c r="R1786">
        <v>4</v>
      </c>
      <c r="S1786" t="s">
        <v>59</v>
      </c>
      <c r="T1786" t="str">
        <f t="shared" si="54"/>
        <v>Quarterly</v>
      </c>
      <c r="U1786">
        <f>VLOOKUP(T1786,[1]tablescore!$B$3:$C$8, 2,FALSE)</f>
        <v>4</v>
      </c>
      <c r="V1786" t="str">
        <f t="shared" si="55"/>
        <v>Low Loyalty</v>
      </c>
      <c r="W1786" t="s">
        <v>60</v>
      </c>
    </row>
    <row r="1787" spans="1:23" x14ac:dyDescent="0.25">
      <c r="A1787">
        <v>1786</v>
      </c>
      <c r="B1787">
        <v>47</v>
      </c>
      <c r="C1787" t="str" cm="1">
        <f t="array" ref="C1787">_xlfn.IFS(
  AND(B1787&gt;=18, B1787&lt;=24), "18-24",
  AND(B1787&gt;=25, B1787&lt;=34), "25-34",
  AND(B1787&gt;=35, B1787&lt;=44), "35-44",
  AND(B1787&gt;=45, B1787&lt;=54), "45-54",
  B1787&gt;=55, "55+"
)</f>
        <v>45-54</v>
      </c>
      <c r="D1787" t="s">
        <v>19</v>
      </c>
      <c r="E1787" t="s">
        <v>127</v>
      </c>
      <c r="F1787" t="s">
        <v>69</v>
      </c>
      <c r="G1787">
        <v>29</v>
      </c>
      <c r="H1787" t="s">
        <v>150</v>
      </c>
      <c r="I1787" t="s">
        <v>38</v>
      </c>
      <c r="J1787" t="s">
        <v>100</v>
      </c>
      <c r="K1787" t="s">
        <v>58</v>
      </c>
      <c r="L1787">
        <v>4.0999999999999996</v>
      </c>
      <c r="M1787" t="s">
        <v>152</v>
      </c>
      <c r="N1787" t="s">
        <v>34</v>
      </c>
      <c r="O1787" t="s">
        <v>47</v>
      </c>
      <c r="P1787" t="s">
        <v>152</v>
      </c>
      <c r="Q1787" t="s">
        <v>152</v>
      </c>
      <c r="R1787">
        <v>22</v>
      </c>
      <c r="S1787" t="s">
        <v>29</v>
      </c>
      <c r="T1787" t="str">
        <f t="shared" si="54"/>
        <v>Month</v>
      </c>
      <c r="U1787">
        <f>VLOOKUP(T1787,[1]tablescore!$B$3:$C$8, 2,FALSE)</f>
        <v>12</v>
      </c>
      <c r="V1787" t="str">
        <f t="shared" si="55"/>
        <v>Moderate</v>
      </c>
      <c r="W1787" t="s">
        <v>88</v>
      </c>
    </row>
    <row r="1788" spans="1:23" x14ac:dyDescent="0.25">
      <c r="A1788">
        <v>1787</v>
      </c>
      <c r="B1788">
        <v>45</v>
      </c>
      <c r="C1788" t="str" cm="1">
        <f t="array" ref="C1788">_xlfn.IFS(
  AND(B1788&gt;=18, B1788&lt;=24), "18-24",
  AND(B1788&gt;=25, B1788&lt;=34), "25-34",
  AND(B1788&gt;=35, B1788&lt;=44), "35-44",
  AND(B1788&gt;=45, B1788&lt;=54), "45-54",
  B1788&gt;=55, "55+"
)</f>
        <v>45-54</v>
      </c>
      <c r="D1788" t="s">
        <v>19</v>
      </c>
      <c r="E1788" t="s">
        <v>102</v>
      </c>
      <c r="F1788" t="s">
        <v>65</v>
      </c>
      <c r="G1788">
        <v>34</v>
      </c>
      <c r="H1788" t="s">
        <v>135</v>
      </c>
      <c r="I1788" t="s">
        <v>45</v>
      </c>
      <c r="J1788" t="s">
        <v>110</v>
      </c>
      <c r="K1788" t="s">
        <v>39</v>
      </c>
      <c r="L1788">
        <v>4.5999999999999996</v>
      </c>
      <c r="M1788" t="s">
        <v>152</v>
      </c>
      <c r="N1788" t="s">
        <v>59</v>
      </c>
      <c r="O1788" t="s">
        <v>72</v>
      </c>
      <c r="P1788" t="s">
        <v>152</v>
      </c>
      <c r="Q1788" t="s">
        <v>152</v>
      </c>
      <c r="R1788">
        <v>22</v>
      </c>
      <c r="S1788" t="s">
        <v>29</v>
      </c>
      <c r="T1788" t="str">
        <f t="shared" si="54"/>
        <v>Month</v>
      </c>
      <c r="U1788">
        <f>VLOOKUP(T1788,[1]tablescore!$B$3:$C$8, 2,FALSE)</f>
        <v>12</v>
      </c>
      <c r="V1788" t="str">
        <f t="shared" si="55"/>
        <v>Moderate</v>
      </c>
      <c r="W1788" t="s">
        <v>88</v>
      </c>
    </row>
    <row r="1789" spans="1:23" x14ac:dyDescent="0.25">
      <c r="A1789">
        <v>1788</v>
      </c>
      <c r="B1789">
        <v>20</v>
      </c>
      <c r="C1789" t="str" cm="1">
        <f t="array" ref="C1789">_xlfn.IFS(
  AND(B1789&gt;=18, B1789&lt;=24), "18-24",
  AND(B1789&gt;=25, B1789&lt;=34), "25-34",
  AND(B1789&gt;=35, B1789&lt;=44), "35-44",
  AND(B1789&gt;=45, B1789&lt;=54), "45-54",
  B1789&gt;=55, "55+"
)</f>
        <v>18-24</v>
      </c>
      <c r="D1789" t="s">
        <v>19</v>
      </c>
      <c r="E1789" t="s">
        <v>31</v>
      </c>
      <c r="F1789" t="s">
        <v>21</v>
      </c>
      <c r="G1789">
        <v>38</v>
      </c>
      <c r="H1789" t="s">
        <v>57</v>
      </c>
      <c r="I1789" t="s">
        <v>23</v>
      </c>
      <c r="J1789" t="s">
        <v>81</v>
      </c>
      <c r="K1789" t="s">
        <v>58</v>
      </c>
      <c r="L1789">
        <v>4.9000000000000004</v>
      </c>
      <c r="M1789" t="s">
        <v>152</v>
      </c>
      <c r="N1789" t="s">
        <v>34</v>
      </c>
      <c r="O1789" t="s">
        <v>72</v>
      </c>
      <c r="P1789" t="s">
        <v>152</v>
      </c>
      <c r="Q1789" t="s">
        <v>152</v>
      </c>
      <c r="R1789">
        <v>10</v>
      </c>
      <c r="S1789" t="s">
        <v>34</v>
      </c>
      <c r="T1789" t="str">
        <f t="shared" si="54"/>
        <v>Quarterly</v>
      </c>
      <c r="U1789">
        <f>VLOOKUP(T1789,[1]tablescore!$B$3:$C$8, 2,FALSE)</f>
        <v>4</v>
      </c>
      <c r="V1789" t="str">
        <f t="shared" si="55"/>
        <v>Low Loyalty</v>
      </c>
      <c r="W1789" t="s">
        <v>60</v>
      </c>
    </row>
    <row r="1790" spans="1:23" x14ac:dyDescent="0.25">
      <c r="A1790">
        <v>1789</v>
      </c>
      <c r="B1790">
        <v>66</v>
      </c>
      <c r="C1790" t="str" cm="1">
        <f t="array" ref="C1790">_xlfn.IFS(
  AND(B1790&gt;=18, B1790&lt;=24), "18-24",
  AND(B1790&gt;=25, B1790&lt;=34), "25-34",
  AND(B1790&gt;=35, B1790&lt;=44), "35-44",
  AND(B1790&gt;=45, B1790&lt;=54), "45-54",
  B1790&gt;=55, "55+"
)</f>
        <v>55+</v>
      </c>
      <c r="D1790" t="s">
        <v>19</v>
      </c>
      <c r="E1790" t="s">
        <v>20</v>
      </c>
      <c r="F1790" t="s">
        <v>21</v>
      </c>
      <c r="G1790">
        <v>41</v>
      </c>
      <c r="H1790" t="s">
        <v>115</v>
      </c>
      <c r="I1790" t="s">
        <v>23</v>
      </c>
      <c r="J1790" t="s">
        <v>71</v>
      </c>
      <c r="K1790" t="s">
        <v>54</v>
      </c>
      <c r="L1790">
        <v>3.1</v>
      </c>
      <c r="M1790" t="s">
        <v>152</v>
      </c>
      <c r="N1790" t="s">
        <v>46</v>
      </c>
      <c r="O1790" t="s">
        <v>76</v>
      </c>
      <c r="P1790" t="s">
        <v>152</v>
      </c>
      <c r="Q1790" t="s">
        <v>152</v>
      </c>
      <c r="R1790">
        <v>23</v>
      </c>
      <c r="S1790" t="s">
        <v>35</v>
      </c>
      <c r="T1790" t="str">
        <f t="shared" si="54"/>
        <v>2-week</v>
      </c>
      <c r="U1790">
        <f>VLOOKUP(T1790,[1]tablescore!$B$3:$C$8, 2,FALSE)</f>
        <v>26</v>
      </c>
      <c r="V1790" t="str">
        <f t="shared" si="55"/>
        <v>Loyal</v>
      </c>
      <c r="W1790" t="s">
        <v>77</v>
      </c>
    </row>
    <row r="1791" spans="1:23" x14ac:dyDescent="0.25">
      <c r="A1791">
        <v>1790</v>
      </c>
      <c r="B1791">
        <v>52</v>
      </c>
      <c r="C1791" t="str" cm="1">
        <f t="array" ref="C1791">_xlfn.IFS(
  AND(B1791&gt;=18, B1791&lt;=24), "18-24",
  AND(B1791&gt;=25, B1791&lt;=34), "25-34",
  AND(B1791&gt;=35, B1791&lt;=44), "35-44",
  AND(B1791&gt;=45, B1791&lt;=54), "45-54",
  B1791&gt;=55, "55+"
)</f>
        <v>45-54</v>
      </c>
      <c r="D1791" t="s">
        <v>19</v>
      </c>
      <c r="E1791" t="s">
        <v>20</v>
      </c>
      <c r="F1791" t="s">
        <v>21</v>
      </c>
      <c r="G1791">
        <v>34</v>
      </c>
      <c r="H1791" t="s">
        <v>117</v>
      </c>
      <c r="I1791" t="s">
        <v>23</v>
      </c>
      <c r="J1791" t="s">
        <v>100</v>
      </c>
      <c r="K1791" t="s">
        <v>39</v>
      </c>
      <c r="L1791">
        <v>3</v>
      </c>
      <c r="M1791" t="s">
        <v>152</v>
      </c>
      <c r="N1791" t="s">
        <v>46</v>
      </c>
      <c r="O1791" t="s">
        <v>72</v>
      </c>
      <c r="P1791" t="s">
        <v>152</v>
      </c>
      <c r="Q1791" t="s">
        <v>152</v>
      </c>
      <c r="R1791">
        <v>43</v>
      </c>
      <c r="S1791" t="s">
        <v>59</v>
      </c>
      <c r="T1791" t="str">
        <f t="shared" si="54"/>
        <v>Quarterly</v>
      </c>
      <c r="U1791">
        <f>VLOOKUP(T1791,[1]tablescore!$B$3:$C$8, 2,FALSE)</f>
        <v>4</v>
      </c>
      <c r="V1791" t="str">
        <f t="shared" si="55"/>
        <v>Low Loyalty</v>
      </c>
      <c r="W1791" t="s">
        <v>60</v>
      </c>
    </row>
    <row r="1792" spans="1:23" x14ac:dyDescent="0.25">
      <c r="A1792">
        <v>1791</v>
      </c>
      <c r="B1792">
        <v>50</v>
      </c>
      <c r="C1792" t="str" cm="1">
        <f t="array" ref="C1792">_xlfn.IFS(
  AND(B1792&gt;=18, B1792&lt;=24), "18-24",
  AND(B1792&gt;=25, B1792&lt;=34), "25-34",
  AND(B1792&gt;=35, B1792&lt;=44), "35-44",
  AND(B1792&gt;=45, B1792&lt;=54), "45-54",
  B1792&gt;=55, "55+"
)</f>
        <v>45-54</v>
      </c>
      <c r="D1792" t="s">
        <v>19</v>
      </c>
      <c r="E1792" t="s">
        <v>127</v>
      </c>
      <c r="F1792" t="s">
        <v>69</v>
      </c>
      <c r="G1792">
        <v>26</v>
      </c>
      <c r="H1792" t="s">
        <v>98</v>
      </c>
      <c r="I1792" t="s">
        <v>38</v>
      </c>
      <c r="J1792" t="s">
        <v>84</v>
      </c>
      <c r="K1792" t="s">
        <v>54</v>
      </c>
      <c r="L1792">
        <v>3.7</v>
      </c>
      <c r="M1792" t="s">
        <v>152</v>
      </c>
      <c r="N1792" t="s">
        <v>27</v>
      </c>
      <c r="O1792" t="s">
        <v>76</v>
      </c>
      <c r="P1792" t="s">
        <v>152</v>
      </c>
      <c r="Q1792" t="s">
        <v>152</v>
      </c>
      <c r="R1792">
        <v>31</v>
      </c>
      <c r="S1792" t="s">
        <v>46</v>
      </c>
      <c r="T1792" t="str">
        <f t="shared" si="54"/>
        <v>2-week</v>
      </c>
      <c r="U1792">
        <f>VLOOKUP(T1792,[1]tablescore!$B$3:$C$8, 2,FALSE)</f>
        <v>26</v>
      </c>
      <c r="V1792" t="str">
        <f t="shared" si="55"/>
        <v>Loyal</v>
      </c>
      <c r="W1792" t="s">
        <v>77</v>
      </c>
    </row>
    <row r="1793" spans="1:23" x14ac:dyDescent="0.25">
      <c r="A1793">
        <v>1792</v>
      </c>
      <c r="B1793">
        <v>62</v>
      </c>
      <c r="C1793" t="str" cm="1">
        <f t="array" ref="C1793">_xlfn.IFS(
  AND(B1793&gt;=18, B1793&lt;=24), "18-24",
  AND(B1793&gt;=25, B1793&lt;=34), "25-34",
  AND(B1793&gt;=35, B1793&lt;=44), "35-44",
  AND(B1793&gt;=45, B1793&lt;=54), "45-54",
  B1793&gt;=55, "55+"
)</f>
        <v>55+</v>
      </c>
      <c r="D1793" t="s">
        <v>19</v>
      </c>
      <c r="E1793" t="s">
        <v>36</v>
      </c>
      <c r="F1793" t="s">
        <v>21</v>
      </c>
      <c r="G1793">
        <v>98</v>
      </c>
      <c r="H1793" t="s">
        <v>57</v>
      </c>
      <c r="I1793" t="s">
        <v>38</v>
      </c>
      <c r="J1793" t="s">
        <v>75</v>
      </c>
      <c r="K1793" t="s">
        <v>25</v>
      </c>
      <c r="L1793">
        <v>4</v>
      </c>
      <c r="M1793" t="s">
        <v>152</v>
      </c>
      <c r="N1793" t="s">
        <v>59</v>
      </c>
      <c r="O1793" t="s">
        <v>76</v>
      </c>
      <c r="P1793" t="s">
        <v>152</v>
      </c>
      <c r="Q1793" t="s">
        <v>152</v>
      </c>
      <c r="R1793">
        <v>38</v>
      </c>
      <c r="S1793" t="s">
        <v>35</v>
      </c>
      <c r="T1793" t="str">
        <f t="shared" si="54"/>
        <v>Annually</v>
      </c>
      <c r="U1793">
        <f>VLOOKUP(T1793,[1]tablescore!$B$3:$C$8, 2,FALSE)</f>
        <v>1</v>
      </c>
      <c r="V1793" t="str">
        <f t="shared" si="55"/>
        <v>Low Loyalty</v>
      </c>
      <c r="W1793" t="s">
        <v>50</v>
      </c>
    </row>
    <row r="1794" spans="1:23" x14ac:dyDescent="0.25">
      <c r="A1794">
        <v>1793</v>
      </c>
      <c r="B1794">
        <v>38</v>
      </c>
      <c r="C1794" t="str" cm="1">
        <f t="array" ref="C1794">_xlfn.IFS(
  AND(B1794&gt;=18, B1794&lt;=24), "18-24",
  AND(B1794&gt;=25, B1794&lt;=34), "25-34",
  AND(B1794&gt;=35, B1794&lt;=44), "35-44",
  AND(B1794&gt;=45, B1794&lt;=54), "45-54",
  B1794&gt;=55, "55+"
)</f>
        <v>35-44</v>
      </c>
      <c r="D1794" t="s">
        <v>19</v>
      </c>
      <c r="E1794" t="s">
        <v>51</v>
      </c>
      <c r="F1794" t="s">
        <v>43</v>
      </c>
      <c r="G1794">
        <v>59</v>
      </c>
      <c r="H1794" t="s">
        <v>150</v>
      </c>
      <c r="I1794" t="s">
        <v>45</v>
      </c>
      <c r="J1794" t="s">
        <v>100</v>
      </c>
      <c r="K1794" t="s">
        <v>58</v>
      </c>
      <c r="L1794">
        <v>3</v>
      </c>
      <c r="M1794" t="s">
        <v>152</v>
      </c>
      <c r="N1794" t="s">
        <v>34</v>
      </c>
      <c r="O1794" t="s">
        <v>28</v>
      </c>
      <c r="P1794" t="s">
        <v>152</v>
      </c>
      <c r="Q1794" t="s">
        <v>152</v>
      </c>
      <c r="R1794">
        <v>22</v>
      </c>
      <c r="S1794" t="s">
        <v>59</v>
      </c>
      <c r="T1794" t="str">
        <f t="shared" si="54"/>
        <v>Quarterly</v>
      </c>
      <c r="U1794">
        <f>VLOOKUP(T1794,[1]tablescore!$B$3:$C$8, 2,FALSE)</f>
        <v>4</v>
      </c>
      <c r="V1794" t="str">
        <f t="shared" si="55"/>
        <v>Low Loyalty</v>
      </c>
      <c r="W1794" t="s">
        <v>97</v>
      </c>
    </row>
    <row r="1795" spans="1:23" x14ac:dyDescent="0.25">
      <c r="A1795">
        <v>1794</v>
      </c>
      <c r="B1795">
        <v>65</v>
      </c>
      <c r="C1795" t="str" cm="1">
        <f t="array" ref="C1795">_xlfn.IFS(
  AND(B1795&gt;=18, B1795&lt;=24), "18-24",
  AND(B1795&gt;=25, B1795&lt;=34), "25-34",
  AND(B1795&gt;=35, B1795&lt;=44), "35-44",
  AND(B1795&gt;=45, B1795&lt;=54), "45-54",
  B1795&gt;=55, "55+"
)</f>
        <v>55+</v>
      </c>
      <c r="D1795" t="s">
        <v>19</v>
      </c>
      <c r="E1795" t="s">
        <v>125</v>
      </c>
      <c r="F1795" t="s">
        <v>69</v>
      </c>
      <c r="G1795">
        <v>92</v>
      </c>
      <c r="H1795" t="s">
        <v>150</v>
      </c>
      <c r="I1795" t="s">
        <v>38</v>
      </c>
      <c r="J1795" t="s">
        <v>53</v>
      </c>
      <c r="K1795" t="s">
        <v>58</v>
      </c>
      <c r="L1795">
        <v>3.8</v>
      </c>
      <c r="M1795" t="s">
        <v>152</v>
      </c>
      <c r="N1795" t="s">
        <v>59</v>
      </c>
      <c r="O1795" t="s">
        <v>76</v>
      </c>
      <c r="P1795" t="s">
        <v>152</v>
      </c>
      <c r="Q1795" t="s">
        <v>152</v>
      </c>
      <c r="R1795">
        <v>45</v>
      </c>
      <c r="S1795" t="s">
        <v>35</v>
      </c>
      <c r="T1795" t="str">
        <f t="shared" ref="T1795:T1858" si="56">IF(TRIM(W1795)="Every 3 months","Quarterly",IF(TRIM(W1795)="Fortnightly","2-week",IF(TRIM(W1795)="Bi-Weekly","2-week",IF(TRIM(W1795)="Weekly","Daily",IF(TRIM(W1795)="Monthly","Month",TRIM(W1795))))))</f>
        <v>Quarterly</v>
      </c>
      <c r="U1795">
        <f>VLOOKUP(T1795,[1]tablescore!$B$3:$C$8, 2,FALSE)</f>
        <v>4</v>
      </c>
      <c r="V1795" t="str">
        <f t="shared" ref="V1795:V1858" si="57">_xlfn.IFS(U1795&gt;=30, "Highly Loyal", U1795&gt;=26, "Loyal", U1795&gt;=12, "Moderate", U1795&lt;5, "Low Loyalty")</f>
        <v>Low Loyalty</v>
      </c>
      <c r="W1795" t="s">
        <v>97</v>
      </c>
    </row>
    <row r="1796" spans="1:23" x14ac:dyDescent="0.25">
      <c r="A1796">
        <v>1795</v>
      </c>
      <c r="B1796">
        <v>60</v>
      </c>
      <c r="C1796" t="str" cm="1">
        <f t="array" ref="C1796">_xlfn.IFS(
  AND(B1796&gt;=18, B1796&lt;=24), "18-24",
  AND(B1796&gt;=25, B1796&lt;=34), "25-34",
  AND(B1796&gt;=35, B1796&lt;=44), "35-44",
  AND(B1796&gt;=45, B1796&lt;=54), "45-54",
  B1796&gt;=55, "55+"
)</f>
        <v>55+</v>
      </c>
      <c r="D1796" t="s">
        <v>19</v>
      </c>
      <c r="E1796" t="s">
        <v>133</v>
      </c>
      <c r="F1796" t="s">
        <v>69</v>
      </c>
      <c r="G1796">
        <v>40</v>
      </c>
      <c r="H1796" t="s">
        <v>124</v>
      </c>
      <c r="I1796" t="s">
        <v>23</v>
      </c>
      <c r="J1796" t="s">
        <v>129</v>
      </c>
      <c r="K1796" t="s">
        <v>39</v>
      </c>
      <c r="L1796">
        <v>3.7</v>
      </c>
      <c r="M1796" t="s">
        <v>152</v>
      </c>
      <c r="N1796" t="s">
        <v>34</v>
      </c>
      <c r="O1796" t="s">
        <v>28</v>
      </c>
      <c r="P1796" t="s">
        <v>152</v>
      </c>
      <c r="Q1796" t="s">
        <v>152</v>
      </c>
      <c r="R1796">
        <v>21</v>
      </c>
      <c r="S1796" t="s">
        <v>59</v>
      </c>
      <c r="T1796" t="str">
        <f t="shared" si="56"/>
        <v>2-week</v>
      </c>
      <c r="U1796">
        <f>VLOOKUP(T1796,[1]tablescore!$B$3:$C$8, 2,FALSE)</f>
        <v>26</v>
      </c>
      <c r="V1796" t="str">
        <f t="shared" si="57"/>
        <v>Loyal</v>
      </c>
      <c r="W1796" t="s">
        <v>30</v>
      </c>
    </row>
    <row r="1797" spans="1:23" x14ac:dyDescent="0.25">
      <c r="A1797">
        <v>1796</v>
      </c>
      <c r="B1797">
        <v>68</v>
      </c>
      <c r="C1797" t="str" cm="1">
        <f t="array" ref="C1797">_xlfn.IFS(
  AND(B1797&gt;=18, B1797&lt;=24), "18-24",
  AND(B1797&gt;=25, B1797&lt;=34), "25-34",
  AND(B1797&gt;=35, B1797&lt;=44), "35-44",
  AND(B1797&gt;=45, B1797&lt;=54), "45-54",
  B1797&gt;=55, "55+"
)</f>
        <v>55+</v>
      </c>
      <c r="D1797" t="s">
        <v>19</v>
      </c>
      <c r="E1797" t="s">
        <v>36</v>
      </c>
      <c r="F1797" t="s">
        <v>21</v>
      </c>
      <c r="G1797">
        <v>20</v>
      </c>
      <c r="H1797" t="s">
        <v>148</v>
      </c>
      <c r="I1797" t="s">
        <v>38</v>
      </c>
      <c r="J1797" t="s">
        <v>84</v>
      </c>
      <c r="K1797" t="s">
        <v>58</v>
      </c>
      <c r="L1797">
        <v>4</v>
      </c>
      <c r="M1797" t="s">
        <v>152</v>
      </c>
      <c r="N1797" t="s">
        <v>59</v>
      </c>
      <c r="O1797" t="s">
        <v>72</v>
      </c>
      <c r="P1797" t="s">
        <v>152</v>
      </c>
      <c r="Q1797" t="s">
        <v>152</v>
      </c>
      <c r="R1797">
        <v>9</v>
      </c>
      <c r="S1797" t="s">
        <v>59</v>
      </c>
      <c r="T1797" t="str">
        <f t="shared" si="56"/>
        <v>2-week</v>
      </c>
      <c r="U1797">
        <f>VLOOKUP(T1797,[1]tablescore!$B$3:$C$8, 2,FALSE)</f>
        <v>26</v>
      </c>
      <c r="V1797" t="str">
        <f t="shared" si="57"/>
        <v>Loyal</v>
      </c>
      <c r="W1797" t="s">
        <v>30</v>
      </c>
    </row>
    <row r="1798" spans="1:23" x14ac:dyDescent="0.25">
      <c r="A1798">
        <v>1797</v>
      </c>
      <c r="B1798">
        <v>62</v>
      </c>
      <c r="C1798" t="str" cm="1">
        <f t="array" ref="C1798">_xlfn.IFS(
  AND(B1798&gt;=18, B1798&lt;=24), "18-24",
  AND(B1798&gt;=25, B1798&lt;=34), "25-34",
  AND(B1798&gt;=35, B1798&lt;=44), "35-44",
  AND(B1798&gt;=45, B1798&lt;=54), "45-54",
  B1798&gt;=55, "55+"
)</f>
        <v>55+</v>
      </c>
      <c r="D1798" t="s">
        <v>19</v>
      </c>
      <c r="E1798" t="s">
        <v>87</v>
      </c>
      <c r="F1798" t="s">
        <v>21</v>
      </c>
      <c r="G1798">
        <v>35</v>
      </c>
      <c r="H1798" t="s">
        <v>126</v>
      </c>
      <c r="I1798" t="s">
        <v>38</v>
      </c>
      <c r="J1798" t="s">
        <v>110</v>
      </c>
      <c r="K1798" t="s">
        <v>39</v>
      </c>
      <c r="L1798">
        <v>3.1</v>
      </c>
      <c r="M1798" t="s">
        <v>152</v>
      </c>
      <c r="N1798" t="s">
        <v>59</v>
      </c>
      <c r="O1798" t="s">
        <v>76</v>
      </c>
      <c r="P1798" t="s">
        <v>152</v>
      </c>
      <c r="Q1798" t="s">
        <v>152</v>
      </c>
      <c r="R1798">
        <v>34</v>
      </c>
      <c r="S1798" t="s">
        <v>29</v>
      </c>
      <c r="T1798" t="str">
        <f t="shared" si="56"/>
        <v>Daily</v>
      </c>
      <c r="U1798">
        <f>VLOOKUP(T1798,[1]tablescore!$B$3:$C$8, 2,FALSE)</f>
        <v>30</v>
      </c>
      <c r="V1798" t="str">
        <f t="shared" si="57"/>
        <v>Highly Loyal</v>
      </c>
      <c r="W1798" t="s">
        <v>41</v>
      </c>
    </row>
    <row r="1799" spans="1:23" x14ac:dyDescent="0.25">
      <c r="A1799">
        <v>1798</v>
      </c>
      <c r="B1799">
        <v>62</v>
      </c>
      <c r="C1799" t="str" cm="1">
        <f t="array" ref="C1799">_xlfn.IFS(
  AND(B1799&gt;=18, B1799&lt;=24), "18-24",
  AND(B1799&gt;=25, B1799&lt;=34), "25-34",
  AND(B1799&gt;=35, B1799&lt;=44), "35-44",
  AND(B1799&gt;=45, B1799&lt;=54), "45-54",
  B1799&gt;=55, "55+"
)</f>
        <v>55+</v>
      </c>
      <c r="D1799" t="s">
        <v>19</v>
      </c>
      <c r="E1799" t="s">
        <v>136</v>
      </c>
      <c r="F1799" t="s">
        <v>69</v>
      </c>
      <c r="G1799">
        <v>35</v>
      </c>
      <c r="H1799" t="s">
        <v>48</v>
      </c>
      <c r="I1799" t="s">
        <v>23</v>
      </c>
      <c r="J1799" t="s">
        <v>33</v>
      </c>
      <c r="K1799" t="s">
        <v>39</v>
      </c>
      <c r="L1799">
        <v>3.9</v>
      </c>
      <c r="M1799" t="s">
        <v>152</v>
      </c>
      <c r="N1799" t="s">
        <v>46</v>
      </c>
      <c r="O1799" t="s">
        <v>72</v>
      </c>
      <c r="P1799" t="s">
        <v>152</v>
      </c>
      <c r="Q1799" t="s">
        <v>152</v>
      </c>
      <c r="R1799">
        <v>26</v>
      </c>
      <c r="S1799" t="s">
        <v>29</v>
      </c>
      <c r="T1799" t="str">
        <f t="shared" si="56"/>
        <v>Daily</v>
      </c>
      <c r="U1799">
        <f>VLOOKUP(T1799,[1]tablescore!$B$3:$C$8, 2,FALSE)</f>
        <v>30</v>
      </c>
      <c r="V1799" t="str">
        <f t="shared" si="57"/>
        <v>Highly Loyal</v>
      </c>
      <c r="W1799" t="s">
        <v>41</v>
      </c>
    </row>
    <row r="1800" spans="1:23" x14ac:dyDescent="0.25">
      <c r="A1800">
        <v>1799</v>
      </c>
      <c r="B1800">
        <v>40</v>
      </c>
      <c r="C1800" t="str" cm="1">
        <f t="array" ref="C1800">_xlfn.IFS(
  AND(B1800&gt;=18, B1800&lt;=24), "18-24",
  AND(B1800&gt;=25, B1800&lt;=34), "25-34",
  AND(B1800&gt;=35, B1800&lt;=44), "35-44",
  AND(B1800&gt;=45, B1800&lt;=54), "45-54",
  B1800&gt;=55, "55+"
)</f>
        <v>35-44</v>
      </c>
      <c r="D1800" t="s">
        <v>19</v>
      </c>
      <c r="E1800" t="s">
        <v>82</v>
      </c>
      <c r="F1800" t="s">
        <v>21</v>
      </c>
      <c r="G1800">
        <v>82</v>
      </c>
      <c r="H1800" t="s">
        <v>114</v>
      </c>
      <c r="I1800" t="s">
        <v>23</v>
      </c>
      <c r="J1800" t="s">
        <v>147</v>
      </c>
      <c r="K1800" t="s">
        <v>25</v>
      </c>
      <c r="L1800">
        <v>3.7</v>
      </c>
      <c r="M1800" t="s">
        <v>152</v>
      </c>
      <c r="N1800" t="s">
        <v>27</v>
      </c>
      <c r="O1800" t="s">
        <v>28</v>
      </c>
      <c r="P1800" t="s">
        <v>152</v>
      </c>
      <c r="Q1800" t="s">
        <v>152</v>
      </c>
      <c r="R1800">
        <v>1</v>
      </c>
      <c r="S1800" t="s">
        <v>35</v>
      </c>
      <c r="T1800" t="str">
        <f t="shared" si="56"/>
        <v>Daily</v>
      </c>
      <c r="U1800">
        <f>VLOOKUP(T1800,[1]tablescore!$B$3:$C$8, 2,FALSE)</f>
        <v>30</v>
      </c>
      <c r="V1800" t="str">
        <f t="shared" si="57"/>
        <v>Highly Loyal</v>
      </c>
      <c r="W1800" t="s">
        <v>41</v>
      </c>
    </row>
    <row r="1801" spans="1:23" x14ac:dyDescent="0.25">
      <c r="A1801">
        <v>1800</v>
      </c>
      <c r="B1801">
        <v>32</v>
      </c>
      <c r="C1801" t="str" cm="1">
        <f t="array" ref="C1801">_xlfn.IFS(
  AND(B1801&gt;=18, B1801&lt;=24), "18-24",
  AND(B1801&gt;=25, B1801&lt;=34), "25-34",
  AND(B1801&gt;=35, B1801&lt;=44), "35-44",
  AND(B1801&gt;=45, B1801&lt;=54), "45-54",
  B1801&gt;=55, "55+"
)</f>
        <v>25-34</v>
      </c>
      <c r="D1801" t="s">
        <v>19</v>
      </c>
      <c r="E1801" t="s">
        <v>104</v>
      </c>
      <c r="F1801" t="s">
        <v>21</v>
      </c>
      <c r="G1801">
        <v>48</v>
      </c>
      <c r="H1801" t="s">
        <v>99</v>
      </c>
      <c r="I1801" t="s">
        <v>45</v>
      </c>
      <c r="J1801" t="s">
        <v>63</v>
      </c>
      <c r="K1801" t="s">
        <v>58</v>
      </c>
      <c r="L1801">
        <v>3.9</v>
      </c>
      <c r="M1801" t="s">
        <v>152</v>
      </c>
      <c r="N1801" t="s">
        <v>59</v>
      </c>
      <c r="O1801" t="s">
        <v>28</v>
      </c>
      <c r="P1801" t="s">
        <v>152</v>
      </c>
      <c r="Q1801" t="s">
        <v>152</v>
      </c>
      <c r="R1801">
        <v>47</v>
      </c>
      <c r="S1801" t="s">
        <v>29</v>
      </c>
      <c r="T1801" t="str">
        <f t="shared" si="56"/>
        <v>Daily</v>
      </c>
      <c r="U1801">
        <f>VLOOKUP(T1801,[1]tablescore!$B$3:$C$8, 2,FALSE)</f>
        <v>30</v>
      </c>
      <c r="V1801" t="str">
        <f t="shared" si="57"/>
        <v>Highly Loyal</v>
      </c>
      <c r="W1801" t="s">
        <v>41</v>
      </c>
    </row>
    <row r="1802" spans="1:23" x14ac:dyDescent="0.25">
      <c r="A1802">
        <v>1801</v>
      </c>
      <c r="B1802">
        <v>22</v>
      </c>
      <c r="C1802" t="str" cm="1">
        <f t="array" ref="C1802">_xlfn.IFS(
  AND(B1802&gt;=18, B1802&lt;=24), "18-24",
  AND(B1802&gt;=25, B1802&lt;=34), "25-34",
  AND(B1802&gt;=35, B1802&lt;=44), "35-44",
  AND(B1802&gt;=45, B1802&lt;=54), "45-54",
  B1802&gt;=55, "55+"
)</f>
        <v>18-24</v>
      </c>
      <c r="D1802" t="s">
        <v>19</v>
      </c>
      <c r="E1802" t="s">
        <v>64</v>
      </c>
      <c r="F1802" t="s">
        <v>65</v>
      </c>
      <c r="G1802">
        <v>58</v>
      </c>
      <c r="H1802" t="s">
        <v>91</v>
      </c>
      <c r="I1802" t="s">
        <v>92</v>
      </c>
      <c r="J1802" t="s">
        <v>129</v>
      </c>
      <c r="K1802" t="s">
        <v>25</v>
      </c>
      <c r="L1802">
        <v>2.7</v>
      </c>
      <c r="M1802" t="s">
        <v>152</v>
      </c>
      <c r="N1802" t="s">
        <v>35</v>
      </c>
      <c r="O1802" t="s">
        <v>28</v>
      </c>
      <c r="P1802" t="s">
        <v>152</v>
      </c>
      <c r="Q1802" t="s">
        <v>152</v>
      </c>
      <c r="R1802">
        <v>30</v>
      </c>
      <c r="S1802" t="s">
        <v>27</v>
      </c>
      <c r="T1802" t="str">
        <f t="shared" si="56"/>
        <v>Daily</v>
      </c>
      <c r="U1802">
        <f>VLOOKUP(T1802,[1]tablescore!$B$3:$C$8, 2,FALSE)</f>
        <v>30</v>
      </c>
      <c r="V1802" t="str">
        <f t="shared" si="57"/>
        <v>Highly Loyal</v>
      </c>
      <c r="W1802" t="s">
        <v>41</v>
      </c>
    </row>
    <row r="1803" spans="1:23" x14ac:dyDescent="0.25">
      <c r="A1803">
        <v>1802</v>
      </c>
      <c r="B1803">
        <v>33</v>
      </c>
      <c r="C1803" t="str" cm="1">
        <f t="array" ref="C1803">_xlfn.IFS(
  AND(B1803&gt;=18, B1803&lt;=24), "18-24",
  AND(B1803&gt;=25, B1803&lt;=34), "25-34",
  AND(B1803&gt;=35, B1803&lt;=44), "35-44",
  AND(B1803&gt;=45, B1803&lt;=54), "45-54",
  B1803&gt;=55, "55+"
)</f>
        <v>25-34</v>
      </c>
      <c r="D1803" t="s">
        <v>19</v>
      </c>
      <c r="E1803" t="s">
        <v>31</v>
      </c>
      <c r="F1803" t="s">
        <v>21</v>
      </c>
      <c r="G1803">
        <v>57</v>
      </c>
      <c r="H1803" t="s">
        <v>137</v>
      </c>
      <c r="I1803" t="s">
        <v>45</v>
      </c>
      <c r="J1803" t="s">
        <v>49</v>
      </c>
      <c r="K1803" t="s">
        <v>39</v>
      </c>
      <c r="L1803">
        <v>3.9</v>
      </c>
      <c r="M1803" t="s">
        <v>152</v>
      </c>
      <c r="N1803" t="s">
        <v>27</v>
      </c>
      <c r="O1803" t="s">
        <v>28</v>
      </c>
      <c r="P1803" t="s">
        <v>152</v>
      </c>
      <c r="Q1803" t="s">
        <v>152</v>
      </c>
      <c r="R1803">
        <v>48</v>
      </c>
      <c r="S1803" t="s">
        <v>59</v>
      </c>
      <c r="T1803" t="str">
        <f t="shared" si="56"/>
        <v>2-week</v>
      </c>
      <c r="U1803">
        <f>VLOOKUP(T1803,[1]tablescore!$B$3:$C$8, 2,FALSE)</f>
        <v>26</v>
      </c>
      <c r="V1803" t="str">
        <f t="shared" si="57"/>
        <v>Loyal</v>
      </c>
      <c r="W1803" t="s">
        <v>30</v>
      </c>
    </row>
    <row r="1804" spans="1:23" x14ac:dyDescent="0.25">
      <c r="A1804">
        <v>1803</v>
      </c>
      <c r="B1804">
        <v>57</v>
      </c>
      <c r="C1804" t="str" cm="1">
        <f t="array" ref="C1804">_xlfn.IFS(
  AND(B1804&gt;=18, B1804&lt;=24), "18-24",
  AND(B1804&gt;=25, B1804&lt;=34), "25-34",
  AND(B1804&gt;=35, B1804&lt;=44), "35-44",
  AND(B1804&gt;=45, B1804&lt;=54), "45-54",
  B1804&gt;=55, "55+"
)</f>
        <v>55+</v>
      </c>
      <c r="D1804" t="s">
        <v>19</v>
      </c>
      <c r="E1804" t="s">
        <v>61</v>
      </c>
      <c r="F1804" t="s">
        <v>21</v>
      </c>
      <c r="G1804">
        <v>96</v>
      </c>
      <c r="H1804" t="s">
        <v>44</v>
      </c>
      <c r="I1804" t="s">
        <v>23</v>
      </c>
      <c r="J1804" t="s">
        <v>49</v>
      </c>
      <c r="K1804" t="s">
        <v>25</v>
      </c>
      <c r="L1804">
        <v>2.6</v>
      </c>
      <c r="M1804" t="s">
        <v>152</v>
      </c>
      <c r="N1804" t="s">
        <v>34</v>
      </c>
      <c r="O1804" t="s">
        <v>76</v>
      </c>
      <c r="P1804" t="s">
        <v>152</v>
      </c>
      <c r="Q1804" t="s">
        <v>152</v>
      </c>
      <c r="R1804">
        <v>31</v>
      </c>
      <c r="S1804" t="s">
        <v>29</v>
      </c>
      <c r="T1804" t="str">
        <f t="shared" si="56"/>
        <v>2-week</v>
      </c>
      <c r="U1804">
        <f>VLOOKUP(T1804,[1]tablescore!$B$3:$C$8, 2,FALSE)</f>
        <v>26</v>
      </c>
      <c r="V1804" t="str">
        <f t="shared" si="57"/>
        <v>Loyal</v>
      </c>
      <c r="W1804" t="s">
        <v>77</v>
      </c>
    </row>
    <row r="1805" spans="1:23" x14ac:dyDescent="0.25">
      <c r="A1805">
        <v>1804</v>
      </c>
      <c r="B1805">
        <v>60</v>
      </c>
      <c r="C1805" t="str" cm="1">
        <f t="array" ref="C1805">_xlfn.IFS(
  AND(B1805&gt;=18, B1805&lt;=24), "18-24",
  AND(B1805&gt;=25, B1805&lt;=34), "25-34",
  AND(B1805&gt;=35, B1805&lt;=44), "35-44",
  AND(B1805&gt;=45, B1805&lt;=54), "45-54",
  B1805&gt;=55, "55+"
)</f>
        <v>55+</v>
      </c>
      <c r="D1805" t="s">
        <v>19</v>
      </c>
      <c r="E1805" t="s">
        <v>51</v>
      </c>
      <c r="F1805" t="s">
        <v>43</v>
      </c>
      <c r="G1805">
        <v>97</v>
      </c>
      <c r="H1805" t="s">
        <v>83</v>
      </c>
      <c r="I1805" t="s">
        <v>38</v>
      </c>
      <c r="J1805" t="s">
        <v>24</v>
      </c>
      <c r="K1805" t="s">
        <v>54</v>
      </c>
      <c r="L1805">
        <v>3.5</v>
      </c>
      <c r="M1805" t="s">
        <v>152</v>
      </c>
      <c r="N1805" t="s">
        <v>46</v>
      </c>
      <c r="O1805" t="s">
        <v>40</v>
      </c>
      <c r="P1805" t="s">
        <v>152</v>
      </c>
      <c r="Q1805" t="s">
        <v>152</v>
      </c>
      <c r="R1805">
        <v>33</v>
      </c>
      <c r="S1805" t="s">
        <v>29</v>
      </c>
      <c r="T1805" t="str">
        <f t="shared" si="56"/>
        <v>2-week</v>
      </c>
      <c r="U1805">
        <f>VLOOKUP(T1805,[1]tablescore!$B$3:$C$8, 2,FALSE)</f>
        <v>26</v>
      </c>
      <c r="V1805" t="str">
        <f t="shared" si="57"/>
        <v>Loyal</v>
      </c>
      <c r="W1805" t="s">
        <v>30</v>
      </c>
    </row>
    <row r="1806" spans="1:23" x14ac:dyDescent="0.25">
      <c r="A1806">
        <v>1805</v>
      </c>
      <c r="B1806">
        <v>30</v>
      </c>
      <c r="C1806" t="str" cm="1">
        <f t="array" ref="C1806">_xlfn.IFS(
  AND(B1806&gt;=18, B1806&lt;=24), "18-24",
  AND(B1806&gt;=25, B1806&lt;=34), "25-34",
  AND(B1806&gt;=35, B1806&lt;=44), "35-44",
  AND(B1806&gt;=45, B1806&lt;=54), "45-54",
  B1806&gt;=55, "55+"
)</f>
        <v>25-34</v>
      </c>
      <c r="D1806" t="s">
        <v>19</v>
      </c>
      <c r="E1806" t="s">
        <v>31</v>
      </c>
      <c r="F1806" t="s">
        <v>21</v>
      </c>
      <c r="G1806">
        <v>42</v>
      </c>
      <c r="H1806" t="s">
        <v>62</v>
      </c>
      <c r="I1806" t="s">
        <v>23</v>
      </c>
      <c r="J1806" t="s">
        <v>100</v>
      </c>
      <c r="K1806" t="s">
        <v>25</v>
      </c>
      <c r="L1806">
        <v>4.4000000000000004</v>
      </c>
      <c r="M1806" t="s">
        <v>152</v>
      </c>
      <c r="N1806" t="s">
        <v>59</v>
      </c>
      <c r="O1806" t="s">
        <v>47</v>
      </c>
      <c r="P1806" t="s">
        <v>152</v>
      </c>
      <c r="Q1806" t="s">
        <v>152</v>
      </c>
      <c r="R1806">
        <v>39</v>
      </c>
      <c r="S1806" t="s">
        <v>27</v>
      </c>
      <c r="T1806" t="str">
        <f t="shared" si="56"/>
        <v>Daily</v>
      </c>
      <c r="U1806">
        <f>VLOOKUP(T1806,[1]tablescore!$B$3:$C$8, 2,FALSE)</f>
        <v>30</v>
      </c>
      <c r="V1806" t="str">
        <f t="shared" si="57"/>
        <v>Highly Loyal</v>
      </c>
      <c r="W1806" t="s">
        <v>41</v>
      </c>
    </row>
    <row r="1807" spans="1:23" x14ac:dyDescent="0.25">
      <c r="A1807">
        <v>1806</v>
      </c>
      <c r="B1807">
        <v>41</v>
      </c>
      <c r="C1807" t="str" cm="1">
        <f t="array" ref="C1807">_xlfn.IFS(
  AND(B1807&gt;=18, B1807&lt;=24), "18-24",
  AND(B1807&gt;=25, B1807&lt;=34), "25-34",
  AND(B1807&gt;=35, B1807&lt;=44), "35-44",
  AND(B1807&gt;=45, B1807&lt;=54), "45-54",
  B1807&gt;=55, "55+"
)</f>
        <v>35-44</v>
      </c>
      <c r="D1807" t="s">
        <v>19</v>
      </c>
      <c r="E1807" t="s">
        <v>113</v>
      </c>
      <c r="F1807" t="s">
        <v>21</v>
      </c>
      <c r="G1807">
        <v>62</v>
      </c>
      <c r="H1807" t="s">
        <v>117</v>
      </c>
      <c r="I1807" t="s">
        <v>23</v>
      </c>
      <c r="J1807" t="s">
        <v>81</v>
      </c>
      <c r="K1807" t="s">
        <v>39</v>
      </c>
      <c r="L1807">
        <v>4.9000000000000004</v>
      </c>
      <c r="M1807" t="s">
        <v>152</v>
      </c>
      <c r="N1807" t="s">
        <v>29</v>
      </c>
      <c r="O1807" t="s">
        <v>76</v>
      </c>
      <c r="P1807" t="s">
        <v>152</v>
      </c>
      <c r="Q1807" t="s">
        <v>152</v>
      </c>
      <c r="R1807">
        <v>46</v>
      </c>
      <c r="S1807" t="s">
        <v>59</v>
      </c>
      <c r="T1807" t="str">
        <f t="shared" si="56"/>
        <v>Daily</v>
      </c>
      <c r="U1807">
        <f>VLOOKUP(T1807,[1]tablescore!$B$3:$C$8, 2,FALSE)</f>
        <v>30</v>
      </c>
      <c r="V1807" t="str">
        <f t="shared" si="57"/>
        <v>Highly Loyal</v>
      </c>
      <c r="W1807" t="s">
        <v>41</v>
      </c>
    </row>
    <row r="1808" spans="1:23" x14ac:dyDescent="0.25">
      <c r="A1808">
        <v>1807</v>
      </c>
      <c r="B1808">
        <v>58</v>
      </c>
      <c r="C1808" t="str" cm="1">
        <f t="array" ref="C1808">_xlfn.IFS(
  AND(B1808&gt;=18, B1808&lt;=24), "18-24",
  AND(B1808&gt;=25, B1808&lt;=34), "25-34",
  AND(B1808&gt;=35, B1808&lt;=44), "35-44",
  AND(B1808&gt;=45, B1808&lt;=54), "45-54",
  B1808&gt;=55, "55+"
)</f>
        <v>55+</v>
      </c>
      <c r="D1808" t="s">
        <v>19</v>
      </c>
      <c r="E1808" t="s">
        <v>68</v>
      </c>
      <c r="F1808" t="s">
        <v>69</v>
      </c>
      <c r="G1808">
        <v>67</v>
      </c>
      <c r="H1808" t="s">
        <v>44</v>
      </c>
      <c r="I1808" t="s">
        <v>45</v>
      </c>
      <c r="J1808" t="s">
        <v>96</v>
      </c>
      <c r="K1808" t="s">
        <v>58</v>
      </c>
      <c r="L1808">
        <v>3.9</v>
      </c>
      <c r="M1808" t="s">
        <v>152</v>
      </c>
      <c r="N1808" t="s">
        <v>27</v>
      </c>
      <c r="O1808" t="s">
        <v>55</v>
      </c>
      <c r="P1808" t="s">
        <v>152</v>
      </c>
      <c r="Q1808" t="s">
        <v>152</v>
      </c>
      <c r="R1808">
        <v>24</v>
      </c>
      <c r="S1808" t="s">
        <v>29</v>
      </c>
      <c r="T1808" t="str">
        <f t="shared" si="56"/>
        <v>Annually</v>
      </c>
      <c r="U1808">
        <f>VLOOKUP(T1808,[1]tablescore!$B$3:$C$8, 2,FALSE)</f>
        <v>1</v>
      </c>
      <c r="V1808" t="str">
        <f t="shared" si="57"/>
        <v>Low Loyalty</v>
      </c>
      <c r="W1808" t="s">
        <v>50</v>
      </c>
    </row>
    <row r="1809" spans="1:23" x14ac:dyDescent="0.25">
      <c r="A1809">
        <v>1808</v>
      </c>
      <c r="B1809">
        <v>34</v>
      </c>
      <c r="C1809" t="str" cm="1">
        <f t="array" ref="C1809">_xlfn.IFS(
  AND(B1809&gt;=18, B1809&lt;=24), "18-24",
  AND(B1809&gt;=25, B1809&lt;=34), "25-34",
  AND(B1809&gt;=35, B1809&lt;=44), "35-44",
  AND(B1809&gt;=45, B1809&lt;=54), "45-54",
  B1809&gt;=55, "55+"
)</f>
        <v>25-34</v>
      </c>
      <c r="D1809" t="s">
        <v>19</v>
      </c>
      <c r="E1809" t="s">
        <v>51</v>
      </c>
      <c r="F1809" t="s">
        <v>43</v>
      </c>
      <c r="G1809">
        <v>46</v>
      </c>
      <c r="H1809" t="s">
        <v>145</v>
      </c>
      <c r="I1809" t="s">
        <v>23</v>
      </c>
      <c r="J1809" t="s">
        <v>81</v>
      </c>
      <c r="K1809" t="s">
        <v>54</v>
      </c>
      <c r="L1809">
        <v>3.5</v>
      </c>
      <c r="M1809" t="s">
        <v>152</v>
      </c>
      <c r="N1809" t="s">
        <v>46</v>
      </c>
      <c r="O1809" t="s">
        <v>55</v>
      </c>
      <c r="P1809" t="s">
        <v>152</v>
      </c>
      <c r="Q1809" t="s">
        <v>152</v>
      </c>
      <c r="R1809">
        <v>37</v>
      </c>
      <c r="S1809" t="s">
        <v>29</v>
      </c>
      <c r="T1809" t="str">
        <f t="shared" si="56"/>
        <v>2-week</v>
      </c>
      <c r="U1809">
        <f>VLOOKUP(T1809,[1]tablescore!$B$3:$C$8, 2,FALSE)</f>
        <v>26</v>
      </c>
      <c r="V1809" t="str">
        <f t="shared" si="57"/>
        <v>Loyal</v>
      </c>
      <c r="W1809" t="s">
        <v>30</v>
      </c>
    </row>
    <row r="1810" spans="1:23" x14ac:dyDescent="0.25">
      <c r="A1810">
        <v>1809</v>
      </c>
      <c r="B1810">
        <v>67</v>
      </c>
      <c r="C1810" t="str" cm="1">
        <f t="array" ref="C1810">_xlfn.IFS(
  AND(B1810&gt;=18, B1810&lt;=24), "18-24",
  AND(B1810&gt;=25, B1810&lt;=34), "25-34",
  AND(B1810&gt;=35, B1810&lt;=44), "35-44",
  AND(B1810&gt;=45, B1810&lt;=54), "45-54",
  B1810&gt;=55, "55+"
)</f>
        <v>55+</v>
      </c>
      <c r="D1810" t="s">
        <v>19</v>
      </c>
      <c r="E1810" t="s">
        <v>102</v>
      </c>
      <c r="F1810" t="s">
        <v>65</v>
      </c>
      <c r="G1810">
        <v>71</v>
      </c>
      <c r="H1810" t="s">
        <v>122</v>
      </c>
      <c r="I1810" t="s">
        <v>45</v>
      </c>
      <c r="J1810" t="s">
        <v>93</v>
      </c>
      <c r="K1810" t="s">
        <v>39</v>
      </c>
      <c r="L1810">
        <v>4.3</v>
      </c>
      <c r="M1810" t="s">
        <v>152</v>
      </c>
      <c r="N1810" t="s">
        <v>27</v>
      </c>
      <c r="O1810" t="s">
        <v>47</v>
      </c>
      <c r="P1810" t="s">
        <v>152</v>
      </c>
      <c r="Q1810" t="s">
        <v>152</v>
      </c>
      <c r="R1810">
        <v>7</v>
      </c>
      <c r="S1810" t="s">
        <v>59</v>
      </c>
      <c r="T1810" t="str">
        <f t="shared" si="56"/>
        <v>Month</v>
      </c>
      <c r="U1810">
        <f>VLOOKUP(T1810,[1]tablescore!$B$3:$C$8, 2,FALSE)</f>
        <v>12</v>
      </c>
      <c r="V1810" t="str">
        <f t="shared" si="57"/>
        <v>Moderate</v>
      </c>
      <c r="W1810" t="s">
        <v>88</v>
      </c>
    </row>
    <row r="1811" spans="1:23" x14ac:dyDescent="0.25">
      <c r="A1811">
        <v>1810</v>
      </c>
      <c r="B1811">
        <v>58</v>
      </c>
      <c r="C1811" t="str" cm="1">
        <f t="array" ref="C1811">_xlfn.IFS(
  AND(B1811&gt;=18, B1811&lt;=24), "18-24",
  AND(B1811&gt;=25, B1811&lt;=34), "25-34",
  AND(B1811&gt;=35, B1811&lt;=44), "35-44",
  AND(B1811&gt;=45, B1811&lt;=54), "45-54",
  B1811&gt;=55, "55+"
)</f>
        <v>55+</v>
      </c>
      <c r="D1811" t="s">
        <v>19</v>
      </c>
      <c r="E1811" t="s">
        <v>133</v>
      </c>
      <c r="F1811" t="s">
        <v>69</v>
      </c>
      <c r="G1811">
        <v>99</v>
      </c>
      <c r="H1811" t="s">
        <v>120</v>
      </c>
      <c r="I1811" t="s">
        <v>38</v>
      </c>
      <c r="J1811" t="s">
        <v>138</v>
      </c>
      <c r="K1811" t="s">
        <v>58</v>
      </c>
      <c r="L1811">
        <v>3.4</v>
      </c>
      <c r="M1811" t="s">
        <v>152</v>
      </c>
      <c r="N1811" t="s">
        <v>27</v>
      </c>
      <c r="O1811" t="s">
        <v>40</v>
      </c>
      <c r="P1811" t="s">
        <v>152</v>
      </c>
      <c r="Q1811" t="s">
        <v>152</v>
      </c>
      <c r="R1811">
        <v>6</v>
      </c>
      <c r="S1811" t="s">
        <v>59</v>
      </c>
      <c r="T1811" t="str">
        <f t="shared" si="56"/>
        <v>2-week</v>
      </c>
      <c r="U1811">
        <f>VLOOKUP(T1811,[1]tablescore!$B$3:$C$8, 2,FALSE)</f>
        <v>26</v>
      </c>
      <c r="V1811" t="str">
        <f t="shared" si="57"/>
        <v>Loyal</v>
      </c>
      <c r="W1811" t="s">
        <v>30</v>
      </c>
    </row>
    <row r="1812" spans="1:23" x14ac:dyDescent="0.25">
      <c r="A1812">
        <v>1811</v>
      </c>
      <c r="B1812">
        <v>41</v>
      </c>
      <c r="C1812" t="str" cm="1">
        <f t="array" ref="C1812">_xlfn.IFS(
  AND(B1812&gt;=18, B1812&lt;=24), "18-24",
  AND(B1812&gt;=25, B1812&lt;=34), "25-34",
  AND(B1812&gt;=35, B1812&lt;=44), "35-44",
  AND(B1812&gt;=45, B1812&lt;=54), "45-54",
  B1812&gt;=55, "55+"
)</f>
        <v>35-44</v>
      </c>
      <c r="D1812" t="s">
        <v>19</v>
      </c>
      <c r="E1812" t="s">
        <v>36</v>
      </c>
      <c r="F1812" t="s">
        <v>21</v>
      </c>
      <c r="G1812">
        <v>28</v>
      </c>
      <c r="H1812" t="s">
        <v>135</v>
      </c>
      <c r="I1812" t="s">
        <v>45</v>
      </c>
      <c r="J1812" t="s">
        <v>147</v>
      </c>
      <c r="K1812" t="s">
        <v>58</v>
      </c>
      <c r="L1812">
        <v>2.7</v>
      </c>
      <c r="M1812" t="s">
        <v>152</v>
      </c>
      <c r="N1812" t="s">
        <v>27</v>
      </c>
      <c r="O1812" t="s">
        <v>55</v>
      </c>
      <c r="P1812" t="s">
        <v>152</v>
      </c>
      <c r="Q1812" t="s">
        <v>152</v>
      </c>
      <c r="R1812">
        <v>16</v>
      </c>
      <c r="S1812" t="s">
        <v>35</v>
      </c>
      <c r="T1812" t="str">
        <f t="shared" si="56"/>
        <v>2-week</v>
      </c>
      <c r="U1812">
        <f>VLOOKUP(T1812,[1]tablescore!$B$3:$C$8, 2,FALSE)</f>
        <v>26</v>
      </c>
      <c r="V1812" t="str">
        <f t="shared" si="57"/>
        <v>Loyal</v>
      </c>
      <c r="W1812" t="s">
        <v>77</v>
      </c>
    </row>
    <row r="1813" spans="1:23" x14ac:dyDescent="0.25">
      <c r="A1813">
        <v>1812</v>
      </c>
      <c r="B1813">
        <v>42</v>
      </c>
      <c r="C1813" t="str" cm="1">
        <f t="array" ref="C1813">_xlfn.IFS(
  AND(B1813&gt;=18, B1813&lt;=24), "18-24",
  AND(B1813&gt;=25, B1813&lt;=34), "25-34",
  AND(B1813&gt;=35, B1813&lt;=44), "35-44",
  AND(B1813&gt;=45, B1813&lt;=54), "45-54",
  B1813&gt;=55, "55+"
)</f>
        <v>35-44</v>
      </c>
      <c r="D1813" t="s">
        <v>19</v>
      </c>
      <c r="E1813" t="s">
        <v>136</v>
      </c>
      <c r="F1813" t="s">
        <v>69</v>
      </c>
      <c r="G1813">
        <v>77</v>
      </c>
      <c r="H1813" t="s">
        <v>148</v>
      </c>
      <c r="I1813" t="s">
        <v>23</v>
      </c>
      <c r="J1813" t="s">
        <v>138</v>
      </c>
      <c r="K1813" t="s">
        <v>54</v>
      </c>
      <c r="L1813">
        <v>3.6</v>
      </c>
      <c r="M1813" t="s">
        <v>152</v>
      </c>
      <c r="N1813" t="s">
        <v>34</v>
      </c>
      <c r="O1813" t="s">
        <v>55</v>
      </c>
      <c r="P1813" t="s">
        <v>152</v>
      </c>
      <c r="Q1813" t="s">
        <v>152</v>
      </c>
      <c r="R1813">
        <v>33</v>
      </c>
      <c r="S1813" t="s">
        <v>34</v>
      </c>
      <c r="T1813" t="str">
        <f t="shared" si="56"/>
        <v>Annually</v>
      </c>
      <c r="U1813">
        <f>VLOOKUP(T1813,[1]tablescore!$B$3:$C$8, 2,FALSE)</f>
        <v>1</v>
      </c>
      <c r="V1813" t="str">
        <f t="shared" si="57"/>
        <v>Low Loyalty</v>
      </c>
      <c r="W1813" t="s">
        <v>50</v>
      </c>
    </row>
    <row r="1814" spans="1:23" x14ac:dyDescent="0.25">
      <c r="A1814">
        <v>1813</v>
      </c>
      <c r="B1814">
        <v>50</v>
      </c>
      <c r="C1814" t="str" cm="1">
        <f t="array" ref="C1814">_xlfn.IFS(
  AND(B1814&gt;=18, B1814&lt;=24), "18-24",
  AND(B1814&gt;=25, B1814&lt;=34), "25-34",
  AND(B1814&gt;=35, B1814&lt;=44), "35-44",
  AND(B1814&gt;=45, B1814&lt;=54), "45-54",
  B1814&gt;=55, "55+"
)</f>
        <v>45-54</v>
      </c>
      <c r="D1814" t="s">
        <v>19</v>
      </c>
      <c r="E1814" t="s">
        <v>132</v>
      </c>
      <c r="F1814" t="s">
        <v>43</v>
      </c>
      <c r="G1814">
        <v>63</v>
      </c>
      <c r="H1814" t="s">
        <v>107</v>
      </c>
      <c r="I1814" t="s">
        <v>38</v>
      </c>
      <c r="J1814" t="s">
        <v>138</v>
      </c>
      <c r="K1814" t="s">
        <v>54</v>
      </c>
      <c r="L1814">
        <v>4.9000000000000004</v>
      </c>
      <c r="M1814" t="s">
        <v>152</v>
      </c>
      <c r="N1814" t="s">
        <v>29</v>
      </c>
      <c r="O1814" t="s">
        <v>28</v>
      </c>
      <c r="P1814" t="s">
        <v>152</v>
      </c>
      <c r="Q1814" t="s">
        <v>152</v>
      </c>
      <c r="R1814">
        <v>18</v>
      </c>
      <c r="S1814" t="s">
        <v>46</v>
      </c>
      <c r="T1814" t="str">
        <f t="shared" si="56"/>
        <v>2-week</v>
      </c>
      <c r="U1814">
        <f>VLOOKUP(T1814,[1]tablescore!$B$3:$C$8, 2,FALSE)</f>
        <v>26</v>
      </c>
      <c r="V1814" t="str">
        <f t="shared" si="57"/>
        <v>Loyal</v>
      </c>
      <c r="W1814" t="s">
        <v>77</v>
      </c>
    </row>
    <row r="1815" spans="1:23" x14ac:dyDescent="0.25">
      <c r="A1815">
        <v>1814</v>
      </c>
      <c r="B1815">
        <v>40</v>
      </c>
      <c r="C1815" t="str" cm="1">
        <f t="array" ref="C1815">_xlfn.IFS(
  AND(B1815&gt;=18, B1815&lt;=24), "18-24",
  AND(B1815&gt;=25, B1815&lt;=34), "25-34",
  AND(B1815&gt;=35, B1815&lt;=44), "35-44",
  AND(B1815&gt;=45, B1815&lt;=54), "45-54",
  B1815&gt;=55, "55+"
)</f>
        <v>35-44</v>
      </c>
      <c r="D1815" t="s">
        <v>19</v>
      </c>
      <c r="E1815" t="s">
        <v>61</v>
      </c>
      <c r="F1815" t="s">
        <v>21</v>
      </c>
      <c r="G1815">
        <v>62</v>
      </c>
      <c r="H1815" t="s">
        <v>115</v>
      </c>
      <c r="I1815" t="s">
        <v>45</v>
      </c>
      <c r="J1815" t="s">
        <v>79</v>
      </c>
      <c r="K1815" t="s">
        <v>39</v>
      </c>
      <c r="L1815">
        <v>3.5</v>
      </c>
      <c r="M1815" t="s">
        <v>152</v>
      </c>
      <c r="N1815" t="s">
        <v>27</v>
      </c>
      <c r="O1815" t="s">
        <v>40</v>
      </c>
      <c r="P1815" t="s">
        <v>152</v>
      </c>
      <c r="Q1815" t="s">
        <v>152</v>
      </c>
      <c r="R1815">
        <v>24</v>
      </c>
      <c r="S1815" t="s">
        <v>46</v>
      </c>
      <c r="T1815" t="str">
        <f t="shared" si="56"/>
        <v>Daily</v>
      </c>
      <c r="U1815">
        <f>VLOOKUP(T1815,[1]tablescore!$B$3:$C$8, 2,FALSE)</f>
        <v>30</v>
      </c>
      <c r="V1815" t="str">
        <f t="shared" si="57"/>
        <v>Highly Loyal</v>
      </c>
      <c r="W1815" t="s">
        <v>41</v>
      </c>
    </row>
    <row r="1816" spans="1:23" x14ac:dyDescent="0.25">
      <c r="A1816">
        <v>1815</v>
      </c>
      <c r="B1816">
        <v>32</v>
      </c>
      <c r="C1816" t="str" cm="1">
        <f t="array" ref="C1816">_xlfn.IFS(
  AND(B1816&gt;=18, B1816&lt;=24), "18-24",
  AND(B1816&gt;=25, B1816&lt;=34), "25-34",
  AND(B1816&gt;=35, B1816&lt;=44), "35-44",
  AND(B1816&gt;=45, B1816&lt;=54), "45-54",
  B1816&gt;=55, "55+"
)</f>
        <v>25-34</v>
      </c>
      <c r="D1816" t="s">
        <v>19</v>
      </c>
      <c r="E1816" t="s">
        <v>36</v>
      </c>
      <c r="F1816" t="s">
        <v>21</v>
      </c>
      <c r="G1816">
        <v>92</v>
      </c>
      <c r="H1816" t="s">
        <v>57</v>
      </c>
      <c r="I1816" t="s">
        <v>45</v>
      </c>
      <c r="J1816" t="s">
        <v>53</v>
      </c>
      <c r="K1816" t="s">
        <v>54</v>
      </c>
      <c r="L1816">
        <v>3.8</v>
      </c>
      <c r="M1816" t="s">
        <v>152</v>
      </c>
      <c r="N1816" t="s">
        <v>59</v>
      </c>
      <c r="O1816" t="s">
        <v>40</v>
      </c>
      <c r="P1816" t="s">
        <v>152</v>
      </c>
      <c r="Q1816" t="s">
        <v>152</v>
      </c>
      <c r="R1816">
        <v>24</v>
      </c>
      <c r="S1816" t="s">
        <v>35</v>
      </c>
      <c r="T1816" t="str">
        <f t="shared" si="56"/>
        <v>Quarterly</v>
      </c>
      <c r="U1816">
        <f>VLOOKUP(T1816,[1]tablescore!$B$3:$C$8, 2,FALSE)</f>
        <v>4</v>
      </c>
      <c r="V1816" t="str">
        <f t="shared" si="57"/>
        <v>Low Loyalty</v>
      </c>
      <c r="W1816" t="s">
        <v>60</v>
      </c>
    </row>
    <row r="1817" spans="1:23" x14ac:dyDescent="0.25">
      <c r="A1817">
        <v>1816</v>
      </c>
      <c r="B1817">
        <v>51</v>
      </c>
      <c r="C1817" t="str" cm="1">
        <f t="array" ref="C1817">_xlfn.IFS(
  AND(B1817&gt;=18, B1817&lt;=24), "18-24",
  AND(B1817&gt;=25, B1817&lt;=34), "25-34",
  AND(B1817&gt;=35, B1817&lt;=44), "35-44",
  AND(B1817&gt;=45, B1817&lt;=54), "45-54",
  B1817&gt;=55, "55+"
)</f>
        <v>45-54</v>
      </c>
      <c r="D1817" t="s">
        <v>19</v>
      </c>
      <c r="E1817" t="s">
        <v>73</v>
      </c>
      <c r="F1817" t="s">
        <v>43</v>
      </c>
      <c r="G1817">
        <v>72</v>
      </c>
      <c r="H1817" t="s">
        <v>123</v>
      </c>
      <c r="I1817" t="s">
        <v>23</v>
      </c>
      <c r="J1817" t="s">
        <v>53</v>
      </c>
      <c r="K1817" t="s">
        <v>25</v>
      </c>
      <c r="L1817">
        <v>4.5</v>
      </c>
      <c r="M1817" t="s">
        <v>152</v>
      </c>
      <c r="N1817" t="s">
        <v>29</v>
      </c>
      <c r="O1817" t="s">
        <v>72</v>
      </c>
      <c r="P1817" t="s">
        <v>152</v>
      </c>
      <c r="Q1817" t="s">
        <v>152</v>
      </c>
      <c r="R1817">
        <v>48</v>
      </c>
      <c r="S1817" t="s">
        <v>27</v>
      </c>
      <c r="T1817" t="str">
        <f t="shared" si="56"/>
        <v>Quarterly</v>
      </c>
      <c r="U1817">
        <f>VLOOKUP(T1817,[1]tablescore!$B$3:$C$8, 2,FALSE)</f>
        <v>4</v>
      </c>
      <c r="V1817" t="str">
        <f t="shared" si="57"/>
        <v>Low Loyalty</v>
      </c>
      <c r="W1817" t="s">
        <v>97</v>
      </c>
    </row>
    <row r="1818" spans="1:23" x14ac:dyDescent="0.25">
      <c r="A1818">
        <v>1817</v>
      </c>
      <c r="B1818">
        <v>26</v>
      </c>
      <c r="C1818" t="str" cm="1">
        <f t="array" ref="C1818">_xlfn.IFS(
  AND(B1818&gt;=18, B1818&lt;=24), "18-24",
  AND(B1818&gt;=25, B1818&lt;=34), "25-34",
  AND(B1818&gt;=35, B1818&lt;=44), "35-44",
  AND(B1818&gt;=45, B1818&lt;=54), "45-54",
  B1818&gt;=55, "55+"
)</f>
        <v>25-34</v>
      </c>
      <c r="D1818" t="s">
        <v>19</v>
      </c>
      <c r="E1818" t="s">
        <v>125</v>
      </c>
      <c r="F1818" t="s">
        <v>69</v>
      </c>
      <c r="G1818">
        <v>79</v>
      </c>
      <c r="H1818" t="s">
        <v>128</v>
      </c>
      <c r="I1818" t="s">
        <v>45</v>
      </c>
      <c r="J1818" t="s">
        <v>75</v>
      </c>
      <c r="K1818" t="s">
        <v>54</v>
      </c>
      <c r="L1818">
        <v>4</v>
      </c>
      <c r="M1818" t="s">
        <v>152</v>
      </c>
      <c r="N1818" t="s">
        <v>29</v>
      </c>
      <c r="O1818" t="s">
        <v>28</v>
      </c>
      <c r="P1818" t="s">
        <v>152</v>
      </c>
      <c r="Q1818" t="s">
        <v>152</v>
      </c>
      <c r="R1818">
        <v>4</v>
      </c>
      <c r="S1818" t="s">
        <v>35</v>
      </c>
      <c r="T1818" t="str">
        <f t="shared" si="56"/>
        <v>Daily</v>
      </c>
      <c r="U1818">
        <f>VLOOKUP(T1818,[1]tablescore!$B$3:$C$8, 2,FALSE)</f>
        <v>30</v>
      </c>
      <c r="V1818" t="str">
        <f t="shared" si="57"/>
        <v>Highly Loyal</v>
      </c>
      <c r="W1818" t="s">
        <v>41</v>
      </c>
    </row>
    <row r="1819" spans="1:23" x14ac:dyDescent="0.25">
      <c r="A1819">
        <v>1818</v>
      </c>
      <c r="B1819">
        <v>32</v>
      </c>
      <c r="C1819" t="str" cm="1">
        <f t="array" ref="C1819">_xlfn.IFS(
  AND(B1819&gt;=18, B1819&lt;=24), "18-24",
  AND(B1819&gt;=25, B1819&lt;=34), "25-34",
  AND(B1819&gt;=35, B1819&lt;=44), "35-44",
  AND(B1819&gt;=45, B1819&lt;=54), "45-54",
  B1819&gt;=55, "55+"
)</f>
        <v>25-34</v>
      </c>
      <c r="D1819" t="s">
        <v>19</v>
      </c>
      <c r="E1819" t="s">
        <v>113</v>
      </c>
      <c r="F1819" t="s">
        <v>21</v>
      </c>
      <c r="G1819">
        <v>27</v>
      </c>
      <c r="H1819" t="s">
        <v>80</v>
      </c>
      <c r="I1819" t="s">
        <v>45</v>
      </c>
      <c r="J1819" t="s">
        <v>53</v>
      </c>
      <c r="K1819" t="s">
        <v>54</v>
      </c>
      <c r="L1819">
        <v>4.7</v>
      </c>
      <c r="M1819" t="s">
        <v>152</v>
      </c>
      <c r="N1819" t="s">
        <v>27</v>
      </c>
      <c r="O1819" t="s">
        <v>40</v>
      </c>
      <c r="P1819" t="s">
        <v>152</v>
      </c>
      <c r="Q1819" t="s">
        <v>152</v>
      </c>
      <c r="R1819">
        <v>20</v>
      </c>
      <c r="S1819" t="s">
        <v>35</v>
      </c>
      <c r="T1819" t="str">
        <f t="shared" si="56"/>
        <v>Daily</v>
      </c>
      <c r="U1819">
        <f>VLOOKUP(T1819,[1]tablescore!$B$3:$C$8, 2,FALSE)</f>
        <v>30</v>
      </c>
      <c r="V1819" t="str">
        <f t="shared" si="57"/>
        <v>Highly Loyal</v>
      </c>
      <c r="W1819" t="s">
        <v>41</v>
      </c>
    </row>
    <row r="1820" spans="1:23" x14ac:dyDescent="0.25">
      <c r="A1820">
        <v>1819</v>
      </c>
      <c r="B1820">
        <v>58</v>
      </c>
      <c r="C1820" t="str" cm="1">
        <f t="array" ref="C1820">_xlfn.IFS(
  AND(B1820&gt;=18, B1820&lt;=24), "18-24",
  AND(B1820&gt;=25, B1820&lt;=34), "25-34",
  AND(B1820&gt;=35, B1820&lt;=44), "35-44",
  AND(B1820&gt;=45, B1820&lt;=54), "45-54",
  B1820&gt;=55, "55+"
)</f>
        <v>55+</v>
      </c>
      <c r="D1820" t="s">
        <v>19</v>
      </c>
      <c r="E1820" t="s">
        <v>89</v>
      </c>
      <c r="F1820" t="s">
        <v>69</v>
      </c>
      <c r="G1820">
        <v>39</v>
      </c>
      <c r="H1820" t="s">
        <v>98</v>
      </c>
      <c r="I1820" t="s">
        <v>45</v>
      </c>
      <c r="J1820" t="s">
        <v>53</v>
      </c>
      <c r="K1820" t="s">
        <v>58</v>
      </c>
      <c r="L1820">
        <v>3.8</v>
      </c>
      <c r="M1820" t="s">
        <v>152</v>
      </c>
      <c r="N1820" t="s">
        <v>27</v>
      </c>
      <c r="O1820" t="s">
        <v>28</v>
      </c>
      <c r="P1820" t="s">
        <v>152</v>
      </c>
      <c r="Q1820" t="s">
        <v>152</v>
      </c>
      <c r="R1820">
        <v>47</v>
      </c>
      <c r="S1820" t="s">
        <v>59</v>
      </c>
      <c r="T1820" t="str">
        <f t="shared" si="56"/>
        <v>Quarterly</v>
      </c>
      <c r="U1820">
        <f>VLOOKUP(T1820,[1]tablescore!$B$3:$C$8, 2,FALSE)</f>
        <v>4</v>
      </c>
      <c r="V1820" t="str">
        <f t="shared" si="57"/>
        <v>Low Loyalty</v>
      </c>
      <c r="W1820" t="s">
        <v>97</v>
      </c>
    </row>
    <row r="1821" spans="1:23" x14ac:dyDescent="0.25">
      <c r="A1821">
        <v>1820</v>
      </c>
      <c r="B1821">
        <v>51</v>
      </c>
      <c r="C1821" t="str" cm="1">
        <f t="array" ref="C1821">_xlfn.IFS(
  AND(B1821&gt;=18, B1821&lt;=24), "18-24",
  AND(B1821&gt;=25, B1821&lt;=34), "25-34",
  AND(B1821&gt;=35, B1821&lt;=44), "35-44",
  AND(B1821&gt;=45, B1821&lt;=54), "45-54",
  B1821&gt;=55, "55+"
)</f>
        <v>45-54</v>
      </c>
      <c r="D1821" t="s">
        <v>19</v>
      </c>
      <c r="E1821" t="s">
        <v>131</v>
      </c>
      <c r="F1821" t="s">
        <v>21</v>
      </c>
      <c r="G1821">
        <v>86</v>
      </c>
      <c r="H1821" t="s">
        <v>107</v>
      </c>
      <c r="I1821" t="s">
        <v>38</v>
      </c>
      <c r="J1821" t="s">
        <v>100</v>
      </c>
      <c r="K1821" t="s">
        <v>39</v>
      </c>
      <c r="L1821">
        <v>4.5</v>
      </c>
      <c r="M1821" t="s">
        <v>152</v>
      </c>
      <c r="N1821" t="s">
        <v>35</v>
      </c>
      <c r="O1821" t="s">
        <v>47</v>
      </c>
      <c r="P1821" t="s">
        <v>152</v>
      </c>
      <c r="Q1821" t="s">
        <v>152</v>
      </c>
      <c r="R1821">
        <v>50</v>
      </c>
      <c r="S1821" t="s">
        <v>35</v>
      </c>
      <c r="T1821" t="str">
        <f t="shared" si="56"/>
        <v>Quarterly</v>
      </c>
      <c r="U1821">
        <f>VLOOKUP(T1821,[1]tablescore!$B$3:$C$8, 2,FALSE)</f>
        <v>4</v>
      </c>
      <c r="V1821" t="str">
        <f t="shared" si="57"/>
        <v>Low Loyalty</v>
      </c>
      <c r="W1821" t="s">
        <v>60</v>
      </c>
    </row>
    <row r="1822" spans="1:23" x14ac:dyDescent="0.25">
      <c r="A1822">
        <v>1821</v>
      </c>
      <c r="B1822">
        <v>19</v>
      </c>
      <c r="C1822" t="str" cm="1">
        <f t="array" ref="C1822">_xlfn.IFS(
  AND(B1822&gt;=18, B1822&lt;=24), "18-24",
  AND(B1822&gt;=25, B1822&lt;=34), "25-34",
  AND(B1822&gt;=35, B1822&lt;=44), "35-44",
  AND(B1822&gt;=45, B1822&lt;=54), "45-54",
  B1822&gt;=55, "55+"
)</f>
        <v>18-24</v>
      </c>
      <c r="D1822" t="s">
        <v>19</v>
      </c>
      <c r="E1822" t="s">
        <v>56</v>
      </c>
      <c r="F1822" t="s">
        <v>21</v>
      </c>
      <c r="G1822">
        <v>94</v>
      </c>
      <c r="H1822" t="s">
        <v>140</v>
      </c>
      <c r="I1822" t="s">
        <v>92</v>
      </c>
      <c r="J1822" t="s">
        <v>81</v>
      </c>
      <c r="K1822" t="s">
        <v>58</v>
      </c>
      <c r="L1822">
        <v>5</v>
      </c>
      <c r="M1822" t="s">
        <v>152</v>
      </c>
      <c r="N1822" t="s">
        <v>46</v>
      </c>
      <c r="O1822" t="s">
        <v>28</v>
      </c>
      <c r="P1822" t="s">
        <v>152</v>
      </c>
      <c r="Q1822" t="s">
        <v>152</v>
      </c>
      <c r="R1822">
        <v>31</v>
      </c>
      <c r="S1822" t="s">
        <v>46</v>
      </c>
      <c r="T1822" t="str">
        <f t="shared" si="56"/>
        <v>Month</v>
      </c>
      <c r="U1822">
        <f>VLOOKUP(T1822,[1]tablescore!$B$3:$C$8, 2,FALSE)</f>
        <v>12</v>
      </c>
      <c r="V1822" t="str">
        <f t="shared" si="57"/>
        <v>Moderate</v>
      </c>
      <c r="W1822" t="s">
        <v>88</v>
      </c>
    </row>
    <row r="1823" spans="1:23" x14ac:dyDescent="0.25">
      <c r="A1823">
        <v>1822</v>
      </c>
      <c r="B1823">
        <v>57</v>
      </c>
      <c r="C1823" t="str" cm="1">
        <f t="array" ref="C1823">_xlfn.IFS(
  AND(B1823&gt;=18, B1823&lt;=24), "18-24",
  AND(B1823&gt;=25, B1823&lt;=34), "25-34",
  AND(B1823&gt;=35, B1823&lt;=44), "35-44",
  AND(B1823&gt;=45, B1823&lt;=54), "45-54",
  B1823&gt;=55, "55+"
)</f>
        <v>55+</v>
      </c>
      <c r="D1823" t="s">
        <v>19</v>
      </c>
      <c r="E1823" t="s">
        <v>61</v>
      </c>
      <c r="F1823" t="s">
        <v>21</v>
      </c>
      <c r="G1823">
        <v>53</v>
      </c>
      <c r="H1823" t="s">
        <v>32</v>
      </c>
      <c r="I1823" t="s">
        <v>45</v>
      </c>
      <c r="J1823" t="s">
        <v>86</v>
      </c>
      <c r="K1823" t="s">
        <v>39</v>
      </c>
      <c r="L1823">
        <v>2.8</v>
      </c>
      <c r="M1823" t="s">
        <v>152</v>
      </c>
      <c r="N1823" t="s">
        <v>27</v>
      </c>
      <c r="O1823" t="s">
        <v>28</v>
      </c>
      <c r="P1823" t="s">
        <v>152</v>
      </c>
      <c r="Q1823" t="s">
        <v>152</v>
      </c>
      <c r="R1823">
        <v>29</v>
      </c>
      <c r="S1823" t="s">
        <v>46</v>
      </c>
      <c r="T1823" t="str">
        <f t="shared" si="56"/>
        <v>Quarterly</v>
      </c>
      <c r="U1823">
        <f>VLOOKUP(T1823,[1]tablescore!$B$3:$C$8, 2,FALSE)</f>
        <v>4</v>
      </c>
      <c r="V1823" t="str">
        <f t="shared" si="57"/>
        <v>Low Loyalty</v>
      </c>
      <c r="W1823" t="s">
        <v>60</v>
      </c>
    </row>
    <row r="1824" spans="1:23" x14ac:dyDescent="0.25">
      <c r="A1824">
        <v>1823</v>
      </c>
      <c r="B1824">
        <v>66</v>
      </c>
      <c r="C1824" t="str" cm="1">
        <f t="array" ref="C1824">_xlfn.IFS(
  AND(B1824&gt;=18, B1824&lt;=24), "18-24",
  AND(B1824&gt;=25, B1824&lt;=34), "25-34",
  AND(B1824&gt;=35, B1824&lt;=44), "35-44",
  AND(B1824&gt;=45, B1824&lt;=54), "45-54",
  B1824&gt;=55, "55+"
)</f>
        <v>55+</v>
      </c>
      <c r="D1824" t="s">
        <v>19</v>
      </c>
      <c r="E1824" t="s">
        <v>56</v>
      </c>
      <c r="F1824" t="s">
        <v>21</v>
      </c>
      <c r="G1824">
        <v>85</v>
      </c>
      <c r="H1824" t="s">
        <v>146</v>
      </c>
      <c r="I1824" t="s">
        <v>38</v>
      </c>
      <c r="J1824" t="s">
        <v>109</v>
      </c>
      <c r="K1824" t="s">
        <v>54</v>
      </c>
      <c r="L1824">
        <v>4.4000000000000004</v>
      </c>
      <c r="M1824" t="s">
        <v>152</v>
      </c>
      <c r="N1824" t="s">
        <v>35</v>
      </c>
      <c r="O1824" t="s">
        <v>55</v>
      </c>
      <c r="P1824" t="s">
        <v>152</v>
      </c>
      <c r="Q1824" t="s">
        <v>152</v>
      </c>
      <c r="R1824">
        <v>4</v>
      </c>
      <c r="S1824" t="s">
        <v>35</v>
      </c>
      <c r="T1824" t="str">
        <f t="shared" si="56"/>
        <v>Annually</v>
      </c>
      <c r="U1824">
        <f>VLOOKUP(T1824,[1]tablescore!$B$3:$C$8, 2,FALSE)</f>
        <v>1</v>
      </c>
      <c r="V1824" t="str">
        <f t="shared" si="57"/>
        <v>Low Loyalty</v>
      </c>
      <c r="W1824" t="s">
        <v>50</v>
      </c>
    </row>
    <row r="1825" spans="1:23" x14ac:dyDescent="0.25">
      <c r="A1825">
        <v>1824</v>
      </c>
      <c r="B1825">
        <v>62</v>
      </c>
      <c r="C1825" t="str" cm="1">
        <f t="array" ref="C1825">_xlfn.IFS(
  AND(B1825&gt;=18, B1825&lt;=24), "18-24",
  AND(B1825&gt;=25, B1825&lt;=34), "25-34",
  AND(B1825&gt;=35, B1825&lt;=44), "35-44",
  AND(B1825&gt;=45, B1825&lt;=54), "45-54",
  B1825&gt;=55, "55+"
)</f>
        <v>55+</v>
      </c>
      <c r="D1825" t="s">
        <v>19</v>
      </c>
      <c r="E1825" t="s">
        <v>131</v>
      </c>
      <c r="F1825" t="s">
        <v>21</v>
      </c>
      <c r="G1825">
        <v>50</v>
      </c>
      <c r="H1825" t="s">
        <v>62</v>
      </c>
      <c r="I1825" t="s">
        <v>23</v>
      </c>
      <c r="J1825" t="s">
        <v>71</v>
      </c>
      <c r="K1825" t="s">
        <v>58</v>
      </c>
      <c r="L1825">
        <v>4.7</v>
      </c>
      <c r="M1825" t="s">
        <v>152</v>
      </c>
      <c r="N1825" t="s">
        <v>35</v>
      </c>
      <c r="O1825" t="s">
        <v>40</v>
      </c>
      <c r="P1825" t="s">
        <v>152</v>
      </c>
      <c r="Q1825" t="s">
        <v>152</v>
      </c>
      <c r="R1825">
        <v>40</v>
      </c>
      <c r="S1825" t="s">
        <v>34</v>
      </c>
      <c r="T1825" t="str">
        <f t="shared" si="56"/>
        <v>2-week</v>
      </c>
      <c r="U1825">
        <f>VLOOKUP(T1825,[1]tablescore!$B$3:$C$8, 2,FALSE)</f>
        <v>26</v>
      </c>
      <c r="V1825" t="str">
        <f t="shared" si="57"/>
        <v>Loyal</v>
      </c>
      <c r="W1825" t="s">
        <v>77</v>
      </c>
    </row>
    <row r="1826" spans="1:23" x14ac:dyDescent="0.25">
      <c r="A1826">
        <v>1825</v>
      </c>
      <c r="B1826">
        <v>58</v>
      </c>
      <c r="C1826" t="str" cm="1">
        <f t="array" ref="C1826">_xlfn.IFS(
  AND(B1826&gt;=18, B1826&lt;=24), "18-24",
  AND(B1826&gt;=25, B1826&lt;=34), "25-34",
  AND(B1826&gt;=35, B1826&lt;=44), "35-44",
  AND(B1826&gt;=45, B1826&lt;=54), "45-54",
  B1826&gt;=55, "55+"
)</f>
        <v>55+</v>
      </c>
      <c r="D1826" t="s">
        <v>19</v>
      </c>
      <c r="E1826" t="s">
        <v>95</v>
      </c>
      <c r="F1826" t="s">
        <v>21</v>
      </c>
      <c r="G1826">
        <v>47</v>
      </c>
      <c r="H1826" t="s">
        <v>115</v>
      </c>
      <c r="I1826" t="s">
        <v>92</v>
      </c>
      <c r="J1826" t="s">
        <v>147</v>
      </c>
      <c r="K1826" t="s">
        <v>25</v>
      </c>
      <c r="L1826">
        <v>3.8</v>
      </c>
      <c r="M1826" t="s">
        <v>152</v>
      </c>
      <c r="N1826" t="s">
        <v>27</v>
      </c>
      <c r="O1826" t="s">
        <v>28</v>
      </c>
      <c r="P1826" t="s">
        <v>152</v>
      </c>
      <c r="Q1826" t="s">
        <v>152</v>
      </c>
      <c r="R1826">
        <v>31</v>
      </c>
      <c r="S1826" t="s">
        <v>35</v>
      </c>
      <c r="T1826" t="str">
        <f t="shared" si="56"/>
        <v>Month</v>
      </c>
      <c r="U1826">
        <f>VLOOKUP(T1826,[1]tablescore!$B$3:$C$8, 2,FALSE)</f>
        <v>12</v>
      </c>
      <c r="V1826" t="str">
        <f t="shared" si="57"/>
        <v>Moderate</v>
      </c>
      <c r="W1826" t="s">
        <v>88</v>
      </c>
    </row>
    <row r="1827" spans="1:23" x14ac:dyDescent="0.25">
      <c r="A1827">
        <v>1826</v>
      </c>
      <c r="B1827">
        <v>23</v>
      </c>
      <c r="C1827" t="str" cm="1">
        <f t="array" ref="C1827">_xlfn.IFS(
  AND(B1827&gt;=18, B1827&lt;=24), "18-24",
  AND(B1827&gt;=25, B1827&lt;=34), "25-34",
  AND(B1827&gt;=35, B1827&lt;=44), "35-44",
  AND(B1827&gt;=45, B1827&lt;=54), "45-54",
  B1827&gt;=55, "55+"
)</f>
        <v>18-24</v>
      </c>
      <c r="D1827" t="s">
        <v>19</v>
      </c>
      <c r="E1827" t="s">
        <v>132</v>
      </c>
      <c r="F1827" t="s">
        <v>43</v>
      </c>
      <c r="G1827">
        <v>75</v>
      </c>
      <c r="H1827" t="s">
        <v>130</v>
      </c>
      <c r="I1827" t="s">
        <v>45</v>
      </c>
      <c r="J1827" t="s">
        <v>71</v>
      </c>
      <c r="K1827" t="s">
        <v>25</v>
      </c>
      <c r="L1827">
        <v>4.9000000000000004</v>
      </c>
      <c r="M1827" t="s">
        <v>152</v>
      </c>
      <c r="N1827" t="s">
        <v>34</v>
      </c>
      <c r="O1827" t="s">
        <v>47</v>
      </c>
      <c r="P1827" t="s">
        <v>152</v>
      </c>
      <c r="Q1827" t="s">
        <v>152</v>
      </c>
      <c r="R1827">
        <v>41</v>
      </c>
      <c r="S1827" t="s">
        <v>27</v>
      </c>
      <c r="T1827" t="str">
        <f t="shared" si="56"/>
        <v>Daily</v>
      </c>
      <c r="U1827">
        <f>VLOOKUP(T1827,[1]tablescore!$B$3:$C$8, 2,FALSE)</f>
        <v>30</v>
      </c>
      <c r="V1827" t="str">
        <f t="shared" si="57"/>
        <v>Highly Loyal</v>
      </c>
      <c r="W1827" t="s">
        <v>41</v>
      </c>
    </row>
    <row r="1828" spans="1:23" x14ac:dyDescent="0.25">
      <c r="A1828">
        <v>1827</v>
      </c>
      <c r="B1828">
        <v>45</v>
      </c>
      <c r="C1828" t="str" cm="1">
        <f t="array" ref="C1828">_xlfn.IFS(
  AND(B1828&gt;=18, B1828&lt;=24), "18-24",
  AND(B1828&gt;=25, B1828&lt;=34), "25-34",
  AND(B1828&gt;=35, B1828&lt;=44), "35-44",
  AND(B1828&gt;=45, B1828&lt;=54), "45-54",
  B1828&gt;=55, "55+"
)</f>
        <v>45-54</v>
      </c>
      <c r="D1828" t="s">
        <v>19</v>
      </c>
      <c r="E1828" t="s">
        <v>113</v>
      </c>
      <c r="F1828" t="s">
        <v>21</v>
      </c>
      <c r="G1828">
        <v>60</v>
      </c>
      <c r="H1828" t="s">
        <v>116</v>
      </c>
      <c r="I1828" t="s">
        <v>45</v>
      </c>
      <c r="J1828" t="s">
        <v>49</v>
      </c>
      <c r="K1828" t="s">
        <v>25</v>
      </c>
      <c r="L1828">
        <v>4.2</v>
      </c>
      <c r="M1828" t="s">
        <v>152</v>
      </c>
      <c r="N1828" t="s">
        <v>46</v>
      </c>
      <c r="O1828" t="s">
        <v>28</v>
      </c>
      <c r="P1828" t="s">
        <v>152</v>
      </c>
      <c r="Q1828" t="s">
        <v>152</v>
      </c>
      <c r="R1828">
        <v>44</v>
      </c>
      <c r="S1828" t="s">
        <v>59</v>
      </c>
      <c r="T1828" t="str">
        <f t="shared" si="56"/>
        <v>Annually</v>
      </c>
      <c r="U1828">
        <f>VLOOKUP(T1828,[1]tablescore!$B$3:$C$8, 2,FALSE)</f>
        <v>1</v>
      </c>
      <c r="V1828" t="str">
        <f t="shared" si="57"/>
        <v>Low Loyalty</v>
      </c>
      <c r="W1828" t="s">
        <v>50</v>
      </c>
    </row>
    <row r="1829" spans="1:23" x14ac:dyDescent="0.25">
      <c r="A1829">
        <v>1828</v>
      </c>
      <c r="B1829">
        <v>20</v>
      </c>
      <c r="C1829" t="str" cm="1">
        <f t="array" ref="C1829">_xlfn.IFS(
  AND(B1829&gt;=18, B1829&lt;=24), "18-24",
  AND(B1829&gt;=25, B1829&lt;=34), "25-34",
  AND(B1829&gt;=35, B1829&lt;=44), "35-44",
  AND(B1829&gt;=45, B1829&lt;=54), "45-54",
  B1829&gt;=55, "55+"
)</f>
        <v>18-24</v>
      </c>
      <c r="D1829" t="s">
        <v>19</v>
      </c>
      <c r="E1829" t="s">
        <v>113</v>
      </c>
      <c r="F1829" t="s">
        <v>21</v>
      </c>
      <c r="G1829">
        <v>36</v>
      </c>
      <c r="H1829" t="s">
        <v>145</v>
      </c>
      <c r="I1829" t="s">
        <v>38</v>
      </c>
      <c r="J1829" t="s">
        <v>71</v>
      </c>
      <c r="K1829" t="s">
        <v>39</v>
      </c>
      <c r="L1829">
        <v>4.9000000000000004</v>
      </c>
      <c r="M1829" t="s">
        <v>152</v>
      </c>
      <c r="N1829" t="s">
        <v>35</v>
      </c>
      <c r="O1829" t="s">
        <v>72</v>
      </c>
      <c r="P1829" t="s">
        <v>152</v>
      </c>
      <c r="Q1829" t="s">
        <v>152</v>
      </c>
      <c r="R1829">
        <v>31</v>
      </c>
      <c r="S1829" t="s">
        <v>34</v>
      </c>
      <c r="T1829" t="str">
        <f t="shared" si="56"/>
        <v>Daily</v>
      </c>
      <c r="U1829">
        <f>VLOOKUP(T1829,[1]tablescore!$B$3:$C$8, 2,FALSE)</f>
        <v>30</v>
      </c>
      <c r="V1829" t="str">
        <f t="shared" si="57"/>
        <v>Highly Loyal</v>
      </c>
      <c r="W1829" t="s">
        <v>41</v>
      </c>
    </row>
    <row r="1830" spans="1:23" x14ac:dyDescent="0.25">
      <c r="A1830">
        <v>1829</v>
      </c>
      <c r="B1830">
        <v>33</v>
      </c>
      <c r="C1830" t="str" cm="1">
        <f t="array" ref="C1830">_xlfn.IFS(
  AND(B1830&gt;=18, B1830&lt;=24), "18-24",
  AND(B1830&gt;=25, B1830&lt;=34), "25-34",
  AND(B1830&gt;=35, B1830&lt;=44), "35-44",
  AND(B1830&gt;=45, B1830&lt;=54), "45-54",
  B1830&gt;=55, "55+"
)</f>
        <v>25-34</v>
      </c>
      <c r="D1830" t="s">
        <v>19</v>
      </c>
      <c r="E1830" t="s">
        <v>64</v>
      </c>
      <c r="F1830" t="s">
        <v>65</v>
      </c>
      <c r="G1830">
        <v>80</v>
      </c>
      <c r="H1830" t="s">
        <v>83</v>
      </c>
      <c r="I1830" t="s">
        <v>23</v>
      </c>
      <c r="J1830" t="s">
        <v>24</v>
      </c>
      <c r="K1830" t="s">
        <v>39</v>
      </c>
      <c r="L1830">
        <v>3.9</v>
      </c>
      <c r="M1830" t="s">
        <v>152</v>
      </c>
      <c r="N1830" t="s">
        <v>59</v>
      </c>
      <c r="O1830" t="s">
        <v>28</v>
      </c>
      <c r="P1830" t="s">
        <v>152</v>
      </c>
      <c r="Q1830" t="s">
        <v>152</v>
      </c>
      <c r="R1830">
        <v>45</v>
      </c>
      <c r="S1830" t="s">
        <v>35</v>
      </c>
      <c r="T1830" t="str">
        <f t="shared" si="56"/>
        <v>Quarterly</v>
      </c>
      <c r="U1830">
        <f>VLOOKUP(T1830,[1]tablescore!$B$3:$C$8, 2,FALSE)</f>
        <v>4</v>
      </c>
      <c r="V1830" t="str">
        <f t="shared" si="57"/>
        <v>Low Loyalty</v>
      </c>
      <c r="W1830" t="s">
        <v>97</v>
      </c>
    </row>
    <row r="1831" spans="1:23" x14ac:dyDescent="0.25">
      <c r="A1831">
        <v>1830</v>
      </c>
      <c r="B1831">
        <v>30</v>
      </c>
      <c r="C1831" t="str" cm="1">
        <f t="array" ref="C1831">_xlfn.IFS(
  AND(B1831&gt;=18, B1831&lt;=24), "18-24",
  AND(B1831&gt;=25, B1831&lt;=34), "25-34",
  AND(B1831&gt;=35, B1831&lt;=44), "35-44",
  AND(B1831&gt;=45, B1831&lt;=54), "45-54",
  B1831&gt;=55, "55+"
)</f>
        <v>25-34</v>
      </c>
      <c r="D1831" t="s">
        <v>19</v>
      </c>
      <c r="E1831" t="s">
        <v>125</v>
      </c>
      <c r="F1831" t="s">
        <v>69</v>
      </c>
      <c r="G1831">
        <v>96</v>
      </c>
      <c r="H1831" t="s">
        <v>48</v>
      </c>
      <c r="I1831" t="s">
        <v>45</v>
      </c>
      <c r="J1831" t="s">
        <v>53</v>
      </c>
      <c r="K1831" t="s">
        <v>39</v>
      </c>
      <c r="L1831">
        <v>4.9000000000000004</v>
      </c>
      <c r="M1831" t="s">
        <v>152</v>
      </c>
      <c r="N1831" t="s">
        <v>29</v>
      </c>
      <c r="O1831" t="s">
        <v>72</v>
      </c>
      <c r="P1831" t="s">
        <v>152</v>
      </c>
      <c r="Q1831" t="s">
        <v>152</v>
      </c>
      <c r="R1831">
        <v>50</v>
      </c>
      <c r="S1831" t="s">
        <v>27</v>
      </c>
      <c r="T1831" t="str">
        <f t="shared" si="56"/>
        <v>Quarterly</v>
      </c>
      <c r="U1831">
        <f>VLOOKUP(T1831,[1]tablescore!$B$3:$C$8, 2,FALSE)</f>
        <v>4</v>
      </c>
      <c r="V1831" t="str">
        <f t="shared" si="57"/>
        <v>Low Loyalty</v>
      </c>
      <c r="W1831" t="s">
        <v>60</v>
      </c>
    </row>
    <row r="1832" spans="1:23" x14ac:dyDescent="0.25">
      <c r="A1832">
        <v>1831</v>
      </c>
      <c r="B1832">
        <v>50</v>
      </c>
      <c r="C1832" t="str" cm="1">
        <f t="array" ref="C1832">_xlfn.IFS(
  AND(B1832&gt;=18, B1832&lt;=24), "18-24",
  AND(B1832&gt;=25, B1832&lt;=34), "25-34",
  AND(B1832&gt;=35, B1832&lt;=44), "35-44",
  AND(B1832&gt;=45, B1832&lt;=54), "45-54",
  B1832&gt;=55, "55+"
)</f>
        <v>45-54</v>
      </c>
      <c r="D1832" t="s">
        <v>19</v>
      </c>
      <c r="E1832" t="s">
        <v>89</v>
      </c>
      <c r="F1832" t="s">
        <v>69</v>
      </c>
      <c r="G1832">
        <v>80</v>
      </c>
      <c r="H1832" t="s">
        <v>111</v>
      </c>
      <c r="I1832" t="s">
        <v>45</v>
      </c>
      <c r="J1832" t="s">
        <v>138</v>
      </c>
      <c r="K1832" t="s">
        <v>25</v>
      </c>
      <c r="L1832">
        <v>4.8</v>
      </c>
      <c r="M1832" t="s">
        <v>152</v>
      </c>
      <c r="N1832" t="s">
        <v>27</v>
      </c>
      <c r="O1832" t="s">
        <v>28</v>
      </c>
      <c r="P1832" t="s">
        <v>152</v>
      </c>
      <c r="Q1832" t="s">
        <v>152</v>
      </c>
      <c r="R1832">
        <v>7</v>
      </c>
      <c r="S1832" t="s">
        <v>29</v>
      </c>
      <c r="T1832" t="str">
        <f t="shared" si="56"/>
        <v>Annually</v>
      </c>
      <c r="U1832">
        <f>VLOOKUP(T1832,[1]tablescore!$B$3:$C$8, 2,FALSE)</f>
        <v>1</v>
      </c>
      <c r="V1832" t="str">
        <f t="shared" si="57"/>
        <v>Low Loyalty</v>
      </c>
      <c r="W1832" t="s">
        <v>50</v>
      </c>
    </row>
    <row r="1833" spans="1:23" x14ac:dyDescent="0.25">
      <c r="A1833">
        <v>1832</v>
      </c>
      <c r="B1833">
        <v>62</v>
      </c>
      <c r="C1833" t="str" cm="1">
        <f t="array" ref="C1833">_xlfn.IFS(
  AND(B1833&gt;=18, B1833&lt;=24), "18-24",
  AND(B1833&gt;=25, B1833&lt;=34), "25-34",
  AND(B1833&gt;=35, B1833&lt;=44), "35-44",
  AND(B1833&gt;=45, B1833&lt;=54), "45-54",
  B1833&gt;=55, "55+"
)</f>
        <v>55+</v>
      </c>
      <c r="D1833" t="s">
        <v>19</v>
      </c>
      <c r="E1833" t="s">
        <v>20</v>
      </c>
      <c r="F1833" t="s">
        <v>21</v>
      </c>
      <c r="G1833">
        <v>71</v>
      </c>
      <c r="H1833" t="s">
        <v>32</v>
      </c>
      <c r="I1833" t="s">
        <v>45</v>
      </c>
      <c r="J1833" t="s">
        <v>109</v>
      </c>
      <c r="K1833" t="s">
        <v>54</v>
      </c>
      <c r="L1833">
        <v>3.3</v>
      </c>
      <c r="M1833" t="s">
        <v>152</v>
      </c>
      <c r="N1833" t="s">
        <v>34</v>
      </c>
      <c r="O1833" t="s">
        <v>40</v>
      </c>
      <c r="P1833" t="s">
        <v>152</v>
      </c>
      <c r="Q1833" t="s">
        <v>152</v>
      </c>
      <c r="R1833">
        <v>5</v>
      </c>
      <c r="S1833" t="s">
        <v>34</v>
      </c>
      <c r="T1833" t="str">
        <f t="shared" si="56"/>
        <v>Quarterly</v>
      </c>
      <c r="U1833">
        <f>VLOOKUP(T1833,[1]tablescore!$B$3:$C$8, 2,FALSE)</f>
        <v>4</v>
      </c>
      <c r="V1833" t="str">
        <f t="shared" si="57"/>
        <v>Low Loyalty</v>
      </c>
      <c r="W1833" t="s">
        <v>97</v>
      </c>
    </row>
    <row r="1834" spans="1:23" x14ac:dyDescent="0.25">
      <c r="A1834">
        <v>1833</v>
      </c>
      <c r="B1834">
        <v>69</v>
      </c>
      <c r="C1834" t="str" cm="1">
        <f t="array" ref="C1834">_xlfn.IFS(
  AND(B1834&gt;=18, B1834&lt;=24), "18-24",
  AND(B1834&gt;=25, B1834&lt;=34), "25-34",
  AND(B1834&gt;=35, B1834&lt;=44), "35-44",
  AND(B1834&gt;=45, B1834&lt;=54), "45-54",
  B1834&gt;=55, "55+"
)</f>
        <v>55+</v>
      </c>
      <c r="D1834" t="s">
        <v>19</v>
      </c>
      <c r="E1834" t="s">
        <v>106</v>
      </c>
      <c r="F1834" t="s">
        <v>69</v>
      </c>
      <c r="G1834">
        <v>29</v>
      </c>
      <c r="H1834" t="s">
        <v>62</v>
      </c>
      <c r="I1834" t="s">
        <v>45</v>
      </c>
      <c r="J1834" t="s">
        <v>138</v>
      </c>
      <c r="K1834" t="s">
        <v>58</v>
      </c>
      <c r="L1834">
        <v>4.5999999999999996</v>
      </c>
      <c r="M1834" t="s">
        <v>152</v>
      </c>
      <c r="N1834" t="s">
        <v>59</v>
      </c>
      <c r="O1834" t="s">
        <v>40</v>
      </c>
      <c r="P1834" t="s">
        <v>152</v>
      </c>
      <c r="Q1834" t="s">
        <v>152</v>
      </c>
      <c r="R1834">
        <v>48</v>
      </c>
      <c r="S1834" t="s">
        <v>35</v>
      </c>
      <c r="T1834" t="str">
        <f t="shared" si="56"/>
        <v>Month</v>
      </c>
      <c r="U1834">
        <f>VLOOKUP(T1834,[1]tablescore!$B$3:$C$8, 2,FALSE)</f>
        <v>12</v>
      </c>
      <c r="V1834" t="str">
        <f t="shared" si="57"/>
        <v>Moderate</v>
      </c>
      <c r="W1834" t="s">
        <v>88</v>
      </c>
    </row>
    <row r="1835" spans="1:23" x14ac:dyDescent="0.25">
      <c r="A1835">
        <v>1834</v>
      </c>
      <c r="B1835">
        <v>34</v>
      </c>
      <c r="C1835" t="str" cm="1">
        <f t="array" ref="C1835">_xlfn.IFS(
  AND(B1835&gt;=18, B1835&lt;=24), "18-24",
  AND(B1835&gt;=25, B1835&lt;=34), "25-34",
  AND(B1835&gt;=35, B1835&lt;=44), "35-44",
  AND(B1835&gt;=45, B1835&lt;=54), "45-54",
  B1835&gt;=55, "55+"
)</f>
        <v>25-34</v>
      </c>
      <c r="D1835" t="s">
        <v>19</v>
      </c>
      <c r="E1835" t="s">
        <v>106</v>
      </c>
      <c r="F1835" t="s">
        <v>69</v>
      </c>
      <c r="G1835">
        <v>53</v>
      </c>
      <c r="H1835" t="s">
        <v>62</v>
      </c>
      <c r="I1835" t="s">
        <v>45</v>
      </c>
      <c r="J1835" t="s">
        <v>139</v>
      </c>
      <c r="K1835" t="s">
        <v>39</v>
      </c>
      <c r="L1835">
        <v>4.5</v>
      </c>
      <c r="M1835" t="s">
        <v>152</v>
      </c>
      <c r="N1835" t="s">
        <v>34</v>
      </c>
      <c r="O1835" t="s">
        <v>72</v>
      </c>
      <c r="P1835" t="s">
        <v>152</v>
      </c>
      <c r="Q1835" t="s">
        <v>152</v>
      </c>
      <c r="R1835">
        <v>19</v>
      </c>
      <c r="S1835" t="s">
        <v>46</v>
      </c>
      <c r="T1835" t="str">
        <f t="shared" si="56"/>
        <v>2-week</v>
      </c>
      <c r="U1835">
        <f>VLOOKUP(T1835,[1]tablescore!$B$3:$C$8, 2,FALSE)</f>
        <v>26</v>
      </c>
      <c r="V1835" t="str">
        <f t="shared" si="57"/>
        <v>Loyal</v>
      </c>
      <c r="W1835" t="s">
        <v>30</v>
      </c>
    </row>
    <row r="1836" spans="1:23" x14ac:dyDescent="0.25">
      <c r="A1836">
        <v>1835</v>
      </c>
      <c r="B1836">
        <v>49</v>
      </c>
      <c r="C1836" t="str" cm="1">
        <f t="array" ref="C1836">_xlfn.IFS(
  AND(B1836&gt;=18, B1836&lt;=24), "18-24",
  AND(B1836&gt;=25, B1836&lt;=34), "25-34",
  AND(B1836&gt;=35, B1836&lt;=44), "35-44",
  AND(B1836&gt;=45, B1836&lt;=54), "45-54",
  B1836&gt;=55, "55+"
)</f>
        <v>45-54</v>
      </c>
      <c r="D1836" t="s">
        <v>19</v>
      </c>
      <c r="E1836" t="s">
        <v>87</v>
      </c>
      <c r="F1836" t="s">
        <v>21</v>
      </c>
      <c r="G1836">
        <v>35</v>
      </c>
      <c r="H1836" t="s">
        <v>116</v>
      </c>
      <c r="I1836" t="s">
        <v>45</v>
      </c>
      <c r="J1836" t="s">
        <v>63</v>
      </c>
      <c r="K1836" t="s">
        <v>54</v>
      </c>
      <c r="L1836">
        <v>4.0999999999999996</v>
      </c>
      <c r="M1836" t="s">
        <v>152</v>
      </c>
      <c r="N1836" t="s">
        <v>29</v>
      </c>
      <c r="O1836" t="s">
        <v>72</v>
      </c>
      <c r="P1836" t="s">
        <v>152</v>
      </c>
      <c r="Q1836" t="s">
        <v>152</v>
      </c>
      <c r="R1836">
        <v>39</v>
      </c>
      <c r="S1836" t="s">
        <v>29</v>
      </c>
      <c r="T1836" t="str">
        <f t="shared" si="56"/>
        <v>2-week</v>
      </c>
      <c r="U1836">
        <f>VLOOKUP(T1836,[1]tablescore!$B$3:$C$8, 2,FALSE)</f>
        <v>26</v>
      </c>
      <c r="V1836" t="str">
        <f t="shared" si="57"/>
        <v>Loyal</v>
      </c>
      <c r="W1836" t="s">
        <v>30</v>
      </c>
    </row>
    <row r="1837" spans="1:23" x14ac:dyDescent="0.25">
      <c r="A1837">
        <v>1836</v>
      </c>
      <c r="B1837">
        <v>65</v>
      </c>
      <c r="C1837" t="str" cm="1">
        <f t="array" ref="C1837">_xlfn.IFS(
  AND(B1837&gt;=18, B1837&lt;=24), "18-24",
  AND(B1837&gt;=25, B1837&lt;=34), "25-34",
  AND(B1837&gt;=35, B1837&lt;=44), "35-44",
  AND(B1837&gt;=45, B1837&lt;=54), "45-54",
  B1837&gt;=55, "55+"
)</f>
        <v>55+</v>
      </c>
      <c r="D1837" t="s">
        <v>19</v>
      </c>
      <c r="E1837" t="s">
        <v>119</v>
      </c>
      <c r="F1837" t="s">
        <v>69</v>
      </c>
      <c r="G1837">
        <v>75</v>
      </c>
      <c r="H1837" t="s">
        <v>22</v>
      </c>
      <c r="I1837" t="s">
        <v>45</v>
      </c>
      <c r="J1837" t="s">
        <v>93</v>
      </c>
      <c r="K1837" t="s">
        <v>58</v>
      </c>
      <c r="L1837">
        <v>3.2</v>
      </c>
      <c r="M1837" t="s">
        <v>152</v>
      </c>
      <c r="N1837" t="s">
        <v>35</v>
      </c>
      <c r="O1837" t="s">
        <v>72</v>
      </c>
      <c r="P1837" t="s">
        <v>152</v>
      </c>
      <c r="Q1837" t="s">
        <v>152</v>
      </c>
      <c r="R1837">
        <v>45</v>
      </c>
      <c r="S1837" t="s">
        <v>27</v>
      </c>
      <c r="T1837" t="str">
        <f t="shared" si="56"/>
        <v>Quarterly</v>
      </c>
      <c r="U1837">
        <f>VLOOKUP(T1837,[1]tablescore!$B$3:$C$8, 2,FALSE)</f>
        <v>4</v>
      </c>
      <c r="V1837" t="str">
        <f t="shared" si="57"/>
        <v>Low Loyalty</v>
      </c>
      <c r="W1837" t="s">
        <v>60</v>
      </c>
    </row>
    <row r="1838" spans="1:23" x14ac:dyDescent="0.25">
      <c r="A1838">
        <v>1837</v>
      </c>
      <c r="B1838">
        <v>66</v>
      </c>
      <c r="C1838" t="str" cm="1">
        <f t="array" ref="C1838">_xlfn.IFS(
  AND(B1838&gt;=18, B1838&lt;=24), "18-24",
  AND(B1838&gt;=25, B1838&lt;=34), "25-34",
  AND(B1838&gt;=35, B1838&lt;=44), "35-44",
  AND(B1838&gt;=45, B1838&lt;=54), "45-54",
  B1838&gt;=55, "55+"
)</f>
        <v>55+</v>
      </c>
      <c r="D1838" t="s">
        <v>19</v>
      </c>
      <c r="E1838" t="s">
        <v>95</v>
      </c>
      <c r="F1838" t="s">
        <v>21</v>
      </c>
      <c r="G1838">
        <v>52</v>
      </c>
      <c r="H1838" t="s">
        <v>126</v>
      </c>
      <c r="I1838" t="s">
        <v>45</v>
      </c>
      <c r="J1838" t="s">
        <v>86</v>
      </c>
      <c r="K1838" t="s">
        <v>58</v>
      </c>
      <c r="L1838">
        <v>4.2</v>
      </c>
      <c r="M1838" t="s">
        <v>152</v>
      </c>
      <c r="N1838" t="s">
        <v>35</v>
      </c>
      <c r="O1838" t="s">
        <v>72</v>
      </c>
      <c r="P1838" t="s">
        <v>152</v>
      </c>
      <c r="Q1838" t="s">
        <v>152</v>
      </c>
      <c r="R1838">
        <v>35</v>
      </c>
      <c r="S1838" t="s">
        <v>27</v>
      </c>
      <c r="T1838" t="str">
        <f t="shared" si="56"/>
        <v>Month</v>
      </c>
      <c r="U1838">
        <f>VLOOKUP(T1838,[1]tablescore!$B$3:$C$8, 2,FALSE)</f>
        <v>12</v>
      </c>
      <c r="V1838" t="str">
        <f t="shared" si="57"/>
        <v>Moderate</v>
      </c>
      <c r="W1838" t="s">
        <v>88</v>
      </c>
    </row>
    <row r="1839" spans="1:23" x14ac:dyDescent="0.25">
      <c r="A1839">
        <v>1838</v>
      </c>
      <c r="B1839">
        <v>41</v>
      </c>
      <c r="C1839" t="str" cm="1">
        <f t="array" ref="C1839">_xlfn.IFS(
  AND(B1839&gt;=18, B1839&lt;=24), "18-24",
  AND(B1839&gt;=25, B1839&lt;=34), "25-34",
  AND(B1839&gt;=35, B1839&lt;=44), "35-44",
  AND(B1839&gt;=45, B1839&lt;=54), "45-54",
  B1839&gt;=55, "55+"
)</f>
        <v>35-44</v>
      </c>
      <c r="D1839" t="s">
        <v>19</v>
      </c>
      <c r="E1839" t="s">
        <v>125</v>
      </c>
      <c r="F1839" t="s">
        <v>69</v>
      </c>
      <c r="G1839">
        <v>77</v>
      </c>
      <c r="H1839" t="s">
        <v>57</v>
      </c>
      <c r="I1839" t="s">
        <v>45</v>
      </c>
      <c r="J1839" t="s">
        <v>118</v>
      </c>
      <c r="K1839" t="s">
        <v>25</v>
      </c>
      <c r="L1839">
        <v>4.8</v>
      </c>
      <c r="M1839" t="s">
        <v>152</v>
      </c>
      <c r="N1839" t="s">
        <v>46</v>
      </c>
      <c r="O1839" t="s">
        <v>40</v>
      </c>
      <c r="P1839" t="s">
        <v>152</v>
      </c>
      <c r="Q1839" t="s">
        <v>152</v>
      </c>
      <c r="R1839">
        <v>8</v>
      </c>
      <c r="S1839" t="s">
        <v>29</v>
      </c>
      <c r="T1839" t="str">
        <f t="shared" si="56"/>
        <v>Month</v>
      </c>
      <c r="U1839">
        <f>VLOOKUP(T1839,[1]tablescore!$B$3:$C$8, 2,FALSE)</f>
        <v>12</v>
      </c>
      <c r="V1839" t="str">
        <f t="shared" si="57"/>
        <v>Moderate</v>
      </c>
      <c r="W1839" t="s">
        <v>88</v>
      </c>
    </row>
    <row r="1840" spans="1:23" x14ac:dyDescent="0.25">
      <c r="A1840">
        <v>1839</v>
      </c>
      <c r="B1840">
        <v>37</v>
      </c>
      <c r="C1840" t="str" cm="1">
        <f t="array" ref="C1840">_xlfn.IFS(
  AND(B1840&gt;=18, B1840&lt;=24), "18-24",
  AND(B1840&gt;=25, B1840&lt;=34), "25-34",
  AND(B1840&gt;=35, B1840&lt;=44), "35-44",
  AND(B1840&gt;=45, B1840&lt;=54), "45-54",
  B1840&gt;=55, "55+"
)</f>
        <v>35-44</v>
      </c>
      <c r="D1840" t="s">
        <v>19</v>
      </c>
      <c r="E1840" t="s">
        <v>127</v>
      </c>
      <c r="F1840" t="s">
        <v>69</v>
      </c>
      <c r="G1840">
        <v>24</v>
      </c>
      <c r="H1840" t="s">
        <v>145</v>
      </c>
      <c r="I1840" t="s">
        <v>23</v>
      </c>
      <c r="J1840" t="s">
        <v>138</v>
      </c>
      <c r="K1840" t="s">
        <v>58</v>
      </c>
      <c r="L1840">
        <v>4.0999999999999996</v>
      </c>
      <c r="M1840" t="s">
        <v>152</v>
      </c>
      <c r="N1840" t="s">
        <v>27</v>
      </c>
      <c r="O1840" t="s">
        <v>47</v>
      </c>
      <c r="P1840" t="s">
        <v>152</v>
      </c>
      <c r="Q1840" t="s">
        <v>152</v>
      </c>
      <c r="R1840">
        <v>11</v>
      </c>
      <c r="S1840" t="s">
        <v>27</v>
      </c>
      <c r="T1840" t="str">
        <f t="shared" si="56"/>
        <v>Quarterly</v>
      </c>
      <c r="U1840">
        <f>VLOOKUP(T1840,[1]tablescore!$B$3:$C$8, 2,FALSE)</f>
        <v>4</v>
      </c>
      <c r="V1840" t="str">
        <f t="shared" si="57"/>
        <v>Low Loyalty</v>
      </c>
      <c r="W1840" t="s">
        <v>60</v>
      </c>
    </row>
    <row r="1841" spans="1:23" x14ac:dyDescent="0.25">
      <c r="A1841">
        <v>1840</v>
      </c>
      <c r="B1841">
        <v>32</v>
      </c>
      <c r="C1841" t="str" cm="1">
        <f t="array" ref="C1841">_xlfn.IFS(
  AND(B1841&gt;=18, B1841&lt;=24), "18-24",
  AND(B1841&gt;=25, B1841&lt;=34), "25-34",
  AND(B1841&gt;=35, B1841&lt;=44), "35-44",
  AND(B1841&gt;=45, B1841&lt;=54), "45-54",
  B1841&gt;=55, "55+"
)</f>
        <v>25-34</v>
      </c>
      <c r="D1841" t="s">
        <v>19</v>
      </c>
      <c r="E1841" t="s">
        <v>56</v>
      </c>
      <c r="F1841" t="s">
        <v>21</v>
      </c>
      <c r="G1841">
        <v>78</v>
      </c>
      <c r="H1841" t="s">
        <v>91</v>
      </c>
      <c r="I1841" t="s">
        <v>92</v>
      </c>
      <c r="J1841" t="s">
        <v>75</v>
      </c>
      <c r="K1841" t="s">
        <v>25</v>
      </c>
      <c r="L1841">
        <v>3.7</v>
      </c>
      <c r="M1841" t="s">
        <v>152</v>
      </c>
      <c r="N1841" t="s">
        <v>29</v>
      </c>
      <c r="O1841" t="s">
        <v>76</v>
      </c>
      <c r="P1841" t="s">
        <v>152</v>
      </c>
      <c r="Q1841" t="s">
        <v>152</v>
      </c>
      <c r="R1841">
        <v>32</v>
      </c>
      <c r="S1841" t="s">
        <v>35</v>
      </c>
      <c r="T1841" t="str">
        <f t="shared" si="56"/>
        <v>Annually</v>
      </c>
      <c r="U1841">
        <f>VLOOKUP(T1841,[1]tablescore!$B$3:$C$8, 2,FALSE)</f>
        <v>1</v>
      </c>
      <c r="V1841" t="str">
        <f t="shared" si="57"/>
        <v>Low Loyalty</v>
      </c>
      <c r="W1841" t="s">
        <v>50</v>
      </c>
    </row>
    <row r="1842" spans="1:23" x14ac:dyDescent="0.25">
      <c r="A1842">
        <v>1841</v>
      </c>
      <c r="B1842">
        <v>42</v>
      </c>
      <c r="C1842" t="str" cm="1">
        <f t="array" ref="C1842">_xlfn.IFS(
  AND(B1842&gt;=18, B1842&lt;=24), "18-24",
  AND(B1842&gt;=25, B1842&lt;=34), "25-34",
  AND(B1842&gt;=35, B1842&lt;=44), "35-44",
  AND(B1842&gt;=45, B1842&lt;=54), "45-54",
  B1842&gt;=55, "55+"
)</f>
        <v>35-44</v>
      </c>
      <c r="D1842" t="s">
        <v>19</v>
      </c>
      <c r="E1842" t="s">
        <v>42</v>
      </c>
      <c r="F1842" t="s">
        <v>43</v>
      </c>
      <c r="G1842">
        <v>98</v>
      </c>
      <c r="H1842" t="s">
        <v>52</v>
      </c>
      <c r="I1842" t="s">
        <v>45</v>
      </c>
      <c r="J1842" t="s">
        <v>81</v>
      </c>
      <c r="K1842" t="s">
        <v>25</v>
      </c>
      <c r="L1842">
        <v>2.6</v>
      </c>
      <c r="M1842" t="s">
        <v>152</v>
      </c>
      <c r="N1842" t="s">
        <v>35</v>
      </c>
      <c r="O1842" t="s">
        <v>76</v>
      </c>
      <c r="P1842" t="s">
        <v>152</v>
      </c>
      <c r="Q1842" t="s">
        <v>152</v>
      </c>
      <c r="R1842">
        <v>46</v>
      </c>
      <c r="S1842" t="s">
        <v>34</v>
      </c>
      <c r="T1842" t="str">
        <f t="shared" si="56"/>
        <v>Quarterly</v>
      </c>
      <c r="U1842">
        <f>VLOOKUP(T1842,[1]tablescore!$B$3:$C$8, 2,FALSE)</f>
        <v>4</v>
      </c>
      <c r="V1842" t="str">
        <f t="shared" si="57"/>
        <v>Low Loyalty</v>
      </c>
      <c r="W1842" t="s">
        <v>97</v>
      </c>
    </row>
    <row r="1843" spans="1:23" x14ac:dyDescent="0.25">
      <c r="A1843">
        <v>1842</v>
      </c>
      <c r="B1843">
        <v>31</v>
      </c>
      <c r="C1843" t="str" cm="1">
        <f t="array" ref="C1843">_xlfn.IFS(
  AND(B1843&gt;=18, B1843&lt;=24), "18-24",
  AND(B1843&gt;=25, B1843&lt;=34), "25-34",
  AND(B1843&gt;=35, B1843&lt;=44), "35-44",
  AND(B1843&gt;=45, B1843&lt;=54), "45-54",
  B1843&gt;=55, "55+"
)</f>
        <v>25-34</v>
      </c>
      <c r="D1843" t="s">
        <v>19</v>
      </c>
      <c r="E1843" t="s">
        <v>131</v>
      </c>
      <c r="F1843" t="s">
        <v>21</v>
      </c>
      <c r="G1843">
        <v>57</v>
      </c>
      <c r="H1843" t="s">
        <v>145</v>
      </c>
      <c r="I1843" t="s">
        <v>23</v>
      </c>
      <c r="J1843" t="s">
        <v>138</v>
      </c>
      <c r="K1843" t="s">
        <v>25</v>
      </c>
      <c r="L1843">
        <v>3</v>
      </c>
      <c r="M1843" t="s">
        <v>152</v>
      </c>
      <c r="N1843" t="s">
        <v>59</v>
      </c>
      <c r="O1843" t="s">
        <v>55</v>
      </c>
      <c r="P1843" t="s">
        <v>152</v>
      </c>
      <c r="Q1843" t="s">
        <v>152</v>
      </c>
      <c r="R1843">
        <v>7</v>
      </c>
      <c r="S1843" t="s">
        <v>46</v>
      </c>
      <c r="T1843" t="str">
        <f t="shared" si="56"/>
        <v>Quarterly</v>
      </c>
      <c r="U1843">
        <f>VLOOKUP(T1843,[1]tablescore!$B$3:$C$8, 2,FALSE)</f>
        <v>4</v>
      </c>
      <c r="V1843" t="str">
        <f t="shared" si="57"/>
        <v>Low Loyalty</v>
      </c>
      <c r="W1843" t="s">
        <v>97</v>
      </c>
    </row>
    <row r="1844" spans="1:23" x14ac:dyDescent="0.25">
      <c r="A1844">
        <v>1843</v>
      </c>
      <c r="B1844">
        <v>61</v>
      </c>
      <c r="C1844" t="str" cm="1">
        <f t="array" ref="C1844">_xlfn.IFS(
  AND(B1844&gt;=18, B1844&lt;=24), "18-24",
  AND(B1844&gt;=25, B1844&lt;=34), "25-34",
  AND(B1844&gt;=35, B1844&lt;=44), "35-44",
  AND(B1844&gt;=45, B1844&lt;=54), "45-54",
  B1844&gt;=55, "55+"
)</f>
        <v>55+</v>
      </c>
      <c r="D1844" t="s">
        <v>19</v>
      </c>
      <c r="E1844" t="s">
        <v>68</v>
      </c>
      <c r="F1844" t="s">
        <v>69</v>
      </c>
      <c r="G1844">
        <v>78</v>
      </c>
      <c r="H1844" t="s">
        <v>90</v>
      </c>
      <c r="I1844" t="s">
        <v>45</v>
      </c>
      <c r="J1844" t="s">
        <v>94</v>
      </c>
      <c r="K1844" t="s">
        <v>54</v>
      </c>
      <c r="L1844">
        <v>4.4000000000000004</v>
      </c>
      <c r="M1844" t="s">
        <v>152</v>
      </c>
      <c r="N1844" t="s">
        <v>34</v>
      </c>
      <c r="O1844" t="s">
        <v>28</v>
      </c>
      <c r="P1844" t="s">
        <v>152</v>
      </c>
      <c r="Q1844" t="s">
        <v>152</v>
      </c>
      <c r="R1844">
        <v>1</v>
      </c>
      <c r="S1844" t="s">
        <v>59</v>
      </c>
      <c r="T1844" t="str">
        <f t="shared" si="56"/>
        <v>Annually</v>
      </c>
      <c r="U1844">
        <f>VLOOKUP(T1844,[1]tablescore!$B$3:$C$8, 2,FALSE)</f>
        <v>1</v>
      </c>
      <c r="V1844" t="str">
        <f t="shared" si="57"/>
        <v>Low Loyalty</v>
      </c>
      <c r="W1844" t="s">
        <v>50</v>
      </c>
    </row>
    <row r="1845" spans="1:23" x14ac:dyDescent="0.25">
      <c r="A1845">
        <v>1844</v>
      </c>
      <c r="B1845">
        <v>36</v>
      </c>
      <c r="C1845" t="str" cm="1">
        <f t="array" ref="C1845">_xlfn.IFS(
  AND(B1845&gt;=18, B1845&lt;=24), "18-24",
  AND(B1845&gt;=25, B1845&lt;=34), "25-34",
  AND(B1845&gt;=35, B1845&lt;=44), "35-44",
  AND(B1845&gt;=45, B1845&lt;=54), "45-54",
  B1845&gt;=55, "55+"
)</f>
        <v>35-44</v>
      </c>
      <c r="D1845" t="s">
        <v>19</v>
      </c>
      <c r="E1845" t="s">
        <v>102</v>
      </c>
      <c r="F1845" t="s">
        <v>65</v>
      </c>
      <c r="G1845">
        <v>76</v>
      </c>
      <c r="H1845" t="s">
        <v>22</v>
      </c>
      <c r="I1845" t="s">
        <v>45</v>
      </c>
      <c r="J1845" t="s">
        <v>63</v>
      </c>
      <c r="K1845" t="s">
        <v>58</v>
      </c>
      <c r="L1845">
        <v>4.7</v>
      </c>
      <c r="M1845" t="s">
        <v>152</v>
      </c>
      <c r="N1845" t="s">
        <v>34</v>
      </c>
      <c r="O1845" t="s">
        <v>47</v>
      </c>
      <c r="P1845" t="s">
        <v>152</v>
      </c>
      <c r="Q1845" t="s">
        <v>152</v>
      </c>
      <c r="R1845">
        <v>32</v>
      </c>
      <c r="S1845" t="s">
        <v>27</v>
      </c>
      <c r="T1845" t="str">
        <f t="shared" si="56"/>
        <v>Month</v>
      </c>
      <c r="U1845">
        <f>VLOOKUP(T1845,[1]tablescore!$B$3:$C$8, 2,FALSE)</f>
        <v>12</v>
      </c>
      <c r="V1845" t="str">
        <f t="shared" si="57"/>
        <v>Moderate</v>
      </c>
      <c r="W1845" t="s">
        <v>88</v>
      </c>
    </row>
    <row r="1846" spans="1:23" x14ac:dyDescent="0.25">
      <c r="A1846">
        <v>1845</v>
      </c>
      <c r="B1846">
        <v>60</v>
      </c>
      <c r="C1846" t="str" cm="1">
        <f t="array" ref="C1846">_xlfn.IFS(
  AND(B1846&gt;=18, B1846&lt;=24), "18-24",
  AND(B1846&gt;=25, B1846&lt;=34), "25-34",
  AND(B1846&gt;=35, B1846&lt;=44), "35-44",
  AND(B1846&gt;=45, B1846&lt;=54), "45-54",
  B1846&gt;=55, "55+"
)</f>
        <v>55+</v>
      </c>
      <c r="D1846" t="s">
        <v>19</v>
      </c>
      <c r="E1846" t="s">
        <v>61</v>
      </c>
      <c r="F1846" t="s">
        <v>21</v>
      </c>
      <c r="G1846">
        <v>26</v>
      </c>
      <c r="H1846" t="s">
        <v>130</v>
      </c>
      <c r="I1846" t="s">
        <v>45</v>
      </c>
      <c r="J1846" t="s">
        <v>75</v>
      </c>
      <c r="K1846" t="s">
        <v>39</v>
      </c>
      <c r="L1846">
        <v>2.7</v>
      </c>
      <c r="M1846" t="s">
        <v>152</v>
      </c>
      <c r="N1846" t="s">
        <v>29</v>
      </c>
      <c r="O1846" t="s">
        <v>72</v>
      </c>
      <c r="P1846" t="s">
        <v>152</v>
      </c>
      <c r="Q1846" t="s">
        <v>152</v>
      </c>
      <c r="R1846">
        <v>31</v>
      </c>
      <c r="S1846" t="s">
        <v>27</v>
      </c>
      <c r="T1846" t="str">
        <f t="shared" si="56"/>
        <v>Annually</v>
      </c>
      <c r="U1846">
        <f>VLOOKUP(T1846,[1]tablescore!$B$3:$C$8, 2,FALSE)</f>
        <v>1</v>
      </c>
      <c r="V1846" t="str">
        <f t="shared" si="57"/>
        <v>Low Loyalty</v>
      </c>
      <c r="W1846" t="s">
        <v>50</v>
      </c>
    </row>
    <row r="1847" spans="1:23" x14ac:dyDescent="0.25">
      <c r="A1847">
        <v>1846</v>
      </c>
      <c r="B1847">
        <v>51</v>
      </c>
      <c r="C1847" t="str" cm="1">
        <f t="array" ref="C1847">_xlfn.IFS(
  AND(B1847&gt;=18, B1847&lt;=24), "18-24",
  AND(B1847&gt;=25, B1847&lt;=34), "25-34",
  AND(B1847&gt;=35, B1847&lt;=44), "35-44",
  AND(B1847&gt;=45, B1847&lt;=54), "45-54",
  B1847&gt;=55, "55+"
)</f>
        <v>45-54</v>
      </c>
      <c r="D1847" t="s">
        <v>19</v>
      </c>
      <c r="E1847" t="s">
        <v>42</v>
      </c>
      <c r="F1847" t="s">
        <v>43</v>
      </c>
      <c r="G1847">
        <v>78</v>
      </c>
      <c r="H1847" t="s">
        <v>80</v>
      </c>
      <c r="I1847" t="s">
        <v>45</v>
      </c>
      <c r="J1847" t="s">
        <v>121</v>
      </c>
      <c r="K1847" t="s">
        <v>25</v>
      </c>
      <c r="L1847">
        <v>2.8</v>
      </c>
      <c r="M1847" t="s">
        <v>152</v>
      </c>
      <c r="N1847" t="s">
        <v>59</v>
      </c>
      <c r="O1847" t="s">
        <v>72</v>
      </c>
      <c r="P1847" t="s">
        <v>152</v>
      </c>
      <c r="Q1847" t="s">
        <v>152</v>
      </c>
      <c r="R1847">
        <v>39</v>
      </c>
      <c r="S1847" t="s">
        <v>34</v>
      </c>
      <c r="T1847" t="str">
        <f t="shared" si="56"/>
        <v>Quarterly</v>
      </c>
      <c r="U1847">
        <f>VLOOKUP(T1847,[1]tablescore!$B$3:$C$8, 2,FALSE)</f>
        <v>4</v>
      </c>
      <c r="V1847" t="str">
        <f t="shared" si="57"/>
        <v>Low Loyalty</v>
      </c>
      <c r="W1847" t="s">
        <v>60</v>
      </c>
    </row>
    <row r="1848" spans="1:23" x14ac:dyDescent="0.25">
      <c r="A1848">
        <v>1847</v>
      </c>
      <c r="B1848">
        <v>68</v>
      </c>
      <c r="C1848" t="str" cm="1">
        <f t="array" ref="C1848">_xlfn.IFS(
  AND(B1848&gt;=18, B1848&lt;=24), "18-24",
  AND(B1848&gt;=25, B1848&lt;=34), "25-34",
  AND(B1848&gt;=35, B1848&lt;=44), "35-44",
  AND(B1848&gt;=45, B1848&lt;=54), "45-54",
  B1848&gt;=55, "55+"
)</f>
        <v>55+</v>
      </c>
      <c r="D1848" t="s">
        <v>19</v>
      </c>
      <c r="E1848" t="s">
        <v>119</v>
      </c>
      <c r="F1848" t="s">
        <v>69</v>
      </c>
      <c r="G1848">
        <v>53</v>
      </c>
      <c r="H1848" t="s">
        <v>148</v>
      </c>
      <c r="I1848" t="s">
        <v>45</v>
      </c>
      <c r="J1848" t="s">
        <v>139</v>
      </c>
      <c r="K1848" t="s">
        <v>54</v>
      </c>
      <c r="L1848">
        <v>2.9</v>
      </c>
      <c r="M1848" t="s">
        <v>152</v>
      </c>
      <c r="N1848" t="s">
        <v>59</v>
      </c>
      <c r="O1848" t="s">
        <v>55</v>
      </c>
      <c r="P1848" t="s">
        <v>152</v>
      </c>
      <c r="Q1848" t="s">
        <v>152</v>
      </c>
      <c r="R1848">
        <v>9</v>
      </c>
      <c r="S1848" t="s">
        <v>29</v>
      </c>
      <c r="T1848" t="str">
        <f t="shared" si="56"/>
        <v>Quarterly</v>
      </c>
      <c r="U1848">
        <f>VLOOKUP(T1848,[1]tablescore!$B$3:$C$8, 2,FALSE)</f>
        <v>4</v>
      </c>
      <c r="V1848" t="str">
        <f t="shared" si="57"/>
        <v>Low Loyalty</v>
      </c>
      <c r="W1848" t="s">
        <v>60</v>
      </c>
    </row>
    <row r="1849" spans="1:23" x14ac:dyDescent="0.25">
      <c r="A1849">
        <v>1848</v>
      </c>
      <c r="B1849">
        <v>46</v>
      </c>
      <c r="C1849" t="str" cm="1">
        <f t="array" ref="C1849">_xlfn.IFS(
  AND(B1849&gt;=18, B1849&lt;=24), "18-24",
  AND(B1849&gt;=25, B1849&lt;=34), "25-34",
  AND(B1849&gt;=35, B1849&lt;=44), "35-44",
  AND(B1849&gt;=45, B1849&lt;=54), "45-54",
  B1849&gt;=55, "55+"
)</f>
        <v>45-54</v>
      </c>
      <c r="D1849" t="s">
        <v>19</v>
      </c>
      <c r="E1849" t="s">
        <v>42</v>
      </c>
      <c r="F1849" t="s">
        <v>43</v>
      </c>
      <c r="G1849">
        <v>100</v>
      </c>
      <c r="H1849" t="s">
        <v>117</v>
      </c>
      <c r="I1849" t="s">
        <v>92</v>
      </c>
      <c r="J1849" t="s">
        <v>109</v>
      </c>
      <c r="K1849" t="s">
        <v>54</v>
      </c>
      <c r="L1849">
        <v>4.4000000000000004</v>
      </c>
      <c r="M1849" t="s">
        <v>152</v>
      </c>
      <c r="N1849" t="s">
        <v>59</v>
      </c>
      <c r="O1849" t="s">
        <v>40</v>
      </c>
      <c r="P1849" t="s">
        <v>152</v>
      </c>
      <c r="Q1849" t="s">
        <v>152</v>
      </c>
      <c r="R1849">
        <v>49</v>
      </c>
      <c r="S1849" t="s">
        <v>27</v>
      </c>
      <c r="T1849" t="str">
        <f t="shared" si="56"/>
        <v>Daily</v>
      </c>
      <c r="U1849">
        <f>VLOOKUP(T1849,[1]tablescore!$B$3:$C$8, 2,FALSE)</f>
        <v>30</v>
      </c>
      <c r="V1849" t="str">
        <f t="shared" si="57"/>
        <v>Highly Loyal</v>
      </c>
      <c r="W1849" t="s">
        <v>41</v>
      </c>
    </row>
    <row r="1850" spans="1:23" x14ac:dyDescent="0.25">
      <c r="A1850">
        <v>1849</v>
      </c>
      <c r="B1850">
        <v>19</v>
      </c>
      <c r="C1850" t="str" cm="1">
        <f t="array" ref="C1850">_xlfn.IFS(
  AND(B1850&gt;=18, B1850&lt;=24), "18-24",
  AND(B1850&gt;=25, B1850&lt;=34), "25-34",
  AND(B1850&gt;=35, B1850&lt;=44), "35-44",
  AND(B1850&gt;=45, B1850&lt;=54), "45-54",
  B1850&gt;=55, "55+"
)</f>
        <v>18-24</v>
      </c>
      <c r="D1850" t="s">
        <v>19</v>
      </c>
      <c r="E1850" t="s">
        <v>36</v>
      </c>
      <c r="F1850" t="s">
        <v>21</v>
      </c>
      <c r="G1850">
        <v>73</v>
      </c>
      <c r="H1850" t="s">
        <v>32</v>
      </c>
      <c r="I1850" t="s">
        <v>92</v>
      </c>
      <c r="J1850" t="s">
        <v>139</v>
      </c>
      <c r="K1850" t="s">
        <v>25</v>
      </c>
      <c r="L1850">
        <v>2.7</v>
      </c>
      <c r="M1850" t="s">
        <v>152</v>
      </c>
      <c r="N1850" t="s">
        <v>27</v>
      </c>
      <c r="O1850" t="s">
        <v>28</v>
      </c>
      <c r="P1850" t="s">
        <v>152</v>
      </c>
      <c r="Q1850" t="s">
        <v>152</v>
      </c>
      <c r="R1850">
        <v>34</v>
      </c>
      <c r="S1850" t="s">
        <v>35</v>
      </c>
      <c r="T1850" t="str">
        <f t="shared" si="56"/>
        <v>Quarterly</v>
      </c>
      <c r="U1850">
        <f>VLOOKUP(T1850,[1]tablescore!$B$3:$C$8, 2,FALSE)</f>
        <v>4</v>
      </c>
      <c r="V1850" t="str">
        <f t="shared" si="57"/>
        <v>Low Loyalty</v>
      </c>
      <c r="W1850" t="s">
        <v>97</v>
      </c>
    </row>
    <row r="1851" spans="1:23" x14ac:dyDescent="0.25">
      <c r="A1851">
        <v>1850</v>
      </c>
      <c r="B1851">
        <v>30</v>
      </c>
      <c r="C1851" t="str" cm="1">
        <f t="array" ref="C1851">_xlfn.IFS(
  AND(B1851&gt;=18, B1851&lt;=24), "18-24",
  AND(B1851&gt;=25, B1851&lt;=34), "25-34",
  AND(B1851&gt;=35, B1851&lt;=44), "35-44",
  AND(B1851&gt;=45, B1851&lt;=54), "45-54",
  B1851&gt;=55, "55+"
)</f>
        <v>25-34</v>
      </c>
      <c r="D1851" t="s">
        <v>19</v>
      </c>
      <c r="E1851" t="s">
        <v>87</v>
      </c>
      <c r="F1851" t="s">
        <v>21</v>
      </c>
      <c r="G1851">
        <v>40</v>
      </c>
      <c r="H1851" t="s">
        <v>123</v>
      </c>
      <c r="I1851" t="s">
        <v>45</v>
      </c>
      <c r="J1851" t="s">
        <v>33</v>
      </c>
      <c r="K1851" t="s">
        <v>25</v>
      </c>
      <c r="L1851">
        <v>4.5</v>
      </c>
      <c r="M1851" t="s">
        <v>152</v>
      </c>
      <c r="N1851" t="s">
        <v>27</v>
      </c>
      <c r="O1851" t="s">
        <v>76</v>
      </c>
      <c r="P1851" t="s">
        <v>152</v>
      </c>
      <c r="Q1851" t="s">
        <v>152</v>
      </c>
      <c r="R1851">
        <v>35</v>
      </c>
      <c r="S1851" t="s">
        <v>34</v>
      </c>
      <c r="T1851" t="str">
        <f t="shared" si="56"/>
        <v>Month</v>
      </c>
      <c r="U1851">
        <f>VLOOKUP(T1851,[1]tablescore!$B$3:$C$8, 2,FALSE)</f>
        <v>12</v>
      </c>
      <c r="V1851" t="str">
        <f t="shared" si="57"/>
        <v>Moderate</v>
      </c>
      <c r="W1851" t="s">
        <v>88</v>
      </c>
    </row>
    <row r="1852" spans="1:23" x14ac:dyDescent="0.25">
      <c r="A1852">
        <v>1851</v>
      </c>
      <c r="B1852">
        <v>51</v>
      </c>
      <c r="C1852" t="str" cm="1">
        <f t="array" ref="C1852">_xlfn.IFS(
  AND(B1852&gt;=18, B1852&lt;=24), "18-24",
  AND(B1852&gt;=25, B1852&lt;=34), "25-34",
  AND(B1852&gt;=35, B1852&lt;=44), "35-44",
  AND(B1852&gt;=45, B1852&lt;=54), "45-54",
  B1852&gt;=55, "55+"
)</f>
        <v>45-54</v>
      </c>
      <c r="D1852" t="s">
        <v>19</v>
      </c>
      <c r="E1852" t="s">
        <v>127</v>
      </c>
      <c r="F1852" t="s">
        <v>69</v>
      </c>
      <c r="G1852">
        <v>76</v>
      </c>
      <c r="H1852" t="s">
        <v>52</v>
      </c>
      <c r="I1852" t="s">
        <v>38</v>
      </c>
      <c r="J1852" t="s">
        <v>94</v>
      </c>
      <c r="K1852" t="s">
        <v>25</v>
      </c>
      <c r="L1852">
        <v>2.8</v>
      </c>
      <c r="M1852" t="s">
        <v>152</v>
      </c>
      <c r="N1852" t="s">
        <v>27</v>
      </c>
      <c r="O1852" t="s">
        <v>76</v>
      </c>
      <c r="P1852" t="s">
        <v>152</v>
      </c>
      <c r="Q1852" t="s">
        <v>152</v>
      </c>
      <c r="R1852">
        <v>50</v>
      </c>
      <c r="S1852" t="s">
        <v>59</v>
      </c>
      <c r="T1852" t="str">
        <f t="shared" si="56"/>
        <v>Daily</v>
      </c>
      <c r="U1852">
        <f>VLOOKUP(T1852,[1]tablescore!$B$3:$C$8, 2,FALSE)</f>
        <v>30</v>
      </c>
      <c r="V1852" t="str">
        <f t="shared" si="57"/>
        <v>Highly Loyal</v>
      </c>
      <c r="W1852" t="s">
        <v>41</v>
      </c>
    </row>
    <row r="1853" spans="1:23" x14ac:dyDescent="0.25">
      <c r="A1853">
        <v>1852</v>
      </c>
      <c r="B1853">
        <v>28</v>
      </c>
      <c r="C1853" t="str" cm="1">
        <f t="array" ref="C1853">_xlfn.IFS(
  AND(B1853&gt;=18, B1853&lt;=24), "18-24",
  AND(B1853&gt;=25, B1853&lt;=34), "25-34",
  AND(B1853&gt;=35, B1853&lt;=44), "35-44",
  AND(B1853&gt;=45, B1853&lt;=54), "45-54",
  B1853&gt;=55, "55+"
)</f>
        <v>25-34</v>
      </c>
      <c r="D1853" t="s">
        <v>19</v>
      </c>
      <c r="E1853" t="s">
        <v>87</v>
      </c>
      <c r="F1853" t="s">
        <v>21</v>
      </c>
      <c r="G1853">
        <v>80</v>
      </c>
      <c r="H1853" t="s">
        <v>80</v>
      </c>
      <c r="I1853" t="s">
        <v>38</v>
      </c>
      <c r="J1853" t="s">
        <v>93</v>
      </c>
      <c r="K1853" t="s">
        <v>58</v>
      </c>
      <c r="L1853">
        <v>3.1</v>
      </c>
      <c r="M1853" t="s">
        <v>152</v>
      </c>
      <c r="N1853" t="s">
        <v>29</v>
      </c>
      <c r="O1853" t="s">
        <v>40</v>
      </c>
      <c r="P1853" t="s">
        <v>152</v>
      </c>
      <c r="Q1853" t="s">
        <v>152</v>
      </c>
      <c r="R1853">
        <v>4</v>
      </c>
      <c r="S1853" t="s">
        <v>34</v>
      </c>
      <c r="T1853" t="str">
        <f t="shared" si="56"/>
        <v>2-week</v>
      </c>
      <c r="U1853">
        <f>VLOOKUP(T1853,[1]tablescore!$B$3:$C$8, 2,FALSE)</f>
        <v>26</v>
      </c>
      <c r="V1853" t="str">
        <f t="shared" si="57"/>
        <v>Loyal</v>
      </c>
      <c r="W1853" t="s">
        <v>30</v>
      </c>
    </row>
    <row r="1854" spans="1:23" x14ac:dyDescent="0.25">
      <c r="A1854">
        <v>1853</v>
      </c>
      <c r="B1854">
        <v>41</v>
      </c>
      <c r="C1854" t="str" cm="1">
        <f t="array" ref="C1854">_xlfn.IFS(
  AND(B1854&gt;=18, B1854&lt;=24), "18-24",
  AND(B1854&gt;=25, B1854&lt;=34), "25-34",
  AND(B1854&gt;=35, B1854&lt;=44), "35-44",
  AND(B1854&gt;=45, B1854&lt;=54), "45-54",
  B1854&gt;=55, "55+"
)</f>
        <v>35-44</v>
      </c>
      <c r="D1854" t="s">
        <v>19</v>
      </c>
      <c r="E1854" t="s">
        <v>31</v>
      </c>
      <c r="F1854" t="s">
        <v>21</v>
      </c>
      <c r="G1854">
        <v>80</v>
      </c>
      <c r="H1854" t="s">
        <v>141</v>
      </c>
      <c r="I1854" t="s">
        <v>92</v>
      </c>
      <c r="J1854" t="s">
        <v>84</v>
      </c>
      <c r="K1854" t="s">
        <v>25</v>
      </c>
      <c r="L1854">
        <v>3.8</v>
      </c>
      <c r="M1854" t="s">
        <v>152</v>
      </c>
      <c r="N1854" t="s">
        <v>35</v>
      </c>
      <c r="O1854" t="s">
        <v>76</v>
      </c>
      <c r="P1854" t="s">
        <v>152</v>
      </c>
      <c r="Q1854" t="s">
        <v>152</v>
      </c>
      <c r="R1854">
        <v>32</v>
      </c>
      <c r="S1854" t="s">
        <v>35</v>
      </c>
      <c r="T1854" t="str">
        <f t="shared" si="56"/>
        <v>Daily</v>
      </c>
      <c r="U1854">
        <f>VLOOKUP(T1854,[1]tablescore!$B$3:$C$8, 2,FALSE)</f>
        <v>30</v>
      </c>
      <c r="V1854" t="str">
        <f t="shared" si="57"/>
        <v>Highly Loyal</v>
      </c>
      <c r="W1854" t="s">
        <v>41</v>
      </c>
    </row>
    <row r="1855" spans="1:23" x14ac:dyDescent="0.25">
      <c r="A1855">
        <v>1854</v>
      </c>
      <c r="B1855">
        <v>29</v>
      </c>
      <c r="C1855" t="str" cm="1">
        <f t="array" ref="C1855">_xlfn.IFS(
  AND(B1855&gt;=18, B1855&lt;=24), "18-24",
  AND(B1855&gt;=25, B1855&lt;=34), "25-34",
  AND(B1855&gt;=35, B1855&lt;=44), "35-44",
  AND(B1855&gt;=45, B1855&lt;=54), "45-54",
  B1855&gt;=55, "55+"
)</f>
        <v>25-34</v>
      </c>
      <c r="D1855" t="s">
        <v>19</v>
      </c>
      <c r="E1855" t="s">
        <v>20</v>
      </c>
      <c r="F1855" t="s">
        <v>21</v>
      </c>
      <c r="G1855">
        <v>67</v>
      </c>
      <c r="H1855" t="s">
        <v>114</v>
      </c>
      <c r="I1855" t="s">
        <v>92</v>
      </c>
      <c r="J1855" t="s">
        <v>79</v>
      </c>
      <c r="K1855" t="s">
        <v>39</v>
      </c>
      <c r="L1855">
        <v>2.9</v>
      </c>
      <c r="M1855" t="s">
        <v>152</v>
      </c>
      <c r="N1855" t="s">
        <v>34</v>
      </c>
      <c r="O1855" t="s">
        <v>28</v>
      </c>
      <c r="P1855" t="s">
        <v>152</v>
      </c>
      <c r="Q1855" t="s">
        <v>152</v>
      </c>
      <c r="R1855">
        <v>11</v>
      </c>
      <c r="S1855" t="s">
        <v>46</v>
      </c>
      <c r="T1855" t="str">
        <f t="shared" si="56"/>
        <v>2-week</v>
      </c>
      <c r="U1855">
        <f>VLOOKUP(T1855,[1]tablescore!$B$3:$C$8, 2,FALSE)</f>
        <v>26</v>
      </c>
      <c r="V1855" t="str">
        <f t="shared" si="57"/>
        <v>Loyal</v>
      </c>
      <c r="W1855" t="s">
        <v>30</v>
      </c>
    </row>
    <row r="1856" spans="1:23" x14ac:dyDescent="0.25">
      <c r="A1856">
        <v>1855</v>
      </c>
      <c r="B1856">
        <v>25</v>
      </c>
      <c r="C1856" t="str" cm="1">
        <f t="array" ref="C1856">_xlfn.IFS(
  AND(B1856&gt;=18, B1856&lt;=24), "18-24",
  AND(B1856&gt;=25, B1856&lt;=34), "25-34",
  AND(B1856&gt;=35, B1856&lt;=44), "35-44",
  AND(B1856&gt;=45, B1856&lt;=54), "45-54",
  B1856&gt;=55, "55+"
)</f>
        <v>25-34</v>
      </c>
      <c r="D1856" t="s">
        <v>19</v>
      </c>
      <c r="E1856" t="s">
        <v>31</v>
      </c>
      <c r="F1856" t="s">
        <v>21</v>
      </c>
      <c r="G1856">
        <v>61</v>
      </c>
      <c r="H1856" t="s">
        <v>22</v>
      </c>
      <c r="I1856" t="s">
        <v>45</v>
      </c>
      <c r="J1856" t="s">
        <v>86</v>
      </c>
      <c r="K1856" t="s">
        <v>39</v>
      </c>
      <c r="L1856">
        <v>3.8</v>
      </c>
      <c r="M1856" t="s">
        <v>152</v>
      </c>
      <c r="N1856" t="s">
        <v>27</v>
      </c>
      <c r="O1856" t="s">
        <v>28</v>
      </c>
      <c r="P1856" t="s">
        <v>152</v>
      </c>
      <c r="Q1856" t="s">
        <v>152</v>
      </c>
      <c r="R1856">
        <v>49</v>
      </c>
      <c r="S1856" t="s">
        <v>27</v>
      </c>
      <c r="T1856" t="str">
        <f t="shared" si="56"/>
        <v>Annually</v>
      </c>
      <c r="U1856">
        <f>VLOOKUP(T1856,[1]tablescore!$B$3:$C$8, 2,FALSE)</f>
        <v>1</v>
      </c>
      <c r="V1856" t="str">
        <f t="shared" si="57"/>
        <v>Low Loyalty</v>
      </c>
      <c r="W1856" t="s">
        <v>50</v>
      </c>
    </row>
    <row r="1857" spans="1:23" x14ac:dyDescent="0.25">
      <c r="A1857">
        <v>1856</v>
      </c>
      <c r="B1857">
        <v>60</v>
      </c>
      <c r="C1857" t="str" cm="1">
        <f t="array" ref="C1857">_xlfn.IFS(
  AND(B1857&gt;=18, B1857&lt;=24), "18-24",
  AND(B1857&gt;=25, B1857&lt;=34), "25-34",
  AND(B1857&gt;=35, B1857&lt;=44), "35-44",
  AND(B1857&gt;=45, B1857&lt;=54), "45-54",
  B1857&gt;=55, "55+"
)</f>
        <v>55+</v>
      </c>
      <c r="D1857" t="s">
        <v>19</v>
      </c>
      <c r="E1857" t="s">
        <v>56</v>
      </c>
      <c r="F1857" t="s">
        <v>21</v>
      </c>
      <c r="G1857">
        <v>76</v>
      </c>
      <c r="H1857" t="s">
        <v>44</v>
      </c>
      <c r="I1857" t="s">
        <v>92</v>
      </c>
      <c r="J1857" t="s">
        <v>86</v>
      </c>
      <c r="K1857" t="s">
        <v>39</v>
      </c>
      <c r="L1857">
        <v>4.7</v>
      </c>
      <c r="M1857" t="s">
        <v>152</v>
      </c>
      <c r="N1857" t="s">
        <v>34</v>
      </c>
      <c r="O1857" t="s">
        <v>55</v>
      </c>
      <c r="P1857" t="s">
        <v>152</v>
      </c>
      <c r="Q1857" t="s">
        <v>152</v>
      </c>
      <c r="R1857">
        <v>9</v>
      </c>
      <c r="S1857" t="s">
        <v>35</v>
      </c>
      <c r="T1857" t="str">
        <f t="shared" si="56"/>
        <v>Annually</v>
      </c>
      <c r="U1857">
        <f>VLOOKUP(T1857,[1]tablescore!$B$3:$C$8, 2,FALSE)</f>
        <v>1</v>
      </c>
      <c r="V1857" t="str">
        <f t="shared" si="57"/>
        <v>Low Loyalty</v>
      </c>
      <c r="W1857" t="s">
        <v>50</v>
      </c>
    </row>
    <row r="1858" spans="1:23" x14ac:dyDescent="0.25">
      <c r="A1858">
        <v>1857</v>
      </c>
      <c r="B1858">
        <v>63</v>
      </c>
      <c r="C1858" t="str" cm="1">
        <f t="array" ref="C1858">_xlfn.IFS(
  AND(B1858&gt;=18, B1858&lt;=24), "18-24",
  AND(B1858&gt;=25, B1858&lt;=34), "25-34",
  AND(B1858&gt;=35, B1858&lt;=44), "35-44",
  AND(B1858&gt;=45, B1858&lt;=54), "45-54",
  B1858&gt;=55, "55+"
)</f>
        <v>55+</v>
      </c>
      <c r="D1858" t="s">
        <v>19</v>
      </c>
      <c r="E1858" t="s">
        <v>106</v>
      </c>
      <c r="F1858" t="s">
        <v>69</v>
      </c>
      <c r="G1858">
        <v>55</v>
      </c>
      <c r="H1858" t="s">
        <v>117</v>
      </c>
      <c r="I1858" t="s">
        <v>92</v>
      </c>
      <c r="J1858" t="s">
        <v>118</v>
      </c>
      <c r="K1858" t="s">
        <v>54</v>
      </c>
      <c r="L1858">
        <v>3.2</v>
      </c>
      <c r="M1858" t="s">
        <v>152</v>
      </c>
      <c r="N1858" t="s">
        <v>29</v>
      </c>
      <c r="O1858" t="s">
        <v>40</v>
      </c>
      <c r="P1858" t="s">
        <v>152</v>
      </c>
      <c r="Q1858" t="s">
        <v>152</v>
      </c>
      <c r="R1858">
        <v>30</v>
      </c>
      <c r="S1858" t="s">
        <v>46</v>
      </c>
      <c r="T1858" t="str">
        <f t="shared" si="56"/>
        <v>2-week</v>
      </c>
      <c r="U1858">
        <f>VLOOKUP(T1858,[1]tablescore!$B$3:$C$8, 2,FALSE)</f>
        <v>26</v>
      </c>
      <c r="V1858" t="str">
        <f t="shared" si="57"/>
        <v>Loyal</v>
      </c>
      <c r="W1858" t="s">
        <v>77</v>
      </c>
    </row>
    <row r="1859" spans="1:23" x14ac:dyDescent="0.25">
      <c r="A1859">
        <v>1858</v>
      </c>
      <c r="B1859">
        <v>51</v>
      </c>
      <c r="C1859" t="str" cm="1">
        <f t="array" ref="C1859">_xlfn.IFS(
  AND(B1859&gt;=18, B1859&lt;=24), "18-24",
  AND(B1859&gt;=25, B1859&lt;=34), "25-34",
  AND(B1859&gt;=35, B1859&lt;=44), "35-44",
  AND(B1859&gt;=45, B1859&lt;=54), "45-54",
  B1859&gt;=55, "55+"
)</f>
        <v>45-54</v>
      </c>
      <c r="D1859" t="s">
        <v>19</v>
      </c>
      <c r="E1859" t="s">
        <v>113</v>
      </c>
      <c r="F1859" t="s">
        <v>21</v>
      </c>
      <c r="G1859">
        <v>85</v>
      </c>
      <c r="H1859" t="s">
        <v>112</v>
      </c>
      <c r="I1859" t="s">
        <v>23</v>
      </c>
      <c r="J1859" t="s">
        <v>33</v>
      </c>
      <c r="K1859" t="s">
        <v>54</v>
      </c>
      <c r="L1859">
        <v>4</v>
      </c>
      <c r="M1859" t="s">
        <v>152</v>
      </c>
      <c r="N1859" t="s">
        <v>35</v>
      </c>
      <c r="O1859" t="s">
        <v>47</v>
      </c>
      <c r="P1859" t="s">
        <v>152</v>
      </c>
      <c r="Q1859" t="s">
        <v>152</v>
      </c>
      <c r="R1859">
        <v>33</v>
      </c>
      <c r="S1859" t="s">
        <v>35</v>
      </c>
      <c r="T1859" t="str">
        <f t="shared" ref="T1859:T1922" si="58">IF(TRIM(W1859)="Every 3 months","Quarterly",IF(TRIM(W1859)="Fortnightly","2-week",IF(TRIM(W1859)="Bi-Weekly","2-week",IF(TRIM(W1859)="Weekly","Daily",IF(TRIM(W1859)="Monthly","Month",TRIM(W1859))))))</f>
        <v>Month</v>
      </c>
      <c r="U1859">
        <f>VLOOKUP(T1859,[1]tablescore!$B$3:$C$8, 2,FALSE)</f>
        <v>12</v>
      </c>
      <c r="V1859" t="str">
        <f t="shared" ref="V1859:V1922" si="59">_xlfn.IFS(U1859&gt;=30, "Highly Loyal", U1859&gt;=26, "Loyal", U1859&gt;=12, "Moderate", U1859&lt;5, "Low Loyalty")</f>
        <v>Moderate</v>
      </c>
      <c r="W1859" t="s">
        <v>88</v>
      </c>
    </row>
    <row r="1860" spans="1:23" x14ac:dyDescent="0.25">
      <c r="A1860">
        <v>1859</v>
      </c>
      <c r="B1860">
        <v>22</v>
      </c>
      <c r="C1860" t="str" cm="1">
        <f t="array" ref="C1860">_xlfn.IFS(
  AND(B1860&gt;=18, B1860&lt;=24), "18-24",
  AND(B1860&gt;=25, B1860&lt;=34), "25-34",
  AND(B1860&gt;=35, B1860&lt;=44), "35-44",
  AND(B1860&gt;=45, B1860&lt;=54), "45-54",
  B1860&gt;=55, "55+"
)</f>
        <v>18-24</v>
      </c>
      <c r="D1860" t="s">
        <v>19</v>
      </c>
      <c r="E1860" t="s">
        <v>119</v>
      </c>
      <c r="F1860" t="s">
        <v>69</v>
      </c>
      <c r="G1860">
        <v>69</v>
      </c>
      <c r="H1860" t="s">
        <v>32</v>
      </c>
      <c r="I1860" t="s">
        <v>38</v>
      </c>
      <c r="J1860" t="s">
        <v>100</v>
      </c>
      <c r="K1860" t="s">
        <v>39</v>
      </c>
      <c r="L1860">
        <v>4.9000000000000004</v>
      </c>
      <c r="M1860" t="s">
        <v>152</v>
      </c>
      <c r="N1860" t="s">
        <v>29</v>
      </c>
      <c r="O1860" t="s">
        <v>72</v>
      </c>
      <c r="P1860" t="s">
        <v>152</v>
      </c>
      <c r="Q1860" t="s">
        <v>152</v>
      </c>
      <c r="R1860">
        <v>8</v>
      </c>
      <c r="S1860" t="s">
        <v>59</v>
      </c>
      <c r="T1860" t="str">
        <f t="shared" si="58"/>
        <v>Annually</v>
      </c>
      <c r="U1860">
        <f>VLOOKUP(T1860,[1]tablescore!$B$3:$C$8, 2,FALSE)</f>
        <v>1</v>
      </c>
      <c r="V1860" t="str">
        <f t="shared" si="59"/>
        <v>Low Loyalty</v>
      </c>
      <c r="W1860" t="s">
        <v>50</v>
      </c>
    </row>
    <row r="1861" spans="1:23" x14ac:dyDescent="0.25">
      <c r="A1861">
        <v>1860</v>
      </c>
      <c r="B1861">
        <v>54</v>
      </c>
      <c r="C1861" t="str" cm="1">
        <f t="array" ref="C1861">_xlfn.IFS(
  AND(B1861&gt;=18, B1861&lt;=24), "18-24",
  AND(B1861&gt;=25, B1861&lt;=34), "25-34",
  AND(B1861&gt;=35, B1861&lt;=44), "35-44",
  AND(B1861&gt;=45, B1861&lt;=54), "45-54",
  B1861&gt;=55, "55+"
)</f>
        <v>45-54</v>
      </c>
      <c r="D1861" t="s">
        <v>19</v>
      </c>
      <c r="E1861" t="s">
        <v>136</v>
      </c>
      <c r="F1861" t="s">
        <v>69</v>
      </c>
      <c r="G1861">
        <v>26</v>
      </c>
      <c r="H1861" t="s">
        <v>137</v>
      </c>
      <c r="I1861" t="s">
        <v>23</v>
      </c>
      <c r="J1861" t="s">
        <v>118</v>
      </c>
      <c r="K1861" t="s">
        <v>54</v>
      </c>
      <c r="L1861">
        <v>3.7</v>
      </c>
      <c r="M1861" t="s">
        <v>152</v>
      </c>
      <c r="N1861" t="s">
        <v>27</v>
      </c>
      <c r="O1861" t="s">
        <v>76</v>
      </c>
      <c r="P1861" t="s">
        <v>152</v>
      </c>
      <c r="Q1861" t="s">
        <v>152</v>
      </c>
      <c r="R1861">
        <v>29</v>
      </c>
      <c r="S1861" t="s">
        <v>59</v>
      </c>
      <c r="T1861" t="str">
        <f t="shared" si="58"/>
        <v>2-week</v>
      </c>
      <c r="U1861">
        <f>VLOOKUP(T1861,[1]tablescore!$B$3:$C$8, 2,FALSE)</f>
        <v>26</v>
      </c>
      <c r="V1861" t="str">
        <f t="shared" si="59"/>
        <v>Loyal</v>
      </c>
      <c r="W1861" t="s">
        <v>30</v>
      </c>
    </row>
    <row r="1862" spans="1:23" x14ac:dyDescent="0.25">
      <c r="A1862">
        <v>1861</v>
      </c>
      <c r="B1862">
        <v>18</v>
      </c>
      <c r="C1862" t="str" cm="1">
        <f t="array" ref="C1862">_xlfn.IFS(
  AND(B1862&gt;=18, B1862&lt;=24), "18-24",
  AND(B1862&gt;=25, B1862&lt;=34), "25-34",
  AND(B1862&gt;=35, B1862&lt;=44), "35-44",
  AND(B1862&gt;=45, B1862&lt;=54), "45-54",
  B1862&gt;=55, "55+"
)</f>
        <v>18-24</v>
      </c>
      <c r="D1862" t="s">
        <v>19</v>
      </c>
      <c r="E1862" t="s">
        <v>113</v>
      </c>
      <c r="F1862" t="s">
        <v>21</v>
      </c>
      <c r="G1862">
        <v>64</v>
      </c>
      <c r="H1862" t="s">
        <v>111</v>
      </c>
      <c r="I1862" t="s">
        <v>45</v>
      </c>
      <c r="J1862" t="s">
        <v>67</v>
      </c>
      <c r="K1862" t="s">
        <v>54</v>
      </c>
      <c r="L1862">
        <v>4.8</v>
      </c>
      <c r="M1862" t="s">
        <v>152</v>
      </c>
      <c r="N1862" t="s">
        <v>27</v>
      </c>
      <c r="O1862" t="s">
        <v>47</v>
      </c>
      <c r="P1862" t="s">
        <v>152</v>
      </c>
      <c r="Q1862" t="s">
        <v>152</v>
      </c>
      <c r="R1862">
        <v>4</v>
      </c>
      <c r="S1862" t="s">
        <v>27</v>
      </c>
      <c r="T1862" t="str">
        <f t="shared" si="58"/>
        <v>Month</v>
      </c>
      <c r="U1862">
        <f>VLOOKUP(T1862,[1]tablescore!$B$3:$C$8, 2,FALSE)</f>
        <v>12</v>
      </c>
      <c r="V1862" t="str">
        <f t="shared" si="59"/>
        <v>Moderate</v>
      </c>
      <c r="W1862" t="s">
        <v>88</v>
      </c>
    </row>
    <row r="1863" spans="1:23" x14ac:dyDescent="0.25">
      <c r="A1863">
        <v>1862</v>
      </c>
      <c r="B1863">
        <v>29</v>
      </c>
      <c r="C1863" t="str" cm="1">
        <f t="array" ref="C1863">_xlfn.IFS(
  AND(B1863&gt;=18, B1863&lt;=24), "18-24",
  AND(B1863&gt;=25, B1863&lt;=34), "25-34",
  AND(B1863&gt;=35, B1863&lt;=44), "35-44",
  AND(B1863&gt;=45, B1863&lt;=54), "45-54",
  B1863&gt;=55, "55+"
)</f>
        <v>25-34</v>
      </c>
      <c r="D1863" t="s">
        <v>19</v>
      </c>
      <c r="E1863" t="s">
        <v>51</v>
      </c>
      <c r="F1863" t="s">
        <v>43</v>
      </c>
      <c r="G1863">
        <v>60</v>
      </c>
      <c r="H1863" t="s">
        <v>130</v>
      </c>
      <c r="I1863" t="s">
        <v>38</v>
      </c>
      <c r="J1863" t="s">
        <v>100</v>
      </c>
      <c r="K1863" t="s">
        <v>58</v>
      </c>
      <c r="L1863">
        <v>3.6</v>
      </c>
      <c r="M1863" t="s">
        <v>152</v>
      </c>
      <c r="N1863" t="s">
        <v>34</v>
      </c>
      <c r="O1863" t="s">
        <v>55</v>
      </c>
      <c r="P1863" t="s">
        <v>152</v>
      </c>
      <c r="Q1863" t="s">
        <v>152</v>
      </c>
      <c r="R1863">
        <v>19</v>
      </c>
      <c r="S1863" t="s">
        <v>59</v>
      </c>
      <c r="T1863" t="str">
        <f t="shared" si="58"/>
        <v>Month</v>
      </c>
      <c r="U1863">
        <f>VLOOKUP(T1863,[1]tablescore!$B$3:$C$8, 2,FALSE)</f>
        <v>12</v>
      </c>
      <c r="V1863" t="str">
        <f t="shared" si="59"/>
        <v>Moderate</v>
      </c>
      <c r="W1863" t="s">
        <v>88</v>
      </c>
    </row>
    <row r="1864" spans="1:23" x14ac:dyDescent="0.25">
      <c r="A1864">
        <v>1863</v>
      </c>
      <c r="B1864">
        <v>59</v>
      </c>
      <c r="C1864" t="str" cm="1">
        <f t="array" ref="C1864">_xlfn.IFS(
  AND(B1864&gt;=18, B1864&lt;=24), "18-24",
  AND(B1864&gt;=25, B1864&lt;=34), "25-34",
  AND(B1864&gt;=35, B1864&lt;=44), "35-44",
  AND(B1864&gt;=45, B1864&lt;=54), "45-54",
  B1864&gt;=55, "55+"
)</f>
        <v>55+</v>
      </c>
      <c r="D1864" t="s">
        <v>19</v>
      </c>
      <c r="E1864" t="s">
        <v>127</v>
      </c>
      <c r="F1864" t="s">
        <v>69</v>
      </c>
      <c r="G1864">
        <v>36</v>
      </c>
      <c r="H1864" t="s">
        <v>83</v>
      </c>
      <c r="I1864" t="s">
        <v>45</v>
      </c>
      <c r="J1864" t="s">
        <v>49</v>
      </c>
      <c r="K1864" t="s">
        <v>25</v>
      </c>
      <c r="L1864">
        <v>4.5999999999999996</v>
      </c>
      <c r="M1864" t="s">
        <v>152</v>
      </c>
      <c r="N1864" t="s">
        <v>59</v>
      </c>
      <c r="O1864" t="s">
        <v>28</v>
      </c>
      <c r="P1864" t="s">
        <v>152</v>
      </c>
      <c r="Q1864" t="s">
        <v>152</v>
      </c>
      <c r="R1864">
        <v>10</v>
      </c>
      <c r="S1864" t="s">
        <v>46</v>
      </c>
      <c r="T1864" t="str">
        <f t="shared" si="58"/>
        <v>2-week</v>
      </c>
      <c r="U1864">
        <f>VLOOKUP(T1864,[1]tablescore!$B$3:$C$8, 2,FALSE)</f>
        <v>26</v>
      </c>
      <c r="V1864" t="str">
        <f t="shared" si="59"/>
        <v>Loyal</v>
      </c>
      <c r="W1864" t="s">
        <v>30</v>
      </c>
    </row>
    <row r="1865" spans="1:23" x14ac:dyDescent="0.25">
      <c r="A1865">
        <v>1864</v>
      </c>
      <c r="B1865">
        <v>25</v>
      </c>
      <c r="C1865" t="str" cm="1">
        <f t="array" ref="C1865">_xlfn.IFS(
  AND(B1865&gt;=18, B1865&lt;=24), "18-24",
  AND(B1865&gt;=25, B1865&lt;=34), "25-34",
  AND(B1865&gt;=35, B1865&lt;=44), "35-44",
  AND(B1865&gt;=45, B1865&lt;=54), "45-54",
  B1865&gt;=55, "55+"
)</f>
        <v>25-34</v>
      </c>
      <c r="D1865" t="s">
        <v>19</v>
      </c>
      <c r="E1865" t="s">
        <v>42</v>
      </c>
      <c r="F1865" t="s">
        <v>43</v>
      </c>
      <c r="G1865">
        <v>21</v>
      </c>
      <c r="H1865" t="s">
        <v>146</v>
      </c>
      <c r="I1865" t="s">
        <v>23</v>
      </c>
      <c r="J1865" t="s">
        <v>121</v>
      </c>
      <c r="K1865" t="s">
        <v>39</v>
      </c>
      <c r="L1865">
        <v>4.3</v>
      </c>
      <c r="M1865" t="s">
        <v>152</v>
      </c>
      <c r="N1865" t="s">
        <v>29</v>
      </c>
      <c r="O1865" t="s">
        <v>72</v>
      </c>
      <c r="P1865" t="s">
        <v>152</v>
      </c>
      <c r="Q1865" t="s">
        <v>152</v>
      </c>
      <c r="R1865">
        <v>39</v>
      </c>
      <c r="S1865" t="s">
        <v>59</v>
      </c>
      <c r="T1865" t="str">
        <f t="shared" si="58"/>
        <v>Month</v>
      </c>
      <c r="U1865">
        <f>VLOOKUP(T1865,[1]tablescore!$B$3:$C$8, 2,FALSE)</f>
        <v>12</v>
      </c>
      <c r="V1865" t="str">
        <f t="shared" si="59"/>
        <v>Moderate</v>
      </c>
      <c r="W1865" t="s">
        <v>88</v>
      </c>
    </row>
    <row r="1866" spans="1:23" x14ac:dyDescent="0.25">
      <c r="A1866">
        <v>1865</v>
      </c>
      <c r="B1866">
        <v>19</v>
      </c>
      <c r="C1866" t="str" cm="1">
        <f t="array" ref="C1866">_xlfn.IFS(
  AND(B1866&gt;=18, B1866&lt;=24), "18-24",
  AND(B1866&gt;=25, B1866&lt;=34), "25-34",
  AND(B1866&gt;=35, B1866&lt;=44), "35-44",
  AND(B1866&gt;=45, B1866&lt;=54), "45-54",
  B1866&gt;=55, "55+"
)</f>
        <v>18-24</v>
      </c>
      <c r="D1866" t="s">
        <v>19</v>
      </c>
      <c r="E1866" t="s">
        <v>133</v>
      </c>
      <c r="F1866" t="s">
        <v>69</v>
      </c>
      <c r="G1866">
        <v>72</v>
      </c>
      <c r="H1866" t="s">
        <v>52</v>
      </c>
      <c r="I1866" t="s">
        <v>38</v>
      </c>
      <c r="J1866" t="s">
        <v>109</v>
      </c>
      <c r="K1866" t="s">
        <v>58</v>
      </c>
      <c r="L1866">
        <v>3.2</v>
      </c>
      <c r="M1866" t="s">
        <v>152</v>
      </c>
      <c r="N1866" t="s">
        <v>34</v>
      </c>
      <c r="O1866" t="s">
        <v>72</v>
      </c>
      <c r="P1866" t="s">
        <v>152</v>
      </c>
      <c r="Q1866" t="s">
        <v>152</v>
      </c>
      <c r="R1866">
        <v>21</v>
      </c>
      <c r="S1866" t="s">
        <v>29</v>
      </c>
      <c r="T1866" t="str">
        <f t="shared" si="58"/>
        <v>Quarterly</v>
      </c>
      <c r="U1866">
        <f>VLOOKUP(T1866,[1]tablescore!$B$3:$C$8, 2,FALSE)</f>
        <v>4</v>
      </c>
      <c r="V1866" t="str">
        <f t="shared" si="59"/>
        <v>Low Loyalty</v>
      </c>
      <c r="W1866" t="s">
        <v>60</v>
      </c>
    </row>
    <row r="1867" spans="1:23" x14ac:dyDescent="0.25">
      <c r="A1867">
        <v>1866</v>
      </c>
      <c r="B1867">
        <v>56</v>
      </c>
      <c r="C1867" t="str" cm="1">
        <f t="array" ref="C1867">_xlfn.IFS(
  AND(B1867&gt;=18, B1867&lt;=24), "18-24",
  AND(B1867&gt;=25, B1867&lt;=34), "25-34",
  AND(B1867&gt;=35, B1867&lt;=44), "35-44",
  AND(B1867&gt;=45, B1867&lt;=54), "45-54",
  B1867&gt;=55, "55+"
)</f>
        <v>55+</v>
      </c>
      <c r="D1867" t="s">
        <v>19</v>
      </c>
      <c r="E1867" t="s">
        <v>95</v>
      </c>
      <c r="F1867" t="s">
        <v>21</v>
      </c>
      <c r="G1867">
        <v>62</v>
      </c>
      <c r="H1867" t="s">
        <v>70</v>
      </c>
      <c r="I1867" t="s">
        <v>38</v>
      </c>
      <c r="J1867" t="s">
        <v>67</v>
      </c>
      <c r="K1867" t="s">
        <v>54</v>
      </c>
      <c r="L1867">
        <v>3.8</v>
      </c>
      <c r="M1867" t="s">
        <v>152</v>
      </c>
      <c r="N1867" t="s">
        <v>29</v>
      </c>
      <c r="O1867" t="s">
        <v>76</v>
      </c>
      <c r="P1867" t="s">
        <v>152</v>
      </c>
      <c r="Q1867" t="s">
        <v>152</v>
      </c>
      <c r="R1867">
        <v>12</v>
      </c>
      <c r="S1867" t="s">
        <v>34</v>
      </c>
      <c r="T1867" t="str">
        <f t="shared" si="58"/>
        <v>Month</v>
      </c>
      <c r="U1867">
        <f>VLOOKUP(T1867,[1]tablescore!$B$3:$C$8, 2,FALSE)</f>
        <v>12</v>
      </c>
      <c r="V1867" t="str">
        <f t="shared" si="59"/>
        <v>Moderate</v>
      </c>
      <c r="W1867" t="s">
        <v>88</v>
      </c>
    </row>
    <row r="1868" spans="1:23" x14ac:dyDescent="0.25">
      <c r="A1868">
        <v>1867</v>
      </c>
      <c r="B1868">
        <v>31</v>
      </c>
      <c r="C1868" t="str" cm="1">
        <f t="array" ref="C1868">_xlfn.IFS(
  AND(B1868&gt;=18, B1868&lt;=24), "18-24",
  AND(B1868&gt;=25, B1868&lt;=34), "25-34",
  AND(B1868&gt;=35, B1868&lt;=44), "35-44",
  AND(B1868&gt;=45, B1868&lt;=54), "45-54",
  B1868&gt;=55, "55+"
)</f>
        <v>25-34</v>
      </c>
      <c r="D1868" t="s">
        <v>19</v>
      </c>
      <c r="E1868" t="s">
        <v>113</v>
      </c>
      <c r="F1868" t="s">
        <v>21</v>
      </c>
      <c r="G1868">
        <v>44</v>
      </c>
      <c r="H1868" t="s">
        <v>120</v>
      </c>
      <c r="I1868" t="s">
        <v>92</v>
      </c>
      <c r="J1868" t="s">
        <v>81</v>
      </c>
      <c r="K1868" t="s">
        <v>25</v>
      </c>
      <c r="L1868">
        <v>4.2</v>
      </c>
      <c r="M1868" t="s">
        <v>152</v>
      </c>
      <c r="N1868" t="s">
        <v>59</v>
      </c>
      <c r="O1868" t="s">
        <v>55</v>
      </c>
      <c r="P1868" t="s">
        <v>152</v>
      </c>
      <c r="Q1868" t="s">
        <v>152</v>
      </c>
      <c r="R1868">
        <v>9</v>
      </c>
      <c r="S1868" t="s">
        <v>27</v>
      </c>
      <c r="T1868" t="str">
        <f t="shared" si="58"/>
        <v>2-week</v>
      </c>
      <c r="U1868">
        <f>VLOOKUP(T1868,[1]tablescore!$B$3:$C$8, 2,FALSE)</f>
        <v>26</v>
      </c>
      <c r="V1868" t="str">
        <f t="shared" si="59"/>
        <v>Loyal</v>
      </c>
      <c r="W1868" t="s">
        <v>30</v>
      </c>
    </row>
    <row r="1869" spans="1:23" x14ac:dyDescent="0.25">
      <c r="A1869">
        <v>1868</v>
      </c>
      <c r="B1869">
        <v>45</v>
      </c>
      <c r="C1869" t="str" cm="1">
        <f t="array" ref="C1869">_xlfn.IFS(
  AND(B1869&gt;=18, B1869&lt;=24), "18-24",
  AND(B1869&gt;=25, B1869&lt;=34), "25-34",
  AND(B1869&gt;=35, B1869&lt;=44), "35-44",
  AND(B1869&gt;=45, B1869&lt;=54), "45-54",
  B1869&gt;=55, "55+"
)</f>
        <v>45-54</v>
      </c>
      <c r="D1869" t="s">
        <v>19</v>
      </c>
      <c r="E1869" t="s">
        <v>87</v>
      </c>
      <c r="F1869" t="s">
        <v>21</v>
      </c>
      <c r="G1869">
        <v>52</v>
      </c>
      <c r="H1869" t="s">
        <v>80</v>
      </c>
      <c r="I1869" t="s">
        <v>45</v>
      </c>
      <c r="J1869" t="s">
        <v>110</v>
      </c>
      <c r="K1869" t="s">
        <v>58</v>
      </c>
      <c r="L1869">
        <v>3.4</v>
      </c>
      <c r="M1869" t="s">
        <v>152</v>
      </c>
      <c r="N1869" t="s">
        <v>59</v>
      </c>
      <c r="O1869" t="s">
        <v>72</v>
      </c>
      <c r="P1869" t="s">
        <v>152</v>
      </c>
      <c r="Q1869" t="s">
        <v>152</v>
      </c>
      <c r="R1869">
        <v>20</v>
      </c>
      <c r="S1869" t="s">
        <v>29</v>
      </c>
      <c r="T1869" t="str">
        <f t="shared" si="58"/>
        <v>Quarterly</v>
      </c>
      <c r="U1869">
        <f>VLOOKUP(T1869,[1]tablescore!$B$3:$C$8, 2,FALSE)</f>
        <v>4</v>
      </c>
      <c r="V1869" t="str">
        <f t="shared" si="59"/>
        <v>Low Loyalty</v>
      </c>
      <c r="W1869" t="s">
        <v>60</v>
      </c>
    </row>
    <row r="1870" spans="1:23" x14ac:dyDescent="0.25">
      <c r="A1870">
        <v>1869</v>
      </c>
      <c r="B1870">
        <v>23</v>
      </c>
      <c r="C1870" t="str" cm="1">
        <f t="array" ref="C1870">_xlfn.IFS(
  AND(B1870&gt;=18, B1870&lt;=24), "18-24",
  AND(B1870&gt;=25, B1870&lt;=34), "25-34",
  AND(B1870&gt;=35, B1870&lt;=44), "35-44",
  AND(B1870&gt;=45, B1870&lt;=54), "45-54",
  B1870&gt;=55, "55+"
)</f>
        <v>18-24</v>
      </c>
      <c r="D1870" t="s">
        <v>19</v>
      </c>
      <c r="E1870" t="s">
        <v>127</v>
      </c>
      <c r="F1870" t="s">
        <v>69</v>
      </c>
      <c r="G1870">
        <v>58</v>
      </c>
      <c r="H1870" t="s">
        <v>116</v>
      </c>
      <c r="I1870" t="s">
        <v>45</v>
      </c>
      <c r="J1870" t="s">
        <v>67</v>
      </c>
      <c r="K1870" t="s">
        <v>39</v>
      </c>
      <c r="L1870">
        <v>4.7</v>
      </c>
      <c r="M1870" t="s">
        <v>152</v>
      </c>
      <c r="N1870" t="s">
        <v>34</v>
      </c>
      <c r="O1870" t="s">
        <v>47</v>
      </c>
      <c r="P1870" t="s">
        <v>152</v>
      </c>
      <c r="Q1870" t="s">
        <v>152</v>
      </c>
      <c r="R1870">
        <v>44</v>
      </c>
      <c r="S1870" t="s">
        <v>35</v>
      </c>
      <c r="T1870" t="str">
        <f t="shared" si="58"/>
        <v>2-week</v>
      </c>
      <c r="U1870">
        <f>VLOOKUP(T1870,[1]tablescore!$B$3:$C$8, 2,FALSE)</f>
        <v>26</v>
      </c>
      <c r="V1870" t="str">
        <f t="shared" si="59"/>
        <v>Loyal</v>
      </c>
      <c r="W1870" t="s">
        <v>30</v>
      </c>
    </row>
    <row r="1871" spans="1:23" x14ac:dyDescent="0.25">
      <c r="A1871">
        <v>1870</v>
      </c>
      <c r="B1871">
        <v>18</v>
      </c>
      <c r="C1871" t="str" cm="1">
        <f t="array" ref="C1871">_xlfn.IFS(
  AND(B1871&gt;=18, B1871&lt;=24), "18-24",
  AND(B1871&gt;=25, B1871&lt;=34), "25-34",
  AND(B1871&gt;=35, B1871&lt;=44), "35-44",
  AND(B1871&gt;=45, B1871&lt;=54), "45-54",
  B1871&gt;=55, "55+"
)</f>
        <v>18-24</v>
      </c>
      <c r="D1871" t="s">
        <v>19</v>
      </c>
      <c r="E1871" t="s">
        <v>20</v>
      </c>
      <c r="F1871" t="s">
        <v>21</v>
      </c>
      <c r="G1871">
        <v>77</v>
      </c>
      <c r="H1871" t="s">
        <v>66</v>
      </c>
      <c r="I1871" t="s">
        <v>38</v>
      </c>
      <c r="J1871" t="s">
        <v>118</v>
      </c>
      <c r="K1871" t="s">
        <v>39</v>
      </c>
      <c r="L1871">
        <v>3.9</v>
      </c>
      <c r="M1871" t="s">
        <v>152</v>
      </c>
      <c r="N1871" t="s">
        <v>46</v>
      </c>
      <c r="O1871" t="s">
        <v>72</v>
      </c>
      <c r="P1871" t="s">
        <v>152</v>
      </c>
      <c r="Q1871" t="s">
        <v>152</v>
      </c>
      <c r="R1871">
        <v>16</v>
      </c>
      <c r="S1871" t="s">
        <v>59</v>
      </c>
      <c r="T1871" t="str">
        <f t="shared" si="58"/>
        <v>Quarterly</v>
      </c>
      <c r="U1871">
        <f>VLOOKUP(T1871,[1]tablescore!$B$3:$C$8, 2,FALSE)</f>
        <v>4</v>
      </c>
      <c r="V1871" t="str">
        <f t="shared" si="59"/>
        <v>Low Loyalty</v>
      </c>
      <c r="W1871" t="s">
        <v>97</v>
      </c>
    </row>
    <row r="1872" spans="1:23" x14ac:dyDescent="0.25">
      <c r="A1872">
        <v>1871</v>
      </c>
      <c r="B1872">
        <v>43</v>
      </c>
      <c r="C1872" t="str" cm="1">
        <f t="array" ref="C1872">_xlfn.IFS(
  AND(B1872&gt;=18, B1872&lt;=24), "18-24",
  AND(B1872&gt;=25, B1872&lt;=34), "25-34",
  AND(B1872&gt;=35, B1872&lt;=44), "35-44",
  AND(B1872&gt;=45, B1872&lt;=54), "45-54",
  B1872&gt;=55, "55+"
)</f>
        <v>35-44</v>
      </c>
      <c r="D1872" t="s">
        <v>19</v>
      </c>
      <c r="E1872" t="s">
        <v>20</v>
      </c>
      <c r="F1872" t="s">
        <v>21</v>
      </c>
      <c r="G1872">
        <v>99</v>
      </c>
      <c r="H1872" t="s">
        <v>52</v>
      </c>
      <c r="I1872" t="s">
        <v>23</v>
      </c>
      <c r="J1872" t="s">
        <v>84</v>
      </c>
      <c r="K1872" t="s">
        <v>39</v>
      </c>
      <c r="L1872">
        <v>4.3</v>
      </c>
      <c r="M1872" t="s">
        <v>152</v>
      </c>
      <c r="N1872" t="s">
        <v>59</v>
      </c>
      <c r="O1872" t="s">
        <v>76</v>
      </c>
      <c r="P1872" t="s">
        <v>152</v>
      </c>
      <c r="Q1872" t="s">
        <v>152</v>
      </c>
      <c r="R1872">
        <v>27</v>
      </c>
      <c r="S1872" t="s">
        <v>59</v>
      </c>
      <c r="T1872" t="str">
        <f t="shared" si="58"/>
        <v>2-week</v>
      </c>
      <c r="U1872">
        <f>VLOOKUP(T1872,[1]tablescore!$B$3:$C$8, 2,FALSE)</f>
        <v>26</v>
      </c>
      <c r="V1872" t="str">
        <f t="shared" si="59"/>
        <v>Loyal</v>
      </c>
      <c r="W1872" t="s">
        <v>30</v>
      </c>
    </row>
    <row r="1873" spans="1:23" x14ac:dyDescent="0.25">
      <c r="A1873">
        <v>1872</v>
      </c>
      <c r="B1873">
        <v>56</v>
      </c>
      <c r="C1873" t="str" cm="1">
        <f t="array" ref="C1873">_xlfn.IFS(
  AND(B1873&gt;=18, B1873&lt;=24), "18-24",
  AND(B1873&gt;=25, B1873&lt;=34), "25-34",
  AND(B1873&gt;=35, B1873&lt;=44), "35-44",
  AND(B1873&gt;=45, B1873&lt;=54), "45-54",
  B1873&gt;=55, "55+"
)</f>
        <v>55+</v>
      </c>
      <c r="D1873" t="s">
        <v>19</v>
      </c>
      <c r="E1873" t="s">
        <v>36</v>
      </c>
      <c r="F1873" t="s">
        <v>21</v>
      </c>
      <c r="G1873">
        <v>96</v>
      </c>
      <c r="H1873" t="s">
        <v>115</v>
      </c>
      <c r="I1873" t="s">
        <v>92</v>
      </c>
      <c r="J1873" t="s">
        <v>84</v>
      </c>
      <c r="K1873" t="s">
        <v>58</v>
      </c>
      <c r="L1873">
        <v>2.7</v>
      </c>
      <c r="M1873" t="s">
        <v>152</v>
      </c>
      <c r="N1873" t="s">
        <v>34</v>
      </c>
      <c r="O1873" t="s">
        <v>55</v>
      </c>
      <c r="P1873" t="s">
        <v>152</v>
      </c>
      <c r="Q1873" t="s">
        <v>152</v>
      </c>
      <c r="R1873">
        <v>14</v>
      </c>
      <c r="S1873" t="s">
        <v>35</v>
      </c>
      <c r="T1873" t="str">
        <f t="shared" si="58"/>
        <v>Quarterly</v>
      </c>
      <c r="U1873">
        <f>VLOOKUP(T1873,[1]tablescore!$B$3:$C$8, 2,FALSE)</f>
        <v>4</v>
      </c>
      <c r="V1873" t="str">
        <f t="shared" si="59"/>
        <v>Low Loyalty</v>
      </c>
      <c r="W1873" t="s">
        <v>97</v>
      </c>
    </row>
    <row r="1874" spans="1:23" x14ac:dyDescent="0.25">
      <c r="A1874">
        <v>1873</v>
      </c>
      <c r="B1874">
        <v>43</v>
      </c>
      <c r="C1874" t="str" cm="1">
        <f t="array" ref="C1874">_xlfn.IFS(
  AND(B1874&gt;=18, B1874&lt;=24), "18-24",
  AND(B1874&gt;=25, B1874&lt;=34), "25-34",
  AND(B1874&gt;=35, B1874&lt;=44), "35-44",
  AND(B1874&gt;=45, B1874&lt;=54), "45-54",
  B1874&gt;=55, "55+"
)</f>
        <v>35-44</v>
      </c>
      <c r="D1874" t="s">
        <v>19</v>
      </c>
      <c r="E1874" t="s">
        <v>113</v>
      </c>
      <c r="F1874" t="s">
        <v>21</v>
      </c>
      <c r="G1874">
        <v>64</v>
      </c>
      <c r="H1874" t="s">
        <v>120</v>
      </c>
      <c r="I1874" t="s">
        <v>45</v>
      </c>
      <c r="J1874" t="s">
        <v>93</v>
      </c>
      <c r="K1874" t="s">
        <v>54</v>
      </c>
      <c r="L1874">
        <v>4.5999999999999996</v>
      </c>
      <c r="M1874" t="s">
        <v>152</v>
      </c>
      <c r="N1874" t="s">
        <v>27</v>
      </c>
      <c r="O1874" t="s">
        <v>55</v>
      </c>
      <c r="P1874" t="s">
        <v>152</v>
      </c>
      <c r="Q1874" t="s">
        <v>152</v>
      </c>
      <c r="R1874">
        <v>24</v>
      </c>
      <c r="S1874" t="s">
        <v>27</v>
      </c>
      <c r="T1874" t="str">
        <f t="shared" si="58"/>
        <v>Month</v>
      </c>
      <c r="U1874">
        <f>VLOOKUP(T1874,[1]tablescore!$B$3:$C$8, 2,FALSE)</f>
        <v>12</v>
      </c>
      <c r="V1874" t="str">
        <f t="shared" si="59"/>
        <v>Moderate</v>
      </c>
      <c r="W1874" t="s">
        <v>88</v>
      </c>
    </row>
    <row r="1875" spans="1:23" x14ac:dyDescent="0.25">
      <c r="A1875">
        <v>1874</v>
      </c>
      <c r="B1875">
        <v>64</v>
      </c>
      <c r="C1875" t="str" cm="1">
        <f t="array" ref="C1875">_xlfn.IFS(
  AND(B1875&gt;=18, B1875&lt;=24), "18-24",
  AND(B1875&gt;=25, B1875&lt;=34), "25-34",
  AND(B1875&gt;=35, B1875&lt;=44), "35-44",
  AND(B1875&gt;=45, B1875&lt;=54), "45-54",
  B1875&gt;=55, "55+"
)</f>
        <v>55+</v>
      </c>
      <c r="D1875" t="s">
        <v>19</v>
      </c>
      <c r="E1875" t="s">
        <v>31</v>
      </c>
      <c r="F1875" t="s">
        <v>21</v>
      </c>
      <c r="G1875">
        <v>44</v>
      </c>
      <c r="H1875" t="s">
        <v>148</v>
      </c>
      <c r="I1875" t="s">
        <v>92</v>
      </c>
      <c r="J1875" t="s">
        <v>108</v>
      </c>
      <c r="K1875" t="s">
        <v>58</v>
      </c>
      <c r="L1875">
        <v>2.9</v>
      </c>
      <c r="M1875" t="s">
        <v>152</v>
      </c>
      <c r="N1875" t="s">
        <v>27</v>
      </c>
      <c r="O1875" t="s">
        <v>28</v>
      </c>
      <c r="P1875" t="s">
        <v>152</v>
      </c>
      <c r="Q1875" t="s">
        <v>152</v>
      </c>
      <c r="R1875">
        <v>49</v>
      </c>
      <c r="S1875" t="s">
        <v>34</v>
      </c>
      <c r="T1875" t="str">
        <f t="shared" si="58"/>
        <v>Daily</v>
      </c>
      <c r="U1875">
        <f>VLOOKUP(T1875,[1]tablescore!$B$3:$C$8, 2,FALSE)</f>
        <v>30</v>
      </c>
      <c r="V1875" t="str">
        <f t="shared" si="59"/>
        <v>Highly Loyal</v>
      </c>
      <c r="W1875" t="s">
        <v>41</v>
      </c>
    </row>
    <row r="1876" spans="1:23" x14ac:dyDescent="0.25">
      <c r="A1876">
        <v>1875</v>
      </c>
      <c r="B1876">
        <v>67</v>
      </c>
      <c r="C1876" t="str" cm="1">
        <f t="array" ref="C1876">_xlfn.IFS(
  AND(B1876&gt;=18, B1876&lt;=24), "18-24",
  AND(B1876&gt;=25, B1876&lt;=34), "25-34",
  AND(B1876&gt;=35, B1876&lt;=44), "35-44",
  AND(B1876&gt;=45, B1876&lt;=54), "45-54",
  B1876&gt;=55, "55+"
)</f>
        <v>55+</v>
      </c>
      <c r="D1876" t="s">
        <v>19</v>
      </c>
      <c r="E1876" t="s">
        <v>95</v>
      </c>
      <c r="F1876" t="s">
        <v>21</v>
      </c>
      <c r="G1876">
        <v>33</v>
      </c>
      <c r="H1876" t="s">
        <v>116</v>
      </c>
      <c r="I1876" t="s">
        <v>23</v>
      </c>
      <c r="J1876" t="s">
        <v>75</v>
      </c>
      <c r="K1876" t="s">
        <v>58</v>
      </c>
      <c r="L1876">
        <v>3.6</v>
      </c>
      <c r="M1876" t="s">
        <v>152</v>
      </c>
      <c r="N1876" t="s">
        <v>35</v>
      </c>
      <c r="O1876" t="s">
        <v>40</v>
      </c>
      <c r="P1876" t="s">
        <v>152</v>
      </c>
      <c r="Q1876" t="s">
        <v>152</v>
      </c>
      <c r="R1876">
        <v>14</v>
      </c>
      <c r="S1876" t="s">
        <v>35</v>
      </c>
      <c r="T1876" t="str">
        <f t="shared" si="58"/>
        <v>Daily</v>
      </c>
      <c r="U1876">
        <f>VLOOKUP(T1876,[1]tablescore!$B$3:$C$8, 2,FALSE)</f>
        <v>30</v>
      </c>
      <c r="V1876" t="str">
        <f t="shared" si="59"/>
        <v>Highly Loyal</v>
      </c>
      <c r="W1876" t="s">
        <v>41</v>
      </c>
    </row>
    <row r="1877" spans="1:23" x14ac:dyDescent="0.25">
      <c r="A1877">
        <v>1876</v>
      </c>
      <c r="B1877">
        <v>63</v>
      </c>
      <c r="C1877" t="str" cm="1">
        <f t="array" ref="C1877">_xlfn.IFS(
  AND(B1877&gt;=18, B1877&lt;=24), "18-24",
  AND(B1877&gt;=25, B1877&lt;=34), "25-34",
  AND(B1877&gt;=35, B1877&lt;=44), "35-44",
  AND(B1877&gt;=45, B1877&lt;=54), "45-54",
  B1877&gt;=55, "55+"
)</f>
        <v>55+</v>
      </c>
      <c r="D1877" t="s">
        <v>19</v>
      </c>
      <c r="E1877" t="s">
        <v>132</v>
      </c>
      <c r="F1877" t="s">
        <v>43</v>
      </c>
      <c r="G1877">
        <v>71</v>
      </c>
      <c r="H1877" t="s">
        <v>122</v>
      </c>
      <c r="I1877" t="s">
        <v>45</v>
      </c>
      <c r="J1877" t="s">
        <v>110</v>
      </c>
      <c r="K1877" t="s">
        <v>25</v>
      </c>
      <c r="L1877">
        <v>3.9</v>
      </c>
      <c r="M1877" t="s">
        <v>152</v>
      </c>
      <c r="N1877" t="s">
        <v>59</v>
      </c>
      <c r="O1877" t="s">
        <v>47</v>
      </c>
      <c r="P1877" t="s">
        <v>152</v>
      </c>
      <c r="Q1877" t="s">
        <v>152</v>
      </c>
      <c r="R1877">
        <v>6</v>
      </c>
      <c r="S1877" t="s">
        <v>27</v>
      </c>
      <c r="T1877" t="str">
        <f t="shared" si="58"/>
        <v>Quarterly</v>
      </c>
      <c r="U1877">
        <f>VLOOKUP(T1877,[1]tablescore!$B$3:$C$8, 2,FALSE)</f>
        <v>4</v>
      </c>
      <c r="V1877" t="str">
        <f t="shared" si="59"/>
        <v>Low Loyalty</v>
      </c>
      <c r="W1877" t="s">
        <v>60</v>
      </c>
    </row>
    <row r="1878" spans="1:23" x14ac:dyDescent="0.25">
      <c r="A1878">
        <v>1877</v>
      </c>
      <c r="B1878">
        <v>54</v>
      </c>
      <c r="C1878" t="str" cm="1">
        <f t="array" ref="C1878">_xlfn.IFS(
  AND(B1878&gt;=18, B1878&lt;=24), "18-24",
  AND(B1878&gt;=25, B1878&lt;=34), "25-34",
  AND(B1878&gt;=35, B1878&lt;=44), "35-44",
  AND(B1878&gt;=45, B1878&lt;=54), "45-54",
  B1878&gt;=55, "55+"
)</f>
        <v>45-54</v>
      </c>
      <c r="D1878" t="s">
        <v>19</v>
      </c>
      <c r="E1878" t="s">
        <v>87</v>
      </c>
      <c r="F1878" t="s">
        <v>21</v>
      </c>
      <c r="G1878">
        <v>36</v>
      </c>
      <c r="H1878" t="s">
        <v>115</v>
      </c>
      <c r="I1878" t="s">
        <v>45</v>
      </c>
      <c r="J1878" t="s">
        <v>24</v>
      </c>
      <c r="K1878" t="s">
        <v>58</v>
      </c>
      <c r="L1878">
        <v>2.6</v>
      </c>
      <c r="M1878" t="s">
        <v>152</v>
      </c>
      <c r="N1878" t="s">
        <v>27</v>
      </c>
      <c r="O1878" t="s">
        <v>55</v>
      </c>
      <c r="P1878" t="s">
        <v>152</v>
      </c>
      <c r="Q1878" t="s">
        <v>152</v>
      </c>
      <c r="R1878">
        <v>20</v>
      </c>
      <c r="S1878" t="s">
        <v>29</v>
      </c>
      <c r="T1878" t="str">
        <f t="shared" si="58"/>
        <v>Quarterly</v>
      </c>
      <c r="U1878">
        <f>VLOOKUP(T1878,[1]tablescore!$B$3:$C$8, 2,FALSE)</f>
        <v>4</v>
      </c>
      <c r="V1878" t="str">
        <f t="shared" si="59"/>
        <v>Low Loyalty</v>
      </c>
      <c r="W1878" t="s">
        <v>60</v>
      </c>
    </row>
    <row r="1879" spans="1:23" x14ac:dyDescent="0.25">
      <c r="A1879">
        <v>1878</v>
      </c>
      <c r="B1879">
        <v>69</v>
      </c>
      <c r="C1879" t="str" cm="1">
        <f t="array" ref="C1879">_xlfn.IFS(
  AND(B1879&gt;=18, B1879&lt;=24), "18-24",
  AND(B1879&gt;=25, B1879&lt;=34), "25-34",
  AND(B1879&gt;=35, B1879&lt;=44), "35-44",
  AND(B1879&gt;=45, B1879&lt;=54), "45-54",
  B1879&gt;=55, "55+"
)</f>
        <v>55+</v>
      </c>
      <c r="D1879" t="s">
        <v>19</v>
      </c>
      <c r="E1879" t="s">
        <v>127</v>
      </c>
      <c r="F1879" t="s">
        <v>69</v>
      </c>
      <c r="G1879">
        <v>62</v>
      </c>
      <c r="H1879" t="s">
        <v>141</v>
      </c>
      <c r="I1879" t="s">
        <v>23</v>
      </c>
      <c r="J1879" t="s">
        <v>71</v>
      </c>
      <c r="K1879" t="s">
        <v>58</v>
      </c>
      <c r="L1879">
        <v>3.6</v>
      </c>
      <c r="M1879" t="s">
        <v>152</v>
      </c>
      <c r="N1879" t="s">
        <v>35</v>
      </c>
      <c r="O1879" t="s">
        <v>28</v>
      </c>
      <c r="P1879" t="s">
        <v>152</v>
      </c>
      <c r="Q1879" t="s">
        <v>152</v>
      </c>
      <c r="R1879">
        <v>3</v>
      </c>
      <c r="S1879" t="s">
        <v>27</v>
      </c>
      <c r="T1879" t="str">
        <f t="shared" si="58"/>
        <v>Annually</v>
      </c>
      <c r="U1879">
        <f>VLOOKUP(T1879,[1]tablescore!$B$3:$C$8, 2,FALSE)</f>
        <v>1</v>
      </c>
      <c r="V1879" t="str">
        <f t="shared" si="59"/>
        <v>Low Loyalty</v>
      </c>
      <c r="W1879" t="s">
        <v>50</v>
      </c>
    </row>
    <row r="1880" spans="1:23" x14ac:dyDescent="0.25">
      <c r="A1880">
        <v>1879</v>
      </c>
      <c r="B1880">
        <v>34</v>
      </c>
      <c r="C1880" t="str" cm="1">
        <f t="array" ref="C1880">_xlfn.IFS(
  AND(B1880&gt;=18, B1880&lt;=24), "18-24",
  AND(B1880&gt;=25, B1880&lt;=34), "25-34",
  AND(B1880&gt;=35, B1880&lt;=44), "35-44",
  AND(B1880&gt;=45, B1880&lt;=54), "45-54",
  B1880&gt;=55, "55+"
)</f>
        <v>25-34</v>
      </c>
      <c r="D1880" t="s">
        <v>19</v>
      </c>
      <c r="E1880" t="s">
        <v>131</v>
      </c>
      <c r="F1880" t="s">
        <v>21</v>
      </c>
      <c r="G1880">
        <v>29</v>
      </c>
      <c r="H1880" t="s">
        <v>101</v>
      </c>
      <c r="I1880" t="s">
        <v>23</v>
      </c>
      <c r="J1880" t="s">
        <v>147</v>
      </c>
      <c r="K1880" t="s">
        <v>54</v>
      </c>
      <c r="L1880">
        <v>3.4</v>
      </c>
      <c r="M1880" t="s">
        <v>152</v>
      </c>
      <c r="N1880" t="s">
        <v>27</v>
      </c>
      <c r="O1880" t="s">
        <v>76</v>
      </c>
      <c r="P1880" t="s">
        <v>152</v>
      </c>
      <c r="Q1880" t="s">
        <v>152</v>
      </c>
      <c r="R1880">
        <v>5</v>
      </c>
      <c r="S1880" t="s">
        <v>27</v>
      </c>
      <c r="T1880" t="str">
        <f t="shared" si="58"/>
        <v>Month</v>
      </c>
      <c r="U1880">
        <f>VLOOKUP(T1880,[1]tablescore!$B$3:$C$8, 2,FALSE)</f>
        <v>12</v>
      </c>
      <c r="V1880" t="str">
        <f t="shared" si="59"/>
        <v>Moderate</v>
      </c>
      <c r="W1880" t="s">
        <v>88</v>
      </c>
    </row>
    <row r="1881" spans="1:23" x14ac:dyDescent="0.25">
      <c r="A1881">
        <v>1880</v>
      </c>
      <c r="B1881">
        <v>56</v>
      </c>
      <c r="C1881" t="str" cm="1">
        <f t="array" ref="C1881">_xlfn.IFS(
  AND(B1881&gt;=18, B1881&lt;=24), "18-24",
  AND(B1881&gt;=25, B1881&lt;=34), "25-34",
  AND(B1881&gt;=35, B1881&lt;=44), "35-44",
  AND(B1881&gt;=45, B1881&lt;=54), "45-54",
  B1881&gt;=55, "55+"
)</f>
        <v>55+</v>
      </c>
      <c r="D1881" t="s">
        <v>19</v>
      </c>
      <c r="E1881" t="s">
        <v>113</v>
      </c>
      <c r="F1881" t="s">
        <v>21</v>
      </c>
      <c r="G1881">
        <v>33</v>
      </c>
      <c r="H1881" t="s">
        <v>122</v>
      </c>
      <c r="I1881" t="s">
        <v>23</v>
      </c>
      <c r="J1881" t="s">
        <v>63</v>
      </c>
      <c r="K1881" t="s">
        <v>39</v>
      </c>
      <c r="L1881">
        <v>3.5</v>
      </c>
      <c r="M1881" t="s">
        <v>152</v>
      </c>
      <c r="N1881" t="s">
        <v>59</v>
      </c>
      <c r="O1881" t="s">
        <v>28</v>
      </c>
      <c r="P1881" t="s">
        <v>152</v>
      </c>
      <c r="Q1881" t="s">
        <v>152</v>
      </c>
      <c r="R1881">
        <v>46</v>
      </c>
      <c r="S1881" t="s">
        <v>35</v>
      </c>
      <c r="T1881" t="str">
        <f t="shared" si="58"/>
        <v>2-week</v>
      </c>
      <c r="U1881">
        <f>VLOOKUP(T1881,[1]tablescore!$B$3:$C$8, 2,FALSE)</f>
        <v>26</v>
      </c>
      <c r="V1881" t="str">
        <f t="shared" si="59"/>
        <v>Loyal</v>
      </c>
      <c r="W1881" t="s">
        <v>77</v>
      </c>
    </row>
    <row r="1882" spans="1:23" x14ac:dyDescent="0.25">
      <c r="A1882">
        <v>1881</v>
      </c>
      <c r="B1882">
        <v>34</v>
      </c>
      <c r="C1882" t="str" cm="1">
        <f t="array" ref="C1882">_xlfn.IFS(
  AND(B1882&gt;=18, B1882&lt;=24), "18-24",
  AND(B1882&gt;=25, B1882&lt;=34), "25-34",
  AND(B1882&gt;=35, B1882&lt;=44), "35-44",
  AND(B1882&gt;=45, B1882&lt;=54), "45-54",
  B1882&gt;=55, "55+"
)</f>
        <v>25-34</v>
      </c>
      <c r="D1882" t="s">
        <v>19</v>
      </c>
      <c r="E1882" t="s">
        <v>20</v>
      </c>
      <c r="F1882" t="s">
        <v>21</v>
      </c>
      <c r="G1882">
        <v>33</v>
      </c>
      <c r="H1882" t="s">
        <v>137</v>
      </c>
      <c r="I1882" t="s">
        <v>23</v>
      </c>
      <c r="J1882" t="s">
        <v>139</v>
      </c>
      <c r="K1882" t="s">
        <v>58</v>
      </c>
      <c r="L1882">
        <v>3.1</v>
      </c>
      <c r="M1882" t="s">
        <v>152</v>
      </c>
      <c r="N1882" t="s">
        <v>46</v>
      </c>
      <c r="O1882" t="s">
        <v>72</v>
      </c>
      <c r="P1882" t="s">
        <v>152</v>
      </c>
      <c r="Q1882" t="s">
        <v>152</v>
      </c>
      <c r="R1882">
        <v>8</v>
      </c>
      <c r="S1882" t="s">
        <v>59</v>
      </c>
      <c r="T1882" t="str">
        <f t="shared" si="58"/>
        <v>Month</v>
      </c>
      <c r="U1882">
        <f>VLOOKUP(T1882,[1]tablescore!$B$3:$C$8, 2,FALSE)</f>
        <v>12</v>
      </c>
      <c r="V1882" t="str">
        <f t="shared" si="59"/>
        <v>Moderate</v>
      </c>
      <c r="W1882" t="s">
        <v>88</v>
      </c>
    </row>
    <row r="1883" spans="1:23" x14ac:dyDescent="0.25">
      <c r="A1883">
        <v>1882</v>
      </c>
      <c r="B1883">
        <v>58</v>
      </c>
      <c r="C1883" t="str" cm="1">
        <f t="array" ref="C1883">_xlfn.IFS(
  AND(B1883&gt;=18, B1883&lt;=24), "18-24",
  AND(B1883&gt;=25, B1883&lt;=34), "25-34",
  AND(B1883&gt;=35, B1883&lt;=44), "35-44",
  AND(B1883&gt;=45, B1883&lt;=54), "45-54",
  B1883&gt;=55, "55+"
)</f>
        <v>55+</v>
      </c>
      <c r="D1883" t="s">
        <v>19</v>
      </c>
      <c r="E1883" t="s">
        <v>20</v>
      </c>
      <c r="F1883" t="s">
        <v>21</v>
      </c>
      <c r="G1883">
        <v>41</v>
      </c>
      <c r="H1883" t="s">
        <v>137</v>
      </c>
      <c r="I1883" t="s">
        <v>45</v>
      </c>
      <c r="J1883" t="s">
        <v>108</v>
      </c>
      <c r="K1883" t="s">
        <v>25</v>
      </c>
      <c r="L1883">
        <v>4.3</v>
      </c>
      <c r="M1883" t="s">
        <v>152</v>
      </c>
      <c r="N1883" t="s">
        <v>34</v>
      </c>
      <c r="O1883" t="s">
        <v>55</v>
      </c>
      <c r="P1883" t="s">
        <v>152</v>
      </c>
      <c r="Q1883" t="s">
        <v>152</v>
      </c>
      <c r="R1883">
        <v>13</v>
      </c>
      <c r="S1883" t="s">
        <v>35</v>
      </c>
      <c r="T1883" t="str">
        <f t="shared" si="58"/>
        <v>2-week</v>
      </c>
      <c r="U1883">
        <f>VLOOKUP(T1883,[1]tablescore!$B$3:$C$8, 2,FALSE)</f>
        <v>26</v>
      </c>
      <c r="V1883" t="str">
        <f t="shared" si="59"/>
        <v>Loyal</v>
      </c>
      <c r="W1883" t="s">
        <v>77</v>
      </c>
    </row>
    <row r="1884" spans="1:23" x14ac:dyDescent="0.25">
      <c r="A1884">
        <v>1883</v>
      </c>
      <c r="B1884">
        <v>44</v>
      </c>
      <c r="C1884" t="str" cm="1">
        <f t="array" ref="C1884">_xlfn.IFS(
  AND(B1884&gt;=18, B1884&lt;=24), "18-24",
  AND(B1884&gt;=25, B1884&lt;=34), "25-34",
  AND(B1884&gt;=35, B1884&lt;=44), "35-44",
  AND(B1884&gt;=45, B1884&lt;=54), "45-54",
  B1884&gt;=55, "55+"
)</f>
        <v>35-44</v>
      </c>
      <c r="D1884" t="s">
        <v>19</v>
      </c>
      <c r="E1884" t="s">
        <v>119</v>
      </c>
      <c r="F1884" t="s">
        <v>69</v>
      </c>
      <c r="G1884">
        <v>54</v>
      </c>
      <c r="H1884" t="s">
        <v>122</v>
      </c>
      <c r="I1884" t="s">
        <v>23</v>
      </c>
      <c r="J1884" t="s">
        <v>138</v>
      </c>
      <c r="K1884" t="s">
        <v>25</v>
      </c>
      <c r="L1884">
        <v>5</v>
      </c>
      <c r="M1884" t="s">
        <v>152</v>
      </c>
      <c r="N1884" t="s">
        <v>59</v>
      </c>
      <c r="O1884" t="s">
        <v>76</v>
      </c>
      <c r="P1884" t="s">
        <v>152</v>
      </c>
      <c r="Q1884" t="s">
        <v>152</v>
      </c>
      <c r="R1884">
        <v>25</v>
      </c>
      <c r="S1884" t="s">
        <v>34</v>
      </c>
      <c r="T1884" t="str">
        <f t="shared" si="58"/>
        <v>Quarterly</v>
      </c>
      <c r="U1884">
        <f>VLOOKUP(T1884,[1]tablescore!$B$3:$C$8, 2,FALSE)</f>
        <v>4</v>
      </c>
      <c r="V1884" t="str">
        <f t="shared" si="59"/>
        <v>Low Loyalty</v>
      </c>
      <c r="W1884" t="s">
        <v>60</v>
      </c>
    </row>
    <row r="1885" spans="1:23" x14ac:dyDescent="0.25">
      <c r="A1885">
        <v>1884</v>
      </c>
      <c r="B1885">
        <v>25</v>
      </c>
      <c r="C1885" t="str" cm="1">
        <f t="array" ref="C1885">_xlfn.IFS(
  AND(B1885&gt;=18, B1885&lt;=24), "18-24",
  AND(B1885&gt;=25, B1885&lt;=34), "25-34",
  AND(B1885&gt;=35, B1885&lt;=44), "35-44",
  AND(B1885&gt;=45, B1885&lt;=54), "45-54",
  B1885&gt;=55, "55+"
)</f>
        <v>25-34</v>
      </c>
      <c r="D1885" t="s">
        <v>19</v>
      </c>
      <c r="E1885" t="s">
        <v>133</v>
      </c>
      <c r="F1885" t="s">
        <v>69</v>
      </c>
      <c r="G1885">
        <v>58</v>
      </c>
      <c r="H1885" t="s">
        <v>142</v>
      </c>
      <c r="I1885" t="s">
        <v>45</v>
      </c>
      <c r="J1885" t="s">
        <v>109</v>
      </c>
      <c r="K1885" t="s">
        <v>39</v>
      </c>
      <c r="L1885">
        <v>4.9000000000000004</v>
      </c>
      <c r="M1885" t="s">
        <v>152</v>
      </c>
      <c r="N1885" t="s">
        <v>46</v>
      </c>
      <c r="O1885" t="s">
        <v>76</v>
      </c>
      <c r="P1885" t="s">
        <v>152</v>
      </c>
      <c r="Q1885" t="s">
        <v>152</v>
      </c>
      <c r="R1885">
        <v>39</v>
      </c>
      <c r="S1885" t="s">
        <v>59</v>
      </c>
      <c r="T1885" t="str">
        <f t="shared" si="58"/>
        <v>2-week</v>
      </c>
      <c r="U1885">
        <f>VLOOKUP(T1885,[1]tablescore!$B$3:$C$8, 2,FALSE)</f>
        <v>26</v>
      </c>
      <c r="V1885" t="str">
        <f t="shared" si="59"/>
        <v>Loyal</v>
      </c>
      <c r="W1885" t="s">
        <v>30</v>
      </c>
    </row>
    <row r="1886" spans="1:23" x14ac:dyDescent="0.25">
      <c r="A1886">
        <v>1885</v>
      </c>
      <c r="B1886">
        <v>27</v>
      </c>
      <c r="C1886" t="str" cm="1">
        <f t="array" ref="C1886">_xlfn.IFS(
  AND(B1886&gt;=18, B1886&lt;=24), "18-24",
  AND(B1886&gt;=25, B1886&lt;=34), "25-34",
  AND(B1886&gt;=35, B1886&lt;=44), "35-44",
  AND(B1886&gt;=45, B1886&lt;=54), "45-54",
  B1886&gt;=55, "55+"
)</f>
        <v>25-34</v>
      </c>
      <c r="D1886" t="s">
        <v>19</v>
      </c>
      <c r="E1886" t="s">
        <v>61</v>
      </c>
      <c r="F1886" t="s">
        <v>21</v>
      </c>
      <c r="G1886">
        <v>30</v>
      </c>
      <c r="H1886" t="s">
        <v>117</v>
      </c>
      <c r="I1886" t="s">
        <v>38</v>
      </c>
      <c r="J1886" t="s">
        <v>71</v>
      </c>
      <c r="K1886" t="s">
        <v>54</v>
      </c>
      <c r="L1886">
        <v>4.3</v>
      </c>
      <c r="M1886" t="s">
        <v>152</v>
      </c>
      <c r="N1886" t="s">
        <v>34</v>
      </c>
      <c r="O1886" t="s">
        <v>47</v>
      </c>
      <c r="P1886" t="s">
        <v>152</v>
      </c>
      <c r="Q1886" t="s">
        <v>152</v>
      </c>
      <c r="R1886">
        <v>15</v>
      </c>
      <c r="S1886" t="s">
        <v>34</v>
      </c>
      <c r="T1886" t="str">
        <f t="shared" si="58"/>
        <v>2-week</v>
      </c>
      <c r="U1886">
        <f>VLOOKUP(T1886,[1]tablescore!$B$3:$C$8, 2,FALSE)</f>
        <v>26</v>
      </c>
      <c r="V1886" t="str">
        <f t="shared" si="59"/>
        <v>Loyal</v>
      </c>
      <c r="W1886" t="s">
        <v>77</v>
      </c>
    </row>
    <row r="1887" spans="1:23" x14ac:dyDescent="0.25">
      <c r="A1887">
        <v>1886</v>
      </c>
      <c r="B1887">
        <v>26</v>
      </c>
      <c r="C1887" t="str" cm="1">
        <f t="array" ref="C1887">_xlfn.IFS(
  AND(B1887&gt;=18, B1887&lt;=24), "18-24",
  AND(B1887&gt;=25, B1887&lt;=34), "25-34",
  AND(B1887&gt;=35, B1887&lt;=44), "35-44",
  AND(B1887&gt;=45, B1887&lt;=54), "45-54",
  B1887&gt;=55, "55+"
)</f>
        <v>25-34</v>
      </c>
      <c r="D1887" t="s">
        <v>19</v>
      </c>
      <c r="E1887" t="s">
        <v>106</v>
      </c>
      <c r="F1887" t="s">
        <v>69</v>
      </c>
      <c r="G1887">
        <v>53</v>
      </c>
      <c r="H1887" t="s">
        <v>107</v>
      </c>
      <c r="I1887" t="s">
        <v>38</v>
      </c>
      <c r="J1887" t="s">
        <v>33</v>
      </c>
      <c r="K1887" t="s">
        <v>25</v>
      </c>
      <c r="L1887">
        <v>4.4000000000000004</v>
      </c>
      <c r="M1887" t="s">
        <v>152</v>
      </c>
      <c r="N1887" t="s">
        <v>27</v>
      </c>
      <c r="O1887" t="s">
        <v>55</v>
      </c>
      <c r="P1887" t="s">
        <v>152</v>
      </c>
      <c r="Q1887" t="s">
        <v>152</v>
      </c>
      <c r="R1887">
        <v>35</v>
      </c>
      <c r="S1887" t="s">
        <v>35</v>
      </c>
      <c r="T1887" t="str">
        <f t="shared" si="58"/>
        <v>Month</v>
      </c>
      <c r="U1887">
        <f>VLOOKUP(T1887,[1]tablescore!$B$3:$C$8, 2,FALSE)</f>
        <v>12</v>
      </c>
      <c r="V1887" t="str">
        <f t="shared" si="59"/>
        <v>Moderate</v>
      </c>
      <c r="W1887" t="s">
        <v>88</v>
      </c>
    </row>
    <row r="1888" spans="1:23" x14ac:dyDescent="0.25">
      <c r="A1888">
        <v>1887</v>
      </c>
      <c r="B1888">
        <v>18</v>
      </c>
      <c r="C1888" t="str" cm="1">
        <f t="array" ref="C1888">_xlfn.IFS(
  AND(B1888&gt;=18, B1888&lt;=24), "18-24",
  AND(B1888&gt;=25, B1888&lt;=34), "25-34",
  AND(B1888&gt;=35, B1888&lt;=44), "35-44",
  AND(B1888&gt;=45, B1888&lt;=54), "45-54",
  B1888&gt;=55, "55+"
)</f>
        <v>18-24</v>
      </c>
      <c r="D1888" t="s">
        <v>19</v>
      </c>
      <c r="E1888" t="s">
        <v>127</v>
      </c>
      <c r="F1888" t="s">
        <v>69</v>
      </c>
      <c r="G1888">
        <v>91</v>
      </c>
      <c r="H1888" t="s">
        <v>74</v>
      </c>
      <c r="I1888" t="s">
        <v>23</v>
      </c>
      <c r="J1888" t="s">
        <v>118</v>
      </c>
      <c r="K1888" t="s">
        <v>39</v>
      </c>
      <c r="L1888">
        <v>4.4000000000000004</v>
      </c>
      <c r="M1888" t="s">
        <v>152</v>
      </c>
      <c r="N1888" t="s">
        <v>35</v>
      </c>
      <c r="O1888" t="s">
        <v>47</v>
      </c>
      <c r="P1888" t="s">
        <v>152</v>
      </c>
      <c r="Q1888" t="s">
        <v>152</v>
      </c>
      <c r="R1888">
        <v>46</v>
      </c>
      <c r="S1888" t="s">
        <v>35</v>
      </c>
      <c r="T1888" t="str">
        <f t="shared" si="58"/>
        <v>2-week</v>
      </c>
      <c r="U1888">
        <f>VLOOKUP(T1888,[1]tablescore!$B$3:$C$8, 2,FALSE)</f>
        <v>26</v>
      </c>
      <c r="V1888" t="str">
        <f t="shared" si="59"/>
        <v>Loyal</v>
      </c>
      <c r="W1888" t="s">
        <v>77</v>
      </c>
    </row>
    <row r="1889" spans="1:23" x14ac:dyDescent="0.25">
      <c r="A1889">
        <v>1888</v>
      </c>
      <c r="B1889">
        <v>64</v>
      </c>
      <c r="C1889" t="str" cm="1">
        <f t="array" ref="C1889">_xlfn.IFS(
  AND(B1889&gt;=18, B1889&lt;=24), "18-24",
  AND(B1889&gt;=25, B1889&lt;=34), "25-34",
  AND(B1889&gt;=35, B1889&lt;=44), "35-44",
  AND(B1889&gt;=45, B1889&lt;=54), "45-54",
  B1889&gt;=55, "55+"
)</f>
        <v>55+</v>
      </c>
      <c r="D1889" t="s">
        <v>19</v>
      </c>
      <c r="E1889" t="s">
        <v>104</v>
      </c>
      <c r="F1889" t="s">
        <v>21</v>
      </c>
      <c r="G1889">
        <v>44</v>
      </c>
      <c r="H1889" t="s">
        <v>114</v>
      </c>
      <c r="I1889" t="s">
        <v>92</v>
      </c>
      <c r="J1889" t="s">
        <v>81</v>
      </c>
      <c r="K1889" t="s">
        <v>58</v>
      </c>
      <c r="L1889">
        <v>3.5</v>
      </c>
      <c r="M1889" t="s">
        <v>152</v>
      </c>
      <c r="N1889" t="s">
        <v>35</v>
      </c>
      <c r="O1889" t="s">
        <v>28</v>
      </c>
      <c r="P1889" t="s">
        <v>152</v>
      </c>
      <c r="Q1889" t="s">
        <v>152</v>
      </c>
      <c r="R1889">
        <v>3</v>
      </c>
      <c r="S1889" t="s">
        <v>46</v>
      </c>
      <c r="T1889" t="str">
        <f t="shared" si="58"/>
        <v>Month</v>
      </c>
      <c r="U1889">
        <f>VLOOKUP(T1889,[1]tablescore!$B$3:$C$8, 2,FALSE)</f>
        <v>12</v>
      </c>
      <c r="V1889" t="str">
        <f t="shared" si="59"/>
        <v>Moderate</v>
      </c>
      <c r="W1889" t="s">
        <v>88</v>
      </c>
    </row>
    <row r="1890" spans="1:23" x14ac:dyDescent="0.25">
      <c r="A1890">
        <v>1889</v>
      </c>
      <c r="B1890">
        <v>62</v>
      </c>
      <c r="C1890" t="str" cm="1">
        <f t="array" ref="C1890">_xlfn.IFS(
  AND(B1890&gt;=18, B1890&lt;=24), "18-24",
  AND(B1890&gt;=25, B1890&lt;=34), "25-34",
  AND(B1890&gt;=35, B1890&lt;=44), "35-44",
  AND(B1890&gt;=45, B1890&lt;=54), "45-54",
  B1890&gt;=55, "55+"
)</f>
        <v>55+</v>
      </c>
      <c r="D1890" t="s">
        <v>19</v>
      </c>
      <c r="E1890" t="s">
        <v>104</v>
      </c>
      <c r="F1890" t="s">
        <v>21</v>
      </c>
      <c r="G1890">
        <v>89</v>
      </c>
      <c r="H1890" t="s">
        <v>130</v>
      </c>
      <c r="I1890" t="s">
        <v>92</v>
      </c>
      <c r="J1890" t="s">
        <v>49</v>
      </c>
      <c r="K1890" t="s">
        <v>25</v>
      </c>
      <c r="L1890">
        <v>3.4</v>
      </c>
      <c r="M1890" t="s">
        <v>152</v>
      </c>
      <c r="N1890" t="s">
        <v>34</v>
      </c>
      <c r="O1890" t="s">
        <v>40</v>
      </c>
      <c r="P1890" t="s">
        <v>152</v>
      </c>
      <c r="Q1890" t="s">
        <v>152</v>
      </c>
      <c r="R1890">
        <v>48</v>
      </c>
      <c r="S1890" t="s">
        <v>27</v>
      </c>
      <c r="T1890" t="str">
        <f t="shared" si="58"/>
        <v>Daily</v>
      </c>
      <c r="U1890">
        <f>VLOOKUP(T1890,[1]tablescore!$B$3:$C$8, 2,FALSE)</f>
        <v>30</v>
      </c>
      <c r="V1890" t="str">
        <f t="shared" si="59"/>
        <v>Highly Loyal</v>
      </c>
      <c r="W1890" t="s">
        <v>41</v>
      </c>
    </row>
    <row r="1891" spans="1:23" x14ac:dyDescent="0.25">
      <c r="A1891">
        <v>1890</v>
      </c>
      <c r="B1891">
        <v>59</v>
      </c>
      <c r="C1891" t="str" cm="1">
        <f t="array" ref="C1891">_xlfn.IFS(
  AND(B1891&gt;=18, B1891&lt;=24), "18-24",
  AND(B1891&gt;=25, B1891&lt;=34), "25-34",
  AND(B1891&gt;=35, B1891&lt;=44), "35-44",
  AND(B1891&gt;=45, B1891&lt;=54), "45-54",
  B1891&gt;=55, "55+"
)</f>
        <v>55+</v>
      </c>
      <c r="D1891" t="s">
        <v>19</v>
      </c>
      <c r="E1891" t="s">
        <v>87</v>
      </c>
      <c r="F1891" t="s">
        <v>21</v>
      </c>
      <c r="G1891">
        <v>57</v>
      </c>
      <c r="H1891" t="s">
        <v>98</v>
      </c>
      <c r="I1891" t="s">
        <v>23</v>
      </c>
      <c r="J1891" t="s">
        <v>100</v>
      </c>
      <c r="K1891" t="s">
        <v>39</v>
      </c>
      <c r="L1891">
        <v>2.5</v>
      </c>
      <c r="M1891" t="s">
        <v>152</v>
      </c>
      <c r="N1891" t="s">
        <v>59</v>
      </c>
      <c r="O1891" t="s">
        <v>47</v>
      </c>
      <c r="P1891" t="s">
        <v>152</v>
      </c>
      <c r="Q1891" t="s">
        <v>152</v>
      </c>
      <c r="R1891">
        <v>27</v>
      </c>
      <c r="S1891" t="s">
        <v>34</v>
      </c>
      <c r="T1891" t="str">
        <f t="shared" si="58"/>
        <v>Daily</v>
      </c>
      <c r="U1891">
        <f>VLOOKUP(T1891,[1]tablescore!$B$3:$C$8, 2,FALSE)</f>
        <v>30</v>
      </c>
      <c r="V1891" t="str">
        <f t="shared" si="59"/>
        <v>Highly Loyal</v>
      </c>
      <c r="W1891" t="s">
        <v>41</v>
      </c>
    </row>
    <row r="1892" spans="1:23" x14ac:dyDescent="0.25">
      <c r="A1892">
        <v>1891</v>
      </c>
      <c r="B1892">
        <v>36</v>
      </c>
      <c r="C1892" t="str" cm="1">
        <f t="array" ref="C1892">_xlfn.IFS(
  AND(B1892&gt;=18, B1892&lt;=24), "18-24",
  AND(B1892&gt;=25, B1892&lt;=34), "25-34",
  AND(B1892&gt;=35, B1892&lt;=44), "35-44",
  AND(B1892&gt;=45, B1892&lt;=54), "45-54",
  B1892&gt;=55, "55+"
)</f>
        <v>35-44</v>
      </c>
      <c r="D1892" t="s">
        <v>19</v>
      </c>
      <c r="E1892" t="s">
        <v>89</v>
      </c>
      <c r="F1892" t="s">
        <v>69</v>
      </c>
      <c r="G1892">
        <v>57</v>
      </c>
      <c r="H1892" t="s">
        <v>78</v>
      </c>
      <c r="I1892" t="s">
        <v>45</v>
      </c>
      <c r="J1892" t="s">
        <v>93</v>
      </c>
      <c r="K1892" t="s">
        <v>39</v>
      </c>
      <c r="L1892">
        <v>3.4</v>
      </c>
      <c r="M1892" t="s">
        <v>152</v>
      </c>
      <c r="N1892" t="s">
        <v>59</v>
      </c>
      <c r="O1892" t="s">
        <v>76</v>
      </c>
      <c r="P1892" t="s">
        <v>152</v>
      </c>
      <c r="Q1892" t="s">
        <v>152</v>
      </c>
      <c r="R1892">
        <v>5</v>
      </c>
      <c r="S1892" t="s">
        <v>27</v>
      </c>
      <c r="T1892" t="str">
        <f t="shared" si="58"/>
        <v>Daily</v>
      </c>
      <c r="U1892">
        <f>VLOOKUP(T1892,[1]tablescore!$B$3:$C$8, 2,FALSE)</f>
        <v>30</v>
      </c>
      <c r="V1892" t="str">
        <f t="shared" si="59"/>
        <v>Highly Loyal</v>
      </c>
      <c r="W1892" t="s">
        <v>41</v>
      </c>
    </row>
    <row r="1893" spans="1:23" x14ac:dyDescent="0.25">
      <c r="A1893">
        <v>1892</v>
      </c>
      <c r="B1893">
        <v>69</v>
      </c>
      <c r="C1893" t="str" cm="1">
        <f t="array" ref="C1893">_xlfn.IFS(
  AND(B1893&gt;=18, B1893&lt;=24), "18-24",
  AND(B1893&gt;=25, B1893&lt;=34), "25-34",
  AND(B1893&gt;=35, B1893&lt;=44), "35-44",
  AND(B1893&gt;=45, B1893&lt;=54), "45-54",
  B1893&gt;=55, "55+"
)</f>
        <v>55+</v>
      </c>
      <c r="D1893" t="s">
        <v>19</v>
      </c>
      <c r="E1893" t="s">
        <v>106</v>
      </c>
      <c r="F1893" t="s">
        <v>69</v>
      </c>
      <c r="G1893">
        <v>74</v>
      </c>
      <c r="H1893" t="s">
        <v>83</v>
      </c>
      <c r="I1893" t="s">
        <v>45</v>
      </c>
      <c r="J1893" t="s">
        <v>24</v>
      </c>
      <c r="K1893" t="s">
        <v>54</v>
      </c>
      <c r="L1893">
        <v>2.6</v>
      </c>
      <c r="M1893" t="s">
        <v>152</v>
      </c>
      <c r="N1893" t="s">
        <v>29</v>
      </c>
      <c r="O1893" t="s">
        <v>47</v>
      </c>
      <c r="P1893" t="s">
        <v>152</v>
      </c>
      <c r="Q1893" t="s">
        <v>152</v>
      </c>
      <c r="R1893">
        <v>48</v>
      </c>
      <c r="S1893" t="s">
        <v>59</v>
      </c>
      <c r="T1893" t="str">
        <f t="shared" si="58"/>
        <v>Quarterly</v>
      </c>
      <c r="U1893">
        <f>VLOOKUP(T1893,[1]tablescore!$B$3:$C$8, 2,FALSE)</f>
        <v>4</v>
      </c>
      <c r="V1893" t="str">
        <f t="shared" si="59"/>
        <v>Low Loyalty</v>
      </c>
      <c r="W1893" t="s">
        <v>60</v>
      </c>
    </row>
    <row r="1894" spans="1:23" x14ac:dyDescent="0.25">
      <c r="A1894">
        <v>1893</v>
      </c>
      <c r="B1894">
        <v>39</v>
      </c>
      <c r="C1894" t="str" cm="1">
        <f t="array" ref="C1894">_xlfn.IFS(
  AND(B1894&gt;=18, B1894&lt;=24), "18-24",
  AND(B1894&gt;=25, B1894&lt;=34), "25-34",
  AND(B1894&gt;=35, B1894&lt;=44), "35-44",
  AND(B1894&gt;=45, B1894&lt;=54), "45-54",
  B1894&gt;=55, "55+"
)</f>
        <v>35-44</v>
      </c>
      <c r="D1894" t="s">
        <v>19</v>
      </c>
      <c r="E1894" t="s">
        <v>102</v>
      </c>
      <c r="F1894" t="s">
        <v>65</v>
      </c>
      <c r="G1894">
        <v>30</v>
      </c>
      <c r="H1894" t="s">
        <v>99</v>
      </c>
      <c r="I1894" t="s">
        <v>45</v>
      </c>
      <c r="J1894" t="s">
        <v>138</v>
      </c>
      <c r="K1894" t="s">
        <v>58</v>
      </c>
      <c r="L1894">
        <v>4.5999999999999996</v>
      </c>
      <c r="M1894" t="s">
        <v>152</v>
      </c>
      <c r="N1894" t="s">
        <v>34</v>
      </c>
      <c r="O1894" t="s">
        <v>72</v>
      </c>
      <c r="P1894" t="s">
        <v>152</v>
      </c>
      <c r="Q1894" t="s">
        <v>152</v>
      </c>
      <c r="R1894">
        <v>12</v>
      </c>
      <c r="S1894" t="s">
        <v>29</v>
      </c>
      <c r="T1894" t="str">
        <f t="shared" si="58"/>
        <v>Daily</v>
      </c>
      <c r="U1894">
        <f>VLOOKUP(T1894,[1]tablescore!$B$3:$C$8, 2,FALSE)</f>
        <v>30</v>
      </c>
      <c r="V1894" t="str">
        <f t="shared" si="59"/>
        <v>Highly Loyal</v>
      </c>
      <c r="W1894" t="s">
        <v>41</v>
      </c>
    </row>
    <row r="1895" spans="1:23" x14ac:dyDescent="0.25">
      <c r="A1895">
        <v>1894</v>
      </c>
      <c r="B1895">
        <v>28</v>
      </c>
      <c r="C1895" t="str" cm="1">
        <f t="array" ref="C1895">_xlfn.IFS(
  AND(B1895&gt;=18, B1895&lt;=24), "18-24",
  AND(B1895&gt;=25, B1895&lt;=34), "25-34",
  AND(B1895&gt;=35, B1895&lt;=44), "35-44",
  AND(B1895&gt;=45, B1895&lt;=54), "45-54",
  B1895&gt;=55, "55+"
)</f>
        <v>25-34</v>
      </c>
      <c r="D1895" t="s">
        <v>19</v>
      </c>
      <c r="E1895" t="s">
        <v>82</v>
      </c>
      <c r="F1895" t="s">
        <v>21</v>
      </c>
      <c r="G1895">
        <v>20</v>
      </c>
      <c r="H1895" t="s">
        <v>80</v>
      </c>
      <c r="I1895" t="s">
        <v>23</v>
      </c>
      <c r="J1895" t="s">
        <v>108</v>
      </c>
      <c r="K1895" t="s">
        <v>54</v>
      </c>
      <c r="L1895">
        <v>3.7</v>
      </c>
      <c r="M1895" t="s">
        <v>152</v>
      </c>
      <c r="N1895" t="s">
        <v>29</v>
      </c>
      <c r="O1895" t="s">
        <v>28</v>
      </c>
      <c r="P1895" t="s">
        <v>152</v>
      </c>
      <c r="Q1895" t="s">
        <v>152</v>
      </c>
      <c r="R1895">
        <v>10</v>
      </c>
      <c r="S1895" t="s">
        <v>46</v>
      </c>
      <c r="T1895" t="str">
        <f t="shared" si="58"/>
        <v>2-week</v>
      </c>
      <c r="U1895">
        <f>VLOOKUP(T1895,[1]tablescore!$B$3:$C$8, 2,FALSE)</f>
        <v>26</v>
      </c>
      <c r="V1895" t="str">
        <f t="shared" si="59"/>
        <v>Loyal</v>
      </c>
      <c r="W1895" t="s">
        <v>30</v>
      </c>
    </row>
    <row r="1896" spans="1:23" x14ac:dyDescent="0.25">
      <c r="A1896">
        <v>1895</v>
      </c>
      <c r="B1896">
        <v>42</v>
      </c>
      <c r="C1896" t="str" cm="1">
        <f t="array" ref="C1896">_xlfn.IFS(
  AND(B1896&gt;=18, B1896&lt;=24), "18-24",
  AND(B1896&gt;=25, B1896&lt;=34), "25-34",
  AND(B1896&gt;=35, B1896&lt;=44), "35-44",
  AND(B1896&gt;=45, B1896&lt;=54), "45-54",
  B1896&gt;=55, "55+"
)</f>
        <v>35-44</v>
      </c>
      <c r="D1896" t="s">
        <v>19</v>
      </c>
      <c r="E1896" t="s">
        <v>104</v>
      </c>
      <c r="F1896" t="s">
        <v>21</v>
      </c>
      <c r="G1896">
        <v>90</v>
      </c>
      <c r="H1896" t="s">
        <v>117</v>
      </c>
      <c r="I1896" t="s">
        <v>45</v>
      </c>
      <c r="J1896" t="s">
        <v>75</v>
      </c>
      <c r="K1896" t="s">
        <v>58</v>
      </c>
      <c r="L1896">
        <v>2.5</v>
      </c>
      <c r="M1896" t="s">
        <v>152</v>
      </c>
      <c r="N1896" t="s">
        <v>27</v>
      </c>
      <c r="O1896" t="s">
        <v>40</v>
      </c>
      <c r="P1896" t="s">
        <v>152</v>
      </c>
      <c r="Q1896" t="s">
        <v>152</v>
      </c>
      <c r="R1896">
        <v>48</v>
      </c>
      <c r="S1896" t="s">
        <v>59</v>
      </c>
      <c r="T1896" t="str">
        <f t="shared" si="58"/>
        <v>2-week</v>
      </c>
      <c r="U1896">
        <f>VLOOKUP(T1896,[1]tablescore!$B$3:$C$8, 2,FALSE)</f>
        <v>26</v>
      </c>
      <c r="V1896" t="str">
        <f t="shared" si="59"/>
        <v>Loyal</v>
      </c>
      <c r="W1896" t="s">
        <v>77</v>
      </c>
    </row>
    <row r="1897" spans="1:23" x14ac:dyDescent="0.25">
      <c r="A1897">
        <v>1896</v>
      </c>
      <c r="B1897">
        <v>31</v>
      </c>
      <c r="C1897" t="str" cm="1">
        <f t="array" ref="C1897">_xlfn.IFS(
  AND(B1897&gt;=18, B1897&lt;=24), "18-24",
  AND(B1897&gt;=25, B1897&lt;=34), "25-34",
  AND(B1897&gt;=35, B1897&lt;=44), "35-44",
  AND(B1897&gt;=45, B1897&lt;=54), "45-54",
  B1897&gt;=55, "55+"
)</f>
        <v>25-34</v>
      </c>
      <c r="D1897" t="s">
        <v>19</v>
      </c>
      <c r="E1897" t="s">
        <v>36</v>
      </c>
      <c r="F1897" t="s">
        <v>21</v>
      </c>
      <c r="G1897">
        <v>61</v>
      </c>
      <c r="H1897" t="s">
        <v>140</v>
      </c>
      <c r="I1897" t="s">
        <v>23</v>
      </c>
      <c r="J1897" t="s">
        <v>129</v>
      </c>
      <c r="K1897" t="s">
        <v>58</v>
      </c>
      <c r="L1897">
        <v>4.5</v>
      </c>
      <c r="M1897" t="s">
        <v>152</v>
      </c>
      <c r="N1897" t="s">
        <v>59</v>
      </c>
      <c r="O1897" t="s">
        <v>28</v>
      </c>
      <c r="P1897" t="s">
        <v>152</v>
      </c>
      <c r="Q1897" t="s">
        <v>152</v>
      </c>
      <c r="R1897">
        <v>3</v>
      </c>
      <c r="S1897" t="s">
        <v>59</v>
      </c>
      <c r="T1897" t="str">
        <f t="shared" si="58"/>
        <v>Month</v>
      </c>
      <c r="U1897">
        <f>VLOOKUP(T1897,[1]tablescore!$B$3:$C$8, 2,FALSE)</f>
        <v>12</v>
      </c>
      <c r="V1897" t="str">
        <f t="shared" si="59"/>
        <v>Moderate</v>
      </c>
      <c r="W1897" t="s">
        <v>88</v>
      </c>
    </row>
    <row r="1898" spans="1:23" x14ac:dyDescent="0.25">
      <c r="A1898">
        <v>1897</v>
      </c>
      <c r="B1898">
        <v>57</v>
      </c>
      <c r="C1898" t="str" cm="1">
        <f t="array" ref="C1898">_xlfn.IFS(
  AND(B1898&gt;=18, B1898&lt;=24), "18-24",
  AND(B1898&gt;=25, B1898&lt;=34), "25-34",
  AND(B1898&gt;=35, B1898&lt;=44), "35-44",
  AND(B1898&gt;=45, B1898&lt;=54), "45-54",
  B1898&gt;=55, "55+"
)</f>
        <v>55+</v>
      </c>
      <c r="D1898" t="s">
        <v>19</v>
      </c>
      <c r="E1898" t="s">
        <v>42</v>
      </c>
      <c r="F1898" t="s">
        <v>43</v>
      </c>
      <c r="G1898">
        <v>51</v>
      </c>
      <c r="H1898" t="s">
        <v>107</v>
      </c>
      <c r="I1898" t="s">
        <v>45</v>
      </c>
      <c r="J1898" t="s">
        <v>81</v>
      </c>
      <c r="K1898" t="s">
        <v>58</v>
      </c>
      <c r="L1898">
        <v>2.9</v>
      </c>
      <c r="M1898" t="s">
        <v>152</v>
      </c>
      <c r="N1898" t="s">
        <v>35</v>
      </c>
      <c r="O1898" t="s">
        <v>55</v>
      </c>
      <c r="P1898" t="s">
        <v>152</v>
      </c>
      <c r="Q1898" t="s">
        <v>152</v>
      </c>
      <c r="R1898">
        <v>19</v>
      </c>
      <c r="S1898" t="s">
        <v>29</v>
      </c>
      <c r="T1898" t="str">
        <f t="shared" si="58"/>
        <v>Month</v>
      </c>
      <c r="U1898">
        <f>VLOOKUP(T1898,[1]tablescore!$B$3:$C$8, 2,FALSE)</f>
        <v>12</v>
      </c>
      <c r="V1898" t="str">
        <f t="shared" si="59"/>
        <v>Moderate</v>
      </c>
      <c r="W1898" t="s">
        <v>88</v>
      </c>
    </row>
    <row r="1899" spans="1:23" x14ac:dyDescent="0.25">
      <c r="A1899">
        <v>1898</v>
      </c>
      <c r="B1899">
        <v>53</v>
      </c>
      <c r="C1899" t="str" cm="1">
        <f t="array" ref="C1899">_xlfn.IFS(
  AND(B1899&gt;=18, B1899&lt;=24), "18-24",
  AND(B1899&gt;=25, B1899&lt;=34), "25-34",
  AND(B1899&gt;=35, B1899&lt;=44), "35-44",
  AND(B1899&gt;=45, B1899&lt;=54), "45-54",
  B1899&gt;=55, "55+"
)</f>
        <v>45-54</v>
      </c>
      <c r="D1899" t="s">
        <v>19</v>
      </c>
      <c r="E1899" t="s">
        <v>89</v>
      </c>
      <c r="F1899" t="s">
        <v>69</v>
      </c>
      <c r="G1899">
        <v>97</v>
      </c>
      <c r="H1899" t="s">
        <v>120</v>
      </c>
      <c r="I1899" t="s">
        <v>23</v>
      </c>
      <c r="J1899" t="s">
        <v>86</v>
      </c>
      <c r="K1899" t="s">
        <v>25</v>
      </c>
      <c r="L1899">
        <v>2.9</v>
      </c>
      <c r="M1899" t="s">
        <v>152</v>
      </c>
      <c r="N1899" t="s">
        <v>29</v>
      </c>
      <c r="O1899" t="s">
        <v>40</v>
      </c>
      <c r="P1899" t="s">
        <v>152</v>
      </c>
      <c r="Q1899" t="s">
        <v>152</v>
      </c>
      <c r="R1899">
        <v>11</v>
      </c>
      <c r="S1899" t="s">
        <v>59</v>
      </c>
      <c r="T1899" t="str">
        <f t="shared" si="58"/>
        <v>2-week</v>
      </c>
      <c r="U1899">
        <f>VLOOKUP(T1899,[1]tablescore!$B$3:$C$8, 2,FALSE)</f>
        <v>26</v>
      </c>
      <c r="V1899" t="str">
        <f t="shared" si="59"/>
        <v>Loyal</v>
      </c>
      <c r="W1899" t="s">
        <v>30</v>
      </c>
    </row>
    <row r="1900" spans="1:23" x14ac:dyDescent="0.25">
      <c r="A1900">
        <v>1899</v>
      </c>
      <c r="B1900">
        <v>59</v>
      </c>
      <c r="C1900" t="str" cm="1">
        <f t="array" ref="C1900">_xlfn.IFS(
  AND(B1900&gt;=18, B1900&lt;=24), "18-24",
  AND(B1900&gt;=25, B1900&lt;=34), "25-34",
  AND(B1900&gt;=35, B1900&lt;=44), "35-44",
  AND(B1900&gt;=45, B1900&lt;=54), "45-54",
  B1900&gt;=55, "55+"
)</f>
        <v>55+</v>
      </c>
      <c r="D1900" t="s">
        <v>19</v>
      </c>
      <c r="E1900" t="s">
        <v>95</v>
      </c>
      <c r="F1900" t="s">
        <v>21</v>
      </c>
      <c r="G1900">
        <v>97</v>
      </c>
      <c r="H1900" t="s">
        <v>105</v>
      </c>
      <c r="I1900" t="s">
        <v>23</v>
      </c>
      <c r="J1900" t="s">
        <v>147</v>
      </c>
      <c r="K1900" t="s">
        <v>58</v>
      </c>
      <c r="L1900">
        <v>3.5</v>
      </c>
      <c r="M1900" t="s">
        <v>152</v>
      </c>
      <c r="N1900" t="s">
        <v>46</v>
      </c>
      <c r="O1900" t="s">
        <v>47</v>
      </c>
      <c r="P1900" t="s">
        <v>152</v>
      </c>
      <c r="Q1900" t="s">
        <v>152</v>
      </c>
      <c r="R1900">
        <v>25</v>
      </c>
      <c r="S1900" t="s">
        <v>29</v>
      </c>
      <c r="T1900" t="str">
        <f t="shared" si="58"/>
        <v>Month</v>
      </c>
      <c r="U1900">
        <f>VLOOKUP(T1900,[1]tablescore!$B$3:$C$8, 2,FALSE)</f>
        <v>12</v>
      </c>
      <c r="V1900" t="str">
        <f t="shared" si="59"/>
        <v>Moderate</v>
      </c>
      <c r="W1900" t="s">
        <v>88</v>
      </c>
    </row>
    <row r="1901" spans="1:23" x14ac:dyDescent="0.25">
      <c r="A1901">
        <v>1900</v>
      </c>
      <c r="B1901">
        <v>32</v>
      </c>
      <c r="C1901" t="str" cm="1">
        <f t="array" ref="C1901">_xlfn.IFS(
  AND(B1901&gt;=18, B1901&lt;=24), "18-24",
  AND(B1901&gt;=25, B1901&lt;=34), "25-34",
  AND(B1901&gt;=35, B1901&lt;=44), "35-44",
  AND(B1901&gt;=45, B1901&lt;=54), "45-54",
  B1901&gt;=55, "55+"
)</f>
        <v>25-34</v>
      </c>
      <c r="D1901" t="s">
        <v>19</v>
      </c>
      <c r="E1901" t="s">
        <v>61</v>
      </c>
      <c r="F1901" t="s">
        <v>21</v>
      </c>
      <c r="G1901">
        <v>40</v>
      </c>
      <c r="H1901" t="s">
        <v>85</v>
      </c>
      <c r="I1901" t="s">
        <v>23</v>
      </c>
      <c r="J1901" t="s">
        <v>33</v>
      </c>
      <c r="K1901" t="s">
        <v>25</v>
      </c>
      <c r="L1901">
        <v>4.2</v>
      </c>
      <c r="M1901" t="s">
        <v>152</v>
      </c>
      <c r="N1901" t="s">
        <v>29</v>
      </c>
      <c r="O1901" t="s">
        <v>76</v>
      </c>
      <c r="P1901" t="s">
        <v>152</v>
      </c>
      <c r="Q1901" t="s">
        <v>152</v>
      </c>
      <c r="R1901">
        <v>42</v>
      </c>
      <c r="S1901" t="s">
        <v>46</v>
      </c>
      <c r="T1901" t="str">
        <f t="shared" si="58"/>
        <v>Daily</v>
      </c>
      <c r="U1901">
        <f>VLOOKUP(T1901,[1]tablescore!$B$3:$C$8, 2,FALSE)</f>
        <v>30</v>
      </c>
      <c r="V1901" t="str">
        <f t="shared" si="59"/>
        <v>Highly Loyal</v>
      </c>
      <c r="W1901" t="s">
        <v>41</v>
      </c>
    </row>
    <row r="1902" spans="1:23" x14ac:dyDescent="0.25">
      <c r="A1902">
        <v>1901</v>
      </c>
      <c r="B1902">
        <v>65</v>
      </c>
      <c r="C1902" t="str" cm="1">
        <f t="array" ref="C1902">_xlfn.IFS(
  AND(B1902&gt;=18, B1902&lt;=24), "18-24",
  AND(B1902&gt;=25, B1902&lt;=34), "25-34",
  AND(B1902&gt;=35, B1902&lt;=44), "35-44",
  AND(B1902&gt;=45, B1902&lt;=54), "45-54",
  B1902&gt;=55, "55+"
)</f>
        <v>55+</v>
      </c>
      <c r="D1902" t="s">
        <v>19</v>
      </c>
      <c r="E1902" t="s">
        <v>106</v>
      </c>
      <c r="F1902" t="s">
        <v>69</v>
      </c>
      <c r="G1902">
        <v>85</v>
      </c>
      <c r="H1902" t="s">
        <v>150</v>
      </c>
      <c r="I1902" t="s">
        <v>38</v>
      </c>
      <c r="J1902" t="s">
        <v>138</v>
      </c>
      <c r="K1902" t="s">
        <v>54</v>
      </c>
      <c r="L1902">
        <v>3.3</v>
      </c>
      <c r="M1902" t="s">
        <v>152</v>
      </c>
      <c r="N1902" t="s">
        <v>59</v>
      </c>
      <c r="O1902" t="s">
        <v>40</v>
      </c>
      <c r="P1902" t="s">
        <v>152</v>
      </c>
      <c r="Q1902" t="s">
        <v>152</v>
      </c>
      <c r="R1902">
        <v>34</v>
      </c>
      <c r="S1902" t="s">
        <v>35</v>
      </c>
      <c r="T1902" t="str">
        <f t="shared" si="58"/>
        <v>Quarterly</v>
      </c>
      <c r="U1902">
        <f>VLOOKUP(T1902,[1]tablescore!$B$3:$C$8, 2,FALSE)</f>
        <v>4</v>
      </c>
      <c r="V1902" t="str">
        <f t="shared" si="59"/>
        <v>Low Loyalty</v>
      </c>
      <c r="W1902" t="s">
        <v>60</v>
      </c>
    </row>
    <row r="1903" spans="1:23" x14ac:dyDescent="0.25">
      <c r="A1903">
        <v>1902</v>
      </c>
      <c r="B1903">
        <v>56</v>
      </c>
      <c r="C1903" t="str" cm="1">
        <f t="array" ref="C1903">_xlfn.IFS(
  AND(B1903&gt;=18, B1903&lt;=24), "18-24",
  AND(B1903&gt;=25, B1903&lt;=34), "25-34",
  AND(B1903&gt;=35, B1903&lt;=44), "35-44",
  AND(B1903&gt;=45, B1903&lt;=54), "45-54",
  B1903&gt;=55, "55+"
)</f>
        <v>55+</v>
      </c>
      <c r="D1903" t="s">
        <v>19</v>
      </c>
      <c r="E1903" t="s">
        <v>131</v>
      </c>
      <c r="F1903" t="s">
        <v>21</v>
      </c>
      <c r="G1903">
        <v>76</v>
      </c>
      <c r="H1903" t="s">
        <v>117</v>
      </c>
      <c r="I1903" t="s">
        <v>38</v>
      </c>
      <c r="J1903" t="s">
        <v>118</v>
      </c>
      <c r="K1903" t="s">
        <v>25</v>
      </c>
      <c r="L1903">
        <v>3.9</v>
      </c>
      <c r="M1903" t="s">
        <v>152</v>
      </c>
      <c r="N1903" t="s">
        <v>29</v>
      </c>
      <c r="O1903" t="s">
        <v>76</v>
      </c>
      <c r="P1903" t="s">
        <v>152</v>
      </c>
      <c r="Q1903" t="s">
        <v>152</v>
      </c>
      <c r="R1903">
        <v>50</v>
      </c>
      <c r="S1903" t="s">
        <v>35</v>
      </c>
      <c r="T1903" t="str">
        <f t="shared" si="58"/>
        <v>Quarterly</v>
      </c>
      <c r="U1903">
        <f>VLOOKUP(T1903,[1]tablescore!$B$3:$C$8, 2,FALSE)</f>
        <v>4</v>
      </c>
      <c r="V1903" t="str">
        <f t="shared" si="59"/>
        <v>Low Loyalty</v>
      </c>
      <c r="W1903" t="s">
        <v>60</v>
      </c>
    </row>
    <row r="1904" spans="1:23" x14ac:dyDescent="0.25">
      <c r="A1904">
        <v>1903</v>
      </c>
      <c r="B1904">
        <v>31</v>
      </c>
      <c r="C1904" t="str" cm="1">
        <f t="array" ref="C1904">_xlfn.IFS(
  AND(B1904&gt;=18, B1904&lt;=24), "18-24",
  AND(B1904&gt;=25, B1904&lt;=34), "25-34",
  AND(B1904&gt;=35, B1904&lt;=44), "35-44",
  AND(B1904&gt;=45, B1904&lt;=54), "45-54",
  B1904&gt;=55, "55+"
)</f>
        <v>25-34</v>
      </c>
      <c r="D1904" t="s">
        <v>19</v>
      </c>
      <c r="E1904" t="s">
        <v>42</v>
      </c>
      <c r="F1904" t="s">
        <v>43</v>
      </c>
      <c r="G1904">
        <v>22</v>
      </c>
      <c r="H1904" t="s">
        <v>123</v>
      </c>
      <c r="I1904" t="s">
        <v>38</v>
      </c>
      <c r="J1904" t="s">
        <v>79</v>
      </c>
      <c r="K1904" t="s">
        <v>39</v>
      </c>
      <c r="L1904">
        <v>5</v>
      </c>
      <c r="M1904" t="s">
        <v>152</v>
      </c>
      <c r="N1904" t="s">
        <v>34</v>
      </c>
      <c r="O1904" t="s">
        <v>76</v>
      </c>
      <c r="P1904" t="s">
        <v>152</v>
      </c>
      <c r="Q1904" t="s">
        <v>152</v>
      </c>
      <c r="R1904">
        <v>21</v>
      </c>
      <c r="S1904" t="s">
        <v>29</v>
      </c>
      <c r="T1904" t="str">
        <f t="shared" si="58"/>
        <v>Month</v>
      </c>
      <c r="U1904">
        <f>VLOOKUP(T1904,[1]tablescore!$B$3:$C$8, 2,FALSE)</f>
        <v>12</v>
      </c>
      <c r="V1904" t="str">
        <f t="shared" si="59"/>
        <v>Moderate</v>
      </c>
      <c r="W1904" t="s">
        <v>88</v>
      </c>
    </row>
    <row r="1905" spans="1:23" x14ac:dyDescent="0.25">
      <c r="A1905">
        <v>1904</v>
      </c>
      <c r="B1905">
        <v>59</v>
      </c>
      <c r="C1905" t="str" cm="1">
        <f t="array" ref="C1905">_xlfn.IFS(
  AND(B1905&gt;=18, B1905&lt;=24), "18-24",
  AND(B1905&gt;=25, B1905&lt;=34), "25-34",
  AND(B1905&gt;=35, B1905&lt;=44), "35-44",
  AND(B1905&gt;=45, B1905&lt;=54), "45-54",
  B1905&gt;=55, "55+"
)</f>
        <v>55+</v>
      </c>
      <c r="D1905" t="s">
        <v>19</v>
      </c>
      <c r="E1905" t="s">
        <v>95</v>
      </c>
      <c r="F1905" t="s">
        <v>21</v>
      </c>
      <c r="G1905">
        <v>63</v>
      </c>
      <c r="H1905" t="s">
        <v>98</v>
      </c>
      <c r="I1905" t="s">
        <v>45</v>
      </c>
      <c r="J1905" t="s">
        <v>81</v>
      </c>
      <c r="K1905" t="s">
        <v>54</v>
      </c>
      <c r="L1905">
        <v>3.3</v>
      </c>
      <c r="M1905" t="s">
        <v>152</v>
      </c>
      <c r="N1905" t="s">
        <v>34</v>
      </c>
      <c r="O1905" t="s">
        <v>55</v>
      </c>
      <c r="P1905" t="s">
        <v>152</v>
      </c>
      <c r="Q1905" t="s">
        <v>152</v>
      </c>
      <c r="R1905">
        <v>37</v>
      </c>
      <c r="S1905" t="s">
        <v>34</v>
      </c>
      <c r="T1905" t="str">
        <f t="shared" si="58"/>
        <v>Daily</v>
      </c>
      <c r="U1905">
        <f>VLOOKUP(T1905,[1]tablescore!$B$3:$C$8, 2,FALSE)</f>
        <v>30</v>
      </c>
      <c r="V1905" t="str">
        <f t="shared" si="59"/>
        <v>Highly Loyal</v>
      </c>
      <c r="W1905" t="s">
        <v>41</v>
      </c>
    </row>
    <row r="1906" spans="1:23" x14ac:dyDescent="0.25">
      <c r="A1906">
        <v>1905</v>
      </c>
      <c r="B1906">
        <v>22</v>
      </c>
      <c r="C1906" t="str" cm="1">
        <f t="array" ref="C1906">_xlfn.IFS(
  AND(B1906&gt;=18, B1906&lt;=24), "18-24",
  AND(B1906&gt;=25, B1906&lt;=34), "25-34",
  AND(B1906&gt;=35, B1906&lt;=44), "35-44",
  AND(B1906&gt;=45, B1906&lt;=54), "45-54",
  B1906&gt;=55, "55+"
)</f>
        <v>18-24</v>
      </c>
      <c r="D1906" t="s">
        <v>19</v>
      </c>
      <c r="E1906" t="s">
        <v>113</v>
      </c>
      <c r="F1906" t="s">
        <v>21</v>
      </c>
      <c r="G1906">
        <v>71</v>
      </c>
      <c r="H1906" t="s">
        <v>107</v>
      </c>
      <c r="I1906" t="s">
        <v>38</v>
      </c>
      <c r="J1906" t="s">
        <v>67</v>
      </c>
      <c r="K1906" t="s">
        <v>39</v>
      </c>
      <c r="L1906">
        <v>4.2</v>
      </c>
      <c r="M1906" t="s">
        <v>152</v>
      </c>
      <c r="N1906" t="s">
        <v>46</v>
      </c>
      <c r="O1906" t="s">
        <v>40</v>
      </c>
      <c r="P1906" t="s">
        <v>152</v>
      </c>
      <c r="Q1906" t="s">
        <v>152</v>
      </c>
      <c r="R1906">
        <v>46</v>
      </c>
      <c r="S1906" t="s">
        <v>35</v>
      </c>
      <c r="T1906" t="str">
        <f t="shared" si="58"/>
        <v>Month</v>
      </c>
      <c r="U1906">
        <f>VLOOKUP(T1906,[1]tablescore!$B$3:$C$8, 2,FALSE)</f>
        <v>12</v>
      </c>
      <c r="V1906" t="str">
        <f t="shared" si="59"/>
        <v>Moderate</v>
      </c>
      <c r="W1906" t="s">
        <v>88</v>
      </c>
    </row>
    <row r="1907" spans="1:23" x14ac:dyDescent="0.25">
      <c r="A1907">
        <v>1906</v>
      </c>
      <c r="B1907">
        <v>47</v>
      </c>
      <c r="C1907" t="str" cm="1">
        <f t="array" ref="C1907">_xlfn.IFS(
  AND(B1907&gt;=18, B1907&lt;=24), "18-24",
  AND(B1907&gt;=25, B1907&lt;=34), "25-34",
  AND(B1907&gt;=35, B1907&lt;=44), "35-44",
  AND(B1907&gt;=45, B1907&lt;=54), "45-54",
  B1907&gt;=55, "55+"
)</f>
        <v>45-54</v>
      </c>
      <c r="D1907" t="s">
        <v>19</v>
      </c>
      <c r="E1907" t="s">
        <v>132</v>
      </c>
      <c r="F1907" t="s">
        <v>43</v>
      </c>
      <c r="G1907">
        <v>35</v>
      </c>
      <c r="H1907" t="s">
        <v>144</v>
      </c>
      <c r="I1907" t="s">
        <v>45</v>
      </c>
      <c r="J1907" t="s">
        <v>86</v>
      </c>
      <c r="K1907" t="s">
        <v>54</v>
      </c>
      <c r="L1907">
        <v>4.9000000000000004</v>
      </c>
      <c r="M1907" t="s">
        <v>152</v>
      </c>
      <c r="N1907" t="s">
        <v>59</v>
      </c>
      <c r="O1907" t="s">
        <v>72</v>
      </c>
      <c r="P1907" t="s">
        <v>152</v>
      </c>
      <c r="Q1907" t="s">
        <v>152</v>
      </c>
      <c r="R1907">
        <v>14</v>
      </c>
      <c r="S1907" t="s">
        <v>34</v>
      </c>
      <c r="T1907" t="str">
        <f t="shared" si="58"/>
        <v>2-week</v>
      </c>
      <c r="U1907">
        <f>VLOOKUP(T1907,[1]tablescore!$B$3:$C$8, 2,FALSE)</f>
        <v>26</v>
      </c>
      <c r="V1907" t="str">
        <f t="shared" si="59"/>
        <v>Loyal</v>
      </c>
      <c r="W1907" t="s">
        <v>30</v>
      </c>
    </row>
    <row r="1908" spans="1:23" x14ac:dyDescent="0.25">
      <c r="A1908">
        <v>1907</v>
      </c>
      <c r="B1908">
        <v>23</v>
      </c>
      <c r="C1908" t="str" cm="1">
        <f t="array" ref="C1908">_xlfn.IFS(
  AND(B1908&gt;=18, B1908&lt;=24), "18-24",
  AND(B1908&gt;=25, B1908&lt;=34), "25-34",
  AND(B1908&gt;=35, B1908&lt;=44), "35-44",
  AND(B1908&gt;=45, B1908&lt;=54), "45-54",
  B1908&gt;=55, "55+"
)</f>
        <v>18-24</v>
      </c>
      <c r="D1908" t="s">
        <v>19</v>
      </c>
      <c r="E1908" t="s">
        <v>133</v>
      </c>
      <c r="F1908" t="s">
        <v>69</v>
      </c>
      <c r="G1908">
        <v>30</v>
      </c>
      <c r="H1908" t="s">
        <v>145</v>
      </c>
      <c r="I1908" t="s">
        <v>45</v>
      </c>
      <c r="J1908" t="s">
        <v>96</v>
      </c>
      <c r="K1908" t="s">
        <v>39</v>
      </c>
      <c r="L1908">
        <v>4.5999999999999996</v>
      </c>
      <c r="M1908" t="s">
        <v>152</v>
      </c>
      <c r="N1908" t="s">
        <v>34</v>
      </c>
      <c r="O1908" t="s">
        <v>72</v>
      </c>
      <c r="P1908" t="s">
        <v>152</v>
      </c>
      <c r="Q1908" t="s">
        <v>152</v>
      </c>
      <c r="R1908">
        <v>24</v>
      </c>
      <c r="S1908" t="s">
        <v>46</v>
      </c>
      <c r="T1908" t="str">
        <f t="shared" si="58"/>
        <v>2-week</v>
      </c>
      <c r="U1908">
        <f>VLOOKUP(T1908,[1]tablescore!$B$3:$C$8, 2,FALSE)</f>
        <v>26</v>
      </c>
      <c r="V1908" t="str">
        <f t="shared" si="59"/>
        <v>Loyal</v>
      </c>
      <c r="W1908" t="s">
        <v>30</v>
      </c>
    </row>
    <row r="1909" spans="1:23" x14ac:dyDescent="0.25">
      <c r="A1909">
        <v>1908</v>
      </c>
      <c r="B1909">
        <v>69</v>
      </c>
      <c r="C1909" t="str" cm="1">
        <f t="array" ref="C1909">_xlfn.IFS(
  AND(B1909&gt;=18, B1909&lt;=24), "18-24",
  AND(B1909&gt;=25, B1909&lt;=34), "25-34",
  AND(B1909&gt;=35, B1909&lt;=44), "35-44",
  AND(B1909&gt;=45, B1909&lt;=54), "45-54",
  B1909&gt;=55, "55+"
)</f>
        <v>55+</v>
      </c>
      <c r="D1909" t="s">
        <v>19</v>
      </c>
      <c r="E1909" t="s">
        <v>87</v>
      </c>
      <c r="F1909" t="s">
        <v>21</v>
      </c>
      <c r="G1909">
        <v>74</v>
      </c>
      <c r="H1909" t="s">
        <v>123</v>
      </c>
      <c r="I1909" t="s">
        <v>23</v>
      </c>
      <c r="J1909" t="s">
        <v>121</v>
      </c>
      <c r="K1909" t="s">
        <v>58</v>
      </c>
      <c r="L1909">
        <v>4.8</v>
      </c>
      <c r="M1909" t="s">
        <v>152</v>
      </c>
      <c r="N1909" t="s">
        <v>35</v>
      </c>
      <c r="O1909" t="s">
        <v>76</v>
      </c>
      <c r="P1909" t="s">
        <v>152</v>
      </c>
      <c r="Q1909" t="s">
        <v>152</v>
      </c>
      <c r="R1909">
        <v>36</v>
      </c>
      <c r="S1909" t="s">
        <v>27</v>
      </c>
      <c r="T1909" t="str">
        <f t="shared" si="58"/>
        <v>Quarterly</v>
      </c>
      <c r="U1909">
        <f>VLOOKUP(T1909,[1]tablescore!$B$3:$C$8, 2,FALSE)</f>
        <v>4</v>
      </c>
      <c r="V1909" t="str">
        <f t="shared" si="59"/>
        <v>Low Loyalty</v>
      </c>
      <c r="W1909" t="s">
        <v>97</v>
      </c>
    </row>
    <row r="1910" spans="1:23" x14ac:dyDescent="0.25">
      <c r="A1910">
        <v>1909</v>
      </c>
      <c r="B1910">
        <v>18</v>
      </c>
      <c r="C1910" t="str" cm="1">
        <f t="array" ref="C1910">_xlfn.IFS(
  AND(B1910&gt;=18, B1910&lt;=24), "18-24",
  AND(B1910&gt;=25, B1910&lt;=34), "25-34",
  AND(B1910&gt;=35, B1910&lt;=44), "35-44",
  AND(B1910&gt;=45, B1910&lt;=54), "45-54",
  B1910&gt;=55, "55+"
)</f>
        <v>18-24</v>
      </c>
      <c r="D1910" t="s">
        <v>19</v>
      </c>
      <c r="E1910" t="s">
        <v>119</v>
      </c>
      <c r="F1910" t="s">
        <v>69</v>
      </c>
      <c r="G1910">
        <v>71</v>
      </c>
      <c r="H1910" t="s">
        <v>142</v>
      </c>
      <c r="I1910" t="s">
        <v>92</v>
      </c>
      <c r="J1910" t="s">
        <v>63</v>
      </c>
      <c r="K1910" t="s">
        <v>25</v>
      </c>
      <c r="L1910">
        <v>2.7</v>
      </c>
      <c r="M1910" t="s">
        <v>152</v>
      </c>
      <c r="N1910" t="s">
        <v>27</v>
      </c>
      <c r="O1910" t="s">
        <v>47</v>
      </c>
      <c r="P1910" t="s">
        <v>152</v>
      </c>
      <c r="Q1910" t="s">
        <v>152</v>
      </c>
      <c r="R1910">
        <v>19</v>
      </c>
      <c r="S1910" t="s">
        <v>59</v>
      </c>
      <c r="T1910" t="str">
        <f t="shared" si="58"/>
        <v>2-week</v>
      </c>
      <c r="U1910">
        <f>VLOOKUP(T1910,[1]tablescore!$B$3:$C$8, 2,FALSE)</f>
        <v>26</v>
      </c>
      <c r="V1910" t="str">
        <f t="shared" si="59"/>
        <v>Loyal</v>
      </c>
      <c r="W1910" t="s">
        <v>77</v>
      </c>
    </row>
    <row r="1911" spans="1:23" x14ac:dyDescent="0.25">
      <c r="A1911">
        <v>1910</v>
      </c>
      <c r="B1911">
        <v>50</v>
      </c>
      <c r="C1911" t="str" cm="1">
        <f t="array" ref="C1911">_xlfn.IFS(
  AND(B1911&gt;=18, B1911&lt;=24), "18-24",
  AND(B1911&gt;=25, B1911&lt;=34), "25-34",
  AND(B1911&gt;=35, B1911&lt;=44), "35-44",
  AND(B1911&gt;=45, B1911&lt;=54), "45-54",
  B1911&gt;=55, "55+"
)</f>
        <v>45-54</v>
      </c>
      <c r="D1911" t="s">
        <v>19</v>
      </c>
      <c r="E1911" t="s">
        <v>31</v>
      </c>
      <c r="F1911" t="s">
        <v>21</v>
      </c>
      <c r="G1911">
        <v>84</v>
      </c>
      <c r="H1911" t="s">
        <v>22</v>
      </c>
      <c r="I1911" t="s">
        <v>38</v>
      </c>
      <c r="J1911" t="s">
        <v>94</v>
      </c>
      <c r="K1911" t="s">
        <v>39</v>
      </c>
      <c r="L1911">
        <v>4.3</v>
      </c>
      <c r="M1911" t="s">
        <v>152</v>
      </c>
      <c r="N1911" t="s">
        <v>46</v>
      </c>
      <c r="O1911" t="s">
        <v>76</v>
      </c>
      <c r="P1911" t="s">
        <v>152</v>
      </c>
      <c r="Q1911" t="s">
        <v>152</v>
      </c>
      <c r="R1911">
        <v>12</v>
      </c>
      <c r="S1911" t="s">
        <v>27</v>
      </c>
      <c r="T1911" t="str">
        <f t="shared" si="58"/>
        <v>Month</v>
      </c>
      <c r="U1911">
        <f>VLOOKUP(T1911,[1]tablescore!$B$3:$C$8, 2,FALSE)</f>
        <v>12</v>
      </c>
      <c r="V1911" t="str">
        <f t="shared" si="59"/>
        <v>Moderate</v>
      </c>
      <c r="W1911" t="s">
        <v>88</v>
      </c>
    </row>
    <row r="1912" spans="1:23" x14ac:dyDescent="0.25">
      <c r="A1912">
        <v>1911</v>
      </c>
      <c r="B1912">
        <v>29</v>
      </c>
      <c r="C1912" t="str" cm="1">
        <f t="array" ref="C1912">_xlfn.IFS(
  AND(B1912&gt;=18, B1912&lt;=24), "18-24",
  AND(B1912&gt;=25, B1912&lt;=34), "25-34",
  AND(B1912&gt;=35, B1912&lt;=44), "35-44",
  AND(B1912&gt;=45, B1912&lt;=54), "45-54",
  B1912&gt;=55, "55+"
)</f>
        <v>25-34</v>
      </c>
      <c r="D1912" t="s">
        <v>19</v>
      </c>
      <c r="E1912" t="s">
        <v>42</v>
      </c>
      <c r="F1912" t="s">
        <v>43</v>
      </c>
      <c r="G1912">
        <v>38</v>
      </c>
      <c r="H1912" t="s">
        <v>85</v>
      </c>
      <c r="I1912" t="s">
        <v>38</v>
      </c>
      <c r="J1912" t="s">
        <v>139</v>
      </c>
      <c r="K1912" t="s">
        <v>58</v>
      </c>
      <c r="L1912">
        <v>3.8</v>
      </c>
      <c r="M1912" t="s">
        <v>152</v>
      </c>
      <c r="N1912" t="s">
        <v>29</v>
      </c>
      <c r="O1912" t="s">
        <v>28</v>
      </c>
      <c r="P1912" t="s">
        <v>152</v>
      </c>
      <c r="Q1912" t="s">
        <v>152</v>
      </c>
      <c r="R1912">
        <v>13</v>
      </c>
      <c r="S1912" t="s">
        <v>59</v>
      </c>
      <c r="T1912" t="str">
        <f t="shared" si="58"/>
        <v>Quarterly</v>
      </c>
      <c r="U1912">
        <f>VLOOKUP(T1912,[1]tablescore!$B$3:$C$8, 2,FALSE)</f>
        <v>4</v>
      </c>
      <c r="V1912" t="str">
        <f t="shared" si="59"/>
        <v>Low Loyalty</v>
      </c>
      <c r="W1912" t="s">
        <v>60</v>
      </c>
    </row>
    <row r="1913" spans="1:23" x14ac:dyDescent="0.25">
      <c r="A1913">
        <v>1912</v>
      </c>
      <c r="B1913">
        <v>65</v>
      </c>
      <c r="C1913" t="str" cm="1">
        <f t="array" ref="C1913">_xlfn.IFS(
  AND(B1913&gt;=18, B1913&lt;=24), "18-24",
  AND(B1913&gt;=25, B1913&lt;=34), "25-34",
  AND(B1913&gt;=35, B1913&lt;=44), "35-44",
  AND(B1913&gt;=45, B1913&lt;=54), "45-54",
  B1913&gt;=55, "55+"
)</f>
        <v>55+</v>
      </c>
      <c r="D1913" t="s">
        <v>19</v>
      </c>
      <c r="E1913" t="s">
        <v>106</v>
      </c>
      <c r="F1913" t="s">
        <v>69</v>
      </c>
      <c r="G1913">
        <v>81</v>
      </c>
      <c r="H1913" t="s">
        <v>117</v>
      </c>
      <c r="I1913" t="s">
        <v>45</v>
      </c>
      <c r="J1913" t="s">
        <v>24</v>
      </c>
      <c r="K1913" t="s">
        <v>39</v>
      </c>
      <c r="L1913">
        <v>4.9000000000000004</v>
      </c>
      <c r="M1913" t="s">
        <v>152</v>
      </c>
      <c r="N1913" t="s">
        <v>27</v>
      </c>
      <c r="O1913" t="s">
        <v>28</v>
      </c>
      <c r="P1913" t="s">
        <v>152</v>
      </c>
      <c r="Q1913" t="s">
        <v>152</v>
      </c>
      <c r="R1913">
        <v>32</v>
      </c>
      <c r="S1913" t="s">
        <v>59</v>
      </c>
      <c r="T1913" t="str">
        <f t="shared" si="58"/>
        <v>2-week</v>
      </c>
      <c r="U1913">
        <f>VLOOKUP(T1913,[1]tablescore!$B$3:$C$8, 2,FALSE)</f>
        <v>26</v>
      </c>
      <c r="V1913" t="str">
        <f t="shared" si="59"/>
        <v>Loyal</v>
      </c>
      <c r="W1913" t="s">
        <v>77</v>
      </c>
    </row>
    <row r="1914" spans="1:23" x14ac:dyDescent="0.25">
      <c r="A1914">
        <v>1913</v>
      </c>
      <c r="B1914">
        <v>29</v>
      </c>
      <c r="C1914" t="str" cm="1">
        <f t="array" ref="C1914">_xlfn.IFS(
  AND(B1914&gt;=18, B1914&lt;=24), "18-24",
  AND(B1914&gt;=25, B1914&lt;=34), "25-34",
  AND(B1914&gt;=35, B1914&lt;=44), "35-44",
  AND(B1914&gt;=45, B1914&lt;=54), "45-54",
  B1914&gt;=55, "55+"
)</f>
        <v>25-34</v>
      </c>
      <c r="D1914" t="s">
        <v>19</v>
      </c>
      <c r="E1914" t="s">
        <v>31</v>
      </c>
      <c r="F1914" t="s">
        <v>21</v>
      </c>
      <c r="G1914">
        <v>56</v>
      </c>
      <c r="H1914" t="s">
        <v>112</v>
      </c>
      <c r="I1914" t="s">
        <v>38</v>
      </c>
      <c r="J1914" t="s">
        <v>63</v>
      </c>
      <c r="K1914" t="s">
        <v>25</v>
      </c>
      <c r="L1914">
        <v>3.4</v>
      </c>
      <c r="M1914" t="s">
        <v>152</v>
      </c>
      <c r="N1914" t="s">
        <v>35</v>
      </c>
      <c r="O1914" t="s">
        <v>72</v>
      </c>
      <c r="P1914" t="s">
        <v>152</v>
      </c>
      <c r="Q1914" t="s">
        <v>152</v>
      </c>
      <c r="R1914">
        <v>5</v>
      </c>
      <c r="S1914" t="s">
        <v>27</v>
      </c>
      <c r="T1914" t="str">
        <f t="shared" si="58"/>
        <v>2-week</v>
      </c>
      <c r="U1914">
        <f>VLOOKUP(T1914,[1]tablescore!$B$3:$C$8, 2,FALSE)</f>
        <v>26</v>
      </c>
      <c r="V1914" t="str">
        <f t="shared" si="59"/>
        <v>Loyal</v>
      </c>
      <c r="W1914" t="s">
        <v>77</v>
      </c>
    </row>
    <row r="1915" spans="1:23" x14ac:dyDescent="0.25">
      <c r="A1915">
        <v>1914</v>
      </c>
      <c r="B1915">
        <v>49</v>
      </c>
      <c r="C1915" t="str" cm="1">
        <f t="array" ref="C1915">_xlfn.IFS(
  AND(B1915&gt;=18, B1915&lt;=24), "18-24",
  AND(B1915&gt;=25, B1915&lt;=34), "25-34",
  AND(B1915&gt;=35, B1915&lt;=44), "35-44",
  AND(B1915&gt;=45, B1915&lt;=54), "45-54",
  B1915&gt;=55, "55+"
)</f>
        <v>45-54</v>
      </c>
      <c r="D1915" t="s">
        <v>19</v>
      </c>
      <c r="E1915" t="s">
        <v>87</v>
      </c>
      <c r="F1915" t="s">
        <v>21</v>
      </c>
      <c r="G1915">
        <v>48</v>
      </c>
      <c r="H1915" t="s">
        <v>22</v>
      </c>
      <c r="I1915" t="s">
        <v>45</v>
      </c>
      <c r="J1915" t="s">
        <v>100</v>
      </c>
      <c r="K1915" t="s">
        <v>25</v>
      </c>
      <c r="L1915">
        <v>3.6</v>
      </c>
      <c r="M1915" t="s">
        <v>152</v>
      </c>
      <c r="N1915" t="s">
        <v>29</v>
      </c>
      <c r="O1915" t="s">
        <v>28</v>
      </c>
      <c r="P1915" t="s">
        <v>152</v>
      </c>
      <c r="Q1915" t="s">
        <v>152</v>
      </c>
      <c r="R1915">
        <v>29</v>
      </c>
      <c r="S1915" t="s">
        <v>35</v>
      </c>
      <c r="T1915" t="str">
        <f t="shared" si="58"/>
        <v>Annually</v>
      </c>
      <c r="U1915">
        <f>VLOOKUP(T1915,[1]tablescore!$B$3:$C$8, 2,FALSE)</f>
        <v>1</v>
      </c>
      <c r="V1915" t="str">
        <f t="shared" si="59"/>
        <v>Low Loyalty</v>
      </c>
      <c r="W1915" t="s">
        <v>50</v>
      </c>
    </row>
    <row r="1916" spans="1:23" x14ac:dyDescent="0.25">
      <c r="A1916">
        <v>1915</v>
      </c>
      <c r="B1916">
        <v>28</v>
      </c>
      <c r="C1916" t="str" cm="1">
        <f t="array" ref="C1916">_xlfn.IFS(
  AND(B1916&gt;=18, B1916&lt;=24), "18-24",
  AND(B1916&gt;=25, B1916&lt;=34), "25-34",
  AND(B1916&gt;=35, B1916&lt;=44), "35-44",
  AND(B1916&gt;=45, B1916&lt;=54), "45-54",
  B1916&gt;=55, "55+"
)</f>
        <v>25-34</v>
      </c>
      <c r="D1916" t="s">
        <v>19</v>
      </c>
      <c r="E1916" t="s">
        <v>61</v>
      </c>
      <c r="F1916" t="s">
        <v>21</v>
      </c>
      <c r="G1916">
        <v>97</v>
      </c>
      <c r="H1916" t="s">
        <v>120</v>
      </c>
      <c r="I1916" t="s">
        <v>23</v>
      </c>
      <c r="J1916" t="s">
        <v>96</v>
      </c>
      <c r="K1916" t="s">
        <v>58</v>
      </c>
      <c r="L1916">
        <v>3.4</v>
      </c>
      <c r="M1916" t="s">
        <v>152</v>
      </c>
      <c r="N1916" t="s">
        <v>29</v>
      </c>
      <c r="O1916" t="s">
        <v>55</v>
      </c>
      <c r="P1916" t="s">
        <v>152</v>
      </c>
      <c r="Q1916" t="s">
        <v>152</v>
      </c>
      <c r="R1916">
        <v>40</v>
      </c>
      <c r="S1916" t="s">
        <v>27</v>
      </c>
      <c r="T1916" t="str">
        <f t="shared" si="58"/>
        <v>2-week</v>
      </c>
      <c r="U1916">
        <f>VLOOKUP(T1916,[1]tablescore!$B$3:$C$8, 2,FALSE)</f>
        <v>26</v>
      </c>
      <c r="V1916" t="str">
        <f t="shared" si="59"/>
        <v>Loyal</v>
      </c>
      <c r="W1916" t="s">
        <v>30</v>
      </c>
    </row>
    <row r="1917" spans="1:23" x14ac:dyDescent="0.25">
      <c r="A1917">
        <v>1916</v>
      </c>
      <c r="B1917">
        <v>51</v>
      </c>
      <c r="C1917" t="str" cm="1">
        <f t="array" ref="C1917">_xlfn.IFS(
  AND(B1917&gt;=18, B1917&lt;=24), "18-24",
  AND(B1917&gt;=25, B1917&lt;=34), "25-34",
  AND(B1917&gt;=35, B1917&lt;=44), "35-44",
  AND(B1917&gt;=45, B1917&lt;=54), "45-54",
  B1917&gt;=55, "55+"
)</f>
        <v>45-54</v>
      </c>
      <c r="D1917" t="s">
        <v>19</v>
      </c>
      <c r="E1917" t="s">
        <v>133</v>
      </c>
      <c r="F1917" t="s">
        <v>69</v>
      </c>
      <c r="G1917">
        <v>74</v>
      </c>
      <c r="H1917" t="s">
        <v>90</v>
      </c>
      <c r="I1917" t="s">
        <v>45</v>
      </c>
      <c r="J1917" t="s">
        <v>147</v>
      </c>
      <c r="K1917" t="s">
        <v>58</v>
      </c>
      <c r="L1917">
        <v>4.7</v>
      </c>
      <c r="M1917" t="s">
        <v>152</v>
      </c>
      <c r="N1917" t="s">
        <v>46</v>
      </c>
      <c r="O1917" t="s">
        <v>72</v>
      </c>
      <c r="P1917" t="s">
        <v>152</v>
      </c>
      <c r="Q1917" t="s">
        <v>152</v>
      </c>
      <c r="R1917">
        <v>44</v>
      </c>
      <c r="S1917" t="s">
        <v>35</v>
      </c>
      <c r="T1917" t="str">
        <f t="shared" si="58"/>
        <v>Daily</v>
      </c>
      <c r="U1917">
        <f>VLOOKUP(T1917,[1]tablescore!$B$3:$C$8, 2,FALSE)</f>
        <v>30</v>
      </c>
      <c r="V1917" t="str">
        <f t="shared" si="59"/>
        <v>Highly Loyal</v>
      </c>
      <c r="W1917" t="s">
        <v>41</v>
      </c>
    </row>
    <row r="1918" spans="1:23" x14ac:dyDescent="0.25">
      <c r="A1918">
        <v>1917</v>
      </c>
      <c r="B1918">
        <v>26</v>
      </c>
      <c r="C1918" t="str" cm="1">
        <f t="array" ref="C1918">_xlfn.IFS(
  AND(B1918&gt;=18, B1918&lt;=24), "18-24",
  AND(B1918&gt;=25, B1918&lt;=34), "25-34",
  AND(B1918&gt;=35, B1918&lt;=44), "35-44",
  AND(B1918&gt;=45, B1918&lt;=54), "45-54",
  B1918&gt;=55, "55+"
)</f>
        <v>25-34</v>
      </c>
      <c r="D1918" t="s">
        <v>19</v>
      </c>
      <c r="E1918" t="s">
        <v>104</v>
      </c>
      <c r="F1918" t="s">
        <v>21</v>
      </c>
      <c r="G1918">
        <v>50</v>
      </c>
      <c r="H1918" t="s">
        <v>146</v>
      </c>
      <c r="I1918" t="s">
        <v>38</v>
      </c>
      <c r="J1918" t="s">
        <v>118</v>
      </c>
      <c r="K1918" t="s">
        <v>25</v>
      </c>
      <c r="L1918">
        <v>3</v>
      </c>
      <c r="M1918" t="s">
        <v>152</v>
      </c>
      <c r="N1918" t="s">
        <v>46</v>
      </c>
      <c r="O1918" t="s">
        <v>47</v>
      </c>
      <c r="P1918" t="s">
        <v>152</v>
      </c>
      <c r="Q1918" t="s">
        <v>152</v>
      </c>
      <c r="R1918">
        <v>3</v>
      </c>
      <c r="S1918" t="s">
        <v>59</v>
      </c>
      <c r="T1918" t="str">
        <f t="shared" si="58"/>
        <v>2-week</v>
      </c>
      <c r="U1918">
        <f>VLOOKUP(T1918,[1]tablescore!$B$3:$C$8, 2,FALSE)</f>
        <v>26</v>
      </c>
      <c r="V1918" t="str">
        <f t="shared" si="59"/>
        <v>Loyal</v>
      </c>
      <c r="W1918" t="s">
        <v>77</v>
      </c>
    </row>
    <row r="1919" spans="1:23" x14ac:dyDescent="0.25">
      <c r="A1919">
        <v>1918</v>
      </c>
      <c r="B1919">
        <v>38</v>
      </c>
      <c r="C1919" t="str" cm="1">
        <f t="array" ref="C1919">_xlfn.IFS(
  AND(B1919&gt;=18, B1919&lt;=24), "18-24",
  AND(B1919&gt;=25, B1919&lt;=34), "25-34",
  AND(B1919&gt;=35, B1919&lt;=44), "35-44",
  AND(B1919&gt;=45, B1919&lt;=54), "45-54",
  B1919&gt;=55, "55+"
)</f>
        <v>35-44</v>
      </c>
      <c r="D1919" t="s">
        <v>19</v>
      </c>
      <c r="E1919" t="s">
        <v>87</v>
      </c>
      <c r="F1919" t="s">
        <v>21</v>
      </c>
      <c r="G1919">
        <v>71</v>
      </c>
      <c r="H1919" t="s">
        <v>78</v>
      </c>
      <c r="I1919" t="s">
        <v>23</v>
      </c>
      <c r="J1919" t="s">
        <v>94</v>
      </c>
      <c r="K1919" t="s">
        <v>25</v>
      </c>
      <c r="L1919">
        <v>3.4</v>
      </c>
      <c r="M1919" t="s">
        <v>152</v>
      </c>
      <c r="N1919" t="s">
        <v>29</v>
      </c>
      <c r="O1919" t="s">
        <v>40</v>
      </c>
      <c r="P1919" t="s">
        <v>152</v>
      </c>
      <c r="Q1919" t="s">
        <v>152</v>
      </c>
      <c r="R1919">
        <v>35</v>
      </c>
      <c r="S1919" t="s">
        <v>46</v>
      </c>
      <c r="T1919" t="str">
        <f t="shared" si="58"/>
        <v>2-week</v>
      </c>
      <c r="U1919">
        <f>VLOOKUP(T1919,[1]tablescore!$B$3:$C$8, 2,FALSE)</f>
        <v>26</v>
      </c>
      <c r="V1919" t="str">
        <f t="shared" si="59"/>
        <v>Loyal</v>
      </c>
      <c r="W1919" t="s">
        <v>77</v>
      </c>
    </row>
    <row r="1920" spans="1:23" x14ac:dyDescent="0.25">
      <c r="A1920">
        <v>1919</v>
      </c>
      <c r="B1920">
        <v>35</v>
      </c>
      <c r="C1920" t="str" cm="1">
        <f t="array" ref="C1920">_xlfn.IFS(
  AND(B1920&gt;=18, B1920&lt;=24), "18-24",
  AND(B1920&gt;=25, B1920&lt;=34), "25-34",
  AND(B1920&gt;=35, B1920&lt;=44), "35-44",
  AND(B1920&gt;=45, B1920&lt;=54), "45-54",
  B1920&gt;=55, "55+"
)</f>
        <v>35-44</v>
      </c>
      <c r="D1920" t="s">
        <v>19</v>
      </c>
      <c r="E1920" t="s">
        <v>87</v>
      </c>
      <c r="F1920" t="s">
        <v>21</v>
      </c>
      <c r="G1920">
        <v>33</v>
      </c>
      <c r="H1920" t="s">
        <v>144</v>
      </c>
      <c r="I1920" t="s">
        <v>38</v>
      </c>
      <c r="J1920" t="s">
        <v>75</v>
      </c>
      <c r="K1920" t="s">
        <v>54</v>
      </c>
      <c r="L1920">
        <v>4.5999999999999996</v>
      </c>
      <c r="M1920" t="s">
        <v>152</v>
      </c>
      <c r="N1920" t="s">
        <v>46</v>
      </c>
      <c r="O1920" t="s">
        <v>55</v>
      </c>
      <c r="P1920" t="s">
        <v>152</v>
      </c>
      <c r="Q1920" t="s">
        <v>152</v>
      </c>
      <c r="R1920">
        <v>33</v>
      </c>
      <c r="S1920" t="s">
        <v>59</v>
      </c>
      <c r="T1920" t="str">
        <f t="shared" si="58"/>
        <v>Month</v>
      </c>
      <c r="U1920">
        <f>VLOOKUP(T1920,[1]tablescore!$B$3:$C$8, 2,FALSE)</f>
        <v>12</v>
      </c>
      <c r="V1920" t="str">
        <f t="shared" si="59"/>
        <v>Moderate</v>
      </c>
      <c r="W1920" t="s">
        <v>88</v>
      </c>
    </row>
    <row r="1921" spans="1:23" x14ac:dyDescent="0.25">
      <c r="A1921">
        <v>1920</v>
      </c>
      <c r="B1921">
        <v>34</v>
      </c>
      <c r="C1921" t="str" cm="1">
        <f t="array" ref="C1921">_xlfn.IFS(
  AND(B1921&gt;=18, B1921&lt;=24), "18-24",
  AND(B1921&gt;=25, B1921&lt;=34), "25-34",
  AND(B1921&gt;=35, B1921&lt;=44), "35-44",
  AND(B1921&gt;=45, B1921&lt;=54), "45-54",
  B1921&gt;=55, "55+"
)</f>
        <v>25-34</v>
      </c>
      <c r="D1921" t="s">
        <v>19</v>
      </c>
      <c r="E1921" t="s">
        <v>133</v>
      </c>
      <c r="F1921" t="s">
        <v>69</v>
      </c>
      <c r="G1921">
        <v>56</v>
      </c>
      <c r="H1921" t="s">
        <v>128</v>
      </c>
      <c r="I1921" t="s">
        <v>45</v>
      </c>
      <c r="J1921" t="s">
        <v>79</v>
      </c>
      <c r="K1921" t="s">
        <v>54</v>
      </c>
      <c r="L1921">
        <v>3.1</v>
      </c>
      <c r="M1921" t="s">
        <v>152</v>
      </c>
      <c r="N1921" t="s">
        <v>27</v>
      </c>
      <c r="O1921" t="s">
        <v>28</v>
      </c>
      <c r="P1921" t="s">
        <v>152</v>
      </c>
      <c r="Q1921" t="s">
        <v>152</v>
      </c>
      <c r="R1921">
        <v>20</v>
      </c>
      <c r="S1921" t="s">
        <v>46</v>
      </c>
      <c r="T1921" t="str">
        <f t="shared" si="58"/>
        <v>2-week</v>
      </c>
      <c r="U1921">
        <f>VLOOKUP(T1921,[1]tablescore!$B$3:$C$8, 2,FALSE)</f>
        <v>26</v>
      </c>
      <c r="V1921" t="str">
        <f t="shared" si="59"/>
        <v>Loyal</v>
      </c>
      <c r="W1921" t="s">
        <v>77</v>
      </c>
    </row>
    <row r="1922" spans="1:23" x14ac:dyDescent="0.25">
      <c r="A1922">
        <v>1921</v>
      </c>
      <c r="B1922">
        <v>51</v>
      </c>
      <c r="C1922" t="str" cm="1">
        <f t="array" ref="C1922">_xlfn.IFS(
  AND(B1922&gt;=18, B1922&lt;=24), "18-24",
  AND(B1922&gt;=25, B1922&lt;=34), "25-34",
  AND(B1922&gt;=35, B1922&lt;=44), "35-44",
  AND(B1922&gt;=45, B1922&lt;=54), "45-54",
  B1922&gt;=55, "55+"
)</f>
        <v>45-54</v>
      </c>
      <c r="D1922" t="s">
        <v>19</v>
      </c>
      <c r="E1922" t="s">
        <v>20</v>
      </c>
      <c r="F1922" t="s">
        <v>21</v>
      </c>
      <c r="G1922">
        <v>84</v>
      </c>
      <c r="H1922" t="s">
        <v>146</v>
      </c>
      <c r="I1922" t="s">
        <v>45</v>
      </c>
      <c r="J1922" t="s">
        <v>75</v>
      </c>
      <c r="K1922" t="s">
        <v>39</v>
      </c>
      <c r="L1922">
        <v>2.8</v>
      </c>
      <c r="M1922" t="s">
        <v>152</v>
      </c>
      <c r="N1922" t="s">
        <v>34</v>
      </c>
      <c r="O1922" t="s">
        <v>55</v>
      </c>
      <c r="P1922" t="s">
        <v>152</v>
      </c>
      <c r="Q1922" t="s">
        <v>152</v>
      </c>
      <c r="R1922">
        <v>40</v>
      </c>
      <c r="S1922" t="s">
        <v>35</v>
      </c>
      <c r="T1922" t="str">
        <f t="shared" si="58"/>
        <v>Quarterly</v>
      </c>
      <c r="U1922">
        <f>VLOOKUP(T1922,[1]tablescore!$B$3:$C$8, 2,FALSE)</f>
        <v>4</v>
      </c>
      <c r="V1922" t="str">
        <f t="shared" si="59"/>
        <v>Low Loyalty</v>
      </c>
      <c r="W1922" t="s">
        <v>97</v>
      </c>
    </row>
    <row r="1923" spans="1:23" x14ac:dyDescent="0.25">
      <c r="A1923">
        <v>1922</v>
      </c>
      <c r="B1923">
        <v>47</v>
      </c>
      <c r="C1923" t="str" cm="1">
        <f t="array" ref="C1923">_xlfn.IFS(
  AND(B1923&gt;=18, B1923&lt;=24), "18-24",
  AND(B1923&gt;=25, B1923&lt;=34), "25-34",
  AND(B1923&gt;=35, B1923&lt;=44), "35-44",
  AND(B1923&gt;=45, B1923&lt;=54), "45-54",
  B1923&gt;=55, "55+"
)</f>
        <v>45-54</v>
      </c>
      <c r="D1923" t="s">
        <v>19</v>
      </c>
      <c r="E1923" t="s">
        <v>56</v>
      </c>
      <c r="F1923" t="s">
        <v>21</v>
      </c>
      <c r="G1923">
        <v>36</v>
      </c>
      <c r="H1923" t="s">
        <v>151</v>
      </c>
      <c r="I1923" t="s">
        <v>45</v>
      </c>
      <c r="J1923" t="s">
        <v>96</v>
      </c>
      <c r="K1923" t="s">
        <v>58</v>
      </c>
      <c r="L1923">
        <v>3.5</v>
      </c>
      <c r="M1923" t="s">
        <v>152</v>
      </c>
      <c r="N1923" t="s">
        <v>35</v>
      </c>
      <c r="O1923" t="s">
        <v>76</v>
      </c>
      <c r="P1923" t="s">
        <v>152</v>
      </c>
      <c r="Q1923" t="s">
        <v>152</v>
      </c>
      <c r="R1923">
        <v>13</v>
      </c>
      <c r="S1923" t="s">
        <v>29</v>
      </c>
      <c r="T1923" t="str">
        <f t="shared" ref="T1923:T1986" si="60">IF(TRIM(W1923)="Every 3 months","Quarterly",IF(TRIM(W1923)="Fortnightly","2-week",IF(TRIM(W1923)="Bi-Weekly","2-week",IF(TRIM(W1923)="Weekly","Daily",IF(TRIM(W1923)="Monthly","Month",TRIM(W1923))))))</f>
        <v>Annually</v>
      </c>
      <c r="U1923">
        <f>VLOOKUP(T1923,[1]tablescore!$B$3:$C$8, 2,FALSE)</f>
        <v>1</v>
      </c>
      <c r="V1923" t="str">
        <f t="shared" ref="V1923:V1986" si="61">_xlfn.IFS(U1923&gt;=30, "Highly Loyal", U1923&gt;=26, "Loyal", U1923&gt;=12, "Moderate", U1923&lt;5, "Low Loyalty")</f>
        <v>Low Loyalty</v>
      </c>
      <c r="W1923" t="s">
        <v>50</v>
      </c>
    </row>
    <row r="1924" spans="1:23" x14ac:dyDescent="0.25">
      <c r="A1924">
        <v>1923</v>
      </c>
      <c r="B1924">
        <v>18</v>
      </c>
      <c r="C1924" t="str" cm="1">
        <f t="array" ref="C1924">_xlfn.IFS(
  AND(B1924&gt;=18, B1924&lt;=24), "18-24",
  AND(B1924&gt;=25, B1924&lt;=34), "25-34",
  AND(B1924&gt;=35, B1924&lt;=44), "35-44",
  AND(B1924&gt;=45, B1924&lt;=54), "45-54",
  B1924&gt;=55, "55+"
)</f>
        <v>18-24</v>
      </c>
      <c r="D1924" t="s">
        <v>19</v>
      </c>
      <c r="E1924" t="s">
        <v>127</v>
      </c>
      <c r="F1924" t="s">
        <v>69</v>
      </c>
      <c r="G1924">
        <v>63</v>
      </c>
      <c r="H1924" t="s">
        <v>22</v>
      </c>
      <c r="I1924" t="s">
        <v>38</v>
      </c>
      <c r="J1924" t="s">
        <v>100</v>
      </c>
      <c r="K1924" t="s">
        <v>54</v>
      </c>
      <c r="L1924">
        <v>4.5999999999999996</v>
      </c>
      <c r="M1924" t="s">
        <v>152</v>
      </c>
      <c r="N1924" t="s">
        <v>46</v>
      </c>
      <c r="O1924" t="s">
        <v>55</v>
      </c>
      <c r="P1924" t="s">
        <v>152</v>
      </c>
      <c r="Q1924" t="s">
        <v>152</v>
      </c>
      <c r="R1924">
        <v>9</v>
      </c>
      <c r="S1924" t="s">
        <v>46</v>
      </c>
      <c r="T1924" t="str">
        <f t="shared" si="60"/>
        <v>Month</v>
      </c>
      <c r="U1924">
        <f>VLOOKUP(T1924,[1]tablescore!$B$3:$C$8, 2,FALSE)</f>
        <v>12</v>
      </c>
      <c r="V1924" t="str">
        <f t="shared" si="61"/>
        <v>Moderate</v>
      </c>
      <c r="W1924" t="s">
        <v>88</v>
      </c>
    </row>
    <row r="1925" spans="1:23" x14ac:dyDescent="0.25">
      <c r="A1925">
        <v>1924</v>
      </c>
      <c r="B1925">
        <v>64</v>
      </c>
      <c r="C1925" t="str" cm="1">
        <f t="array" ref="C1925">_xlfn.IFS(
  AND(B1925&gt;=18, B1925&lt;=24), "18-24",
  AND(B1925&gt;=25, B1925&lt;=34), "25-34",
  AND(B1925&gt;=35, B1925&lt;=44), "35-44",
  AND(B1925&gt;=45, B1925&lt;=54), "45-54",
  B1925&gt;=55, "55+"
)</f>
        <v>55+</v>
      </c>
      <c r="D1925" t="s">
        <v>19</v>
      </c>
      <c r="E1925" t="s">
        <v>42</v>
      </c>
      <c r="F1925" t="s">
        <v>43</v>
      </c>
      <c r="G1925">
        <v>36</v>
      </c>
      <c r="H1925" t="s">
        <v>143</v>
      </c>
      <c r="I1925" t="s">
        <v>92</v>
      </c>
      <c r="J1925" t="s">
        <v>138</v>
      </c>
      <c r="K1925" t="s">
        <v>54</v>
      </c>
      <c r="L1925">
        <v>4.3</v>
      </c>
      <c r="M1925" t="s">
        <v>152</v>
      </c>
      <c r="N1925" t="s">
        <v>46</v>
      </c>
      <c r="O1925" t="s">
        <v>55</v>
      </c>
      <c r="P1925" t="s">
        <v>152</v>
      </c>
      <c r="Q1925" t="s">
        <v>152</v>
      </c>
      <c r="R1925">
        <v>7</v>
      </c>
      <c r="S1925" t="s">
        <v>35</v>
      </c>
      <c r="T1925" t="str">
        <f t="shared" si="60"/>
        <v>Annually</v>
      </c>
      <c r="U1925">
        <f>VLOOKUP(T1925,[1]tablescore!$B$3:$C$8, 2,FALSE)</f>
        <v>1</v>
      </c>
      <c r="V1925" t="str">
        <f t="shared" si="61"/>
        <v>Low Loyalty</v>
      </c>
      <c r="W1925" t="s">
        <v>50</v>
      </c>
    </row>
    <row r="1926" spans="1:23" x14ac:dyDescent="0.25">
      <c r="A1926">
        <v>1925</v>
      </c>
      <c r="B1926">
        <v>30</v>
      </c>
      <c r="C1926" t="str" cm="1">
        <f t="array" ref="C1926">_xlfn.IFS(
  AND(B1926&gt;=18, B1926&lt;=24), "18-24",
  AND(B1926&gt;=25, B1926&lt;=34), "25-34",
  AND(B1926&gt;=35, B1926&lt;=44), "35-44",
  AND(B1926&gt;=45, B1926&lt;=54), "45-54",
  B1926&gt;=55, "55+"
)</f>
        <v>25-34</v>
      </c>
      <c r="D1926" t="s">
        <v>19</v>
      </c>
      <c r="E1926" t="s">
        <v>102</v>
      </c>
      <c r="F1926" t="s">
        <v>65</v>
      </c>
      <c r="G1926">
        <v>63</v>
      </c>
      <c r="H1926" t="s">
        <v>151</v>
      </c>
      <c r="I1926" t="s">
        <v>45</v>
      </c>
      <c r="J1926" t="s">
        <v>24</v>
      </c>
      <c r="K1926" t="s">
        <v>58</v>
      </c>
      <c r="L1926">
        <v>4.8</v>
      </c>
      <c r="M1926" t="s">
        <v>152</v>
      </c>
      <c r="N1926" t="s">
        <v>29</v>
      </c>
      <c r="O1926" t="s">
        <v>40</v>
      </c>
      <c r="P1926" t="s">
        <v>152</v>
      </c>
      <c r="Q1926" t="s">
        <v>152</v>
      </c>
      <c r="R1926">
        <v>42</v>
      </c>
      <c r="S1926" t="s">
        <v>46</v>
      </c>
      <c r="T1926" t="str">
        <f t="shared" si="60"/>
        <v>Quarterly</v>
      </c>
      <c r="U1926">
        <f>VLOOKUP(T1926,[1]tablescore!$B$3:$C$8, 2,FALSE)</f>
        <v>4</v>
      </c>
      <c r="V1926" t="str">
        <f t="shared" si="61"/>
        <v>Low Loyalty</v>
      </c>
      <c r="W1926" t="s">
        <v>60</v>
      </c>
    </row>
    <row r="1927" spans="1:23" x14ac:dyDescent="0.25">
      <c r="A1927">
        <v>1926</v>
      </c>
      <c r="B1927">
        <v>59</v>
      </c>
      <c r="C1927" t="str" cm="1">
        <f t="array" ref="C1927">_xlfn.IFS(
  AND(B1927&gt;=18, B1927&lt;=24), "18-24",
  AND(B1927&gt;=25, B1927&lt;=34), "25-34",
  AND(B1927&gt;=35, B1927&lt;=44), "35-44",
  AND(B1927&gt;=45, B1927&lt;=54), "45-54",
  B1927&gt;=55, "55+"
)</f>
        <v>55+</v>
      </c>
      <c r="D1927" t="s">
        <v>19</v>
      </c>
      <c r="E1927" t="s">
        <v>51</v>
      </c>
      <c r="F1927" t="s">
        <v>43</v>
      </c>
      <c r="G1927">
        <v>32</v>
      </c>
      <c r="H1927" t="s">
        <v>149</v>
      </c>
      <c r="I1927" t="s">
        <v>23</v>
      </c>
      <c r="J1927" t="s">
        <v>94</v>
      </c>
      <c r="K1927" t="s">
        <v>25</v>
      </c>
      <c r="L1927">
        <v>2.9</v>
      </c>
      <c r="M1927" t="s">
        <v>152</v>
      </c>
      <c r="N1927" t="s">
        <v>29</v>
      </c>
      <c r="O1927" t="s">
        <v>28</v>
      </c>
      <c r="P1927" t="s">
        <v>152</v>
      </c>
      <c r="Q1927" t="s">
        <v>152</v>
      </c>
      <c r="R1927">
        <v>44</v>
      </c>
      <c r="S1927" t="s">
        <v>27</v>
      </c>
      <c r="T1927" t="str">
        <f t="shared" si="60"/>
        <v>2-week</v>
      </c>
      <c r="U1927">
        <f>VLOOKUP(T1927,[1]tablescore!$B$3:$C$8, 2,FALSE)</f>
        <v>26</v>
      </c>
      <c r="V1927" t="str">
        <f t="shared" si="61"/>
        <v>Loyal</v>
      </c>
      <c r="W1927" t="s">
        <v>30</v>
      </c>
    </row>
    <row r="1928" spans="1:23" x14ac:dyDescent="0.25">
      <c r="A1928">
        <v>1927</v>
      </c>
      <c r="B1928">
        <v>66</v>
      </c>
      <c r="C1928" t="str" cm="1">
        <f t="array" ref="C1928">_xlfn.IFS(
  AND(B1928&gt;=18, B1928&lt;=24), "18-24",
  AND(B1928&gt;=25, B1928&lt;=34), "25-34",
  AND(B1928&gt;=35, B1928&lt;=44), "35-44",
  AND(B1928&gt;=45, B1928&lt;=54), "45-54",
  B1928&gt;=55, "55+"
)</f>
        <v>55+</v>
      </c>
      <c r="D1928" t="s">
        <v>19</v>
      </c>
      <c r="E1928" t="s">
        <v>133</v>
      </c>
      <c r="F1928" t="s">
        <v>69</v>
      </c>
      <c r="G1928">
        <v>93</v>
      </c>
      <c r="H1928" t="s">
        <v>123</v>
      </c>
      <c r="I1928" t="s">
        <v>45</v>
      </c>
      <c r="J1928" t="s">
        <v>67</v>
      </c>
      <c r="K1928" t="s">
        <v>39</v>
      </c>
      <c r="L1928">
        <v>3</v>
      </c>
      <c r="M1928" t="s">
        <v>152</v>
      </c>
      <c r="N1928" t="s">
        <v>29</v>
      </c>
      <c r="O1928" t="s">
        <v>28</v>
      </c>
      <c r="P1928" t="s">
        <v>152</v>
      </c>
      <c r="Q1928" t="s">
        <v>152</v>
      </c>
      <c r="R1928">
        <v>6</v>
      </c>
      <c r="S1928" t="s">
        <v>46</v>
      </c>
      <c r="T1928" t="str">
        <f t="shared" si="60"/>
        <v>Annually</v>
      </c>
      <c r="U1928">
        <f>VLOOKUP(T1928,[1]tablescore!$B$3:$C$8, 2,FALSE)</f>
        <v>1</v>
      </c>
      <c r="V1928" t="str">
        <f t="shared" si="61"/>
        <v>Low Loyalty</v>
      </c>
      <c r="W1928" t="s">
        <v>50</v>
      </c>
    </row>
    <row r="1929" spans="1:23" x14ac:dyDescent="0.25">
      <c r="A1929">
        <v>1928</v>
      </c>
      <c r="B1929">
        <v>40</v>
      </c>
      <c r="C1929" t="str" cm="1">
        <f t="array" ref="C1929">_xlfn.IFS(
  AND(B1929&gt;=18, B1929&lt;=24), "18-24",
  AND(B1929&gt;=25, B1929&lt;=34), "25-34",
  AND(B1929&gt;=35, B1929&lt;=44), "35-44",
  AND(B1929&gt;=45, B1929&lt;=54), "45-54",
  B1929&gt;=55, "55+"
)</f>
        <v>35-44</v>
      </c>
      <c r="D1929" t="s">
        <v>19</v>
      </c>
      <c r="E1929" t="s">
        <v>95</v>
      </c>
      <c r="F1929" t="s">
        <v>21</v>
      </c>
      <c r="G1929">
        <v>29</v>
      </c>
      <c r="H1929" t="s">
        <v>103</v>
      </c>
      <c r="I1929" t="s">
        <v>45</v>
      </c>
      <c r="J1929" t="s">
        <v>71</v>
      </c>
      <c r="K1929" t="s">
        <v>54</v>
      </c>
      <c r="L1929">
        <v>2.9</v>
      </c>
      <c r="M1929" t="s">
        <v>152</v>
      </c>
      <c r="N1929" t="s">
        <v>59</v>
      </c>
      <c r="O1929" t="s">
        <v>55</v>
      </c>
      <c r="P1929" t="s">
        <v>152</v>
      </c>
      <c r="Q1929" t="s">
        <v>152</v>
      </c>
      <c r="R1929">
        <v>8</v>
      </c>
      <c r="S1929" t="s">
        <v>35</v>
      </c>
      <c r="T1929" t="str">
        <f t="shared" si="60"/>
        <v>Quarterly</v>
      </c>
      <c r="U1929">
        <f>VLOOKUP(T1929,[1]tablescore!$B$3:$C$8, 2,FALSE)</f>
        <v>4</v>
      </c>
      <c r="V1929" t="str">
        <f t="shared" si="61"/>
        <v>Low Loyalty</v>
      </c>
      <c r="W1929" t="s">
        <v>97</v>
      </c>
    </row>
    <row r="1930" spans="1:23" x14ac:dyDescent="0.25">
      <c r="A1930">
        <v>1929</v>
      </c>
      <c r="B1930">
        <v>25</v>
      </c>
      <c r="C1930" t="str" cm="1">
        <f t="array" ref="C1930">_xlfn.IFS(
  AND(B1930&gt;=18, B1930&lt;=24), "18-24",
  AND(B1930&gt;=25, B1930&lt;=34), "25-34",
  AND(B1930&gt;=35, B1930&lt;=44), "35-44",
  AND(B1930&gt;=45, B1930&lt;=54), "45-54",
  B1930&gt;=55, "55+"
)</f>
        <v>25-34</v>
      </c>
      <c r="D1930" t="s">
        <v>19</v>
      </c>
      <c r="E1930" t="s">
        <v>89</v>
      </c>
      <c r="F1930" t="s">
        <v>69</v>
      </c>
      <c r="G1930">
        <v>92</v>
      </c>
      <c r="H1930" t="s">
        <v>91</v>
      </c>
      <c r="I1930" t="s">
        <v>38</v>
      </c>
      <c r="J1930" t="s">
        <v>93</v>
      </c>
      <c r="K1930" t="s">
        <v>54</v>
      </c>
      <c r="L1930">
        <v>3.7</v>
      </c>
      <c r="M1930" t="s">
        <v>152</v>
      </c>
      <c r="N1930" t="s">
        <v>46</v>
      </c>
      <c r="O1930" t="s">
        <v>55</v>
      </c>
      <c r="P1930" t="s">
        <v>152</v>
      </c>
      <c r="Q1930" t="s">
        <v>152</v>
      </c>
      <c r="R1930">
        <v>10</v>
      </c>
      <c r="S1930" t="s">
        <v>46</v>
      </c>
      <c r="T1930" t="str">
        <f t="shared" si="60"/>
        <v>Daily</v>
      </c>
      <c r="U1930">
        <f>VLOOKUP(T1930,[1]tablescore!$B$3:$C$8, 2,FALSE)</f>
        <v>30</v>
      </c>
      <c r="V1930" t="str">
        <f t="shared" si="61"/>
        <v>Highly Loyal</v>
      </c>
      <c r="W1930" t="s">
        <v>41</v>
      </c>
    </row>
    <row r="1931" spans="1:23" x14ac:dyDescent="0.25">
      <c r="A1931">
        <v>1930</v>
      </c>
      <c r="B1931">
        <v>59</v>
      </c>
      <c r="C1931" t="str" cm="1">
        <f t="array" ref="C1931">_xlfn.IFS(
  AND(B1931&gt;=18, B1931&lt;=24), "18-24",
  AND(B1931&gt;=25, B1931&lt;=34), "25-34",
  AND(B1931&gt;=35, B1931&lt;=44), "35-44",
  AND(B1931&gt;=45, B1931&lt;=54), "45-54",
  B1931&gt;=55, "55+"
)</f>
        <v>55+</v>
      </c>
      <c r="D1931" t="s">
        <v>19</v>
      </c>
      <c r="E1931" t="s">
        <v>36</v>
      </c>
      <c r="F1931" t="s">
        <v>21</v>
      </c>
      <c r="G1931">
        <v>33</v>
      </c>
      <c r="H1931" t="s">
        <v>78</v>
      </c>
      <c r="I1931" t="s">
        <v>23</v>
      </c>
      <c r="J1931" t="s">
        <v>110</v>
      </c>
      <c r="K1931" t="s">
        <v>58</v>
      </c>
      <c r="L1931">
        <v>4.7</v>
      </c>
      <c r="M1931" t="s">
        <v>152</v>
      </c>
      <c r="N1931" t="s">
        <v>59</v>
      </c>
      <c r="O1931" t="s">
        <v>55</v>
      </c>
      <c r="P1931" t="s">
        <v>152</v>
      </c>
      <c r="Q1931" t="s">
        <v>152</v>
      </c>
      <c r="R1931">
        <v>46</v>
      </c>
      <c r="S1931" t="s">
        <v>29</v>
      </c>
      <c r="T1931" t="str">
        <f t="shared" si="60"/>
        <v>Quarterly</v>
      </c>
      <c r="U1931">
        <f>VLOOKUP(T1931,[1]tablescore!$B$3:$C$8, 2,FALSE)</f>
        <v>4</v>
      </c>
      <c r="V1931" t="str">
        <f t="shared" si="61"/>
        <v>Low Loyalty</v>
      </c>
      <c r="W1931" t="s">
        <v>60</v>
      </c>
    </row>
    <row r="1932" spans="1:23" x14ac:dyDescent="0.25">
      <c r="A1932">
        <v>1931</v>
      </c>
      <c r="B1932">
        <v>66</v>
      </c>
      <c r="C1932" t="str" cm="1">
        <f t="array" ref="C1932">_xlfn.IFS(
  AND(B1932&gt;=18, B1932&lt;=24), "18-24",
  AND(B1932&gt;=25, B1932&lt;=34), "25-34",
  AND(B1932&gt;=35, B1932&lt;=44), "35-44",
  AND(B1932&gt;=45, B1932&lt;=54), "45-54",
  B1932&gt;=55, "55+"
)</f>
        <v>55+</v>
      </c>
      <c r="D1932" t="s">
        <v>19</v>
      </c>
      <c r="E1932" t="s">
        <v>95</v>
      </c>
      <c r="F1932" t="s">
        <v>21</v>
      </c>
      <c r="G1932">
        <v>52</v>
      </c>
      <c r="H1932" t="s">
        <v>98</v>
      </c>
      <c r="I1932" t="s">
        <v>23</v>
      </c>
      <c r="J1932" t="s">
        <v>49</v>
      </c>
      <c r="K1932" t="s">
        <v>39</v>
      </c>
      <c r="L1932">
        <v>3.5</v>
      </c>
      <c r="M1932" t="s">
        <v>152</v>
      </c>
      <c r="N1932" t="s">
        <v>34</v>
      </c>
      <c r="O1932" t="s">
        <v>76</v>
      </c>
      <c r="P1932" t="s">
        <v>152</v>
      </c>
      <c r="Q1932" t="s">
        <v>152</v>
      </c>
      <c r="R1932">
        <v>26</v>
      </c>
      <c r="S1932" t="s">
        <v>35</v>
      </c>
      <c r="T1932" t="str">
        <f t="shared" si="60"/>
        <v>Daily</v>
      </c>
      <c r="U1932">
        <f>VLOOKUP(T1932,[1]tablescore!$B$3:$C$8, 2,FALSE)</f>
        <v>30</v>
      </c>
      <c r="V1932" t="str">
        <f t="shared" si="61"/>
        <v>Highly Loyal</v>
      </c>
      <c r="W1932" t="s">
        <v>41</v>
      </c>
    </row>
    <row r="1933" spans="1:23" x14ac:dyDescent="0.25">
      <c r="A1933">
        <v>1932</v>
      </c>
      <c r="B1933">
        <v>54</v>
      </c>
      <c r="C1933" t="str" cm="1">
        <f t="array" ref="C1933">_xlfn.IFS(
  AND(B1933&gt;=18, B1933&lt;=24), "18-24",
  AND(B1933&gt;=25, B1933&lt;=34), "25-34",
  AND(B1933&gt;=35, B1933&lt;=44), "35-44",
  AND(B1933&gt;=45, B1933&lt;=54), "45-54",
  B1933&gt;=55, "55+"
)</f>
        <v>45-54</v>
      </c>
      <c r="D1933" t="s">
        <v>19</v>
      </c>
      <c r="E1933" t="s">
        <v>106</v>
      </c>
      <c r="F1933" t="s">
        <v>69</v>
      </c>
      <c r="G1933">
        <v>42</v>
      </c>
      <c r="H1933" t="s">
        <v>115</v>
      </c>
      <c r="I1933" t="s">
        <v>38</v>
      </c>
      <c r="J1933" t="s">
        <v>79</v>
      </c>
      <c r="K1933" t="s">
        <v>39</v>
      </c>
      <c r="L1933">
        <v>2.7</v>
      </c>
      <c r="M1933" t="s">
        <v>152</v>
      </c>
      <c r="N1933" t="s">
        <v>46</v>
      </c>
      <c r="O1933" t="s">
        <v>76</v>
      </c>
      <c r="P1933" t="s">
        <v>152</v>
      </c>
      <c r="Q1933" t="s">
        <v>152</v>
      </c>
      <c r="R1933">
        <v>6</v>
      </c>
      <c r="S1933" t="s">
        <v>59</v>
      </c>
      <c r="T1933" t="str">
        <f t="shared" si="60"/>
        <v>Quarterly</v>
      </c>
      <c r="U1933">
        <f>VLOOKUP(T1933,[1]tablescore!$B$3:$C$8, 2,FALSE)</f>
        <v>4</v>
      </c>
      <c r="V1933" t="str">
        <f t="shared" si="61"/>
        <v>Low Loyalty</v>
      </c>
      <c r="W1933" t="s">
        <v>97</v>
      </c>
    </row>
    <row r="1934" spans="1:23" x14ac:dyDescent="0.25">
      <c r="A1934">
        <v>1933</v>
      </c>
      <c r="B1934">
        <v>42</v>
      </c>
      <c r="C1934" t="str" cm="1">
        <f t="array" ref="C1934">_xlfn.IFS(
  AND(B1934&gt;=18, B1934&lt;=24), "18-24",
  AND(B1934&gt;=25, B1934&lt;=34), "25-34",
  AND(B1934&gt;=35, B1934&lt;=44), "35-44",
  AND(B1934&gt;=45, B1934&lt;=54), "45-54",
  B1934&gt;=55, "55+"
)</f>
        <v>35-44</v>
      </c>
      <c r="D1934" t="s">
        <v>19</v>
      </c>
      <c r="E1934" t="s">
        <v>104</v>
      </c>
      <c r="F1934" t="s">
        <v>21</v>
      </c>
      <c r="G1934">
        <v>36</v>
      </c>
      <c r="H1934" t="s">
        <v>135</v>
      </c>
      <c r="I1934" t="s">
        <v>45</v>
      </c>
      <c r="J1934" t="s">
        <v>53</v>
      </c>
      <c r="K1934" t="s">
        <v>39</v>
      </c>
      <c r="L1934">
        <v>5</v>
      </c>
      <c r="M1934" t="s">
        <v>152</v>
      </c>
      <c r="N1934" t="s">
        <v>35</v>
      </c>
      <c r="O1934" t="s">
        <v>40</v>
      </c>
      <c r="P1934" t="s">
        <v>152</v>
      </c>
      <c r="Q1934" t="s">
        <v>152</v>
      </c>
      <c r="R1934">
        <v>47</v>
      </c>
      <c r="S1934" t="s">
        <v>27</v>
      </c>
      <c r="T1934" t="str">
        <f t="shared" si="60"/>
        <v>Quarterly</v>
      </c>
      <c r="U1934">
        <f>VLOOKUP(T1934,[1]tablescore!$B$3:$C$8, 2,FALSE)</f>
        <v>4</v>
      </c>
      <c r="V1934" t="str">
        <f t="shared" si="61"/>
        <v>Low Loyalty</v>
      </c>
      <c r="W1934" t="s">
        <v>97</v>
      </c>
    </row>
    <row r="1935" spans="1:23" x14ac:dyDescent="0.25">
      <c r="A1935">
        <v>1934</v>
      </c>
      <c r="B1935">
        <v>48</v>
      </c>
      <c r="C1935" t="str" cm="1">
        <f t="array" ref="C1935">_xlfn.IFS(
  AND(B1935&gt;=18, B1935&lt;=24), "18-24",
  AND(B1935&gt;=25, B1935&lt;=34), "25-34",
  AND(B1935&gt;=35, B1935&lt;=44), "35-44",
  AND(B1935&gt;=45, B1935&lt;=54), "45-54",
  B1935&gt;=55, "55+"
)</f>
        <v>45-54</v>
      </c>
      <c r="D1935" t="s">
        <v>19</v>
      </c>
      <c r="E1935" t="s">
        <v>42</v>
      </c>
      <c r="F1935" t="s">
        <v>43</v>
      </c>
      <c r="G1935">
        <v>67</v>
      </c>
      <c r="H1935" t="s">
        <v>57</v>
      </c>
      <c r="I1935" t="s">
        <v>23</v>
      </c>
      <c r="J1935" t="s">
        <v>84</v>
      </c>
      <c r="K1935" t="s">
        <v>54</v>
      </c>
      <c r="L1935">
        <v>4.0999999999999996</v>
      </c>
      <c r="M1935" t="s">
        <v>152</v>
      </c>
      <c r="N1935" t="s">
        <v>35</v>
      </c>
      <c r="O1935" t="s">
        <v>47</v>
      </c>
      <c r="P1935" t="s">
        <v>152</v>
      </c>
      <c r="Q1935" t="s">
        <v>152</v>
      </c>
      <c r="R1935">
        <v>28</v>
      </c>
      <c r="S1935" t="s">
        <v>29</v>
      </c>
      <c r="T1935" t="str">
        <f t="shared" si="60"/>
        <v>Annually</v>
      </c>
      <c r="U1935">
        <f>VLOOKUP(T1935,[1]tablescore!$B$3:$C$8, 2,FALSE)</f>
        <v>1</v>
      </c>
      <c r="V1935" t="str">
        <f t="shared" si="61"/>
        <v>Low Loyalty</v>
      </c>
      <c r="W1935" t="s">
        <v>50</v>
      </c>
    </row>
    <row r="1936" spans="1:23" x14ac:dyDescent="0.25">
      <c r="A1936">
        <v>1935</v>
      </c>
      <c r="B1936">
        <v>34</v>
      </c>
      <c r="C1936" t="str" cm="1">
        <f t="array" ref="C1936">_xlfn.IFS(
  AND(B1936&gt;=18, B1936&lt;=24), "18-24",
  AND(B1936&gt;=25, B1936&lt;=34), "25-34",
  AND(B1936&gt;=35, B1936&lt;=44), "35-44",
  AND(B1936&gt;=45, B1936&lt;=54), "45-54",
  B1936&gt;=55, "55+"
)</f>
        <v>25-34</v>
      </c>
      <c r="D1936" t="s">
        <v>19</v>
      </c>
      <c r="E1936" t="s">
        <v>102</v>
      </c>
      <c r="F1936" t="s">
        <v>65</v>
      </c>
      <c r="G1936">
        <v>43</v>
      </c>
      <c r="H1936" t="s">
        <v>151</v>
      </c>
      <c r="I1936" t="s">
        <v>23</v>
      </c>
      <c r="J1936" t="s">
        <v>81</v>
      </c>
      <c r="K1936" t="s">
        <v>25</v>
      </c>
      <c r="L1936">
        <v>2.7</v>
      </c>
      <c r="M1936" t="s">
        <v>152</v>
      </c>
      <c r="N1936" t="s">
        <v>59</v>
      </c>
      <c r="O1936" t="s">
        <v>40</v>
      </c>
      <c r="P1936" t="s">
        <v>152</v>
      </c>
      <c r="Q1936" t="s">
        <v>152</v>
      </c>
      <c r="R1936">
        <v>23</v>
      </c>
      <c r="S1936" t="s">
        <v>34</v>
      </c>
      <c r="T1936" t="str">
        <f t="shared" si="60"/>
        <v>Annually</v>
      </c>
      <c r="U1936">
        <f>VLOOKUP(T1936,[1]tablescore!$B$3:$C$8, 2,FALSE)</f>
        <v>1</v>
      </c>
      <c r="V1936" t="str">
        <f t="shared" si="61"/>
        <v>Low Loyalty</v>
      </c>
      <c r="W1936" t="s">
        <v>50</v>
      </c>
    </row>
    <row r="1937" spans="1:23" x14ac:dyDescent="0.25">
      <c r="A1937">
        <v>1936</v>
      </c>
      <c r="B1937">
        <v>19</v>
      </c>
      <c r="C1937" t="str" cm="1">
        <f t="array" ref="C1937">_xlfn.IFS(
  AND(B1937&gt;=18, B1937&lt;=24), "18-24",
  AND(B1937&gt;=25, B1937&lt;=34), "25-34",
  AND(B1937&gt;=35, B1937&lt;=44), "35-44",
  AND(B1937&gt;=45, B1937&lt;=54), "45-54",
  B1937&gt;=55, "55+"
)</f>
        <v>18-24</v>
      </c>
      <c r="D1937" t="s">
        <v>19</v>
      </c>
      <c r="E1937" t="s">
        <v>20</v>
      </c>
      <c r="F1937" t="s">
        <v>21</v>
      </c>
      <c r="G1937">
        <v>68</v>
      </c>
      <c r="H1937" t="s">
        <v>98</v>
      </c>
      <c r="I1937" t="s">
        <v>92</v>
      </c>
      <c r="J1937" t="s">
        <v>84</v>
      </c>
      <c r="K1937" t="s">
        <v>39</v>
      </c>
      <c r="L1937">
        <v>4.8</v>
      </c>
      <c r="M1937" t="s">
        <v>152</v>
      </c>
      <c r="N1937" t="s">
        <v>59</v>
      </c>
      <c r="O1937" t="s">
        <v>40</v>
      </c>
      <c r="P1937" t="s">
        <v>152</v>
      </c>
      <c r="Q1937" t="s">
        <v>152</v>
      </c>
      <c r="R1937">
        <v>45</v>
      </c>
      <c r="S1937" t="s">
        <v>35</v>
      </c>
      <c r="T1937" t="str">
        <f t="shared" si="60"/>
        <v>2-week</v>
      </c>
      <c r="U1937">
        <f>VLOOKUP(T1937,[1]tablescore!$B$3:$C$8, 2,FALSE)</f>
        <v>26</v>
      </c>
      <c r="V1937" t="str">
        <f t="shared" si="61"/>
        <v>Loyal</v>
      </c>
      <c r="W1937" t="s">
        <v>30</v>
      </c>
    </row>
    <row r="1938" spans="1:23" x14ac:dyDescent="0.25">
      <c r="A1938">
        <v>1937</v>
      </c>
      <c r="B1938">
        <v>70</v>
      </c>
      <c r="C1938" t="str" cm="1">
        <f t="array" ref="C1938">_xlfn.IFS(
  AND(B1938&gt;=18, B1938&lt;=24), "18-24",
  AND(B1938&gt;=25, B1938&lt;=34), "25-34",
  AND(B1938&gt;=35, B1938&lt;=44), "35-44",
  AND(B1938&gt;=45, B1938&lt;=54), "45-54",
  B1938&gt;=55, "55+"
)</f>
        <v>55+</v>
      </c>
      <c r="D1938" t="s">
        <v>19</v>
      </c>
      <c r="E1938" t="s">
        <v>106</v>
      </c>
      <c r="F1938" t="s">
        <v>69</v>
      </c>
      <c r="G1938">
        <v>60</v>
      </c>
      <c r="H1938" t="s">
        <v>134</v>
      </c>
      <c r="I1938" t="s">
        <v>38</v>
      </c>
      <c r="J1938" t="s">
        <v>86</v>
      </c>
      <c r="K1938" t="s">
        <v>54</v>
      </c>
      <c r="L1938">
        <v>4.3</v>
      </c>
      <c r="M1938" t="s">
        <v>152</v>
      </c>
      <c r="N1938" t="s">
        <v>46</v>
      </c>
      <c r="O1938" t="s">
        <v>72</v>
      </c>
      <c r="P1938" t="s">
        <v>152</v>
      </c>
      <c r="Q1938" t="s">
        <v>152</v>
      </c>
      <c r="R1938">
        <v>44</v>
      </c>
      <c r="S1938" t="s">
        <v>46</v>
      </c>
      <c r="T1938" t="str">
        <f t="shared" si="60"/>
        <v>Quarterly</v>
      </c>
      <c r="U1938">
        <f>VLOOKUP(T1938,[1]tablescore!$B$3:$C$8, 2,FALSE)</f>
        <v>4</v>
      </c>
      <c r="V1938" t="str">
        <f t="shared" si="61"/>
        <v>Low Loyalty</v>
      </c>
      <c r="W1938" t="s">
        <v>97</v>
      </c>
    </row>
    <row r="1939" spans="1:23" x14ac:dyDescent="0.25">
      <c r="A1939">
        <v>1938</v>
      </c>
      <c r="B1939">
        <v>43</v>
      </c>
      <c r="C1939" t="str" cm="1">
        <f t="array" ref="C1939">_xlfn.IFS(
  AND(B1939&gt;=18, B1939&lt;=24), "18-24",
  AND(B1939&gt;=25, B1939&lt;=34), "25-34",
  AND(B1939&gt;=35, B1939&lt;=44), "35-44",
  AND(B1939&gt;=45, B1939&lt;=54), "45-54",
  B1939&gt;=55, "55+"
)</f>
        <v>35-44</v>
      </c>
      <c r="D1939" t="s">
        <v>19</v>
      </c>
      <c r="E1939" t="s">
        <v>131</v>
      </c>
      <c r="F1939" t="s">
        <v>21</v>
      </c>
      <c r="G1939">
        <v>53</v>
      </c>
      <c r="H1939" t="s">
        <v>80</v>
      </c>
      <c r="I1939" t="s">
        <v>45</v>
      </c>
      <c r="J1939" t="s">
        <v>79</v>
      </c>
      <c r="K1939" t="s">
        <v>54</v>
      </c>
      <c r="L1939">
        <v>4.5</v>
      </c>
      <c r="M1939" t="s">
        <v>152</v>
      </c>
      <c r="N1939" t="s">
        <v>29</v>
      </c>
      <c r="O1939" t="s">
        <v>72</v>
      </c>
      <c r="P1939" t="s">
        <v>152</v>
      </c>
      <c r="Q1939" t="s">
        <v>152</v>
      </c>
      <c r="R1939">
        <v>11</v>
      </c>
      <c r="S1939" t="s">
        <v>34</v>
      </c>
      <c r="T1939" t="str">
        <f t="shared" si="60"/>
        <v>Month</v>
      </c>
      <c r="U1939">
        <f>VLOOKUP(T1939,[1]tablescore!$B$3:$C$8, 2,FALSE)</f>
        <v>12</v>
      </c>
      <c r="V1939" t="str">
        <f t="shared" si="61"/>
        <v>Moderate</v>
      </c>
      <c r="W1939" t="s">
        <v>88</v>
      </c>
    </row>
    <row r="1940" spans="1:23" x14ac:dyDescent="0.25">
      <c r="A1940">
        <v>1939</v>
      </c>
      <c r="B1940">
        <v>46</v>
      </c>
      <c r="C1940" t="str" cm="1">
        <f t="array" ref="C1940">_xlfn.IFS(
  AND(B1940&gt;=18, B1940&lt;=24), "18-24",
  AND(B1940&gt;=25, B1940&lt;=34), "25-34",
  AND(B1940&gt;=35, B1940&lt;=44), "35-44",
  AND(B1940&gt;=45, B1940&lt;=54), "45-54",
  B1940&gt;=55, "55+"
)</f>
        <v>45-54</v>
      </c>
      <c r="D1940" t="s">
        <v>19</v>
      </c>
      <c r="E1940" t="s">
        <v>36</v>
      </c>
      <c r="F1940" t="s">
        <v>21</v>
      </c>
      <c r="G1940">
        <v>23</v>
      </c>
      <c r="H1940" t="s">
        <v>22</v>
      </c>
      <c r="I1940" t="s">
        <v>23</v>
      </c>
      <c r="J1940" t="s">
        <v>138</v>
      </c>
      <c r="K1940" t="s">
        <v>39</v>
      </c>
      <c r="L1940">
        <v>3.8</v>
      </c>
      <c r="M1940" t="s">
        <v>152</v>
      </c>
      <c r="N1940" t="s">
        <v>34</v>
      </c>
      <c r="O1940" t="s">
        <v>55</v>
      </c>
      <c r="P1940" t="s">
        <v>152</v>
      </c>
      <c r="Q1940" t="s">
        <v>152</v>
      </c>
      <c r="R1940">
        <v>39</v>
      </c>
      <c r="S1940" t="s">
        <v>59</v>
      </c>
      <c r="T1940" t="str">
        <f t="shared" si="60"/>
        <v>2-week</v>
      </c>
      <c r="U1940">
        <f>VLOOKUP(T1940,[1]tablescore!$B$3:$C$8, 2,FALSE)</f>
        <v>26</v>
      </c>
      <c r="V1940" t="str">
        <f t="shared" si="61"/>
        <v>Loyal</v>
      </c>
      <c r="W1940" t="s">
        <v>77</v>
      </c>
    </row>
    <row r="1941" spans="1:23" x14ac:dyDescent="0.25">
      <c r="A1941">
        <v>1940</v>
      </c>
      <c r="B1941">
        <v>66</v>
      </c>
      <c r="C1941" t="str" cm="1">
        <f t="array" ref="C1941">_xlfn.IFS(
  AND(B1941&gt;=18, B1941&lt;=24), "18-24",
  AND(B1941&gt;=25, B1941&lt;=34), "25-34",
  AND(B1941&gt;=35, B1941&lt;=44), "35-44",
  AND(B1941&gt;=45, B1941&lt;=54), "45-54",
  B1941&gt;=55, "55+"
)</f>
        <v>55+</v>
      </c>
      <c r="D1941" t="s">
        <v>19</v>
      </c>
      <c r="E1941" t="s">
        <v>127</v>
      </c>
      <c r="F1941" t="s">
        <v>69</v>
      </c>
      <c r="G1941">
        <v>57</v>
      </c>
      <c r="H1941" t="s">
        <v>124</v>
      </c>
      <c r="I1941" t="s">
        <v>23</v>
      </c>
      <c r="J1941" t="s">
        <v>147</v>
      </c>
      <c r="K1941" t="s">
        <v>25</v>
      </c>
      <c r="L1941">
        <v>3.7</v>
      </c>
      <c r="M1941" t="s">
        <v>152</v>
      </c>
      <c r="N1941" t="s">
        <v>34</v>
      </c>
      <c r="O1941" t="s">
        <v>76</v>
      </c>
      <c r="P1941" t="s">
        <v>152</v>
      </c>
      <c r="Q1941" t="s">
        <v>152</v>
      </c>
      <c r="R1941">
        <v>20</v>
      </c>
      <c r="S1941" t="s">
        <v>46</v>
      </c>
      <c r="T1941" t="str">
        <f t="shared" si="60"/>
        <v>Quarterly</v>
      </c>
      <c r="U1941">
        <f>VLOOKUP(T1941,[1]tablescore!$B$3:$C$8, 2,FALSE)</f>
        <v>4</v>
      </c>
      <c r="V1941" t="str">
        <f t="shared" si="61"/>
        <v>Low Loyalty</v>
      </c>
      <c r="W1941" t="s">
        <v>97</v>
      </c>
    </row>
    <row r="1942" spans="1:23" x14ac:dyDescent="0.25">
      <c r="A1942">
        <v>1941</v>
      </c>
      <c r="B1942">
        <v>50</v>
      </c>
      <c r="C1942" t="str" cm="1">
        <f t="array" ref="C1942">_xlfn.IFS(
  AND(B1942&gt;=18, B1942&lt;=24), "18-24",
  AND(B1942&gt;=25, B1942&lt;=34), "25-34",
  AND(B1942&gt;=35, B1942&lt;=44), "35-44",
  AND(B1942&gt;=45, B1942&lt;=54), "45-54",
  B1942&gt;=55, "55+"
)</f>
        <v>45-54</v>
      </c>
      <c r="D1942" t="s">
        <v>19</v>
      </c>
      <c r="E1942" t="s">
        <v>125</v>
      </c>
      <c r="F1942" t="s">
        <v>69</v>
      </c>
      <c r="G1942">
        <v>89</v>
      </c>
      <c r="H1942" t="s">
        <v>120</v>
      </c>
      <c r="I1942" t="s">
        <v>23</v>
      </c>
      <c r="J1942" t="s">
        <v>24</v>
      </c>
      <c r="K1942" t="s">
        <v>58</v>
      </c>
      <c r="L1942">
        <v>3.9</v>
      </c>
      <c r="M1942" t="s">
        <v>152</v>
      </c>
      <c r="N1942" t="s">
        <v>29</v>
      </c>
      <c r="O1942" t="s">
        <v>72</v>
      </c>
      <c r="P1942" t="s">
        <v>152</v>
      </c>
      <c r="Q1942" t="s">
        <v>152</v>
      </c>
      <c r="R1942">
        <v>48</v>
      </c>
      <c r="S1942" t="s">
        <v>46</v>
      </c>
      <c r="T1942" t="str">
        <f t="shared" si="60"/>
        <v>2-week</v>
      </c>
      <c r="U1942">
        <f>VLOOKUP(T1942,[1]tablescore!$B$3:$C$8, 2,FALSE)</f>
        <v>26</v>
      </c>
      <c r="V1942" t="str">
        <f t="shared" si="61"/>
        <v>Loyal</v>
      </c>
      <c r="W1942" t="s">
        <v>30</v>
      </c>
    </row>
    <row r="1943" spans="1:23" x14ac:dyDescent="0.25">
      <c r="A1943">
        <v>1942</v>
      </c>
      <c r="B1943">
        <v>55</v>
      </c>
      <c r="C1943" t="str" cm="1">
        <f t="array" ref="C1943">_xlfn.IFS(
  AND(B1943&gt;=18, B1943&lt;=24), "18-24",
  AND(B1943&gt;=25, B1943&lt;=34), "25-34",
  AND(B1943&gt;=35, B1943&lt;=44), "35-44",
  AND(B1943&gt;=45, B1943&lt;=54), "45-54",
  B1943&gt;=55, "55+"
)</f>
        <v>55+</v>
      </c>
      <c r="D1943" t="s">
        <v>19</v>
      </c>
      <c r="E1943" t="s">
        <v>73</v>
      </c>
      <c r="F1943" t="s">
        <v>43</v>
      </c>
      <c r="G1943">
        <v>99</v>
      </c>
      <c r="H1943" t="s">
        <v>145</v>
      </c>
      <c r="I1943" t="s">
        <v>92</v>
      </c>
      <c r="J1943" t="s">
        <v>100</v>
      </c>
      <c r="K1943" t="s">
        <v>25</v>
      </c>
      <c r="L1943">
        <v>3.3</v>
      </c>
      <c r="M1943" t="s">
        <v>152</v>
      </c>
      <c r="N1943" t="s">
        <v>46</v>
      </c>
      <c r="O1943" t="s">
        <v>55</v>
      </c>
      <c r="P1943" t="s">
        <v>152</v>
      </c>
      <c r="Q1943" t="s">
        <v>152</v>
      </c>
      <c r="R1943">
        <v>46</v>
      </c>
      <c r="S1943" t="s">
        <v>27</v>
      </c>
      <c r="T1943" t="str">
        <f t="shared" si="60"/>
        <v>Quarterly</v>
      </c>
      <c r="U1943">
        <f>VLOOKUP(T1943,[1]tablescore!$B$3:$C$8, 2,FALSE)</f>
        <v>4</v>
      </c>
      <c r="V1943" t="str">
        <f t="shared" si="61"/>
        <v>Low Loyalty</v>
      </c>
      <c r="W1943" t="s">
        <v>60</v>
      </c>
    </row>
    <row r="1944" spans="1:23" x14ac:dyDescent="0.25">
      <c r="A1944">
        <v>1943</v>
      </c>
      <c r="B1944">
        <v>63</v>
      </c>
      <c r="C1944" t="str" cm="1">
        <f t="array" ref="C1944">_xlfn.IFS(
  AND(B1944&gt;=18, B1944&lt;=24), "18-24",
  AND(B1944&gt;=25, B1944&lt;=34), "25-34",
  AND(B1944&gt;=35, B1944&lt;=44), "35-44",
  AND(B1944&gt;=45, B1944&lt;=54), "45-54",
  B1944&gt;=55, "55+"
)</f>
        <v>55+</v>
      </c>
      <c r="D1944" t="s">
        <v>19</v>
      </c>
      <c r="E1944" t="s">
        <v>95</v>
      </c>
      <c r="F1944" t="s">
        <v>21</v>
      </c>
      <c r="G1944">
        <v>28</v>
      </c>
      <c r="H1944" t="s">
        <v>90</v>
      </c>
      <c r="I1944" t="s">
        <v>45</v>
      </c>
      <c r="J1944" t="s">
        <v>109</v>
      </c>
      <c r="K1944" t="s">
        <v>58</v>
      </c>
      <c r="L1944">
        <v>3.4</v>
      </c>
      <c r="M1944" t="s">
        <v>152</v>
      </c>
      <c r="N1944" t="s">
        <v>27</v>
      </c>
      <c r="O1944" t="s">
        <v>28</v>
      </c>
      <c r="P1944" t="s">
        <v>152</v>
      </c>
      <c r="Q1944" t="s">
        <v>152</v>
      </c>
      <c r="R1944">
        <v>22</v>
      </c>
      <c r="S1944" t="s">
        <v>46</v>
      </c>
      <c r="T1944" t="str">
        <f t="shared" si="60"/>
        <v>Month</v>
      </c>
      <c r="U1944">
        <f>VLOOKUP(T1944,[1]tablescore!$B$3:$C$8, 2,FALSE)</f>
        <v>12</v>
      </c>
      <c r="V1944" t="str">
        <f t="shared" si="61"/>
        <v>Moderate</v>
      </c>
      <c r="W1944" t="s">
        <v>88</v>
      </c>
    </row>
    <row r="1945" spans="1:23" x14ac:dyDescent="0.25">
      <c r="A1945">
        <v>1944</v>
      </c>
      <c r="B1945">
        <v>32</v>
      </c>
      <c r="C1945" t="str" cm="1">
        <f t="array" ref="C1945">_xlfn.IFS(
  AND(B1945&gt;=18, B1945&lt;=24), "18-24",
  AND(B1945&gt;=25, B1945&lt;=34), "25-34",
  AND(B1945&gt;=35, B1945&lt;=44), "35-44",
  AND(B1945&gt;=45, B1945&lt;=54), "45-54",
  B1945&gt;=55, "55+"
)</f>
        <v>25-34</v>
      </c>
      <c r="D1945" t="s">
        <v>19</v>
      </c>
      <c r="E1945" t="s">
        <v>131</v>
      </c>
      <c r="F1945" t="s">
        <v>21</v>
      </c>
      <c r="G1945">
        <v>53</v>
      </c>
      <c r="H1945" t="s">
        <v>148</v>
      </c>
      <c r="I1945" t="s">
        <v>23</v>
      </c>
      <c r="J1945" t="s">
        <v>84</v>
      </c>
      <c r="K1945" t="s">
        <v>54</v>
      </c>
      <c r="L1945">
        <v>3.8</v>
      </c>
      <c r="M1945" t="s">
        <v>152</v>
      </c>
      <c r="N1945" t="s">
        <v>59</v>
      </c>
      <c r="O1945" t="s">
        <v>47</v>
      </c>
      <c r="P1945" t="s">
        <v>152</v>
      </c>
      <c r="Q1945" t="s">
        <v>152</v>
      </c>
      <c r="R1945">
        <v>45</v>
      </c>
      <c r="S1945" t="s">
        <v>35</v>
      </c>
      <c r="T1945" t="str">
        <f t="shared" si="60"/>
        <v>Annually</v>
      </c>
      <c r="U1945">
        <f>VLOOKUP(T1945,[1]tablescore!$B$3:$C$8, 2,FALSE)</f>
        <v>1</v>
      </c>
      <c r="V1945" t="str">
        <f t="shared" si="61"/>
        <v>Low Loyalty</v>
      </c>
      <c r="W1945" t="s">
        <v>50</v>
      </c>
    </row>
    <row r="1946" spans="1:23" x14ac:dyDescent="0.25">
      <c r="A1946">
        <v>1945</v>
      </c>
      <c r="B1946">
        <v>30</v>
      </c>
      <c r="C1946" t="str" cm="1">
        <f t="array" ref="C1946">_xlfn.IFS(
  AND(B1946&gt;=18, B1946&lt;=24), "18-24",
  AND(B1946&gt;=25, B1946&lt;=34), "25-34",
  AND(B1946&gt;=35, B1946&lt;=44), "35-44",
  AND(B1946&gt;=45, B1946&lt;=54), "45-54",
  B1946&gt;=55, "55+"
)</f>
        <v>25-34</v>
      </c>
      <c r="D1946" t="s">
        <v>19</v>
      </c>
      <c r="E1946" t="s">
        <v>104</v>
      </c>
      <c r="F1946" t="s">
        <v>21</v>
      </c>
      <c r="G1946">
        <v>45</v>
      </c>
      <c r="H1946" t="s">
        <v>74</v>
      </c>
      <c r="I1946" t="s">
        <v>45</v>
      </c>
      <c r="J1946" t="s">
        <v>81</v>
      </c>
      <c r="K1946" t="s">
        <v>25</v>
      </c>
      <c r="L1946">
        <v>2.7</v>
      </c>
      <c r="M1946" t="s">
        <v>152</v>
      </c>
      <c r="N1946" t="s">
        <v>59</v>
      </c>
      <c r="O1946" t="s">
        <v>40</v>
      </c>
      <c r="P1946" t="s">
        <v>152</v>
      </c>
      <c r="Q1946" t="s">
        <v>152</v>
      </c>
      <c r="R1946">
        <v>49</v>
      </c>
      <c r="S1946" t="s">
        <v>35</v>
      </c>
      <c r="T1946" t="str">
        <f t="shared" si="60"/>
        <v>Quarterly</v>
      </c>
      <c r="U1946">
        <f>VLOOKUP(T1946,[1]tablescore!$B$3:$C$8, 2,FALSE)</f>
        <v>4</v>
      </c>
      <c r="V1946" t="str">
        <f t="shared" si="61"/>
        <v>Low Loyalty</v>
      </c>
      <c r="W1946" t="s">
        <v>97</v>
      </c>
    </row>
    <row r="1947" spans="1:23" x14ac:dyDescent="0.25">
      <c r="A1947">
        <v>1946</v>
      </c>
      <c r="B1947">
        <v>35</v>
      </c>
      <c r="C1947" t="str" cm="1">
        <f t="array" ref="C1947">_xlfn.IFS(
  AND(B1947&gt;=18, B1947&lt;=24), "18-24",
  AND(B1947&gt;=25, B1947&lt;=34), "25-34",
  AND(B1947&gt;=35, B1947&lt;=44), "35-44",
  AND(B1947&gt;=45, B1947&lt;=54), "45-54",
  B1947&gt;=55, "55+"
)</f>
        <v>35-44</v>
      </c>
      <c r="D1947" t="s">
        <v>19</v>
      </c>
      <c r="E1947" t="s">
        <v>104</v>
      </c>
      <c r="F1947" t="s">
        <v>21</v>
      </c>
      <c r="G1947">
        <v>38</v>
      </c>
      <c r="H1947" t="s">
        <v>142</v>
      </c>
      <c r="I1947" t="s">
        <v>45</v>
      </c>
      <c r="J1947" t="s">
        <v>81</v>
      </c>
      <c r="K1947" t="s">
        <v>25</v>
      </c>
      <c r="L1947">
        <v>2.9</v>
      </c>
      <c r="M1947" t="s">
        <v>152</v>
      </c>
      <c r="N1947" t="s">
        <v>59</v>
      </c>
      <c r="O1947" t="s">
        <v>72</v>
      </c>
      <c r="P1947" t="s">
        <v>152</v>
      </c>
      <c r="Q1947" t="s">
        <v>152</v>
      </c>
      <c r="R1947">
        <v>9</v>
      </c>
      <c r="S1947" t="s">
        <v>27</v>
      </c>
      <c r="T1947" t="str">
        <f t="shared" si="60"/>
        <v>Quarterly</v>
      </c>
      <c r="U1947">
        <f>VLOOKUP(T1947,[1]tablescore!$B$3:$C$8, 2,FALSE)</f>
        <v>4</v>
      </c>
      <c r="V1947" t="str">
        <f t="shared" si="61"/>
        <v>Low Loyalty</v>
      </c>
      <c r="W1947" t="s">
        <v>97</v>
      </c>
    </row>
    <row r="1948" spans="1:23" x14ac:dyDescent="0.25">
      <c r="A1948">
        <v>1947</v>
      </c>
      <c r="B1948">
        <v>59</v>
      </c>
      <c r="C1948" t="str" cm="1">
        <f t="array" ref="C1948">_xlfn.IFS(
  AND(B1948&gt;=18, B1948&lt;=24), "18-24",
  AND(B1948&gt;=25, B1948&lt;=34), "25-34",
  AND(B1948&gt;=35, B1948&lt;=44), "35-44",
  AND(B1948&gt;=45, B1948&lt;=54), "45-54",
  B1948&gt;=55, "55+"
)</f>
        <v>55+</v>
      </c>
      <c r="D1948" t="s">
        <v>19</v>
      </c>
      <c r="E1948" t="s">
        <v>95</v>
      </c>
      <c r="F1948" t="s">
        <v>21</v>
      </c>
      <c r="G1948">
        <v>49</v>
      </c>
      <c r="H1948" t="s">
        <v>62</v>
      </c>
      <c r="I1948" t="s">
        <v>45</v>
      </c>
      <c r="J1948" t="s">
        <v>53</v>
      </c>
      <c r="K1948" t="s">
        <v>54</v>
      </c>
      <c r="L1948">
        <v>4.5</v>
      </c>
      <c r="M1948" t="s">
        <v>152</v>
      </c>
      <c r="N1948" t="s">
        <v>34</v>
      </c>
      <c r="O1948" t="s">
        <v>55</v>
      </c>
      <c r="P1948" t="s">
        <v>152</v>
      </c>
      <c r="Q1948" t="s">
        <v>152</v>
      </c>
      <c r="R1948">
        <v>41</v>
      </c>
      <c r="S1948" t="s">
        <v>27</v>
      </c>
      <c r="T1948" t="str">
        <f t="shared" si="60"/>
        <v>Quarterly</v>
      </c>
      <c r="U1948">
        <f>VLOOKUP(T1948,[1]tablescore!$B$3:$C$8, 2,FALSE)</f>
        <v>4</v>
      </c>
      <c r="V1948" t="str">
        <f t="shared" si="61"/>
        <v>Low Loyalty</v>
      </c>
      <c r="W1948" t="s">
        <v>60</v>
      </c>
    </row>
    <row r="1949" spans="1:23" x14ac:dyDescent="0.25">
      <c r="A1949">
        <v>1948</v>
      </c>
      <c r="B1949">
        <v>59</v>
      </c>
      <c r="C1949" t="str" cm="1">
        <f t="array" ref="C1949">_xlfn.IFS(
  AND(B1949&gt;=18, B1949&lt;=24), "18-24",
  AND(B1949&gt;=25, B1949&lt;=34), "25-34",
  AND(B1949&gt;=35, B1949&lt;=44), "35-44",
  AND(B1949&gt;=45, B1949&lt;=54), "45-54",
  B1949&gt;=55, "55+"
)</f>
        <v>55+</v>
      </c>
      <c r="D1949" t="s">
        <v>19</v>
      </c>
      <c r="E1949" t="s">
        <v>56</v>
      </c>
      <c r="F1949" t="s">
        <v>21</v>
      </c>
      <c r="G1949">
        <v>32</v>
      </c>
      <c r="H1949" t="s">
        <v>85</v>
      </c>
      <c r="I1949" t="s">
        <v>45</v>
      </c>
      <c r="J1949" t="s">
        <v>24</v>
      </c>
      <c r="K1949" t="s">
        <v>54</v>
      </c>
      <c r="L1949">
        <v>2.6</v>
      </c>
      <c r="M1949" t="s">
        <v>152</v>
      </c>
      <c r="N1949" t="s">
        <v>59</v>
      </c>
      <c r="O1949" t="s">
        <v>76</v>
      </c>
      <c r="P1949" t="s">
        <v>152</v>
      </c>
      <c r="Q1949" t="s">
        <v>152</v>
      </c>
      <c r="R1949">
        <v>2</v>
      </c>
      <c r="S1949" t="s">
        <v>46</v>
      </c>
      <c r="T1949" t="str">
        <f t="shared" si="60"/>
        <v>Month</v>
      </c>
      <c r="U1949">
        <f>VLOOKUP(T1949,[1]tablescore!$B$3:$C$8, 2,FALSE)</f>
        <v>12</v>
      </c>
      <c r="V1949" t="str">
        <f t="shared" si="61"/>
        <v>Moderate</v>
      </c>
      <c r="W1949" t="s">
        <v>88</v>
      </c>
    </row>
    <row r="1950" spans="1:23" x14ac:dyDescent="0.25">
      <c r="A1950">
        <v>1949</v>
      </c>
      <c r="B1950">
        <v>54</v>
      </c>
      <c r="C1950" t="str" cm="1">
        <f t="array" ref="C1950">_xlfn.IFS(
  AND(B1950&gt;=18, B1950&lt;=24), "18-24",
  AND(B1950&gt;=25, B1950&lt;=34), "25-34",
  AND(B1950&gt;=35, B1950&lt;=44), "35-44",
  AND(B1950&gt;=45, B1950&lt;=54), "45-54",
  B1950&gt;=55, "55+"
)</f>
        <v>45-54</v>
      </c>
      <c r="D1950" t="s">
        <v>19</v>
      </c>
      <c r="E1950" t="s">
        <v>113</v>
      </c>
      <c r="F1950" t="s">
        <v>21</v>
      </c>
      <c r="G1950">
        <v>37</v>
      </c>
      <c r="H1950" t="s">
        <v>146</v>
      </c>
      <c r="I1950" t="s">
        <v>23</v>
      </c>
      <c r="J1950" t="s">
        <v>110</v>
      </c>
      <c r="K1950" t="s">
        <v>25</v>
      </c>
      <c r="L1950">
        <v>3.1</v>
      </c>
      <c r="M1950" t="s">
        <v>152</v>
      </c>
      <c r="N1950" t="s">
        <v>59</v>
      </c>
      <c r="O1950" t="s">
        <v>47</v>
      </c>
      <c r="P1950" t="s">
        <v>152</v>
      </c>
      <c r="Q1950" t="s">
        <v>152</v>
      </c>
      <c r="R1950">
        <v>39</v>
      </c>
      <c r="S1950" t="s">
        <v>46</v>
      </c>
      <c r="T1950" t="str">
        <f t="shared" si="60"/>
        <v>2-week</v>
      </c>
      <c r="U1950">
        <f>VLOOKUP(T1950,[1]tablescore!$B$3:$C$8, 2,FALSE)</f>
        <v>26</v>
      </c>
      <c r="V1950" t="str">
        <f t="shared" si="61"/>
        <v>Loyal</v>
      </c>
      <c r="W1950" t="s">
        <v>77</v>
      </c>
    </row>
    <row r="1951" spans="1:23" x14ac:dyDescent="0.25">
      <c r="A1951">
        <v>1950</v>
      </c>
      <c r="B1951">
        <v>63</v>
      </c>
      <c r="C1951" t="str" cm="1">
        <f t="array" ref="C1951">_xlfn.IFS(
  AND(B1951&gt;=18, B1951&lt;=24), "18-24",
  AND(B1951&gt;=25, B1951&lt;=34), "25-34",
  AND(B1951&gt;=35, B1951&lt;=44), "35-44",
  AND(B1951&gt;=45, B1951&lt;=54), "45-54",
  B1951&gt;=55, "55+"
)</f>
        <v>55+</v>
      </c>
      <c r="D1951" t="s">
        <v>19</v>
      </c>
      <c r="E1951" t="s">
        <v>82</v>
      </c>
      <c r="F1951" t="s">
        <v>21</v>
      </c>
      <c r="G1951">
        <v>80</v>
      </c>
      <c r="H1951" t="s">
        <v>143</v>
      </c>
      <c r="I1951" t="s">
        <v>23</v>
      </c>
      <c r="J1951" t="s">
        <v>24</v>
      </c>
      <c r="K1951" t="s">
        <v>25</v>
      </c>
      <c r="L1951">
        <v>4.7</v>
      </c>
      <c r="M1951" t="s">
        <v>152</v>
      </c>
      <c r="N1951" t="s">
        <v>29</v>
      </c>
      <c r="O1951" t="s">
        <v>76</v>
      </c>
      <c r="P1951" t="s">
        <v>152</v>
      </c>
      <c r="Q1951" t="s">
        <v>152</v>
      </c>
      <c r="R1951">
        <v>12</v>
      </c>
      <c r="S1951" t="s">
        <v>46</v>
      </c>
      <c r="T1951" t="str">
        <f t="shared" si="60"/>
        <v>Quarterly</v>
      </c>
      <c r="U1951">
        <f>VLOOKUP(T1951,[1]tablescore!$B$3:$C$8, 2,FALSE)</f>
        <v>4</v>
      </c>
      <c r="V1951" t="str">
        <f t="shared" si="61"/>
        <v>Low Loyalty</v>
      </c>
      <c r="W1951" t="s">
        <v>60</v>
      </c>
    </row>
    <row r="1952" spans="1:23" x14ac:dyDescent="0.25">
      <c r="A1952">
        <v>1951</v>
      </c>
      <c r="B1952">
        <v>43</v>
      </c>
      <c r="C1952" t="str" cm="1">
        <f t="array" ref="C1952">_xlfn.IFS(
  AND(B1952&gt;=18, B1952&lt;=24), "18-24",
  AND(B1952&gt;=25, B1952&lt;=34), "25-34",
  AND(B1952&gt;=35, B1952&lt;=44), "35-44",
  AND(B1952&gt;=45, B1952&lt;=54), "45-54",
  B1952&gt;=55, "55+"
)</f>
        <v>35-44</v>
      </c>
      <c r="D1952" t="s">
        <v>19</v>
      </c>
      <c r="E1952" t="s">
        <v>133</v>
      </c>
      <c r="F1952" t="s">
        <v>69</v>
      </c>
      <c r="G1952">
        <v>78</v>
      </c>
      <c r="H1952" t="s">
        <v>74</v>
      </c>
      <c r="I1952" t="s">
        <v>23</v>
      </c>
      <c r="J1952" t="s">
        <v>138</v>
      </c>
      <c r="K1952" t="s">
        <v>54</v>
      </c>
      <c r="L1952">
        <v>4.5999999999999996</v>
      </c>
      <c r="M1952" t="s">
        <v>152</v>
      </c>
      <c r="N1952" t="s">
        <v>35</v>
      </c>
      <c r="O1952" t="s">
        <v>40</v>
      </c>
      <c r="P1952" t="s">
        <v>152</v>
      </c>
      <c r="Q1952" t="s">
        <v>152</v>
      </c>
      <c r="R1952">
        <v>26</v>
      </c>
      <c r="S1952" t="s">
        <v>46</v>
      </c>
      <c r="T1952" t="str">
        <f t="shared" si="60"/>
        <v>Quarterly</v>
      </c>
      <c r="U1952">
        <f>VLOOKUP(T1952,[1]tablescore!$B$3:$C$8, 2,FALSE)</f>
        <v>4</v>
      </c>
      <c r="V1952" t="str">
        <f t="shared" si="61"/>
        <v>Low Loyalty</v>
      </c>
      <c r="W1952" t="s">
        <v>97</v>
      </c>
    </row>
    <row r="1953" spans="1:23" x14ac:dyDescent="0.25">
      <c r="A1953">
        <v>1952</v>
      </c>
      <c r="B1953">
        <v>33</v>
      </c>
      <c r="C1953" t="str" cm="1">
        <f t="array" ref="C1953">_xlfn.IFS(
  AND(B1953&gt;=18, B1953&lt;=24), "18-24",
  AND(B1953&gt;=25, B1953&lt;=34), "25-34",
  AND(B1953&gt;=35, B1953&lt;=44), "35-44",
  AND(B1953&gt;=45, B1953&lt;=54), "45-54",
  B1953&gt;=55, "55+"
)</f>
        <v>25-34</v>
      </c>
      <c r="D1953" t="s">
        <v>19</v>
      </c>
      <c r="E1953" t="s">
        <v>127</v>
      </c>
      <c r="F1953" t="s">
        <v>69</v>
      </c>
      <c r="G1953">
        <v>53</v>
      </c>
      <c r="H1953" t="s">
        <v>146</v>
      </c>
      <c r="I1953" t="s">
        <v>23</v>
      </c>
      <c r="J1953" t="s">
        <v>81</v>
      </c>
      <c r="K1953" t="s">
        <v>54</v>
      </c>
      <c r="L1953">
        <v>2.7</v>
      </c>
      <c r="M1953" t="s">
        <v>152</v>
      </c>
      <c r="N1953" t="s">
        <v>34</v>
      </c>
      <c r="O1953" t="s">
        <v>47</v>
      </c>
      <c r="P1953" t="s">
        <v>152</v>
      </c>
      <c r="Q1953" t="s">
        <v>152</v>
      </c>
      <c r="R1953">
        <v>32</v>
      </c>
      <c r="S1953" t="s">
        <v>34</v>
      </c>
      <c r="T1953" t="str">
        <f t="shared" si="60"/>
        <v>2-week</v>
      </c>
      <c r="U1953">
        <f>VLOOKUP(T1953,[1]tablescore!$B$3:$C$8, 2,FALSE)</f>
        <v>26</v>
      </c>
      <c r="V1953" t="str">
        <f t="shared" si="61"/>
        <v>Loyal</v>
      </c>
      <c r="W1953" t="s">
        <v>77</v>
      </c>
    </row>
    <row r="1954" spans="1:23" x14ac:dyDescent="0.25">
      <c r="A1954">
        <v>1953</v>
      </c>
      <c r="B1954">
        <v>57</v>
      </c>
      <c r="C1954" t="str" cm="1">
        <f t="array" ref="C1954">_xlfn.IFS(
  AND(B1954&gt;=18, B1954&lt;=24), "18-24",
  AND(B1954&gt;=25, B1954&lt;=34), "25-34",
  AND(B1954&gt;=35, B1954&lt;=44), "35-44",
  AND(B1954&gt;=45, B1954&lt;=54), "45-54",
  B1954&gt;=55, "55+"
)</f>
        <v>55+</v>
      </c>
      <c r="D1954" t="s">
        <v>19</v>
      </c>
      <c r="E1954" t="s">
        <v>73</v>
      </c>
      <c r="F1954" t="s">
        <v>43</v>
      </c>
      <c r="G1954">
        <v>82</v>
      </c>
      <c r="H1954" t="s">
        <v>135</v>
      </c>
      <c r="I1954" t="s">
        <v>23</v>
      </c>
      <c r="J1954" t="s">
        <v>139</v>
      </c>
      <c r="K1954" t="s">
        <v>54</v>
      </c>
      <c r="L1954">
        <v>4.5999999999999996</v>
      </c>
      <c r="M1954" t="s">
        <v>152</v>
      </c>
      <c r="N1954" t="s">
        <v>46</v>
      </c>
      <c r="O1954" t="s">
        <v>72</v>
      </c>
      <c r="P1954" t="s">
        <v>152</v>
      </c>
      <c r="Q1954" t="s">
        <v>152</v>
      </c>
      <c r="R1954">
        <v>50</v>
      </c>
      <c r="S1954" t="s">
        <v>35</v>
      </c>
      <c r="T1954" t="str">
        <f t="shared" si="60"/>
        <v>2-week</v>
      </c>
      <c r="U1954">
        <f>VLOOKUP(T1954,[1]tablescore!$B$3:$C$8, 2,FALSE)</f>
        <v>26</v>
      </c>
      <c r="V1954" t="str">
        <f t="shared" si="61"/>
        <v>Loyal</v>
      </c>
      <c r="W1954" t="s">
        <v>77</v>
      </c>
    </row>
    <row r="1955" spans="1:23" x14ac:dyDescent="0.25">
      <c r="A1955">
        <v>1954</v>
      </c>
      <c r="B1955">
        <v>25</v>
      </c>
      <c r="C1955" t="str" cm="1">
        <f t="array" ref="C1955">_xlfn.IFS(
  AND(B1955&gt;=18, B1955&lt;=24), "18-24",
  AND(B1955&gt;=25, B1955&lt;=34), "25-34",
  AND(B1955&gt;=35, B1955&lt;=44), "35-44",
  AND(B1955&gt;=45, B1955&lt;=54), "45-54",
  B1955&gt;=55, "55+"
)</f>
        <v>25-34</v>
      </c>
      <c r="D1955" t="s">
        <v>19</v>
      </c>
      <c r="E1955" t="s">
        <v>87</v>
      </c>
      <c r="F1955" t="s">
        <v>21</v>
      </c>
      <c r="G1955">
        <v>33</v>
      </c>
      <c r="H1955" t="s">
        <v>112</v>
      </c>
      <c r="I1955" t="s">
        <v>92</v>
      </c>
      <c r="J1955" t="s">
        <v>96</v>
      </c>
      <c r="K1955" t="s">
        <v>39</v>
      </c>
      <c r="L1955">
        <v>4.8</v>
      </c>
      <c r="M1955" t="s">
        <v>152</v>
      </c>
      <c r="N1955" t="s">
        <v>35</v>
      </c>
      <c r="O1955" t="s">
        <v>55</v>
      </c>
      <c r="P1955" t="s">
        <v>152</v>
      </c>
      <c r="Q1955" t="s">
        <v>152</v>
      </c>
      <c r="R1955">
        <v>3</v>
      </c>
      <c r="S1955" t="s">
        <v>46</v>
      </c>
      <c r="T1955" t="str">
        <f t="shared" si="60"/>
        <v>2-week</v>
      </c>
      <c r="U1955">
        <f>VLOOKUP(T1955,[1]tablescore!$B$3:$C$8, 2,FALSE)</f>
        <v>26</v>
      </c>
      <c r="V1955" t="str">
        <f t="shared" si="61"/>
        <v>Loyal</v>
      </c>
      <c r="W1955" t="s">
        <v>30</v>
      </c>
    </row>
    <row r="1956" spans="1:23" x14ac:dyDescent="0.25">
      <c r="A1956">
        <v>1955</v>
      </c>
      <c r="B1956">
        <v>26</v>
      </c>
      <c r="C1956" t="str" cm="1">
        <f t="array" ref="C1956">_xlfn.IFS(
  AND(B1956&gt;=18, B1956&lt;=24), "18-24",
  AND(B1956&gt;=25, B1956&lt;=34), "25-34",
  AND(B1956&gt;=35, B1956&lt;=44), "35-44",
  AND(B1956&gt;=45, B1956&lt;=54), "45-54",
  B1956&gt;=55, "55+"
)</f>
        <v>25-34</v>
      </c>
      <c r="D1956" t="s">
        <v>19</v>
      </c>
      <c r="E1956" t="s">
        <v>127</v>
      </c>
      <c r="F1956" t="s">
        <v>69</v>
      </c>
      <c r="G1956">
        <v>77</v>
      </c>
      <c r="H1956" t="s">
        <v>112</v>
      </c>
      <c r="I1956" t="s">
        <v>45</v>
      </c>
      <c r="J1956" t="s">
        <v>71</v>
      </c>
      <c r="K1956" t="s">
        <v>25</v>
      </c>
      <c r="L1956">
        <v>4.2</v>
      </c>
      <c r="M1956" t="s">
        <v>152</v>
      </c>
      <c r="N1956" t="s">
        <v>34</v>
      </c>
      <c r="O1956" t="s">
        <v>40</v>
      </c>
      <c r="P1956" t="s">
        <v>152</v>
      </c>
      <c r="Q1956" t="s">
        <v>152</v>
      </c>
      <c r="R1956">
        <v>3</v>
      </c>
      <c r="S1956" t="s">
        <v>29</v>
      </c>
      <c r="T1956" t="str">
        <f t="shared" si="60"/>
        <v>Quarterly</v>
      </c>
      <c r="U1956">
        <f>VLOOKUP(T1956,[1]tablescore!$B$3:$C$8, 2,FALSE)</f>
        <v>4</v>
      </c>
      <c r="V1956" t="str">
        <f t="shared" si="61"/>
        <v>Low Loyalty</v>
      </c>
      <c r="W1956" t="s">
        <v>60</v>
      </c>
    </row>
    <row r="1957" spans="1:23" x14ac:dyDescent="0.25">
      <c r="A1957">
        <v>1956</v>
      </c>
      <c r="B1957">
        <v>50</v>
      </c>
      <c r="C1957" t="str" cm="1">
        <f t="array" ref="C1957">_xlfn.IFS(
  AND(B1957&gt;=18, B1957&lt;=24), "18-24",
  AND(B1957&gt;=25, B1957&lt;=34), "25-34",
  AND(B1957&gt;=35, B1957&lt;=44), "35-44",
  AND(B1957&gt;=45, B1957&lt;=54), "45-54",
  B1957&gt;=55, "55+"
)</f>
        <v>45-54</v>
      </c>
      <c r="D1957" t="s">
        <v>19</v>
      </c>
      <c r="E1957" t="s">
        <v>104</v>
      </c>
      <c r="F1957" t="s">
        <v>21</v>
      </c>
      <c r="G1957">
        <v>56</v>
      </c>
      <c r="H1957" t="s">
        <v>32</v>
      </c>
      <c r="I1957" t="s">
        <v>45</v>
      </c>
      <c r="J1957" t="s">
        <v>71</v>
      </c>
      <c r="K1957" t="s">
        <v>25</v>
      </c>
      <c r="L1957">
        <v>4.9000000000000004</v>
      </c>
      <c r="M1957" t="s">
        <v>152</v>
      </c>
      <c r="N1957" t="s">
        <v>27</v>
      </c>
      <c r="O1957" t="s">
        <v>28</v>
      </c>
      <c r="P1957" t="s">
        <v>152</v>
      </c>
      <c r="Q1957" t="s">
        <v>152</v>
      </c>
      <c r="R1957">
        <v>37</v>
      </c>
      <c r="S1957" t="s">
        <v>35</v>
      </c>
      <c r="T1957" t="str">
        <f t="shared" si="60"/>
        <v>Month</v>
      </c>
      <c r="U1957">
        <f>VLOOKUP(T1957,[1]tablescore!$B$3:$C$8, 2,FALSE)</f>
        <v>12</v>
      </c>
      <c r="V1957" t="str">
        <f t="shared" si="61"/>
        <v>Moderate</v>
      </c>
      <c r="W1957" t="s">
        <v>88</v>
      </c>
    </row>
    <row r="1958" spans="1:23" x14ac:dyDescent="0.25">
      <c r="A1958">
        <v>1957</v>
      </c>
      <c r="B1958">
        <v>70</v>
      </c>
      <c r="C1958" t="str" cm="1">
        <f t="array" ref="C1958">_xlfn.IFS(
  AND(B1958&gt;=18, B1958&lt;=24), "18-24",
  AND(B1958&gt;=25, B1958&lt;=34), "25-34",
  AND(B1958&gt;=35, B1958&lt;=44), "35-44",
  AND(B1958&gt;=45, B1958&lt;=54), "45-54",
  B1958&gt;=55, "55+"
)</f>
        <v>55+</v>
      </c>
      <c r="D1958" t="s">
        <v>19</v>
      </c>
      <c r="E1958" t="s">
        <v>131</v>
      </c>
      <c r="F1958" t="s">
        <v>21</v>
      </c>
      <c r="G1958">
        <v>37</v>
      </c>
      <c r="H1958" t="s">
        <v>101</v>
      </c>
      <c r="I1958" t="s">
        <v>45</v>
      </c>
      <c r="J1958" t="s">
        <v>71</v>
      </c>
      <c r="K1958" t="s">
        <v>25</v>
      </c>
      <c r="L1958">
        <v>4.9000000000000004</v>
      </c>
      <c r="M1958" t="s">
        <v>152</v>
      </c>
      <c r="N1958" t="s">
        <v>35</v>
      </c>
      <c r="O1958" t="s">
        <v>28</v>
      </c>
      <c r="P1958" t="s">
        <v>152</v>
      </c>
      <c r="Q1958" t="s">
        <v>152</v>
      </c>
      <c r="R1958">
        <v>20</v>
      </c>
      <c r="S1958" t="s">
        <v>27</v>
      </c>
      <c r="T1958" t="str">
        <f t="shared" si="60"/>
        <v>2-week</v>
      </c>
      <c r="U1958">
        <f>VLOOKUP(T1958,[1]tablescore!$B$3:$C$8, 2,FALSE)</f>
        <v>26</v>
      </c>
      <c r="V1958" t="str">
        <f t="shared" si="61"/>
        <v>Loyal</v>
      </c>
      <c r="W1958" t="s">
        <v>30</v>
      </c>
    </row>
    <row r="1959" spans="1:23" x14ac:dyDescent="0.25">
      <c r="A1959">
        <v>1958</v>
      </c>
      <c r="B1959">
        <v>68</v>
      </c>
      <c r="C1959" t="str" cm="1">
        <f t="array" ref="C1959">_xlfn.IFS(
  AND(B1959&gt;=18, B1959&lt;=24), "18-24",
  AND(B1959&gt;=25, B1959&lt;=34), "25-34",
  AND(B1959&gt;=35, B1959&lt;=44), "35-44",
  AND(B1959&gt;=45, B1959&lt;=54), "45-54",
  B1959&gt;=55, "55+"
)</f>
        <v>55+</v>
      </c>
      <c r="D1959" t="s">
        <v>19</v>
      </c>
      <c r="E1959" t="s">
        <v>127</v>
      </c>
      <c r="F1959" t="s">
        <v>69</v>
      </c>
      <c r="G1959">
        <v>54</v>
      </c>
      <c r="H1959" t="s">
        <v>126</v>
      </c>
      <c r="I1959" t="s">
        <v>45</v>
      </c>
      <c r="J1959" t="s">
        <v>109</v>
      </c>
      <c r="K1959" t="s">
        <v>39</v>
      </c>
      <c r="L1959">
        <v>4.5</v>
      </c>
      <c r="M1959" t="s">
        <v>152</v>
      </c>
      <c r="N1959" t="s">
        <v>29</v>
      </c>
      <c r="O1959" t="s">
        <v>76</v>
      </c>
      <c r="P1959" t="s">
        <v>152</v>
      </c>
      <c r="Q1959" t="s">
        <v>152</v>
      </c>
      <c r="R1959">
        <v>26</v>
      </c>
      <c r="S1959" t="s">
        <v>35</v>
      </c>
      <c r="T1959" t="str">
        <f t="shared" si="60"/>
        <v>2-week</v>
      </c>
      <c r="U1959">
        <f>VLOOKUP(T1959,[1]tablescore!$B$3:$C$8, 2,FALSE)</f>
        <v>26</v>
      </c>
      <c r="V1959" t="str">
        <f t="shared" si="61"/>
        <v>Loyal</v>
      </c>
      <c r="W1959" t="s">
        <v>77</v>
      </c>
    </row>
    <row r="1960" spans="1:23" x14ac:dyDescent="0.25">
      <c r="A1960">
        <v>1959</v>
      </c>
      <c r="B1960">
        <v>39</v>
      </c>
      <c r="C1960" t="str" cm="1">
        <f t="array" ref="C1960">_xlfn.IFS(
  AND(B1960&gt;=18, B1960&lt;=24), "18-24",
  AND(B1960&gt;=25, B1960&lt;=34), "25-34",
  AND(B1960&gt;=35, B1960&lt;=44), "35-44",
  AND(B1960&gt;=45, B1960&lt;=54), "45-54",
  B1960&gt;=55, "55+"
)</f>
        <v>35-44</v>
      </c>
      <c r="D1960" t="s">
        <v>19</v>
      </c>
      <c r="E1960" t="s">
        <v>61</v>
      </c>
      <c r="F1960" t="s">
        <v>21</v>
      </c>
      <c r="G1960">
        <v>67</v>
      </c>
      <c r="H1960" t="s">
        <v>107</v>
      </c>
      <c r="I1960" t="s">
        <v>45</v>
      </c>
      <c r="J1960" t="s">
        <v>24</v>
      </c>
      <c r="K1960" t="s">
        <v>25</v>
      </c>
      <c r="L1960">
        <v>2.7</v>
      </c>
      <c r="M1960" t="s">
        <v>152</v>
      </c>
      <c r="N1960" t="s">
        <v>35</v>
      </c>
      <c r="O1960" t="s">
        <v>76</v>
      </c>
      <c r="P1960" t="s">
        <v>152</v>
      </c>
      <c r="Q1960" t="s">
        <v>152</v>
      </c>
      <c r="R1960">
        <v>47</v>
      </c>
      <c r="S1960" t="s">
        <v>35</v>
      </c>
      <c r="T1960" t="str">
        <f t="shared" si="60"/>
        <v>Quarterly</v>
      </c>
      <c r="U1960">
        <f>VLOOKUP(T1960,[1]tablescore!$B$3:$C$8, 2,FALSE)</f>
        <v>4</v>
      </c>
      <c r="V1960" t="str">
        <f t="shared" si="61"/>
        <v>Low Loyalty</v>
      </c>
      <c r="W1960" t="s">
        <v>60</v>
      </c>
    </row>
    <row r="1961" spans="1:23" x14ac:dyDescent="0.25">
      <c r="A1961">
        <v>1960</v>
      </c>
      <c r="B1961">
        <v>46</v>
      </c>
      <c r="C1961" t="str" cm="1">
        <f t="array" ref="C1961">_xlfn.IFS(
  AND(B1961&gt;=18, B1961&lt;=24), "18-24",
  AND(B1961&gt;=25, B1961&lt;=34), "25-34",
  AND(B1961&gt;=35, B1961&lt;=44), "35-44",
  AND(B1961&gt;=45, B1961&lt;=54), "45-54",
  B1961&gt;=55, "55+"
)</f>
        <v>45-54</v>
      </c>
      <c r="D1961" t="s">
        <v>19</v>
      </c>
      <c r="E1961" t="s">
        <v>73</v>
      </c>
      <c r="F1961" t="s">
        <v>43</v>
      </c>
      <c r="G1961">
        <v>90</v>
      </c>
      <c r="H1961" t="s">
        <v>112</v>
      </c>
      <c r="I1961" t="s">
        <v>45</v>
      </c>
      <c r="J1961" t="s">
        <v>53</v>
      </c>
      <c r="K1961" t="s">
        <v>58</v>
      </c>
      <c r="L1961">
        <v>3.1</v>
      </c>
      <c r="M1961" t="s">
        <v>152</v>
      </c>
      <c r="N1961" t="s">
        <v>27</v>
      </c>
      <c r="O1961" t="s">
        <v>76</v>
      </c>
      <c r="P1961" t="s">
        <v>152</v>
      </c>
      <c r="Q1961" t="s">
        <v>152</v>
      </c>
      <c r="R1961">
        <v>7</v>
      </c>
      <c r="S1961" t="s">
        <v>27</v>
      </c>
      <c r="T1961" t="str">
        <f t="shared" si="60"/>
        <v>Quarterly</v>
      </c>
      <c r="U1961">
        <f>VLOOKUP(T1961,[1]tablescore!$B$3:$C$8, 2,FALSE)</f>
        <v>4</v>
      </c>
      <c r="V1961" t="str">
        <f t="shared" si="61"/>
        <v>Low Loyalty</v>
      </c>
      <c r="W1961" t="s">
        <v>97</v>
      </c>
    </row>
    <row r="1962" spans="1:23" x14ac:dyDescent="0.25">
      <c r="A1962">
        <v>1961</v>
      </c>
      <c r="B1962">
        <v>57</v>
      </c>
      <c r="C1962" t="str" cm="1">
        <f t="array" ref="C1962">_xlfn.IFS(
  AND(B1962&gt;=18, B1962&lt;=24), "18-24",
  AND(B1962&gt;=25, B1962&lt;=34), "25-34",
  AND(B1962&gt;=35, B1962&lt;=44), "35-44",
  AND(B1962&gt;=45, B1962&lt;=54), "45-54",
  B1962&gt;=55, "55+"
)</f>
        <v>55+</v>
      </c>
      <c r="D1962" t="s">
        <v>19</v>
      </c>
      <c r="E1962" t="s">
        <v>36</v>
      </c>
      <c r="F1962" t="s">
        <v>21</v>
      </c>
      <c r="G1962">
        <v>72</v>
      </c>
      <c r="H1962" t="s">
        <v>37</v>
      </c>
      <c r="I1962" t="s">
        <v>23</v>
      </c>
      <c r="J1962" t="s">
        <v>108</v>
      </c>
      <c r="K1962" t="s">
        <v>54</v>
      </c>
      <c r="L1962">
        <v>3.3</v>
      </c>
      <c r="M1962" t="s">
        <v>152</v>
      </c>
      <c r="N1962" t="s">
        <v>34</v>
      </c>
      <c r="O1962" t="s">
        <v>72</v>
      </c>
      <c r="P1962" t="s">
        <v>152</v>
      </c>
      <c r="Q1962" t="s">
        <v>152</v>
      </c>
      <c r="R1962">
        <v>40</v>
      </c>
      <c r="S1962" t="s">
        <v>27</v>
      </c>
      <c r="T1962" t="str">
        <f t="shared" si="60"/>
        <v>Annually</v>
      </c>
      <c r="U1962">
        <f>VLOOKUP(T1962,[1]tablescore!$B$3:$C$8, 2,FALSE)</f>
        <v>1</v>
      </c>
      <c r="V1962" t="str">
        <f t="shared" si="61"/>
        <v>Low Loyalty</v>
      </c>
      <c r="W1962" t="s">
        <v>50</v>
      </c>
    </row>
    <row r="1963" spans="1:23" x14ac:dyDescent="0.25">
      <c r="A1963">
        <v>1962</v>
      </c>
      <c r="B1963">
        <v>47</v>
      </c>
      <c r="C1963" t="str" cm="1">
        <f t="array" ref="C1963">_xlfn.IFS(
  AND(B1963&gt;=18, B1963&lt;=24), "18-24",
  AND(B1963&gt;=25, B1963&lt;=34), "25-34",
  AND(B1963&gt;=35, B1963&lt;=44), "35-44",
  AND(B1963&gt;=45, B1963&lt;=54), "45-54",
  B1963&gt;=55, "55+"
)</f>
        <v>45-54</v>
      </c>
      <c r="D1963" t="s">
        <v>19</v>
      </c>
      <c r="E1963" t="s">
        <v>132</v>
      </c>
      <c r="F1963" t="s">
        <v>43</v>
      </c>
      <c r="G1963">
        <v>59</v>
      </c>
      <c r="H1963" t="s">
        <v>107</v>
      </c>
      <c r="I1963" t="s">
        <v>23</v>
      </c>
      <c r="J1963" t="s">
        <v>94</v>
      </c>
      <c r="K1963" t="s">
        <v>54</v>
      </c>
      <c r="L1963">
        <v>2.6</v>
      </c>
      <c r="M1963" t="s">
        <v>152</v>
      </c>
      <c r="N1963" t="s">
        <v>35</v>
      </c>
      <c r="O1963" t="s">
        <v>40</v>
      </c>
      <c r="P1963" t="s">
        <v>152</v>
      </c>
      <c r="Q1963" t="s">
        <v>152</v>
      </c>
      <c r="R1963">
        <v>45</v>
      </c>
      <c r="S1963" t="s">
        <v>59</v>
      </c>
      <c r="T1963" t="str">
        <f t="shared" si="60"/>
        <v>Quarterly</v>
      </c>
      <c r="U1963">
        <f>VLOOKUP(T1963,[1]tablescore!$B$3:$C$8, 2,FALSE)</f>
        <v>4</v>
      </c>
      <c r="V1963" t="str">
        <f t="shared" si="61"/>
        <v>Low Loyalty</v>
      </c>
      <c r="W1963" t="s">
        <v>60</v>
      </c>
    </row>
    <row r="1964" spans="1:23" x14ac:dyDescent="0.25">
      <c r="A1964">
        <v>1963</v>
      </c>
      <c r="B1964">
        <v>40</v>
      </c>
      <c r="C1964" t="str" cm="1">
        <f t="array" ref="C1964">_xlfn.IFS(
  AND(B1964&gt;=18, B1964&lt;=24), "18-24",
  AND(B1964&gt;=25, B1964&lt;=34), "25-34",
  AND(B1964&gt;=35, B1964&lt;=44), "35-44",
  AND(B1964&gt;=45, B1964&lt;=54), "45-54",
  B1964&gt;=55, "55+"
)</f>
        <v>35-44</v>
      </c>
      <c r="D1964" t="s">
        <v>19</v>
      </c>
      <c r="E1964" t="s">
        <v>125</v>
      </c>
      <c r="F1964" t="s">
        <v>69</v>
      </c>
      <c r="G1964">
        <v>45</v>
      </c>
      <c r="H1964" t="s">
        <v>150</v>
      </c>
      <c r="I1964" t="s">
        <v>45</v>
      </c>
      <c r="J1964" t="s">
        <v>67</v>
      </c>
      <c r="K1964" t="s">
        <v>58</v>
      </c>
      <c r="L1964">
        <v>4.4000000000000004</v>
      </c>
      <c r="M1964" t="s">
        <v>152</v>
      </c>
      <c r="N1964" t="s">
        <v>59</v>
      </c>
      <c r="O1964" t="s">
        <v>55</v>
      </c>
      <c r="P1964" t="s">
        <v>152</v>
      </c>
      <c r="Q1964" t="s">
        <v>152</v>
      </c>
      <c r="R1964">
        <v>20</v>
      </c>
      <c r="S1964" t="s">
        <v>46</v>
      </c>
      <c r="T1964" t="str">
        <f t="shared" si="60"/>
        <v>2-week</v>
      </c>
      <c r="U1964">
        <f>VLOOKUP(T1964,[1]tablescore!$B$3:$C$8, 2,FALSE)</f>
        <v>26</v>
      </c>
      <c r="V1964" t="str">
        <f t="shared" si="61"/>
        <v>Loyal</v>
      </c>
      <c r="W1964" t="s">
        <v>30</v>
      </c>
    </row>
    <row r="1965" spans="1:23" x14ac:dyDescent="0.25">
      <c r="A1965">
        <v>1964</v>
      </c>
      <c r="B1965">
        <v>52</v>
      </c>
      <c r="C1965" t="str" cm="1">
        <f t="array" ref="C1965">_xlfn.IFS(
  AND(B1965&gt;=18, B1965&lt;=24), "18-24",
  AND(B1965&gt;=25, B1965&lt;=34), "25-34",
  AND(B1965&gt;=35, B1965&lt;=44), "35-44",
  AND(B1965&gt;=45, B1965&lt;=54), "45-54",
  B1965&gt;=55, "55+"
)</f>
        <v>45-54</v>
      </c>
      <c r="D1965" t="s">
        <v>19</v>
      </c>
      <c r="E1965" t="s">
        <v>61</v>
      </c>
      <c r="F1965" t="s">
        <v>21</v>
      </c>
      <c r="G1965">
        <v>30</v>
      </c>
      <c r="H1965" t="s">
        <v>151</v>
      </c>
      <c r="I1965" t="s">
        <v>23</v>
      </c>
      <c r="J1965" t="s">
        <v>71</v>
      </c>
      <c r="K1965" t="s">
        <v>39</v>
      </c>
      <c r="L1965">
        <v>3.9</v>
      </c>
      <c r="M1965" t="s">
        <v>152</v>
      </c>
      <c r="N1965" t="s">
        <v>34</v>
      </c>
      <c r="O1965" t="s">
        <v>55</v>
      </c>
      <c r="P1965" t="s">
        <v>152</v>
      </c>
      <c r="Q1965" t="s">
        <v>152</v>
      </c>
      <c r="R1965">
        <v>11</v>
      </c>
      <c r="S1965" t="s">
        <v>27</v>
      </c>
      <c r="T1965" t="str">
        <f t="shared" si="60"/>
        <v>Daily</v>
      </c>
      <c r="U1965">
        <f>VLOOKUP(T1965,[1]tablescore!$B$3:$C$8, 2,FALSE)</f>
        <v>30</v>
      </c>
      <c r="V1965" t="str">
        <f t="shared" si="61"/>
        <v>Highly Loyal</v>
      </c>
      <c r="W1965" t="s">
        <v>41</v>
      </c>
    </row>
    <row r="1966" spans="1:23" x14ac:dyDescent="0.25">
      <c r="A1966">
        <v>1965</v>
      </c>
      <c r="B1966">
        <v>40</v>
      </c>
      <c r="C1966" t="str" cm="1">
        <f t="array" ref="C1966">_xlfn.IFS(
  AND(B1966&gt;=18, B1966&lt;=24), "18-24",
  AND(B1966&gt;=25, B1966&lt;=34), "25-34",
  AND(B1966&gt;=35, B1966&lt;=44), "35-44",
  AND(B1966&gt;=45, B1966&lt;=54), "45-54",
  B1966&gt;=55, "55+"
)</f>
        <v>35-44</v>
      </c>
      <c r="D1966" t="s">
        <v>19</v>
      </c>
      <c r="E1966" t="s">
        <v>95</v>
      </c>
      <c r="F1966" t="s">
        <v>21</v>
      </c>
      <c r="G1966">
        <v>51</v>
      </c>
      <c r="H1966" t="s">
        <v>66</v>
      </c>
      <c r="I1966" t="s">
        <v>38</v>
      </c>
      <c r="J1966" t="s">
        <v>109</v>
      </c>
      <c r="K1966" t="s">
        <v>54</v>
      </c>
      <c r="L1966">
        <v>4.5999999999999996</v>
      </c>
      <c r="M1966" t="s">
        <v>152</v>
      </c>
      <c r="N1966" t="s">
        <v>46</v>
      </c>
      <c r="O1966" t="s">
        <v>28</v>
      </c>
      <c r="P1966" t="s">
        <v>152</v>
      </c>
      <c r="Q1966" t="s">
        <v>152</v>
      </c>
      <c r="R1966">
        <v>50</v>
      </c>
      <c r="S1966" t="s">
        <v>59</v>
      </c>
      <c r="T1966" t="str">
        <f t="shared" si="60"/>
        <v>Month</v>
      </c>
      <c r="U1966">
        <f>VLOOKUP(T1966,[1]tablescore!$B$3:$C$8, 2,FALSE)</f>
        <v>12</v>
      </c>
      <c r="V1966" t="str">
        <f t="shared" si="61"/>
        <v>Moderate</v>
      </c>
      <c r="W1966" t="s">
        <v>88</v>
      </c>
    </row>
    <row r="1967" spans="1:23" x14ac:dyDescent="0.25">
      <c r="A1967">
        <v>1966</v>
      </c>
      <c r="B1967">
        <v>67</v>
      </c>
      <c r="C1967" t="str" cm="1">
        <f t="array" ref="C1967">_xlfn.IFS(
  AND(B1967&gt;=18, B1967&lt;=24), "18-24",
  AND(B1967&gt;=25, B1967&lt;=34), "25-34",
  AND(B1967&gt;=35, B1967&lt;=44), "35-44",
  AND(B1967&gt;=45, B1967&lt;=54), "45-54",
  B1967&gt;=55, "55+"
)</f>
        <v>55+</v>
      </c>
      <c r="D1967" t="s">
        <v>19</v>
      </c>
      <c r="E1967" t="s">
        <v>31</v>
      </c>
      <c r="F1967" t="s">
        <v>21</v>
      </c>
      <c r="G1967">
        <v>90</v>
      </c>
      <c r="H1967" t="s">
        <v>116</v>
      </c>
      <c r="I1967" t="s">
        <v>45</v>
      </c>
      <c r="J1967" t="s">
        <v>53</v>
      </c>
      <c r="K1967" t="s">
        <v>58</v>
      </c>
      <c r="L1967">
        <v>4.9000000000000004</v>
      </c>
      <c r="M1967" t="s">
        <v>152</v>
      </c>
      <c r="N1967" t="s">
        <v>29</v>
      </c>
      <c r="O1967" t="s">
        <v>28</v>
      </c>
      <c r="P1967" t="s">
        <v>152</v>
      </c>
      <c r="Q1967" t="s">
        <v>152</v>
      </c>
      <c r="R1967">
        <v>25</v>
      </c>
      <c r="S1967" t="s">
        <v>59</v>
      </c>
      <c r="T1967" t="str">
        <f t="shared" si="60"/>
        <v>Quarterly</v>
      </c>
      <c r="U1967">
        <f>VLOOKUP(T1967,[1]tablescore!$B$3:$C$8, 2,FALSE)</f>
        <v>4</v>
      </c>
      <c r="V1967" t="str">
        <f t="shared" si="61"/>
        <v>Low Loyalty</v>
      </c>
      <c r="W1967" t="s">
        <v>60</v>
      </c>
    </row>
    <row r="1968" spans="1:23" x14ac:dyDescent="0.25">
      <c r="A1968">
        <v>1967</v>
      </c>
      <c r="B1968">
        <v>67</v>
      </c>
      <c r="C1968" t="str" cm="1">
        <f t="array" ref="C1968">_xlfn.IFS(
  AND(B1968&gt;=18, B1968&lt;=24), "18-24",
  AND(B1968&gt;=25, B1968&lt;=34), "25-34",
  AND(B1968&gt;=35, B1968&lt;=44), "35-44",
  AND(B1968&gt;=45, B1968&lt;=54), "45-54",
  B1968&gt;=55, "55+"
)</f>
        <v>55+</v>
      </c>
      <c r="D1968" t="s">
        <v>19</v>
      </c>
      <c r="E1968" t="s">
        <v>102</v>
      </c>
      <c r="F1968" t="s">
        <v>65</v>
      </c>
      <c r="G1968">
        <v>95</v>
      </c>
      <c r="H1968" t="s">
        <v>116</v>
      </c>
      <c r="I1968" t="s">
        <v>92</v>
      </c>
      <c r="J1968" t="s">
        <v>75</v>
      </c>
      <c r="K1968" t="s">
        <v>25</v>
      </c>
      <c r="L1968">
        <v>3.7</v>
      </c>
      <c r="M1968" t="s">
        <v>152</v>
      </c>
      <c r="N1968" t="s">
        <v>29</v>
      </c>
      <c r="O1968" t="s">
        <v>28</v>
      </c>
      <c r="P1968" t="s">
        <v>152</v>
      </c>
      <c r="Q1968" t="s">
        <v>152</v>
      </c>
      <c r="R1968">
        <v>5</v>
      </c>
      <c r="S1968" t="s">
        <v>27</v>
      </c>
      <c r="T1968" t="str">
        <f t="shared" si="60"/>
        <v>2-week</v>
      </c>
      <c r="U1968">
        <f>VLOOKUP(T1968,[1]tablescore!$B$3:$C$8, 2,FALSE)</f>
        <v>26</v>
      </c>
      <c r="V1968" t="str">
        <f t="shared" si="61"/>
        <v>Loyal</v>
      </c>
      <c r="W1968" t="s">
        <v>30</v>
      </c>
    </row>
    <row r="1969" spans="1:23" x14ac:dyDescent="0.25">
      <c r="A1969">
        <v>1968</v>
      </c>
      <c r="B1969">
        <v>37</v>
      </c>
      <c r="C1969" t="str" cm="1">
        <f t="array" ref="C1969">_xlfn.IFS(
  AND(B1969&gt;=18, B1969&lt;=24), "18-24",
  AND(B1969&gt;=25, B1969&lt;=34), "25-34",
  AND(B1969&gt;=35, B1969&lt;=44), "35-44",
  AND(B1969&gt;=45, B1969&lt;=54), "45-54",
  B1969&gt;=55, "55+"
)</f>
        <v>35-44</v>
      </c>
      <c r="D1969" t="s">
        <v>19</v>
      </c>
      <c r="E1969" t="s">
        <v>82</v>
      </c>
      <c r="F1969" t="s">
        <v>21</v>
      </c>
      <c r="G1969">
        <v>81</v>
      </c>
      <c r="H1969" t="s">
        <v>142</v>
      </c>
      <c r="I1969" t="s">
        <v>23</v>
      </c>
      <c r="J1969" t="s">
        <v>139</v>
      </c>
      <c r="K1969" t="s">
        <v>58</v>
      </c>
      <c r="L1969">
        <v>3.7</v>
      </c>
      <c r="M1969" t="s">
        <v>152</v>
      </c>
      <c r="N1969" t="s">
        <v>29</v>
      </c>
      <c r="O1969" t="s">
        <v>55</v>
      </c>
      <c r="P1969" t="s">
        <v>152</v>
      </c>
      <c r="Q1969" t="s">
        <v>152</v>
      </c>
      <c r="R1969">
        <v>4</v>
      </c>
      <c r="S1969" t="s">
        <v>29</v>
      </c>
      <c r="T1969" t="str">
        <f t="shared" si="60"/>
        <v>Annually</v>
      </c>
      <c r="U1969">
        <f>VLOOKUP(T1969,[1]tablescore!$B$3:$C$8, 2,FALSE)</f>
        <v>1</v>
      </c>
      <c r="V1969" t="str">
        <f t="shared" si="61"/>
        <v>Low Loyalty</v>
      </c>
      <c r="W1969" t="s">
        <v>50</v>
      </c>
    </row>
    <row r="1970" spans="1:23" x14ac:dyDescent="0.25">
      <c r="A1970">
        <v>1969</v>
      </c>
      <c r="B1970">
        <v>67</v>
      </c>
      <c r="C1970" t="str" cm="1">
        <f t="array" ref="C1970">_xlfn.IFS(
  AND(B1970&gt;=18, B1970&lt;=24), "18-24",
  AND(B1970&gt;=25, B1970&lt;=34), "25-34",
  AND(B1970&gt;=35, B1970&lt;=44), "35-44",
  AND(B1970&gt;=45, B1970&lt;=54), "45-54",
  B1970&gt;=55, "55+"
)</f>
        <v>55+</v>
      </c>
      <c r="D1970" t="s">
        <v>19</v>
      </c>
      <c r="E1970" t="s">
        <v>56</v>
      </c>
      <c r="F1970" t="s">
        <v>21</v>
      </c>
      <c r="G1970">
        <v>70</v>
      </c>
      <c r="H1970" t="s">
        <v>134</v>
      </c>
      <c r="I1970" t="s">
        <v>38</v>
      </c>
      <c r="J1970" t="s">
        <v>138</v>
      </c>
      <c r="K1970" t="s">
        <v>39</v>
      </c>
      <c r="L1970">
        <v>4.2</v>
      </c>
      <c r="M1970" t="s">
        <v>152</v>
      </c>
      <c r="N1970" t="s">
        <v>27</v>
      </c>
      <c r="O1970" t="s">
        <v>55</v>
      </c>
      <c r="P1970" t="s">
        <v>152</v>
      </c>
      <c r="Q1970" t="s">
        <v>152</v>
      </c>
      <c r="R1970">
        <v>25</v>
      </c>
      <c r="S1970" t="s">
        <v>27</v>
      </c>
      <c r="T1970" t="str">
        <f t="shared" si="60"/>
        <v>Daily</v>
      </c>
      <c r="U1970">
        <f>VLOOKUP(T1970,[1]tablescore!$B$3:$C$8, 2,FALSE)</f>
        <v>30</v>
      </c>
      <c r="V1970" t="str">
        <f t="shared" si="61"/>
        <v>Highly Loyal</v>
      </c>
      <c r="W1970" t="s">
        <v>41</v>
      </c>
    </row>
    <row r="1971" spans="1:23" x14ac:dyDescent="0.25">
      <c r="A1971">
        <v>1970</v>
      </c>
      <c r="B1971">
        <v>64</v>
      </c>
      <c r="C1971" t="str" cm="1">
        <f t="array" ref="C1971">_xlfn.IFS(
  AND(B1971&gt;=18, B1971&lt;=24), "18-24",
  AND(B1971&gt;=25, B1971&lt;=34), "25-34",
  AND(B1971&gt;=35, B1971&lt;=44), "35-44",
  AND(B1971&gt;=45, B1971&lt;=54), "45-54",
  B1971&gt;=55, "55+"
)</f>
        <v>55+</v>
      </c>
      <c r="D1971" t="s">
        <v>19</v>
      </c>
      <c r="E1971" t="s">
        <v>82</v>
      </c>
      <c r="F1971" t="s">
        <v>21</v>
      </c>
      <c r="G1971">
        <v>32</v>
      </c>
      <c r="H1971" t="s">
        <v>62</v>
      </c>
      <c r="I1971" t="s">
        <v>38</v>
      </c>
      <c r="J1971" t="s">
        <v>109</v>
      </c>
      <c r="K1971" t="s">
        <v>25</v>
      </c>
      <c r="L1971">
        <v>3.5</v>
      </c>
      <c r="M1971" t="s">
        <v>152</v>
      </c>
      <c r="N1971" t="s">
        <v>46</v>
      </c>
      <c r="O1971" t="s">
        <v>47</v>
      </c>
      <c r="P1971" t="s">
        <v>152</v>
      </c>
      <c r="Q1971" t="s">
        <v>152</v>
      </c>
      <c r="R1971">
        <v>11</v>
      </c>
      <c r="S1971" t="s">
        <v>34</v>
      </c>
      <c r="T1971" t="str">
        <f t="shared" si="60"/>
        <v>2-week</v>
      </c>
      <c r="U1971">
        <f>VLOOKUP(T1971,[1]tablescore!$B$3:$C$8, 2,FALSE)</f>
        <v>26</v>
      </c>
      <c r="V1971" t="str">
        <f t="shared" si="61"/>
        <v>Loyal</v>
      </c>
      <c r="W1971" t="s">
        <v>30</v>
      </c>
    </row>
    <row r="1972" spans="1:23" x14ac:dyDescent="0.25">
      <c r="A1972">
        <v>1971</v>
      </c>
      <c r="B1972">
        <v>28</v>
      </c>
      <c r="C1972" t="str" cm="1">
        <f t="array" ref="C1972">_xlfn.IFS(
  AND(B1972&gt;=18, B1972&lt;=24), "18-24",
  AND(B1972&gt;=25, B1972&lt;=34), "25-34",
  AND(B1972&gt;=35, B1972&lt;=44), "35-44",
  AND(B1972&gt;=45, B1972&lt;=54), "45-54",
  B1972&gt;=55, "55+"
)</f>
        <v>25-34</v>
      </c>
      <c r="D1972" t="s">
        <v>19</v>
      </c>
      <c r="E1972" t="s">
        <v>136</v>
      </c>
      <c r="F1972" t="s">
        <v>69</v>
      </c>
      <c r="G1972">
        <v>94</v>
      </c>
      <c r="H1972" t="s">
        <v>135</v>
      </c>
      <c r="I1972" t="s">
        <v>45</v>
      </c>
      <c r="J1972" t="s">
        <v>129</v>
      </c>
      <c r="K1972" t="s">
        <v>39</v>
      </c>
      <c r="L1972">
        <v>2.9</v>
      </c>
      <c r="M1972" t="s">
        <v>152</v>
      </c>
      <c r="N1972" t="s">
        <v>59</v>
      </c>
      <c r="O1972" t="s">
        <v>47</v>
      </c>
      <c r="P1972" t="s">
        <v>152</v>
      </c>
      <c r="Q1972" t="s">
        <v>152</v>
      </c>
      <c r="R1972">
        <v>4</v>
      </c>
      <c r="S1972" t="s">
        <v>27</v>
      </c>
      <c r="T1972" t="str">
        <f t="shared" si="60"/>
        <v>2-week</v>
      </c>
      <c r="U1972">
        <f>VLOOKUP(T1972,[1]tablescore!$B$3:$C$8, 2,FALSE)</f>
        <v>26</v>
      </c>
      <c r="V1972" t="str">
        <f t="shared" si="61"/>
        <v>Loyal</v>
      </c>
      <c r="W1972" t="s">
        <v>77</v>
      </c>
    </row>
    <row r="1973" spans="1:23" x14ac:dyDescent="0.25">
      <c r="A1973">
        <v>1972</v>
      </c>
      <c r="B1973">
        <v>54</v>
      </c>
      <c r="C1973" t="str" cm="1">
        <f t="array" ref="C1973">_xlfn.IFS(
  AND(B1973&gt;=18, B1973&lt;=24), "18-24",
  AND(B1973&gt;=25, B1973&lt;=34), "25-34",
  AND(B1973&gt;=35, B1973&lt;=44), "35-44",
  AND(B1973&gt;=45, B1973&lt;=54), "45-54",
  B1973&gt;=55, "55+"
)</f>
        <v>45-54</v>
      </c>
      <c r="D1973" t="s">
        <v>19</v>
      </c>
      <c r="E1973" t="s">
        <v>125</v>
      </c>
      <c r="F1973" t="s">
        <v>69</v>
      </c>
      <c r="G1973">
        <v>29</v>
      </c>
      <c r="H1973" t="s">
        <v>141</v>
      </c>
      <c r="I1973" t="s">
        <v>92</v>
      </c>
      <c r="J1973" t="s">
        <v>129</v>
      </c>
      <c r="K1973" t="s">
        <v>39</v>
      </c>
      <c r="L1973">
        <v>3.4</v>
      </c>
      <c r="M1973" t="s">
        <v>152</v>
      </c>
      <c r="N1973" t="s">
        <v>46</v>
      </c>
      <c r="O1973" t="s">
        <v>47</v>
      </c>
      <c r="P1973" t="s">
        <v>152</v>
      </c>
      <c r="Q1973" t="s">
        <v>152</v>
      </c>
      <c r="R1973">
        <v>1</v>
      </c>
      <c r="S1973" t="s">
        <v>29</v>
      </c>
      <c r="T1973" t="str">
        <f t="shared" si="60"/>
        <v>Month</v>
      </c>
      <c r="U1973">
        <f>VLOOKUP(T1973,[1]tablescore!$B$3:$C$8, 2,FALSE)</f>
        <v>12</v>
      </c>
      <c r="V1973" t="str">
        <f t="shared" si="61"/>
        <v>Moderate</v>
      </c>
      <c r="W1973" t="s">
        <v>88</v>
      </c>
    </row>
    <row r="1974" spans="1:23" x14ac:dyDescent="0.25">
      <c r="A1974">
        <v>1973</v>
      </c>
      <c r="B1974">
        <v>54</v>
      </c>
      <c r="C1974" t="str" cm="1">
        <f t="array" ref="C1974">_xlfn.IFS(
  AND(B1974&gt;=18, B1974&lt;=24), "18-24",
  AND(B1974&gt;=25, B1974&lt;=34), "25-34",
  AND(B1974&gt;=35, B1974&lt;=44), "35-44",
  AND(B1974&gt;=45, B1974&lt;=54), "45-54",
  B1974&gt;=55, "55+"
)</f>
        <v>45-54</v>
      </c>
      <c r="D1974" t="s">
        <v>19</v>
      </c>
      <c r="E1974" t="s">
        <v>133</v>
      </c>
      <c r="F1974" t="s">
        <v>69</v>
      </c>
      <c r="G1974">
        <v>31</v>
      </c>
      <c r="H1974" t="s">
        <v>62</v>
      </c>
      <c r="I1974" t="s">
        <v>45</v>
      </c>
      <c r="J1974" t="s">
        <v>67</v>
      </c>
      <c r="K1974" t="s">
        <v>54</v>
      </c>
      <c r="L1974">
        <v>3.3</v>
      </c>
      <c r="M1974" t="s">
        <v>152</v>
      </c>
      <c r="N1974" t="s">
        <v>59</v>
      </c>
      <c r="O1974" t="s">
        <v>28</v>
      </c>
      <c r="P1974" t="s">
        <v>152</v>
      </c>
      <c r="Q1974" t="s">
        <v>152</v>
      </c>
      <c r="R1974">
        <v>48</v>
      </c>
      <c r="S1974" t="s">
        <v>46</v>
      </c>
      <c r="T1974" t="str">
        <f t="shared" si="60"/>
        <v>Quarterly</v>
      </c>
      <c r="U1974">
        <f>VLOOKUP(T1974,[1]tablescore!$B$3:$C$8, 2,FALSE)</f>
        <v>4</v>
      </c>
      <c r="V1974" t="str">
        <f t="shared" si="61"/>
        <v>Low Loyalty</v>
      </c>
      <c r="W1974" t="s">
        <v>97</v>
      </c>
    </row>
    <row r="1975" spans="1:23" x14ac:dyDescent="0.25">
      <c r="A1975">
        <v>1974</v>
      </c>
      <c r="B1975">
        <v>24</v>
      </c>
      <c r="C1975" t="str" cm="1">
        <f t="array" ref="C1975">_xlfn.IFS(
  AND(B1975&gt;=18, B1975&lt;=24), "18-24",
  AND(B1975&gt;=25, B1975&lt;=34), "25-34",
  AND(B1975&gt;=35, B1975&lt;=44), "35-44",
  AND(B1975&gt;=45, B1975&lt;=54), "45-54",
  B1975&gt;=55, "55+"
)</f>
        <v>18-24</v>
      </c>
      <c r="D1975" t="s">
        <v>19</v>
      </c>
      <c r="E1975" t="s">
        <v>87</v>
      </c>
      <c r="F1975" t="s">
        <v>21</v>
      </c>
      <c r="G1975">
        <v>20</v>
      </c>
      <c r="H1975" t="s">
        <v>135</v>
      </c>
      <c r="I1975" t="s">
        <v>92</v>
      </c>
      <c r="J1975" t="s">
        <v>108</v>
      </c>
      <c r="K1975" t="s">
        <v>58</v>
      </c>
      <c r="L1975">
        <v>4.5</v>
      </c>
      <c r="M1975" t="s">
        <v>152</v>
      </c>
      <c r="N1975" t="s">
        <v>59</v>
      </c>
      <c r="O1975" t="s">
        <v>55</v>
      </c>
      <c r="P1975" t="s">
        <v>152</v>
      </c>
      <c r="Q1975" t="s">
        <v>152</v>
      </c>
      <c r="R1975">
        <v>9</v>
      </c>
      <c r="S1975" t="s">
        <v>29</v>
      </c>
      <c r="T1975" t="str">
        <f t="shared" si="60"/>
        <v>Quarterly</v>
      </c>
      <c r="U1975">
        <f>VLOOKUP(T1975,[1]tablescore!$B$3:$C$8, 2,FALSE)</f>
        <v>4</v>
      </c>
      <c r="V1975" t="str">
        <f t="shared" si="61"/>
        <v>Low Loyalty</v>
      </c>
      <c r="W1975" t="s">
        <v>97</v>
      </c>
    </row>
    <row r="1976" spans="1:23" x14ac:dyDescent="0.25">
      <c r="A1976">
        <v>1975</v>
      </c>
      <c r="B1976">
        <v>27</v>
      </c>
      <c r="C1976" t="str" cm="1">
        <f t="array" ref="C1976">_xlfn.IFS(
  AND(B1976&gt;=18, B1976&lt;=24), "18-24",
  AND(B1976&gt;=25, B1976&lt;=34), "25-34",
  AND(B1976&gt;=35, B1976&lt;=44), "35-44",
  AND(B1976&gt;=45, B1976&lt;=54), "45-54",
  B1976&gt;=55, "55+"
)</f>
        <v>25-34</v>
      </c>
      <c r="D1976" t="s">
        <v>19</v>
      </c>
      <c r="E1976" t="s">
        <v>127</v>
      </c>
      <c r="F1976" t="s">
        <v>69</v>
      </c>
      <c r="G1976">
        <v>44</v>
      </c>
      <c r="H1976" t="s">
        <v>122</v>
      </c>
      <c r="I1976" t="s">
        <v>45</v>
      </c>
      <c r="J1976" t="s">
        <v>100</v>
      </c>
      <c r="K1976" t="s">
        <v>25</v>
      </c>
      <c r="L1976">
        <v>4.5999999999999996</v>
      </c>
      <c r="M1976" t="s">
        <v>152</v>
      </c>
      <c r="N1976" t="s">
        <v>27</v>
      </c>
      <c r="O1976" t="s">
        <v>72</v>
      </c>
      <c r="P1976" t="s">
        <v>152</v>
      </c>
      <c r="Q1976" t="s">
        <v>152</v>
      </c>
      <c r="R1976">
        <v>2</v>
      </c>
      <c r="S1976" t="s">
        <v>46</v>
      </c>
      <c r="T1976" t="str">
        <f t="shared" si="60"/>
        <v>2-week</v>
      </c>
      <c r="U1976">
        <f>VLOOKUP(T1976,[1]tablescore!$B$3:$C$8, 2,FALSE)</f>
        <v>26</v>
      </c>
      <c r="V1976" t="str">
        <f t="shared" si="61"/>
        <v>Loyal</v>
      </c>
      <c r="W1976" t="s">
        <v>30</v>
      </c>
    </row>
    <row r="1977" spans="1:23" x14ac:dyDescent="0.25">
      <c r="A1977">
        <v>1976</v>
      </c>
      <c r="B1977">
        <v>53</v>
      </c>
      <c r="C1977" t="str" cm="1">
        <f t="array" ref="C1977">_xlfn.IFS(
  AND(B1977&gt;=18, B1977&lt;=24), "18-24",
  AND(B1977&gt;=25, B1977&lt;=34), "25-34",
  AND(B1977&gt;=35, B1977&lt;=44), "35-44",
  AND(B1977&gt;=45, B1977&lt;=54), "45-54",
  B1977&gt;=55, "55+"
)</f>
        <v>45-54</v>
      </c>
      <c r="D1977" t="s">
        <v>19</v>
      </c>
      <c r="E1977" t="s">
        <v>102</v>
      </c>
      <c r="F1977" t="s">
        <v>65</v>
      </c>
      <c r="G1977">
        <v>77</v>
      </c>
      <c r="H1977" t="s">
        <v>115</v>
      </c>
      <c r="I1977" t="s">
        <v>23</v>
      </c>
      <c r="J1977" t="s">
        <v>49</v>
      </c>
      <c r="K1977" t="s">
        <v>58</v>
      </c>
      <c r="L1977">
        <v>2.9</v>
      </c>
      <c r="M1977" t="s">
        <v>152</v>
      </c>
      <c r="N1977" t="s">
        <v>27</v>
      </c>
      <c r="O1977" t="s">
        <v>28</v>
      </c>
      <c r="P1977" t="s">
        <v>152</v>
      </c>
      <c r="Q1977" t="s">
        <v>152</v>
      </c>
      <c r="R1977">
        <v>4</v>
      </c>
      <c r="S1977" t="s">
        <v>35</v>
      </c>
      <c r="T1977" t="str">
        <f t="shared" si="60"/>
        <v>Quarterly</v>
      </c>
      <c r="U1977">
        <f>VLOOKUP(T1977,[1]tablescore!$B$3:$C$8, 2,FALSE)</f>
        <v>4</v>
      </c>
      <c r="V1977" t="str">
        <f t="shared" si="61"/>
        <v>Low Loyalty</v>
      </c>
      <c r="W1977" t="s">
        <v>60</v>
      </c>
    </row>
    <row r="1978" spans="1:23" x14ac:dyDescent="0.25">
      <c r="A1978">
        <v>1977</v>
      </c>
      <c r="B1978">
        <v>32</v>
      </c>
      <c r="C1978" t="str" cm="1">
        <f t="array" ref="C1978">_xlfn.IFS(
  AND(B1978&gt;=18, B1978&lt;=24), "18-24",
  AND(B1978&gt;=25, B1978&lt;=34), "25-34",
  AND(B1978&gt;=35, B1978&lt;=44), "35-44",
  AND(B1978&gt;=45, B1978&lt;=54), "45-54",
  B1978&gt;=55, "55+"
)</f>
        <v>25-34</v>
      </c>
      <c r="D1978" t="s">
        <v>19</v>
      </c>
      <c r="E1978" t="s">
        <v>68</v>
      </c>
      <c r="F1978" t="s">
        <v>69</v>
      </c>
      <c r="G1978">
        <v>51</v>
      </c>
      <c r="H1978" t="s">
        <v>52</v>
      </c>
      <c r="I1978" t="s">
        <v>45</v>
      </c>
      <c r="J1978" t="s">
        <v>71</v>
      </c>
      <c r="K1978" t="s">
        <v>39</v>
      </c>
      <c r="L1978">
        <v>3.2</v>
      </c>
      <c r="M1978" t="s">
        <v>152</v>
      </c>
      <c r="N1978" t="s">
        <v>59</v>
      </c>
      <c r="O1978" t="s">
        <v>47</v>
      </c>
      <c r="P1978" t="s">
        <v>152</v>
      </c>
      <c r="Q1978" t="s">
        <v>152</v>
      </c>
      <c r="R1978">
        <v>43</v>
      </c>
      <c r="S1978" t="s">
        <v>46</v>
      </c>
      <c r="T1978" t="str">
        <f t="shared" si="60"/>
        <v>2-week</v>
      </c>
      <c r="U1978">
        <f>VLOOKUP(T1978,[1]tablescore!$B$3:$C$8, 2,FALSE)</f>
        <v>26</v>
      </c>
      <c r="V1978" t="str">
        <f t="shared" si="61"/>
        <v>Loyal</v>
      </c>
      <c r="W1978" t="s">
        <v>30</v>
      </c>
    </row>
    <row r="1979" spans="1:23" x14ac:dyDescent="0.25">
      <c r="A1979">
        <v>1978</v>
      </c>
      <c r="B1979">
        <v>24</v>
      </c>
      <c r="C1979" t="str" cm="1">
        <f t="array" ref="C1979">_xlfn.IFS(
  AND(B1979&gt;=18, B1979&lt;=24), "18-24",
  AND(B1979&gt;=25, B1979&lt;=34), "25-34",
  AND(B1979&gt;=35, B1979&lt;=44), "35-44",
  AND(B1979&gt;=45, B1979&lt;=54), "45-54",
  B1979&gt;=55, "55+"
)</f>
        <v>18-24</v>
      </c>
      <c r="D1979" t="s">
        <v>19</v>
      </c>
      <c r="E1979" t="s">
        <v>42</v>
      </c>
      <c r="F1979" t="s">
        <v>43</v>
      </c>
      <c r="G1979">
        <v>49</v>
      </c>
      <c r="H1979" t="s">
        <v>103</v>
      </c>
      <c r="I1979" t="s">
        <v>45</v>
      </c>
      <c r="J1979" t="s">
        <v>86</v>
      </c>
      <c r="K1979" t="s">
        <v>54</v>
      </c>
      <c r="L1979">
        <v>2.6</v>
      </c>
      <c r="M1979" t="s">
        <v>152</v>
      </c>
      <c r="N1979" t="s">
        <v>59</v>
      </c>
      <c r="O1979" t="s">
        <v>40</v>
      </c>
      <c r="P1979" t="s">
        <v>152</v>
      </c>
      <c r="Q1979" t="s">
        <v>152</v>
      </c>
      <c r="R1979">
        <v>32</v>
      </c>
      <c r="S1979" t="s">
        <v>34</v>
      </c>
      <c r="T1979" t="str">
        <f t="shared" si="60"/>
        <v>Annually</v>
      </c>
      <c r="U1979">
        <f>VLOOKUP(T1979,[1]tablescore!$B$3:$C$8, 2,FALSE)</f>
        <v>1</v>
      </c>
      <c r="V1979" t="str">
        <f t="shared" si="61"/>
        <v>Low Loyalty</v>
      </c>
      <c r="W1979" t="s">
        <v>50</v>
      </c>
    </row>
    <row r="1980" spans="1:23" x14ac:dyDescent="0.25">
      <c r="A1980">
        <v>1979</v>
      </c>
      <c r="B1980">
        <v>45</v>
      </c>
      <c r="C1980" t="str" cm="1">
        <f t="array" ref="C1980">_xlfn.IFS(
  AND(B1980&gt;=18, B1980&lt;=24), "18-24",
  AND(B1980&gt;=25, B1980&lt;=34), "25-34",
  AND(B1980&gt;=35, B1980&lt;=44), "35-44",
  AND(B1980&gt;=45, B1980&lt;=54), "45-54",
  B1980&gt;=55, "55+"
)</f>
        <v>45-54</v>
      </c>
      <c r="D1980" t="s">
        <v>19</v>
      </c>
      <c r="E1980" t="s">
        <v>89</v>
      </c>
      <c r="F1980" t="s">
        <v>69</v>
      </c>
      <c r="G1980">
        <v>78</v>
      </c>
      <c r="H1980" t="s">
        <v>37</v>
      </c>
      <c r="I1980" t="s">
        <v>23</v>
      </c>
      <c r="J1980" t="s">
        <v>147</v>
      </c>
      <c r="K1980" t="s">
        <v>39</v>
      </c>
      <c r="L1980">
        <v>3.8</v>
      </c>
      <c r="M1980" t="s">
        <v>152</v>
      </c>
      <c r="N1980" t="s">
        <v>35</v>
      </c>
      <c r="O1980" t="s">
        <v>76</v>
      </c>
      <c r="P1980" t="s">
        <v>152</v>
      </c>
      <c r="Q1980" t="s">
        <v>152</v>
      </c>
      <c r="R1980">
        <v>1</v>
      </c>
      <c r="S1980" t="s">
        <v>35</v>
      </c>
      <c r="T1980" t="str">
        <f t="shared" si="60"/>
        <v>Quarterly</v>
      </c>
      <c r="U1980">
        <f>VLOOKUP(T1980,[1]tablescore!$B$3:$C$8, 2,FALSE)</f>
        <v>4</v>
      </c>
      <c r="V1980" t="str">
        <f t="shared" si="61"/>
        <v>Low Loyalty</v>
      </c>
      <c r="W1980" t="s">
        <v>60</v>
      </c>
    </row>
    <row r="1981" spans="1:23" x14ac:dyDescent="0.25">
      <c r="A1981">
        <v>1980</v>
      </c>
      <c r="B1981">
        <v>49</v>
      </c>
      <c r="C1981" t="str" cm="1">
        <f t="array" ref="C1981">_xlfn.IFS(
  AND(B1981&gt;=18, B1981&lt;=24), "18-24",
  AND(B1981&gt;=25, B1981&lt;=34), "25-34",
  AND(B1981&gt;=35, B1981&lt;=44), "35-44",
  AND(B1981&gt;=45, B1981&lt;=54), "45-54",
  B1981&gt;=55, "55+"
)</f>
        <v>45-54</v>
      </c>
      <c r="D1981" t="s">
        <v>19</v>
      </c>
      <c r="E1981" t="s">
        <v>36</v>
      </c>
      <c r="F1981" t="s">
        <v>21</v>
      </c>
      <c r="G1981">
        <v>98</v>
      </c>
      <c r="H1981" t="s">
        <v>122</v>
      </c>
      <c r="I1981" t="s">
        <v>23</v>
      </c>
      <c r="J1981" t="s">
        <v>138</v>
      </c>
      <c r="K1981" t="s">
        <v>39</v>
      </c>
      <c r="L1981">
        <v>2.8</v>
      </c>
      <c r="M1981" t="s">
        <v>152</v>
      </c>
      <c r="N1981" t="s">
        <v>46</v>
      </c>
      <c r="O1981" t="s">
        <v>76</v>
      </c>
      <c r="P1981" t="s">
        <v>152</v>
      </c>
      <c r="Q1981" t="s">
        <v>152</v>
      </c>
      <c r="R1981">
        <v>38</v>
      </c>
      <c r="S1981" t="s">
        <v>59</v>
      </c>
      <c r="T1981" t="str">
        <f t="shared" si="60"/>
        <v>2-week</v>
      </c>
      <c r="U1981">
        <f>VLOOKUP(T1981,[1]tablescore!$B$3:$C$8, 2,FALSE)</f>
        <v>26</v>
      </c>
      <c r="V1981" t="str">
        <f t="shared" si="61"/>
        <v>Loyal</v>
      </c>
      <c r="W1981" t="s">
        <v>30</v>
      </c>
    </row>
    <row r="1982" spans="1:23" x14ac:dyDescent="0.25">
      <c r="A1982">
        <v>1981</v>
      </c>
      <c r="B1982">
        <v>51</v>
      </c>
      <c r="C1982" t="str" cm="1">
        <f t="array" ref="C1982">_xlfn.IFS(
  AND(B1982&gt;=18, B1982&lt;=24), "18-24",
  AND(B1982&gt;=25, B1982&lt;=34), "25-34",
  AND(B1982&gt;=35, B1982&lt;=44), "35-44",
  AND(B1982&gt;=45, B1982&lt;=54), "45-54",
  B1982&gt;=55, "55+"
)</f>
        <v>45-54</v>
      </c>
      <c r="D1982" t="s">
        <v>19</v>
      </c>
      <c r="E1982" t="s">
        <v>42</v>
      </c>
      <c r="F1982" t="s">
        <v>43</v>
      </c>
      <c r="G1982">
        <v>94</v>
      </c>
      <c r="H1982" t="s">
        <v>150</v>
      </c>
      <c r="I1982" t="s">
        <v>45</v>
      </c>
      <c r="J1982" t="s">
        <v>96</v>
      </c>
      <c r="K1982" t="s">
        <v>25</v>
      </c>
      <c r="L1982">
        <v>4.4000000000000004</v>
      </c>
      <c r="M1982" t="s">
        <v>152</v>
      </c>
      <c r="N1982" t="s">
        <v>29</v>
      </c>
      <c r="O1982" t="s">
        <v>76</v>
      </c>
      <c r="P1982" t="s">
        <v>152</v>
      </c>
      <c r="Q1982" t="s">
        <v>152</v>
      </c>
      <c r="R1982">
        <v>25</v>
      </c>
      <c r="S1982" t="s">
        <v>46</v>
      </c>
      <c r="T1982" t="str">
        <f t="shared" si="60"/>
        <v>2-week</v>
      </c>
      <c r="U1982">
        <f>VLOOKUP(T1982,[1]tablescore!$B$3:$C$8, 2,FALSE)</f>
        <v>26</v>
      </c>
      <c r="V1982" t="str">
        <f t="shared" si="61"/>
        <v>Loyal</v>
      </c>
      <c r="W1982" t="s">
        <v>30</v>
      </c>
    </row>
    <row r="1983" spans="1:23" x14ac:dyDescent="0.25">
      <c r="A1983">
        <v>1982</v>
      </c>
      <c r="B1983">
        <v>69</v>
      </c>
      <c r="C1983" t="str" cm="1">
        <f t="array" ref="C1983">_xlfn.IFS(
  AND(B1983&gt;=18, B1983&lt;=24), "18-24",
  AND(B1983&gt;=25, B1983&lt;=34), "25-34",
  AND(B1983&gt;=35, B1983&lt;=44), "35-44",
  AND(B1983&gt;=45, B1983&lt;=54), "45-54",
  B1983&gt;=55, "55+"
)</f>
        <v>55+</v>
      </c>
      <c r="D1983" t="s">
        <v>19</v>
      </c>
      <c r="E1983" t="s">
        <v>73</v>
      </c>
      <c r="F1983" t="s">
        <v>43</v>
      </c>
      <c r="G1983">
        <v>91</v>
      </c>
      <c r="H1983" t="s">
        <v>151</v>
      </c>
      <c r="I1983" t="s">
        <v>23</v>
      </c>
      <c r="J1983" t="s">
        <v>84</v>
      </c>
      <c r="K1983" t="s">
        <v>54</v>
      </c>
      <c r="L1983">
        <v>4.7</v>
      </c>
      <c r="M1983" t="s">
        <v>152</v>
      </c>
      <c r="N1983" t="s">
        <v>35</v>
      </c>
      <c r="O1983" t="s">
        <v>28</v>
      </c>
      <c r="P1983" t="s">
        <v>152</v>
      </c>
      <c r="Q1983" t="s">
        <v>152</v>
      </c>
      <c r="R1983">
        <v>42</v>
      </c>
      <c r="S1983" t="s">
        <v>46</v>
      </c>
      <c r="T1983" t="str">
        <f t="shared" si="60"/>
        <v>Quarterly</v>
      </c>
      <c r="U1983">
        <f>VLOOKUP(T1983,[1]tablescore!$B$3:$C$8, 2,FALSE)</f>
        <v>4</v>
      </c>
      <c r="V1983" t="str">
        <f t="shared" si="61"/>
        <v>Low Loyalty</v>
      </c>
      <c r="W1983" t="s">
        <v>60</v>
      </c>
    </row>
    <row r="1984" spans="1:23" x14ac:dyDescent="0.25">
      <c r="A1984">
        <v>1983</v>
      </c>
      <c r="B1984">
        <v>41</v>
      </c>
      <c r="C1984" t="str" cm="1">
        <f t="array" ref="C1984">_xlfn.IFS(
  AND(B1984&gt;=18, B1984&lt;=24), "18-24",
  AND(B1984&gt;=25, B1984&lt;=34), "25-34",
  AND(B1984&gt;=35, B1984&lt;=44), "35-44",
  AND(B1984&gt;=45, B1984&lt;=54), "45-54",
  B1984&gt;=55, "55+"
)</f>
        <v>35-44</v>
      </c>
      <c r="D1984" t="s">
        <v>19</v>
      </c>
      <c r="E1984" t="s">
        <v>89</v>
      </c>
      <c r="F1984" t="s">
        <v>69</v>
      </c>
      <c r="G1984">
        <v>77</v>
      </c>
      <c r="H1984" t="s">
        <v>111</v>
      </c>
      <c r="I1984" t="s">
        <v>45</v>
      </c>
      <c r="J1984" t="s">
        <v>49</v>
      </c>
      <c r="K1984" t="s">
        <v>54</v>
      </c>
      <c r="L1984">
        <v>2.7</v>
      </c>
      <c r="M1984" t="s">
        <v>152</v>
      </c>
      <c r="N1984" t="s">
        <v>46</v>
      </c>
      <c r="O1984" t="s">
        <v>72</v>
      </c>
      <c r="P1984" t="s">
        <v>152</v>
      </c>
      <c r="Q1984" t="s">
        <v>152</v>
      </c>
      <c r="R1984">
        <v>32</v>
      </c>
      <c r="S1984" t="s">
        <v>46</v>
      </c>
      <c r="T1984" t="str">
        <f t="shared" si="60"/>
        <v>Month</v>
      </c>
      <c r="U1984">
        <f>VLOOKUP(T1984,[1]tablescore!$B$3:$C$8, 2,FALSE)</f>
        <v>12</v>
      </c>
      <c r="V1984" t="str">
        <f t="shared" si="61"/>
        <v>Moderate</v>
      </c>
      <c r="W1984" t="s">
        <v>88</v>
      </c>
    </row>
    <row r="1985" spans="1:23" x14ac:dyDescent="0.25">
      <c r="A1985">
        <v>1984</v>
      </c>
      <c r="B1985">
        <v>59</v>
      </c>
      <c r="C1985" t="str" cm="1">
        <f t="array" ref="C1985">_xlfn.IFS(
  AND(B1985&gt;=18, B1985&lt;=24), "18-24",
  AND(B1985&gt;=25, B1985&lt;=34), "25-34",
  AND(B1985&gt;=35, B1985&lt;=44), "35-44",
  AND(B1985&gt;=45, B1985&lt;=54), "45-54",
  B1985&gt;=55, "55+"
)</f>
        <v>55+</v>
      </c>
      <c r="D1985" t="s">
        <v>19</v>
      </c>
      <c r="E1985" t="s">
        <v>119</v>
      </c>
      <c r="F1985" t="s">
        <v>69</v>
      </c>
      <c r="G1985">
        <v>97</v>
      </c>
      <c r="H1985" t="s">
        <v>142</v>
      </c>
      <c r="I1985" t="s">
        <v>45</v>
      </c>
      <c r="J1985" t="s">
        <v>71</v>
      </c>
      <c r="K1985" t="s">
        <v>54</v>
      </c>
      <c r="L1985">
        <v>2.6</v>
      </c>
      <c r="M1985" t="s">
        <v>152</v>
      </c>
      <c r="N1985" t="s">
        <v>27</v>
      </c>
      <c r="O1985" t="s">
        <v>47</v>
      </c>
      <c r="P1985" t="s">
        <v>152</v>
      </c>
      <c r="Q1985" t="s">
        <v>152</v>
      </c>
      <c r="R1985">
        <v>21</v>
      </c>
      <c r="S1985" t="s">
        <v>59</v>
      </c>
      <c r="T1985" t="str">
        <f t="shared" si="60"/>
        <v>Quarterly</v>
      </c>
      <c r="U1985">
        <f>VLOOKUP(T1985,[1]tablescore!$B$3:$C$8, 2,FALSE)</f>
        <v>4</v>
      </c>
      <c r="V1985" t="str">
        <f t="shared" si="61"/>
        <v>Low Loyalty</v>
      </c>
      <c r="W1985" t="s">
        <v>60</v>
      </c>
    </row>
    <row r="1986" spans="1:23" x14ac:dyDescent="0.25">
      <c r="A1986">
        <v>1985</v>
      </c>
      <c r="B1986">
        <v>26</v>
      </c>
      <c r="C1986" t="str" cm="1">
        <f t="array" ref="C1986">_xlfn.IFS(
  AND(B1986&gt;=18, B1986&lt;=24), "18-24",
  AND(B1986&gt;=25, B1986&lt;=34), "25-34",
  AND(B1986&gt;=35, B1986&lt;=44), "35-44",
  AND(B1986&gt;=45, B1986&lt;=54), "45-54",
  B1986&gt;=55, "55+"
)</f>
        <v>25-34</v>
      </c>
      <c r="D1986" t="s">
        <v>19</v>
      </c>
      <c r="E1986" t="s">
        <v>87</v>
      </c>
      <c r="F1986" t="s">
        <v>21</v>
      </c>
      <c r="G1986">
        <v>58</v>
      </c>
      <c r="H1986" t="s">
        <v>66</v>
      </c>
      <c r="I1986" t="s">
        <v>45</v>
      </c>
      <c r="J1986" t="s">
        <v>94</v>
      </c>
      <c r="K1986" t="s">
        <v>54</v>
      </c>
      <c r="L1986">
        <v>3.4</v>
      </c>
      <c r="M1986" t="s">
        <v>152</v>
      </c>
      <c r="N1986" t="s">
        <v>34</v>
      </c>
      <c r="O1986" t="s">
        <v>72</v>
      </c>
      <c r="P1986" t="s">
        <v>152</v>
      </c>
      <c r="Q1986" t="s">
        <v>152</v>
      </c>
      <c r="R1986">
        <v>26</v>
      </c>
      <c r="S1986" t="s">
        <v>46</v>
      </c>
      <c r="T1986" t="str">
        <f t="shared" si="60"/>
        <v>2-week</v>
      </c>
      <c r="U1986">
        <f>VLOOKUP(T1986,[1]tablescore!$B$3:$C$8, 2,FALSE)</f>
        <v>26</v>
      </c>
      <c r="V1986" t="str">
        <f t="shared" si="61"/>
        <v>Loyal</v>
      </c>
      <c r="W1986" t="s">
        <v>30</v>
      </c>
    </row>
    <row r="1987" spans="1:23" x14ac:dyDescent="0.25">
      <c r="A1987">
        <v>1986</v>
      </c>
      <c r="B1987">
        <v>23</v>
      </c>
      <c r="C1987" t="str" cm="1">
        <f t="array" ref="C1987">_xlfn.IFS(
  AND(B1987&gt;=18, B1987&lt;=24), "18-24",
  AND(B1987&gt;=25, B1987&lt;=34), "25-34",
  AND(B1987&gt;=35, B1987&lt;=44), "35-44",
  AND(B1987&gt;=45, B1987&lt;=54), "45-54",
  B1987&gt;=55, "55+"
)</f>
        <v>18-24</v>
      </c>
      <c r="D1987" t="s">
        <v>19</v>
      </c>
      <c r="E1987" t="s">
        <v>127</v>
      </c>
      <c r="F1987" t="s">
        <v>69</v>
      </c>
      <c r="G1987">
        <v>97</v>
      </c>
      <c r="H1987" t="s">
        <v>122</v>
      </c>
      <c r="I1987" t="s">
        <v>45</v>
      </c>
      <c r="J1987" t="s">
        <v>81</v>
      </c>
      <c r="K1987" t="s">
        <v>39</v>
      </c>
      <c r="L1987">
        <v>3.9</v>
      </c>
      <c r="M1987" t="s">
        <v>152</v>
      </c>
      <c r="N1987" t="s">
        <v>35</v>
      </c>
      <c r="O1987" t="s">
        <v>72</v>
      </c>
      <c r="P1987" t="s">
        <v>152</v>
      </c>
      <c r="Q1987" t="s">
        <v>152</v>
      </c>
      <c r="R1987">
        <v>6</v>
      </c>
      <c r="S1987" t="s">
        <v>27</v>
      </c>
      <c r="T1987" t="str">
        <f t="shared" ref="T1987:T2050" si="62">IF(TRIM(W1987)="Every 3 months","Quarterly",IF(TRIM(W1987)="Fortnightly","2-week",IF(TRIM(W1987)="Bi-Weekly","2-week",IF(TRIM(W1987)="Weekly","Daily",IF(TRIM(W1987)="Monthly","Month",TRIM(W1987))))))</f>
        <v>2-week</v>
      </c>
      <c r="U1987">
        <f>VLOOKUP(T1987,[1]tablescore!$B$3:$C$8, 2,FALSE)</f>
        <v>26</v>
      </c>
      <c r="V1987" t="str">
        <f t="shared" ref="V1987:V2050" si="63">_xlfn.IFS(U1987&gt;=30, "Highly Loyal", U1987&gt;=26, "Loyal", U1987&gt;=12, "Moderate", U1987&lt;5, "Low Loyalty")</f>
        <v>Loyal</v>
      </c>
      <c r="W1987" t="s">
        <v>30</v>
      </c>
    </row>
    <row r="1988" spans="1:23" x14ac:dyDescent="0.25">
      <c r="A1988">
        <v>1987</v>
      </c>
      <c r="B1988">
        <v>62</v>
      </c>
      <c r="C1988" t="str" cm="1">
        <f t="array" ref="C1988">_xlfn.IFS(
  AND(B1988&gt;=18, B1988&lt;=24), "18-24",
  AND(B1988&gt;=25, B1988&lt;=34), "25-34",
  AND(B1988&gt;=35, B1988&lt;=44), "35-44",
  AND(B1988&gt;=45, B1988&lt;=54), "45-54",
  B1988&gt;=55, "55+"
)</f>
        <v>55+</v>
      </c>
      <c r="D1988" t="s">
        <v>19</v>
      </c>
      <c r="E1988" t="s">
        <v>64</v>
      </c>
      <c r="F1988" t="s">
        <v>65</v>
      </c>
      <c r="G1988">
        <v>48</v>
      </c>
      <c r="H1988" t="s">
        <v>74</v>
      </c>
      <c r="I1988" t="s">
        <v>23</v>
      </c>
      <c r="J1988" t="s">
        <v>96</v>
      </c>
      <c r="K1988" t="s">
        <v>54</v>
      </c>
      <c r="L1988">
        <v>3.4</v>
      </c>
      <c r="M1988" t="s">
        <v>152</v>
      </c>
      <c r="N1988" t="s">
        <v>59</v>
      </c>
      <c r="O1988" t="s">
        <v>72</v>
      </c>
      <c r="P1988" t="s">
        <v>152</v>
      </c>
      <c r="Q1988" t="s">
        <v>152</v>
      </c>
      <c r="R1988">
        <v>14</v>
      </c>
      <c r="S1988" t="s">
        <v>29</v>
      </c>
      <c r="T1988" t="str">
        <f t="shared" si="62"/>
        <v>Quarterly</v>
      </c>
      <c r="U1988">
        <f>VLOOKUP(T1988,[1]tablescore!$B$3:$C$8, 2,FALSE)</f>
        <v>4</v>
      </c>
      <c r="V1988" t="str">
        <f t="shared" si="63"/>
        <v>Low Loyalty</v>
      </c>
      <c r="W1988" t="s">
        <v>60</v>
      </c>
    </row>
    <row r="1989" spans="1:23" x14ac:dyDescent="0.25">
      <c r="A1989">
        <v>1988</v>
      </c>
      <c r="B1989">
        <v>69</v>
      </c>
      <c r="C1989" t="str" cm="1">
        <f t="array" ref="C1989">_xlfn.IFS(
  AND(B1989&gt;=18, B1989&lt;=24), "18-24",
  AND(B1989&gt;=25, B1989&lt;=34), "25-34",
  AND(B1989&gt;=35, B1989&lt;=44), "35-44",
  AND(B1989&gt;=45, B1989&lt;=54), "45-54",
  B1989&gt;=55, "55+"
)</f>
        <v>55+</v>
      </c>
      <c r="D1989" t="s">
        <v>19</v>
      </c>
      <c r="E1989" t="s">
        <v>136</v>
      </c>
      <c r="F1989" t="s">
        <v>69</v>
      </c>
      <c r="G1989">
        <v>23</v>
      </c>
      <c r="H1989" t="s">
        <v>145</v>
      </c>
      <c r="I1989" t="s">
        <v>92</v>
      </c>
      <c r="J1989" t="s">
        <v>53</v>
      </c>
      <c r="K1989" t="s">
        <v>54</v>
      </c>
      <c r="L1989">
        <v>3.4</v>
      </c>
      <c r="M1989" t="s">
        <v>152</v>
      </c>
      <c r="N1989" t="s">
        <v>59</v>
      </c>
      <c r="O1989" t="s">
        <v>28</v>
      </c>
      <c r="P1989" t="s">
        <v>152</v>
      </c>
      <c r="Q1989" t="s">
        <v>152</v>
      </c>
      <c r="R1989">
        <v>4</v>
      </c>
      <c r="S1989" t="s">
        <v>35</v>
      </c>
      <c r="T1989" t="str">
        <f t="shared" si="62"/>
        <v>Quarterly</v>
      </c>
      <c r="U1989">
        <f>VLOOKUP(T1989,[1]tablescore!$B$3:$C$8, 2,FALSE)</f>
        <v>4</v>
      </c>
      <c r="V1989" t="str">
        <f t="shared" si="63"/>
        <v>Low Loyalty</v>
      </c>
      <c r="W1989" t="s">
        <v>60</v>
      </c>
    </row>
    <row r="1990" spans="1:23" x14ac:dyDescent="0.25">
      <c r="A1990">
        <v>1989</v>
      </c>
      <c r="B1990">
        <v>46</v>
      </c>
      <c r="C1990" t="str" cm="1">
        <f t="array" ref="C1990">_xlfn.IFS(
  AND(B1990&gt;=18, B1990&lt;=24), "18-24",
  AND(B1990&gt;=25, B1990&lt;=34), "25-34",
  AND(B1990&gt;=35, B1990&lt;=44), "35-44",
  AND(B1990&gt;=45, B1990&lt;=54), "45-54",
  B1990&gt;=55, "55+"
)</f>
        <v>45-54</v>
      </c>
      <c r="D1990" t="s">
        <v>19</v>
      </c>
      <c r="E1990" t="s">
        <v>95</v>
      </c>
      <c r="F1990" t="s">
        <v>21</v>
      </c>
      <c r="G1990">
        <v>79</v>
      </c>
      <c r="H1990" t="s">
        <v>128</v>
      </c>
      <c r="I1990" t="s">
        <v>45</v>
      </c>
      <c r="J1990" t="s">
        <v>81</v>
      </c>
      <c r="K1990" t="s">
        <v>25</v>
      </c>
      <c r="L1990">
        <v>3.9</v>
      </c>
      <c r="M1990" t="s">
        <v>152</v>
      </c>
      <c r="N1990" t="s">
        <v>27</v>
      </c>
      <c r="O1990" t="s">
        <v>40</v>
      </c>
      <c r="P1990" t="s">
        <v>152</v>
      </c>
      <c r="Q1990" t="s">
        <v>152</v>
      </c>
      <c r="R1990">
        <v>26</v>
      </c>
      <c r="S1990" t="s">
        <v>34</v>
      </c>
      <c r="T1990" t="str">
        <f t="shared" si="62"/>
        <v>Daily</v>
      </c>
      <c r="U1990">
        <f>VLOOKUP(T1990,[1]tablescore!$B$3:$C$8, 2,FALSE)</f>
        <v>30</v>
      </c>
      <c r="V1990" t="str">
        <f t="shared" si="63"/>
        <v>Highly Loyal</v>
      </c>
      <c r="W1990" t="s">
        <v>41</v>
      </c>
    </row>
    <row r="1991" spans="1:23" x14ac:dyDescent="0.25">
      <c r="A1991">
        <v>1990</v>
      </c>
      <c r="B1991">
        <v>35</v>
      </c>
      <c r="C1991" t="str" cm="1">
        <f t="array" ref="C1991">_xlfn.IFS(
  AND(B1991&gt;=18, B1991&lt;=24), "18-24",
  AND(B1991&gt;=25, B1991&lt;=34), "25-34",
  AND(B1991&gt;=35, B1991&lt;=44), "35-44",
  AND(B1991&gt;=45, B1991&lt;=54), "45-54",
  B1991&gt;=55, "55+"
)</f>
        <v>35-44</v>
      </c>
      <c r="D1991" t="s">
        <v>19</v>
      </c>
      <c r="E1991" t="s">
        <v>106</v>
      </c>
      <c r="F1991" t="s">
        <v>69</v>
      </c>
      <c r="G1991">
        <v>42</v>
      </c>
      <c r="H1991" t="s">
        <v>135</v>
      </c>
      <c r="I1991" t="s">
        <v>38</v>
      </c>
      <c r="J1991" t="s">
        <v>63</v>
      </c>
      <c r="K1991" t="s">
        <v>39</v>
      </c>
      <c r="L1991">
        <v>4</v>
      </c>
      <c r="M1991" t="s">
        <v>152</v>
      </c>
      <c r="N1991" t="s">
        <v>35</v>
      </c>
      <c r="O1991" t="s">
        <v>28</v>
      </c>
      <c r="P1991" t="s">
        <v>152</v>
      </c>
      <c r="Q1991" t="s">
        <v>152</v>
      </c>
      <c r="R1991">
        <v>39</v>
      </c>
      <c r="S1991" t="s">
        <v>46</v>
      </c>
      <c r="T1991" t="str">
        <f t="shared" si="62"/>
        <v>2-week</v>
      </c>
      <c r="U1991">
        <f>VLOOKUP(T1991,[1]tablescore!$B$3:$C$8, 2,FALSE)</f>
        <v>26</v>
      </c>
      <c r="V1991" t="str">
        <f t="shared" si="63"/>
        <v>Loyal</v>
      </c>
      <c r="W1991" t="s">
        <v>77</v>
      </c>
    </row>
    <row r="1992" spans="1:23" x14ac:dyDescent="0.25">
      <c r="A1992">
        <v>1991</v>
      </c>
      <c r="B1992">
        <v>32</v>
      </c>
      <c r="C1992" t="str" cm="1">
        <f t="array" ref="C1992">_xlfn.IFS(
  AND(B1992&gt;=18, B1992&lt;=24), "18-24",
  AND(B1992&gt;=25, B1992&lt;=34), "25-34",
  AND(B1992&gt;=35, B1992&lt;=44), "35-44",
  AND(B1992&gt;=45, B1992&lt;=54), "45-54",
  B1992&gt;=55, "55+"
)</f>
        <v>25-34</v>
      </c>
      <c r="D1992" t="s">
        <v>19</v>
      </c>
      <c r="E1992" t="s">
        <v>133</v>
      </c>
      <c r="F1992" t="s">
        <v>69</v>
      </c>
      <c r="G1992">
        <v>95</v>
      </c>
      <c r="H1992" t="s">
        <v>146</v>
      </c>
      <c r="I1992" t="s">
        <v>23</v>
      </c>
      <c r="J1992" t="s">
        <v>53</v>
      </c>
      <c r="K1992" t="s">
        <v>39</v>
      </c>
      <c r="L1992">
        <v>3.4</v>
      </c>
      <c r="M1992" t="s">
        <v>152</v>
      </c>
      <c r="N1992" t="s">
        <v>59</v>
      </c>
      <c r="O1992" t="s">
        <v>72</v>
      </c>
      <c r="P1992" t="s">
        <v>152</v>
      </c>
      <c r="Q1992" t="s">
        <v>152</v>
      </c>
      <c r="R1992">
        <v>15</v>
      </c>
      <c r="S1992" t="s">
        <v>46</v>
      </c>
      <c r="T1992" t="str">
        <f t="shared" si="62"/>
        <v>Annually</v>
      </c>
      <c r="U1992">
        <f>VLOOKUP(T1992,[1]tablescore!$B$3:$C$8, 2,FALSE)</f>
        <v>1</v>
      </c>
      <c r="V1992" t="str">
        <f t="shared" si="63"/>
        <v>Low Loyalty</v>
      </c>
      <c r="W1992" t="s">
        <v>50</v>
      </c>
    </row>
    <row r="1993" spans="1:23" x14ac:dyDescent="0.25">
      <c r="A1993">
        <v>1992</v>
      </c>
      <c r="B1993">
        <v>46</v>
      </c>
      <c r="C1993" t="str" cm="1">
        <f t="array" ref="C1993">_xlfn.IFS(
  AND(B1993&gt;=18, B1993&lt;=24), "18-24",
  AND(B1993&gt;=25, B1993&lt;=34), "25-34",
  AND(B1993&gt;=35, B1993&lt;=44), "35-44",
  AND(B1993&gt;=45, B1993&lt;=54), "45-54",
  B1993&gt;=55, "55+"
)</f>
        <v>45-54</v>
      </c>
      <c r="D1993" t="s">
        <v>19</v>
      </c>
      <c r="E1993" t="s">
        <v>51</v>
      </c>
      <c r="F1993" t="s">
        <v>43</v>
      </c>
      <c r="G1993">
        <v>29</v>
      </c>
      <c r="H1993" t="s">
        <v>70</v>
      </c>
      <c r="I1993" t="s">
        <v>45</v>
      </c>
      <c r="J1993" t="s">
        <v>110</v>
      </c>
      <c r="K1993" t="s">
        <v>54</v>
      </c>
      <c r="L1993">
        <v>3.7</v>
      </c>
      <c r="M1993" t="s">
        <v>152</v>
      </c>
      <c r="N1993" t="s">
        <v>29</v>
      </c>
      <c r="O1993" t="s">
        <v>47</v>
      </c>
      <c r="P1993" t="s">
        <v>152</v>
      </c>
      <c r="Q1993" t="s">
        <v>152</v>
      </c>
      <c r="R1993">
        <v>1</v>
      </c>
      <c r="S1993" t="s">
        <v>29</v>
      </c>
      <c r="T1993" t="str">
        <f t="shared" si="62"/>
        <v>Quarterly</v>
      </c>
      <c r="U1993">
        <f>VLOOKUP(T1993,[1]tablescore!$B$3:$C$8, 2,FALSE)</f>
        <v>4</v>
      </c>
      <c r="V1993" t="str">
        <f t="shared" si="63"/>
        <v>Low Loyalty</v>
      </c>
      <c r="W1993" t="s">
        <v>97</v>
      </c>
    </row>
    <row r="1994" spans="1:23" x14ac:dyDescent="0.25">
      <c r="A1994">
        <v>1993</v>
      </c>
      <c r="B1994">
        <v>33</v>
      </c>
      <c r="C1994" t="str" cm="1">
        <f t="array" ref="C1994">_xlfn.IFS(
  AND(B1994&gt;=18, B1994&lt;=24), "18-24",
  AND(B1994&gt;=25, B1994&lt;=34), "25-34",
  AND(B1994&gt;=35, B1994&lt;=44), "35-44",
  AND(B1994&gt;=45, B1994&lt;=54), "45-54",
  B1994&gt;=55, "55+"
)</f>
        <v>25-34</v>
      </c>
      <c r="D1994" t="s">
        <v>19</v>
      </c>
      <c r="E1994" t="s">
        <v>104</v>
      </c>
      <c r="F1994" t="s">
        <v>21</v>
      </c>
      <c r="G1994">
        <v>98</v>
      </c>
      <c r="H1994" t="s">
        <v>137</v>
      </c>
      <c r="I1994" t="s">
        <v>23</v>
      </c>
      <c r="J1994" t="s">
        <v>81</v>
      </c>
      <c r="K1994" t="s">
        <v>25</v>
      </c>
      <c r="L1994">
        <v>4.9000000000000004</v>
      </c>
      <c r="M1994" t="s">
        <v>152</v>
      </c>
      <c r="N1994" t="s">
        <v>46</v>
      </c>
      <c r="O1994" t="s">
        <v>72</v>
      </c>
      <c r="P1994" t="s">
        <v>152</v>
      </c>
      <c r="Q1994" t="s">
        <v>152</v>
      </c>
      <c r="R1994">
        <v>28</v>
      </c>
      <c r="S1994" t="s">
        <v>29</v>
      </c>
      <c r="T1994" t="str">
        <f t="shared" si="62"/>
        <v>Month</v>
      </c>
      <c r="U1994">
        <f>VLOOKUP(T1994,[1]tablescore!$B$3:$C$8, 2,FALSE)</f>
        <v>12</v>
      </c>
      <c r="V1994" t="str">
        <f t="shared" si="63"/>
        <v>Moderate</v>
      </c>
      <c r="W1994" t="s">
        <v>88</v>
      </c>
    </row>
    <row r="1995" spans="1:23" x14ac:dyDescent="0.25">
      <c r="A1995">
        <v>1994</v>
      </c>
      <c r="B1995">
        <v>32</v>
      </c>
      <c r="C1995" t="str" cm="1">
        <f t="array" ref="C1995">_xlfn.IFS(
  AND(B1995&gt;=18, B1995&lt;=24), "18-24",
  AND(B1995&gt;=25, B1995&lt;=34), "25-34",
  AND(B1995&gt;=35, B1995&lt;=44), "35-44",
  AND(B1995&gt;=45, B1995&lt;=54), "45-54",
  B1995&gt;=55, "55+"
)</f>
        <v>25-34</v>
      </c>
      <c r="D1995" t="s">
        <v>19</v>
      </c>
      <c r="E1995" t="s">
        <v>20</v>
      </c>
      <c r="F1995" t="s">
        <v>21</v>
      </c>
      <c r="G1995">
        <v>96</v>
      </c>
      <c r="H1995" t="s">
        <v>74</v>
      </c>
      <c r="I1995" t="s">
        <v>38</v>
      </c>
      <c r="J1995" t="s">
        <v>75</v>
      </c>
      <c r="K1995" t="s">
        <v>39</v>
      </c>
      <c r="L1995">
        <v>5</v>
      </c>
      <c r="M1995" t="s">
        <v>152</v>
      </c>
      <c r="N1995" t="s">
        <v>35</v>
      </c>
      <c r="O1995" t="s">
        <v>28</v>
      </c>
      <c r="P1995" t="s">
        <v>152</v>
      </c>
      <c r="Q1995" t="s">
        <v>152</v>
      </c>
      <c r="R1995">
        <v>17</v>
      </c>
      <c r="S1995" t="s">
        <v>35</v>
      </c>
      <c r="T1995" t="str">
        <f t="shared" si="62"/>
        <v>Daily</v>
      </c>
      <c r="U1995">
        <f>VLOOKUP(T1995,[1]tablescore!$B$3:$C$8, 2,FALSE)</f>
        <v>30</v>
      </c>
      <c r="V1995" t="str">
        <f t="shared" si="63"/>
        <v>Highly Loyal</v>
      </c>
      <c r="W1995" t="s">
        <v>41</v>
      </c>
    </row>
    <row r="1996" spans="1:23" x14ac:dyDescent="0.25">
      <c r="A1996">
        <v>1995</v>
      </c>
      <c r="B1996">
        <v>33</v>
      </c>
      <c r="C1996" t="str" cm="1">
        <f t="array" ref="C1996">_xlfn.IFS(
  AND(B1996&gt;=18, B1996&lt;=24), "18-24",
  AND(B1996&gt;=25, B1996&lt;=34), "25-34",
  AND(B1996&gt;=35, B1996&lt;=44), "35-44",
  AND(B1996&gt;=45, B1996&lt;=54), "45-54",
  B1996&gt;=55, "55+"
)</f>
        <v>25-34</v>
      </c>
      <c r="D1996" t="s">
        <v>19</v>
      </c>
      <c r="E1996" t="s">
        <v>89</v>
      </c>
      <c r="F1996" t="s">
        <v>69</v>
      </c>
      <c r="G1996">
        <v>66</v>
      </c>
      <c r="H1996" t="s">
        <v>107</v>
      </c>
      <c r="I1996" t="s">
        <v>45</v>
      </c>
      <c r="J1996" t="s">
        <v>110</v>
      </c>
      <c r="K1996" t="s">
        <v>58</v>
      </c>
      <c r="L1996">
        <v>2.9</v>
      </c>
      <c r="M1996" t="s">
        <v>152</v>
      </c>
      <c r="N1996" t="s">
        <v>34</v>
      </c>
      <c r="O1996" t="s">
        <v>47</v>
      </c>
      <c r="P1996" t="s">
        <v>152</v>
      </c>
      <c r="Q1996" t="s">
        <v>152</v>
      </c>
      <c r="R1996">
        <v>24</v>
      </c>
      <c r="S1996" t="s">
        <v>27</v>
      </c>
      <c r="T1996" t="str">
        <f t="shared" si="62"/>
        <v>Daily</v>
      </c>
      <c r="U1996">
        <f>VLOOKUP(T1996,[1]tablescore!$B$3:$C$8, 2,FALSE)</f>
        <v>30</v>
      </c>
      <c r="V1996" t="str">
        <f t="shared" si="63"/>
        <v>Highly Loyal</v>
      </c>
      <c r="W1996" t="s">
        <v>41</v>
      </c>
    </row>
    <row r="1997" spans="1:23" x14ac:dyDescent="0.25">
      <c r="A1997">
        <v>1996</v>
      </c>
      <c r="B1997">
        <v>67</v>
      </c>
      <c r="C1997" t="str" cm="1">
        <f t="array" ref="C1997">_xlfn.IFS(
  AND(B1997&gt;=18, B1997&lt;=24), "18-24",
  AND(B1997&gt;=25, B1997&lt;=34), "25-34",
  AND(B1997&gt;=35, B1997&lt;=44), "35-44",
  AND(B1997&gt;=45, B1997&lt;=54), "45-54",
  B1997&gt;=55, "55+"
)</f>
        <v>55+</v>
      </c>
      <c r="D1997" t="s">
        <v>19</v>
      </c>
      <c r="E1997" t="s">
        <v>132</v>
      </c>
      <c r="F1997" t="s">
        <v>43</v>
      </c>
      <c r="G1997">
        <v>80</v>
      </c>
      <c r="H1997" t="s">
        <v>70</v>
      </c>
      <c r="I1997" t="s">
        <v>38</v>
      </c>
      <c r="J1997" t="s">
        <v>86</v>
      </c>
      <c r="K1997" t="s">
        <v>39</v>
      </c>
      <c r="L1997">
        <v>3</v>
      </c>
      <c r="M1997" t="s">
        <v>152</v>
      </c>
      <c r="N1997" t="s">
        <v>27</v>
      </c>
      <c r="O1997" t="s">
        <v>55</v>
      </c>
      <c r="P1997" t="s">
        <v>152</v>
      </c>
      <c r="Q1997" t="s">
        <v>152</v>
      </c>
      <c r="R1997">
        <v>29</v>
      </c>
      <c r="S1997" t="s">
        <v>59</v>
      </c>
      <c r="T1997" t="str">
        <f t="shared" si="62"/>
        <v>Quarterly</v>
      </c>
      <c r="U1997">
        <f>VLOOKUP(T1997,[1]tablescore!$B$3:$C$8, 2,FALSE)</f>
        <v>4</v>
      </c>
      <c r="V1997" t="str">
        <f t="shared" si="63"/>
        <v>Low Loyalty</v>
      </c>
      <c r="W1997" t="s">
        <v>60</v>
      </c>
    </row>
    <row r="1998" spans="1:23" x14ac:dyDescent="0.25">
      <c r="A1998">
        <v>1997</v>
      </c>
      <c r="B1998">
        <v>67</v>
      </c>
      <c r="C1998" t="str" cm="1">
        <f t="array" ref="C1998">_xlfn.IFS(
  AND(B1998&gt;=18, B1998&lt;=24), "18-24",
  AND(B1998&gt;=25, B1998&lt;=34), "25-34",
  AND(B1998&gt;=35, B1998&lt;=44), "35-44",
  AND(B1998&gt;=45, B1998&lt;=54), "45-54",
  B1998&gt;=55, "55+"
)</f>
        <v>55+</v>
      </c>
      <c r="D1998" t="s">
        <v>19</v>
      </c>
      <c r="E1998" t="s">
        <v>51</v>
      </c>
      <c r="F1998" t="s">
        <v>43</v>
      </c>
      <c r="G1998">
        <v>27</v>
      </c>
      <c r="H1998" t="s">
        <v>130</v>
      </c>
      <c r="I1998" t="s">
        <v>23</v>
      </c>
      <c r="J1998" t="s">
        <v>129</v>
      </c>
      <c r="K1998" t="s">
        <v>54</v>
      </c>
      <c r="L1998">
        <v>3.3</v>
      </c>
      <c r="M1998" t="s">
        <v>152</v>
      </c>
      <c r="N1998" t="s">
        <v>35</v>
      </c>
      <c r="O1998" t="s">
        <v>47</v>
      </c>
      <c r="P1998" t="s">
        <v>152</v>
      </c>
      <c r="Q1998" t="s">
        <v>152</v>
      </c>
      <c r="R1998">
        <v>18</v>
      </c>
      <c r="S1998" t="s">
        <v>35</v>
      </c>
      <c r="T1998" t="str">
        <f t="shared" si="62"/>
        <v>Quarterly</v>
      </c>
      <c r="U1998">
        <f>VLOOKUP(T1998,[1]tablescore!$B$3:$C$8, 2,FALSE)</f>
        <v>4</v>
      </c>
      <c r="V1998" t="str">
        <f t="shared" si="63"/>
        <v>Low Loyalty</v>
      </c>
      <c r="W1998" t="s">
        <v>97</v>
      </c>
    </row>
    <row r="1999" spans="1:23" x14ac:dyDescent="0.25">
      <c r="A1999">
        <v>1998</v>
      </c>
      <c r="B1999">
        <v>42</v>
      </c>
      <c r="C1999" t="str" cm="1">
        <f t="array" ref="C1999">_xlfn.IFS(
  AND(B1999&gt;=18, B1999&lt;=24), "18-24",
  AND(B1999&gt;=25, B1999&lt;=34), "25-34",
  AND(B1999&gt;=35, B1999&lt;=44), "35-44",
  AND(B1999&gt;=45, B1999&lt;=54), "45-54",
  B1999&gt;=55, "55+"
)</f>
        <v>35-44</v>
      </c>
      <c r="D1999" t="s">
        <v>19</v>
      </c>
      <c r="E1999" t="s">
        <v>133</v>
      </c>
      <c r="F1999" t="s">
        <v>69</v>
      </c>
      <c r="G1999">
        <v>25</v>
      </c>
      <c r="H1999" t="s">
        <v>146</v>
      </c>
      <c r="I1999" t="s">
        <v>45</v>
      </c>
      <c r="J1999" t="s">
        <v>75</v>
      </c>
      <c r="K1999" t="s">
        <v>58</v>
      </c>
      <c r="L1999">
        <v>4.7</v>
      </c>
      <c r="M1999" t="s">
        <v>152</v>
      </c>
      <c r="N1999" t="s">
        <v>46</v>
      </c>
      <c r="O1999" t="s">
        <v>28</v>
      </c>
      <c r="P1999" t="s">
        <v>152</v>
      </c>
      <c r="Q1999" t="s">
        <v>152</v>
      </c>
      <c r="R1999">
        <v>10</v>
      </c>
      <c r="S1999" t="s">
        <v>59</v>
      </c>
      <c r="T1999" t="str">
        <f t="shared" si="62"/>
        <v>2-week</v>
      </c>
      <c r="U1999">
        <f>VLOOKUP(T1999,[1]tablescore!$B$3:$C$8, 2,FALSE)</f>
        <v>26</v>
      </c>
      <c r="V1999" t="str">
        <f t="shared" si="63"/>
        <v>Loyal</v>
      </c>
      <c r="W1999" t="s">
        <v>77</v>
      </c>
    </row>
    <row r="2000" spans="1:23" x14ac:dyDescent="0.25">
      <c r="A2000">
        <v>1999</v>
      </c>
      <c r="B2000">
        <v>20</v>
      </c>
      <c r="C2000" t="str" cm="1">
        <f t="array" ref="C2000">_xlfn.IFS(
  AND(B2000&gt;=18, B2000&lt;=24), "18-24",
  AND(B2000&gt;=25, B2000&lt;=34), "25-34",
  AND(B2000&gt;=35, B2000&lt;=44), "35-44",
  AND(B2000&gt;=45, B2000&lt;=54), "45-54",
  B2000&gt;=55, "55+"
)</f>
        <v>18-24</v>
      </c>
      <c r="D2000" t="s">
        <v>19</v>
      </c>
      <c r="E2000" t="s">
        <v>95</v>
      </c>
      <c r="F2000" t="s">
        <v>21</v>
      </c>
      <c r="G2000">
        <v>45</v>
      </c>
      <c r="H2000" t="s">
        <v>145</v>
      </c>
      <c r="I2000" t="s">
        <v>45</v>
      </c>
      <c r="J2000" t="s">
        <v>121</v>
      </c>
      <c r="K2000" t="s">
        <v>58</v>
      </c>
      <c r="L2000">
        <v>3.4</v>
      </c>
      <c r="M2000" t="s">
        <v>152</v>
      </c>
      <c r="N2000" t="s">
        <v>59</v>
      </c>
      <c r="O2000" t="s">
        <v>72</v>
      </c>
      <c r="P2000" t="s">
        <v>152</v>
      </c>
      <c r="Q2000" t="s">
        <v>152</v>
      </c>
      <c r="R2000">
        <v>19</v>
      </c>
      <c r="S2000" t="s">
        <v>35</v>
      </c>
      <c r="T2000" t="str">
        <f t="shared" si="62"/>
        <v>Quarterly</v>
      </c>
      <c r="U2000">
        <f>VLOOKUP(T2000,[1]tablescore!$B$3:$C$8, 2,FALSE)</f>
        <v>4</v>
      </c>
      <c r="V2000" t="str">
        <f t="shared" si="63"/>
        <v>Low Loyalty</v>
      </c>
      <c r="W2000" t="s">
        <v>60</v>
      </c>
    </row>
    <row r="2001" spans="1:23" x14ac:dyDescent="0.25">
      <c r="A2001">
        <v>2000</v>
      </c>
      <c r="B2001">
        <v>39</v>
      </c>
      <c r="C2001" t="str" cm="1">
        <f t="array" ref="C2001">_xlfn.IFS(
  AND(B2001&gt;=18, B2001&lt;=24), "18-24",
  AND(B2001&gt;=25, B2001&lt;=34), "25-34",
  AND(B2001&gt;=35, B2001&lt;=44), "35-44",
  AND(B2001&gt;=45, B2001&lt;=54), "45-54",
  B2001&gt;=55, "55+"
)</f>
        <v>35-44</v>
      </c>
      <c r="D2001" t="s">
        <v>19</v>
      </c>
      <c r="E2001" t="s">
        <v>131</v>
      </c>
      <c r="F2001" t="s">
        <v>21</v>
      </c>
      <c r="G2001">
        <v>89</v>
      </c>
      <c r="H2001" t="s">
        <v>122</v>
      </c>
      <c r="I2001" t="s">
        <v>23</v>
      </c>
      <c r="J2001" t="s">
        <v>129</v>
      </c>
      <c r="K2001" t="s">
        <v>25</v>
      </c>
      <c r="L2001">
        <v>4.5999999999999996</v>
      </c>
      <c r="M2001" t="s">
        <v>152</v>
      </c>
      <c r="N2001" t="s">
        <v>27</v>
      </c>
      <c r="O2001" t="s">
        <v>72</v>
      </c>
      <c r="P2001" t="s">
        <v>152</v>
      </c>
      <c r="Q2001" t="s">
        <v>152</v>
      </c>
      <c r="R2001">
        <v>26</v>
      </c>
      <c r="S2001" t="s">
        <v>59</v>
      </c>
      <c r="T2001" t="str">
        <f t="shared" si="62"/>
        <v>Month</v>
      </c>
      <c r="U2001">
        <f>VLOOKUP(T2001,[1]tablescore!$B$3:$C$8, 2,FALSE)</f>
        <v>12</v>
      </c>
      <c r="V2001" t="str">
        <f t="shared" si="63"/>
        <v>Moderate</v>
      </c>
      <c r="W2001" t="s">
        <v>88</v>
      </c>
    </row>
    <row r="2002" spans="1:23" x14ac:dyDescent="0.25">
      <c r="A2002">
        <v>2001</v>
      </c>
      <c r="B2002">
        <v>26</v>
      </c>
      <c r="C2002" t="str" cm="1">
        <f t="array" ref="C2002">_xlfn.IFS(
  AND(B2002&gt;=18, B2002&lt;=24), "18-24",
  AND(B2002&gt;=25, B2002&lt;=34), "25-34",
  AND(B2002&gt;=35, B2002&lt;=44), "35-44",
  AND(B2002&gt;=45, B2002&lt;=54), "45-54",
  B2002&gt;=55, "55+"
)</f>
        <v>25-34</v>
      </c>
      <c r="D2002" t="s">
        <v>19</v>
      </c>
      <c r="E2002" t="s">
        <v>136</v>
      </c>
      <c r="F2002" t="s">
        <v>69</v>
      </c>
      <c r="G2002">
        <v>27</v>
      </c>
      <c r="H2002" t="s">
        <v>99</v>
      </c>
      <c r="I2002" t="s">
        <v>45</v>
      </c>
      <c r="J2002" t="s">
        <v>93</v>
      </c>
      <c r="K2002" t="s">
        <v>25</v>
      </c>
      <c r="L2002">
        <v>3.6</v>
      </c>
      <c r="M2002" t="s">
        <v>152</v>
      </c>
      <c r="N2002" t="s">
        <v>29</v>
      </c>
      <c r="O2002" t="s">
        <v>72</v>
      </c>
      <c r="P2002" t="s">
        <v>152</v>
      </c>
      <c r="Q2002" t="s">
        <v>152</v>
      </c>
      <c r="R2002">
        <v>25</v>
      </c>
      <c r="S2002" t="s">
        <v>35</v>
      </c>
      <c r="T2002" t="str">
        <f t="shared" si="62"/>
        <v>2-week</v>
      </c>
      <c r="U2002">
        <f>VLOOKUP(T2002,[1]tablescore!$B$3:$C$8, 2,FALSE)</f>
        <v>26</v>
      </c>
      <c r="V2002" t="str">
        <f t="shared" si="63"/>
        <v>Loyal</v>
      </c>
      <c r="W2002" t="s">
        <v>77</v>
      </c>
    </row>
    <row r="2003" spans="1:23" x14ac:dyDescent="0.25">
      <c r="A2003">
        <v>2002</v>
      </c>
      <c r="B2003">
        <v>51</v>
      </c>
      <c r="C2003" t="str" cm="1">
        <f t="array" ref="C2003">_xlfn.IFS(
  AND(B2003&gt;=18, B2003&lt;=24), "18-24",
  AND(B2003&gt;=25, B2003&lt;=34), "25-34",
  AND(B2003&gt;=35, B2003&lt;=44), "35-44",
  AND(B2003&gt;=45, B2003&lt;=54), "45-54",
  B2003&gt;=55, "55+"
)</f>
        <v>45-54</v>
      </c>
      <c r="D2003" t="s">
        <v>19</v>
      </c>
      <c r="E2003" t="s">
        <v>89</v>
      </c>
      <c r="F2003" t="s">
        <v>69</v>
      </c>
      <c r="G2003">
        <v>90</v>
      </c>
      <c r="H2003" t="s">
        <v>52</v>
      </c>
      <c r="I2003" t="s">
        <v>38</v>
      </c>
      <c r="J2003" t="s">
        <v>75</v>
      </c>
      <c r="K2003" t="s">
        <v>25</v>
      </c>
      <c r="L2003">
        <v>2.6</v>
      </c>
      <c r="M2003" t="s">
        <v>152</v>
      </c>
      <c r="N2003" t="s">
        <v>59</v>
      </c>
      <c r="O2003" t="s">
        <v>40</v>
      </c>
      <c r="P2003" t="s">
        <v>152</v>
      </c>
      <c r="Q2003" t="s">
        <v>152</v>
      </c>
      <c r="R2003">
        <v>2</v>
      </c>
      <c r="S2003" t="s">
        <v>59</v>
      </c>
      <c r="T2003" t="str">
        <f t="shared" si="62"/>
        <v>2-week</v>
      </c>
      <c r="U2003">
        <f>VLOOKUP(T2003,[1]tablescore!$B$3:$C$8, 2,FALSE)</f>
        <v>26</v>
      </c>
      <c r="V2003" t="str">
        <f t="shared" si="63"/>
        <v>Loyal</v>
      </c>
      <c r="W2003" t="s">
        <v>30</v>
      </c>
    </row>
    <row r="2004" spans="1:23" x14ac:dyDescent="0.25">
      <c r="A2004">
        <v>2003</v>
      </c>
      <c r="B2004">
        <v>31</v>
      </c>
      <c r="C2004" t="str" cm="1">
        <f t="array" ref="C2004">_xlfn.IFS(
  AND(B2004&gt;=18, B2004&lt;=24), "18-24",
  AND(B2004&gt;=25, B2004&lt;=34), "25-34",
  AND(B2004&gt;=35, B2004&lt;=44), "35-44",
  AND(B2004&gt;=45, B2004&lt;=54), "45-54",
  B2004&gt;=55, "55+"
)</f>
        <v>25-34</v>
      </c>
      <c r="D2004" t="s">
        <v>19</v>
      </c>
      <c r="E2004" t="s">
        <v>56</v>
      </c>
      <c r="F2004" t="s">
        <v>21</v>
      </c>
      <c r="G2004">
        <v>65</v>
      </c>
      <c r="H2004" t="s">
        <v>85</v>
      </c>
      <c r="I2004" t="s">
        <v>45</v>
      </c>
      <c r="J2004" t="s">
        <v>108</v>
      </c>
      <c r="K2004" t="s">
        <v>54</v>
      </c>
      <c r="L2004">
        <v>2.7</v>
      </c>
      <c r="M2004" t="s">
        <v>152</v>
      </c>
      <c r="N2004" t="s">
        <v>35</v>
      </c>
      <c r="O2004" t="s">
        <v>28</v>
      </c>
      <c r="P2004" t="s">
        <v>152</v>
      </c>
      <c r="Q2004" t="s">
        <v>152</v>
      </c>
      <c r="R2004">
        <v>19</v>
      </c>
      <c r="S2004" t="s">
        <v>46</v>
      </c>
      <c r="T2004" t="str">
        <f t="shared" si="62"/>
        <v>Quarterly</v>
      </c>
      <c r="U2004">
        <f>VLOOKUP(T2004,[1]tablescore!$B$3:$C$8, 2,FALSE)</f>
        <v>4</v>
      </c>
      <c r="V2004" t="str">
        <f t="shared" si="63"/>
        <v>Low Loyalty</v>
      </c>
      <c r="W2004" t="s">
        <v>97</v>
      </c>
    </row>
    <row r="2005" spans="1:23" x14ac:dyDescent="0.25">
      <c r="A2005">
        <v>2004</v>
      </c>
      <c r="B2005">
        <v>68</v>
      </c>
      <c r="C2005" t="str" cm="1">
        <f t="array" ref="C2005">_xlfn.IFS(
  AND(B2005&gt;=18, B2005&lt;=24), "18-24",
  AND(B2005&gt;=25, B2005&lt;=34), "25-34",
  AND(B2005&gt;=35, B2005&lt;=44), "35-44",
  AND(B2005&gt;=45, B2005&lt;=54), "45-54",
  B2005&gt;=55, "55+"
)</f>
        <v>55+</v>
      </c>
      <c r="D2005" t="s">
        <v>19</v>
      </c>
      <c r="E2005" t="s">
        <v>51</v>
      </c>
      <c r="F2005" t="s">
        <v>43</v>
      </c>
      <c r="G2005">
        <v>72</v>
      </c>
      <c r="H2005" t="s">
        <v>32</v>
      </c>
      <c r="I2005" t="s">
        <v>38</v>
      </c>
      <c r="J2005" t="s">
        <v>138</v>
      </c>
      <c r="K2005" t="s">
        <v>39</v>
      </c>
      <c r="L2005">
        <v>3.1</v>
      </c>
      <c r="M2005" t="s">
        <v>152</v>
      </c>
      <c r="N2005" t="s">
        <v>29</v>
      </c>
      <c r="O2005" t="s">
        <v>28</v>
      </c>
      <c r="P2005" t="s">
        <v>152</v>
      </c>
      <c r="Q2005" t="s">
        <v>152</v>
      </c>
      <c r="R2005">
        <v>32</v>
      </c>
      <c r="S2005" t="s">
        <v>35</v>
      </c>
      <c r="T2005" t="str">
        <f t="shared" si="62"/>
        <v>Quarterly</v>
      </c>
      <c r="U2005">
        <f>VLOOKUP(T2005,[1]tablescore!$B$3:$C$8, 2,FALSE)</f>
        <v>4</v>
      </c>
      <c r="V2005" t="str">
        <f t="shared" si="63"/>
        <v>Low Loyalty</v>
      </c>
      <c r="W2005" t="s">
        <v>60</v>
      </c>
    </row>
    <row r="2006" spans="1:23" x14ac:dyDescent="0.25">
      <c r="A2006">
        <v>2005</v>
      </c>
      <c r="B2006">
        <v>44</v>
      </c>
      <c r="C2006" t="str" cm="1">
        <f t="array" ref="C2006">_xlfn.IFS(
  AND(B2006&gt;=18, B2006&lt;=24), "18-24",
  AND(B2006&gt;=25, B2006&lt;=34), "25-34",
  AND(B2006&gt;=35, B2006&lt;=44), "35-44",
  AND(B2006&gt;=45, B2006&lt;=54), "45-54",
  B2006&gt;=55, "55+"
)</f>
        <v>35-44</v>
      </c>
      <c r="D2006" t="s">
        <v>19</v>
      </c>
      <c r="E2006" t="s">
        <v>73</v>
      </c>
      <c r="F2006" t="s">
        <v>43</v>
      </c>
      <c r="G2006">
        <v>70</v>
      </c>
      <c r="H2006" t="s">
        <v>142</v>
      </c>
      <c r="I2006" t="s">
        <v>23</v>
      </c>
      <c r="J2006" t="s">
        <v>138</v>
      </c>
      <c r="K2006" t="s">
        <v>58</v>
      </c>
      <c r="L2006">
        <v>3.2</v>
      </c>
      <c r="M2006" t="s">
        <v>152</v>
      </c>
      <c r="N2006" t="s">
        <v>35</v>
      </c>
      <c r="O2006" t="s">
        <v>72</v>
      </c>
      <c r="P2006" t="s">
        <v>152</v>
      </c>
      <c r="Q2006" t="s">
        <v>152</v>
      </c>
      <c r="R2006">
        <v>13</v>
      </c>
      <c r="S2006" t="s">
        <v>35</v>
      </c>
      <c r="T2006" t="str">
        <f t="shared" si="62"/>
        <v>2-week</v>
      </c>
      <c r="U2006">
        <f>VLOOKUP(T2006,[1]tablescore!$B$3:$C$8, 2,FALSE)</f>
        <v>26</v>
      </c>
      <c r="V2006" t="str">
        <f t="shared" si="63"/>
        <v>Loyal</v>
      </c>
      <c r="W2006" t="s">
        <v>77</v>
      </c>
    </row>
    <row r="2007" spans="1:23" x14ac:dyDescent="0.25">
      <c r="A2007">
        <v>2006</v>
      </c>
      <c r="B2007">
        <v>18</v>
      </c>
      <c r="C2007" t="str" cm="1">
        <f t="array" ref="C2007">_xlfn.IFS(
  AND(B2007&gt;=18, B2007&lt;=24), "18-24",
  AND(B2007&gt;=25, B2007&lt;=34), "25-34",
  AND(B2007&gt;=35, B2007&lt;=44), "35-44",
  AND(B2007&gt;=45, B2007&lt;=54), "45-54",
  B2007&gt;=55, "55+"
)</f>
        <v>18-24</v>
      </c>
      <c r="D2007" t="s">
        <v>19</v>
      </c>
      <c r="E2007" t="s">
        <v>42</v>
      </c>
      <c r="F2007" t="s">
        <v>43</v>
      </c>
      <c r="G2007">
        <v>82</v>
      </c>
      <c r="H2007" t="s">
        <v>122</v>
      </c>
      <c r="I2007" t="s">
        <v>45</v>
      </c>
      <c r="J2007" t="s">
        <v>109</v>
      </c>
      <c r="K2007" t="s">
        <v>25</v>
      </c>
      <c r="L2007">
        <v>3.4</v>
      </c>
      <c r="M2007" t="s">
        <v>152</v>
      </c>
      <c r="N2007" t="s">
        <v>46</v>
      </c>
      <c r="O2007" t="s">
        <v>76</v>
      </c>
      <c r="P2007" t="s">
        <v>152</v>
      </c>
      <c r="Q2007" t="s">
        <v>152</v>
      </c>
      <c r="R2007">
        <v>30</v>
      </c>
      <c r="S2007" t="s">
        <v>46</v>
      </c>
      <c r="T2007" t="str">
        <f t="shared" si="62"/>
        <v>2-week</v>
      </c>
      <c r="U2007">
        <f>VLOOKUP(T2007,[1]tablescore!$B$3:$C$8, 2,FALSE)</f>
        <v>26</v>
      </c>
      <c r="V2007" t="str">
        <f t="shared" si="63"/>
        <v>Loyal</v>
      </c>
      <c r="W2007" t="s">
        <v>30</v>
      </c>
    </row>
    <row r="2008" spans="1:23" x14ac:dyDescent="0.25">
      <c r="A2008">
        <v>2007</v>
      </c>
      <c r="B2008">
        <v>58</v>
      </c>
      <c r="C2008" t="str" cm="1">
        <f t="array" ref="C2008">_xlfn.IFS(
  AND(B2008&gt;=18, B2008&lt;=24), "18-24",
  AND(B2008&gt;=25, B2008&lt;=34), "25-34",
  AND(B2008&gt;=35, B2008&lt;=44), "35-44",
  AND(B2008&gt;=45, B2008&lt;=54), "45-54",
  B2008&gt;=55, "55+"
)</f>
        <v>55+</v>
      </c>
      <c r="D2008" t="s">
        <v>19</v>
      </c>
      <c r="E2008" t="s">
        <v>119</v>
      </c>
      <c r="F2008" t="s">
        <v>69</v>
      </c>
      <c r="G2008">
        <v>97</v>
      </c>
      <c r="H2008" t="s">
        <v>123</v>
      </c>
      <c r="I2008" t="s">
        <v>38</v>
      </c>
      <c r="J2008" t="s">
        <v>71</v>
      </c>
      <c r="K2008" t="s">
        <v>58</v>
      </c>
      <c r="L2008">
        <v>4.4000000000000004</v>
      </c>
      <c r="M2008" t="s">
        <v>152</v>
      </c>
      <c r="N2008" t="s">
        <v>59</v>
      </c>
      <c r="O2008" t="s">
        <v>28</v>
      </c>
      <c r="P2008" t="s">
        <v>152</v>
      </c>
      <c r="Q2008" t="s">
        <v>152</v>
      </c>
      <c r="R2008">
        <v>2</v>
      </c>
      <c r="S2008" t="s">
        <v>27</v>
      </c>
      <c r="T2008" t="str">
        <f t="shared" si="62"/>
        <v>Annually</v>
      </c>
      <c r="U2008">
        <f>VLOOKUP(T2008,[1]tablescore!$B$3:$C$8, 2,FALSE)</f>
        <v>1</v>
      </c>
      <c r="V2008" t="str">
        <f t="shared" si="63"/>
        <v>Low Loyalty</v>
      </c>
      <c r="W2008" t="s">
        <v>50</v>
      </c>
    </row>
    <row r="2009" spans="1:23" x14ac:dyDescent="0.25">
      <c r="A2009">
        <v>2008</v>
      </c>
      <c r="B2009">
        <v>26</v>
      </c>
      <c r="C2009" t="str" cm="1">
        <f t="array" ref="C2009">_xlfn.IFS(
  AND(B2009&gt;=18, B2009&lt;=24), "18-24",
  AND(B2009&gt;=25, B2009&lt;=34), "25-34",
  AND(B2009&gt;=35, B2009&lt;=44), "35-44",
  AND(B2009&gt;=45, B2009&lt;=54), "45-54",
  B2009&gt;=55, "55+"
)</f>
        <v>25-34</v>
      </c>
      <c r="D2009" t="s">
        <v>19</v>
      </c>
      <c r="E2009" t="s">
        <v>56</v>
      </c>
      <c r="F2009" t="s">
        <v>21</v>
      </c>
      <c r="G2009">
        <v>25</v>
      </c>
      <c r="H2009" t="s">
        <v>128</v>
      </c>
      <c r="I2009" t="s">
        <v>45</v>
      </c>
      <c r="J2009" t="s">
        <v>67</v>
      </c>
      <c r="K2009" t="s">
        <v>54</v>
      </c>
      <c r="L2009">
        <v>3.2</v>
      </c>
      <c r="M2009" t="s">
        <v>152</v>
      </c>
      <c r="N2009" t="s">
        <v>35</v>
      </c>
      <c r="O2009" t="s">
        <v>72</v>
      </c>
      <c r="P2009" t="s">
        <v>152</v>
      </c>
      <c r="Q2009" t="s">
        <v>152</v>
      </c>
      <c r="R2009">
        <v>8</v>
      </c>
      <c r="S2009" t="s">
        <v>46</v>
      </c>
      <c r="T2009" t="str">
        <f t="shared" si="62"/>
        <v>Quarterly</v>
      </c>
      <c r="U2009">
        <f>VLOOKUP(T2009,[1]tablescore!$B$3:$C$8, 2,FALSE)</f>
        <v>4</v>
      </c>
      <c r="V2009" t="str">
        <f t="shared" si="63"/>
        <v>Low Loyalty</v>
      </c>
      <c r="W2009" t="s">
        <v>60</v>
      </c>
    </row>
    <row r="2010" spans="1:23" x14ac:dyDescent="0.25">
      <c r="A2010">
        <v>2009</v>
      </c>
      <c r="B2010">
        <v>57</v>
      </c>
      <c r="C2010" t="str" cm="1">
        <f t="array" ref="C2010">_xlfn.IFS(
  AND(B2010&gt;=18, B2010&lt;=24), "18-24",
  AND(B2010&gt;=25, B2010&lt;=34), "25-34",
  AND(B2010&gt;=35, B2010&lt;=44), "35-44",
  AND(B2010&gt;=45, B2010&lt;=54), "45-54",
  B2010&gt;=55, "55+"
)</f>
        <v>55+</v>
      </c>
      <c r="D2010" t="s">
        <v>19</v>
      </c>
      <c r="E2010" t="s">
        <v>87</v>
      </c>
      <c r="F2010" t="s">
        <v>21</v>
      </c>
      <c r="G2010">
        <v>48</v>
      </c>
      <c r="H2010" t="s">
        <v>103</v>
      </c>
      <c r="I2010" t="s">
        <v>45</v>
      </c>
      <c r="J2010" t="s">
        <v>24</v>
      </c>
      <c r="K2010" t="s">
        <v>39</v>
      </c>
      <c r="L2010">
        <v>2.5</v>
      </c>
      <c r="M2010" t="s">
        <v>152</v>
      </c>
      <c r="N2010" t="s">
        <v>46</v>
      </c>
      <c r="O2010" t="s">
        <v>40</v>
      </c>
      <c r="P2010" t="s">
        <v>152</v>
      </c>
      <c r="Q2010" t="s">
        <v>152</v>
      </c>
      <c r="R2010">
        <v>27</v>
      </c>
      <c r="S2010" t="s">
        <v>46</v>
      </c>
      <c r="T2010" t="str">
        <f t="shared" si="62"/>
        <v>Quarterly</v>
      </c>
      <c r="U2010">
        <f>VLOOKUP(T2010,[1]tablescore!$B$3:$C$8, 2,FALSE)</f>
        <v>4</v>
      </c>
      <c r="V2010" t="str">
        <f t="shared" si="63"/>
        <v>Low Loyalty</v>
      </c>
      <c r="W2010" t="s">
        <v>97</v>
      </c>
    </row>
    <row r="2011" spans="1:23" x14ac:dyDescent="0.25">
      <c r="A2011">
        <v>2010</v>
      </c>
      <c r="B2011">
        <v>37</v>
      </c>
      <c r="C2011" t="str" cm="1">
        <f t="array" ref="C2011">_xlfn.IFS(
  AND(B2011&gt;=18, B2011&lt;=24), "18-24",
  AND(B2011&gt;=25, B2011&lt;=34), "25-34",
  AND(B2011&gt;=35, B2011&lt;=44), "35-44",
  AND(B2011&gt;=45, B2011&lt;=54), "45-54",
  B2011&gt;=55, "55+"
)</f>
        <v>35-44</v>
      </c>
      <c r="D2011" t="s">
        <v>19</v>
      </c>
      <c r="E2011" t="s">
        <v>132</v>
      </c>
      <c r="F2011" t="s">
        <v>43</v>
      </c>
      <c r="G2011">
        <v>99</v>
      </c>
      <c r="H2011" t="s">
        <v>90</v>
      </c>
      <c r="I2011" t="s">
        <v>45</v>
      </c>
      <c r="J2011" t="s">
        <v>129</v>
      </c>
      <c r="K2011" t="s">
        <v>54</v>
      </c>
      <c r="L2011">
        <v>3.8</v>
      </c>
      <c r="M2011" t="s">
        <v>152</v>
      </c>
      <c r="N2011" t="s">
        <v>29</v>
      </c>
      <c r="O2011" t="s">
        <v>47</v>
      </c>
      <c r="P2011" t="s">
        <v>152</v>
      </c>
      <c r="Q2011" t="s">
        <v>152</v>
      </c>
      <c r="R2011">
        <v>26</v>
      </c>
      <c r="S2011" t="s">
        <v>29</v>
      </c>
      <c r="T2011" t="str">
        <f t="shared" si="62"/>
        <v>2-week</v>
      </c>
      <c r="U2011">
        <f>VLOOKUP(T2011,[1]tablescore!$B$3:$C$8, 2,FALSE)</f>
        <v>26</v>
      </c>
      <c r="V2011" t="str">
        <f t="shared" si="63"/>
        <v>Loyal</v>
      </c>
      <c r="W2011" t="s">
        <v>77</v>
      </c>
    </row>
    <row r="2012" spans="1:23" x14ac:dyDescent="0.25">
      <c r="A2012">
        <v>2011</v>
      </c>
      <c r="B2012">
        <v>24</v>
      </c>
      <c r="C2012" t="str" cm="1">
        <f t="array" ref="C2012">_xlfn.IFS(
  AND(B2012&gt;=18, B2012&lt;=24), "18-24",
  AND(B2012&gt;=25, B2012&lt;=34), "25-34",
  AND(B2012&gt;=35, B2012&lt;=44), "35-44",
  AND(B2012&gt;=45, B2012&lt;=54), "45-54",
  B2012&gt;=55, "55+"
)</f>
        <v>18-24</v>
      </c>
      <c r="D2012" t="s">
        <v>19</v>
      </c>
      <c r="E2012" t="s">
        <v>31</v>
      </c>
      <c r="F2012" t="s">
        <v>21</v>
      </c>
      <c r="G2012">
        <v>21</v>
      </c>
      <c r="H2012" t="s">
        <v>105</v>
      </c>
      <c r="I2012" t="s">
        <v>45</v>
      </c>
      <c r="J2012" t="s">
        <v>33</v>
      </c>
      <c r="K2012" t="s">
        <v>54</v>
      </c>
      <c r="L2012">
        <v>4.4000000000000004</v>
      </c>
      <c r="M2012" t="s">
        <v>152</v>
      </c>
      <c r="N2012" t="s">
        <v>29</v>
      </c>
      <c r="O2012" t="s">
        <v>72</v>
      </c>
      <c r="P2012" t="s">
        <v>152</v>
      </c>
      <c r="Q2012" t="s">
        <v>152</v>
      </c>
      <c r="R2012">
        <v>3</v>
      </c>
      <c r="S2012" t="s">
        <v>59</v>
      </c>
      <c r="T2012" t="str">
        <f t="shared" si="62"/>
        <v>2-week</v>
      </c>
      <c r="U2012">
        <f>VLOOKUP(T2012,[1]tablescore!$B$3:$C$8, 2,FALSE)</f>
        <v>26</v>
      </c>
      <c r="V2012" t="str">
        <f t="shared" si="63"/>
        <v>Loyal</v>
      </c>
      <c r="W2012" t="s">
        <v>77</v>
      </c>
    </row>
    <row r="2013" spans="1:23" x14ac:dyDescent="0.25">
      <c r="A2013">
        <v>2012</v>
      </c>
      <c r="B2013">
        <v>57</v>
      </c>
      <c r="C2013" t="str" cm="1">
        <f t="array" ref="C2013">_xlfn.IFS(
  AND(B2013&gt;=18, B2013&lt;=24), "18-24",
  AND(B2013&gt;=25, B2013&lt;=34), "25-34",
  AND(B2013&gt;=35, B2013&lt;=44), "35-44",
  AND(B2013&gt;=45, B2013&lt;=54), "45-54",
  B2013&gt;=55, "55+"
)</f>
        <v>55+</v>
      </c>
      <c r="D2013" t="s">
        <v>19</v>
      </c>
      <c r="E2013" t="s">
        <v>42</v>
      </c>
      <c r="F2013" t="s">
        <v>43</v>
      </c>
      <c r="G2013">
        <v>94</v>
      </c>
      <c r="H2013" t="s">
        <v>66</v>
      </c>
      <c r="I2013" t="s">
        <v>45</v>
      </c>
      <c r="J2013" t="s">
        <v>118</v>
      </c>
      <c r="K2013" t="s">
        <v>39</v>
      </c>
      <c r="L2013">
        <v>3.7</v>
      </c>
      <c r="M2013" t="s">
        <v>152</v>
      </c>
      <c r="N2013" t="s">
        <v>59</v>
      </c>
      <c r="O2013" t="s">
        <v>28</v>
      </c>
      <c r="P2013" t="s">
        <v>152</v>
      </c>
      <c r="Q2013" t="s">
        <v>152</v>
      </c>
      <c r="R2013">
        <v>4</v>
      </c>
      <c r="S2013" t="s">
        <v>34</v>
      </c>
      <c r="T2013" t="str">
        <f t="shared" si="62"/>
        <v>Month</v>
      </c>
      <c r="U2013">
        <f>VLOOKUP(T2013,[1]tablescore!$B$3:$C$8, 2,FALSE)</f>
        <v>12</v>
      </c>
      <c r="V2013" t="str">
        <f t="shared" si="63"/>
        <v>Moderate</v>
      </c>
      <c r="W2013" t="s">
        <v>88</v>
      </c>
    </row>
    <row r="2014" spans="1:23" x14ac:dyDescent="0.25">
      <c r="A2014">
        <v>2013</v>
      </c>
      <c r="B2014">
        <v>48</v>
      </c>
      <c r="C2014" t="str" cm="1">
        <f t="array" ref="C2014">_xlfn.IFS(
  AND(B2014&gt;=18, B2014&lt;=24), "18-24",
  AND(B2014&gt;=25, B2014&lt;=34), "25-34",
  AND(B2014&gt;=35, B2014&lt;=44), "35-44",
  AND(B2014&gt;=45, B2014&lt;=54), "45-54",
  B2014&gt;=55, "55+"
)</f>
        <v>45-54</v>
      </c>
      <c r="D2014" t="s">
        <v>19</v>
      </c>
      <c r="E2014" t="s">
        <v>36</v>
      </c>
      <c r="F2014" t="s">
        <v>21</v>
      </c>
      <c r="G2014">
        <v>53</v>
      </c>
      <c r="H2014" t="s">
        <v>107</v>
      </c>
      <c r="I2014" t="s">
        <v>23</v>
      </c>
      <c r="J2014" t="s">
        <v>96</v>
      </c>
      <c r="K2014" t="s">
        <v>58</v>
      </c>
      <c r="L2014">
        <v>3.2</v>
      </c>
      <c r="M2014" t="s">
        <v>152</v>
      </c>
      <c r="N2014" t="s">
        <v>34</v>
      </c>
      <c r="O2014" t="s">
        <v>76</v>
      </c>
      <c r="P2014" t="s">
        <v>152</v>
      </c>
      <c r="Q2014" t="s">
        <v>152</v>
      </c>
      <c r="R2014">
        <v>5</v>
      </c>
      <c r="S2014" t="s">
        <v>35</v>
      </c>
      <c r="T2014" t="str">
        <f t="shared" si="62"/>
        <v>2-week</v>
      </c>
      <c r="U2014">
        <f>VLOOKUP(T2014,[1]tablescore!$B$3:$C$8, 2,FALSE)</f>
        <v>26</v>
      </c>
      <c r="V2014" t="str">
        <f t="shared" si="63"/>
        <v>Loyal</v>
      </c>
      <c r="W2014" t="s">
        <v>30</v>
      </c>
    </row>
    <row r="2015" spans="1:23" x14ac:dyDescent="0.25">
      <c r="A2015">
        <v>2014</v>
      </c>
      <c r="B2015">
        <v>39</v>
      </c>
      <c r="C2015" t="str" cm="1">
        <f t="array" ref="C2015">_xlfn.IFS(
  AND(B2015&gt;=18, B2015&lt;=24), "18-24",
  AND(B2015&gt;=25, B2015&lt;=34), "25-34",
  AND(B2015&gt;=35, B2015&lt;=44), "35-44",
  AND(B2015&gt;=45, B2015&lt;=54), "45-54",
  B2015&gt;=55, "55+"
)</f>
        <v>35-44</v>
      </c>
      <c r="D2015" t="s">
        <v>19</v>
      </c>
      <c r="E2015" t="s">
        <v>133</v>
      </c>
      <c r="F2015" t="s">
        <v>69</v>
      </c>
      <c r="G2015">
        <v>70</v>
      </c>
      <c r="H2015" t="s">
        <v>128</v>
      </c>
      <c r="I2015" t="s">
        <v>45</v>
      </c>
      <c r="J2015" t="s">
        <v>100</v>
      </c>
      <c r="K2015" t="s">
        <v>25</v>
      </c>
      <c r="L2015">
        <v>4.9000000000000004</v>
      </c>
      <c r="M2015" t="s">
        <v>152</v>
      </c>
      <c r="N2015" t="s">
        <v>46</v>
      </c>
      <c r="O2015" t="s">
        <v>55</v>
      </c>
      <c r="P2015" t="s">
        <v>152</v>
      </c>
      <c r="Q2015" t="s">
        <v>152</v>
      </c>
      <c r="R2015">
        <v>25</v>
      </c>
      <c r="S2015" t="s">
        <v>59</v>
      </c>
      <c r="T2015" t="str">
        <f t="shared" si="62"/>
        <v>Quarterly</v>
      </c>
      <c r="U2015">
        <f>VLOOKUP(T2015,[1]tablescore!$B$3:$C$8, 2,FALSE)</f>
        <v>4</v>
      </c>
      <c r="V2015" t="str">
        <f t="shared" si="63"/>
        <v>Low Loyalty</v>
      </c>
      <c r="W2015" t="s">
        <v>60</v>
      </c>
    </row>
    <row r="2016" spans="1:23" x14ac:dyDescent="0.25">
      <c r="A2016">
        <v>2015</v>
      </c>
      <c r="B2016">
        <v>51</v>
      </c>
      <c r="C2016" t="str" cm="1">
        <f t="array" ref="C2016">_xlfn.IFS(
  AND(B2016&gt;=18, B2016&lt;=24), "18-24",
  AND(B2016&gt;=25, B2016&lt;=34), "25-34",
  AND(B2016&gt;=35, B2016&lt;=44), "35-44",
  AND(B2016&gt;=45, B2016&lt;=54), "45-54",
  B2016&gt;=55, "55+"
)</f>
        <v>45-54</v>
      </c>
      <c r="D2016" t="s">
        <v>19</v>
      </c>
      <c r="E2016" t="s">
        <v>87</v>
      </c>
      <c r="F2016" t="s">
        <v>21</v>
      </c>
      <c r="G2016">
        <v>26</v>
      </c>
      <c r="H2016" t="s">
        <v>148</v>
      </c>
      <c r="I2016" t="s">
        <v>23</v>
      </c>
      <c r="J2016" t="s">
        <v>94</v>
      </c>
      <c r="K2016" t="s">
        <v>54</v>
      </c>
      <c r="L2016">
        <v>3.9</v>
      </c>
      <c r="M2016" t="s">
        <v>152</v>
      </c>
      <c r="N2016" t="s">
        <v>29</v>
      </c>
      <c r="O2016" t="s">
        <v>55</v>
      </c>
      <c r="P2016" t="s">
        <v>152</v>
      </c>
      <c r="Q2016" t="s">
        <v>152</v>
      </c>
      <c r="R2016">
        <v>47</v>
      </c>
      <c r="S2016" t="s">
        <v>46</v>
      </c>
      <c r="T2016" t="str">
        <f t="shared" si="62"/>
        <v>2-week</v>
      </c>
      <c r="U2016">
        <f>VLOOKUP(T2016,[1]tablescore!$B$3:$C$8, 2,FALSE)</f>
        <v>26</v>
      </c>
      <c r="V2016" t="str">
        <f t="shared" si="63"/>
        <v>Loyal</v>
      </c>
      <c r="W2016" t="s">
        <v>77</v>
      </c>
    </row>
    <row r="2017" spans="1:23" x14ac:dyDescent="0.25">
      <c r="A2017">
        <v>2016</v>
      </c>
      <c r="B2017">
        <v>57</v>
      </c>
      <c r="C2017" t="str" cm="1">
        <f t="array" ref="C2017">_xlfn.IFS(
  AND(B2017&gt;=18, B2017&lt;=24), "18-24",
  AND(B2017&gt;=25, B2017&lt;=34), "25-34",
  AND(B2017&gt;=35, B2017&lt;=44), "35-44",
  AND(B2017&gt;=45, B2017&lt;=54), "45-54",
  B2017&gt;=55, "55+"
)</f>
        <v>55+</v>
      </c>
      <c r="D2017" t="s">
        <v>19</v>
      </c>
      <c r="E2017" t="s">
        <v>136</v>
      </c>
      <c r="F2017" t="s">
        <v>69</v>
      </c>
      <c r="G2017">
        <v>82</v>
      </c>
      <c r="H2017" t="s">
        <v>128</v>
      </c>
      <c r="I2017" t="s">
        <v>38</v>
      </c>
      <c r="J2017" t="s">
        <v>71</v>
      </c>
      <c r="K2017" t="s">
        <v>54</v>
      </c>
      <c r="L2017">
        <v>4.5</v>
      </c>
      <c r="M2017" t="s">
        <v>152</v>
      </c>
      <c r="N2017" t="s">
        <v>59</v>
      </c>
      <c r="O2017" t="s">
        <v>47</v>
      </c>
      <c r="P2017" t="s">
        <v>152</v>
      </c>
      <c r="Q2017" t="s">
        <v>152</v>
      </c>
      <c r="R2017">
        <v>8</v>
      </c>
      <c r="S2017" t="s">
        <v>27</v>
      </c>
      <c r="T2017" t="str">
        <f t="shared" si="62"/>
        <v>2-week</v>
      </c>
      <c r="U2017">
        <f>VLOOKUP(T2017,[1]tablescore!$B$3:$C$8, 2,FALSE)</f>
        <v>26</v>
      </c>
      <c r="V2017" t="str">
        <f t="shared" si="63"/>
        <v>Loyal</v>
      </c>
      <c r="W2017" t="s">
        <v>30</v>
      </c>
    </row>
    <row r="2018" spans="1:23" x14ac:dyDescent="0.25">
      <c r="A2018">
        <v>2017</v>
      </c>
      <c r="B2018">
        <v>53</v>
      </c>
      <c r="C2018" t="str" cm="1">
        <f t="array" ref="C2018">_xlfn.IFS(
  AND(B2018&gt;=18, B2018&lt;=24), "18-24",
  AND(B2018&gt;=25, B2018&lt;=34), "25-34",
  AND(B2018&gt;=35, B2018&lt;=44), "35-44",
  AND(B2018&gt;=45, B2018&lt;=54), "45-54",
  B2018&gt;=55, "55+"
)</f>
        <v>45-54</v>
      </c>
      <c r="D2018" t="s">
        <v>19</v>
      </c>
      <c r="E2018" t="s">
        <v>73</v>
      </c>
      <c r="F2018" t="s">
        <v>43</v>
      </c>
      <c r="G2018">
        <v>47</v>
      </c>
      <c r="H2018" t="s">
        <v>32</v>
      </c>
      <c r="I2018" t="s">
        <v>38</v>
      </c>
      <c r="J2018" t="s">
        <v>84</v>
      </c>
      <c r="K2018" t="s">
        <v>25</v>
      </c>
      <c r="L2018">
        <v>3.4</v>
      </c>
      <c r="M2018" t="s">
        <v>152</v>
      </c>
      <c r="N2018" t="s">
        <v>27</v>
      </c>
      <c r="O2018" t="s">
        <v>55</v>
      </c>
      <c r="P2018" t="s">
        <v>152</v>
      </c>
      <c r="Q2018" t="s">
        <v>152</v>
      </c>
      <c r="R2018">
        <v>20</v>
      </c>
      <c r="S2018" t="s">
        <v>59</v>
      </c>
      <c r="T2018" t="str">
        <f t="shared" si="62"/>
        <v>2-week</v>
      </c>
      <c r="U2018">
        <f>VLOOKUP(T2018,[1]tablescore!$B$3:$C$8, 2,FALSE)</f>
        <v>26</v>
      </c>
      <c r="V2018" t="str">
        <f t="shared" si="63"/>
        <v>Loyal</v>
      </c>
      <c r="W2018" t="s">
        <v>30</v>
      </c>
    </row>
    <row r="2019" spans="1:23" x14ac:dyDescent="0.25">
      <c r="A2019">
        <v>2018</v>
      </c>
      <c r="B2019">
        <v>70</v>
      </c>
      <c r="C2019" t="str" cm="1">
        <f t="array" ref="C2019">_xlfn.IFS(
  AND(B2019&gt;=18, B2019&lt;=24), "18-24",
  AND(B2019&gt;=25, B2019&lt;=34), "25-34",
  AND(B2019&gt;=35, B2019&lt;=44), "35-44",
  AND(B2019&gt;=45, B2019&lt;=54), "45-54",
  B2019&gt;=55, "55+"
)</f>
        <v>55+</v>
      </c>
      <c r="D2019" t="s">
        <v>19</v>
      </c>
      <c r="E2019" t="s">
        <v>131</v>
      </c>
      <c r="F2019" t="s">
        <v>21</v>
      </c>
      <c r="G2019">
        <v>32</v>
      </c>
      <c r="H2019" t="s">
        <v>37</v>
      </c>
      <c r="I2019" t="s">
        <v>38</v>
      </c>
      <c r="J2019" t="s">
        <v>96</v>
      </c>
      <c r="K2019" t="s">
        <v>25</v>
      </c>
      <c r="L2019">
        <v>4.0999999999999996</v>
      </c>
      <c r="M2019" t="s">
        <v>152</v>
      </c>
      <c r="N2019" t="s">
        <v>29</v>
      </c>
      <c r="O2019" t="s">
        <v>47</v>
      </c>
      <c r="P2019" t="s">
        <v>152</v>
      </c>
      <c r="Q2019" t="s">
        <v>152</v>
      </c>
      <c r="R2019">
        <v>42</v>
      </c>
      <c r="S2019" t="s">
        <v>34</v>
      </c>
      <c r="T2019" t="str">
        <f t="shared" si="62"/>
        <v>Quarterly</v>
      </c>
      <c r="U2019">
        <f>VLOOKUP(T2019,[1]tablescore!$B$3:$C$8, 2,FALSE)</f>
        <v>4</v>
      </c>
      <c r="V2019" t="str">
        <f t="shared" si="63"/>
        <v>Low Loyalty</v>
      </c>
      <c r="W2019" t="s">
        <v>97</v>
      </c>
    </row>
    <row r="2020" spans="1:23" x14ac:dyDescent="0.25">
      <c r="A2020">
        <v>2019</v>
      </c>
      <c r="B2020">
        <v>60</v>
      </c>
      <c r="C2020" t="str" cm="1">
        <f t="array" ref="C2020">_xlfn.IFS(
  AND(B2020&gt;=18, B2020&lt;=24), "18-24",
  AND(B2020&gt;=25, B2020&lt;=34), "25-34",
  AND(B2020&gt;=35, B2020&lt;=44), "35-44",
  AND(B2020&gt;=45, B2020&lt;=54), "45-54",
  B2020&gt;=55, "55+"
)</f>
        <v>55+</v>
      </c>
      <c r="D2020" t="s">
        <v>19</v>
      </c>
      <c r="E2020" t="s">
        <v>133</v>
      </c>
      <c r="F2020" t="s">
        <v>69</v>
      </c>
      <c r="G2020">
        <v>97</v>
      </c>
      <c r="H2020" t="s">
        <v>74</v>
      </c>
      <c r="I2020" t="s">
        <v>38</v>
      </c>
      <c r="J2020" t="s">
        <v>81</v>
      </c>
      <c r="K2020" t="s">
        <v>58</v>
      </c>
      <c r="L2020">
        <v>4.5</v>
      </c>
      <c r="M2020" t="s">
        <v>152</v>
      </c>
      <c r="N2020" t="s">
        <v>59</v>
      </c>
      <c r="O2020" t="s">
        <v>76</v>
      </c>
      <c r="P2020" t="s">
        <v>152</v>
      </c>
      <c r="Q2020" t="s">
        <v>152</v>
      </c>
      <c r="R2020">
        <v>20</v>
      </c>
      <c r="S2020" t="s">
        <v>34</v>
      </c>
      <c r="T2020" t="str">
        <f t="shared" si="62"/>
        <v>Daily</v>
      </c>
      <c r="U2020">
        <f>VLOOKUP(T2020,[1]tablescore!$B$3:$C$8, 2,FALSE)</f>
        <v>30</v>
      </c>
      <c r="V2020" t="str">
        <f t="shared" si="63"/>
        <v>Highly Loyal</v>
      </c>
      <c r="W2020" t="s">
        <v>41</v>
      </c>
    </row>
    <row r="2021" spans="1:23" x14ac:dyDescent="0.25">
      <c r="A2021">
        <v>2020</v>
      </c>
      <c r="B2021">
        <v>31</v>
      </c>
      <c r="C2021" t="str" cm="1">
        <f t="array" ref="C2021">_xlfn.IFS(
  AND(B2021&gt;=18, B2021&lt;=24), "18-24",
  AND(B2021&gt;=25, B2021&lt;=34), "25-34",
  AND(B2021&gt;=35, B2021&lt;=44), "35-44",
  AND(B2021&gt;=45, B2021&lt;=54), "45-54",
  B2021&gt;=55, "55+"
)</f>
        <v>25-34</v>
      </c>
      <c r="D2021" t="s">
        <v>19</v>
      </c>
      <c r="E2021" t="s">
        <v>56</v>
      </c>
      <c r="F2021" t="s">
        <v>21</v>
      </c>
      <c r="G2021">
        <v>68</v>
      </c>
      <c r="H2021" t="s">
        <v>144</v>
      </c>
      <c r="I2021" t="s">
        <v>38</v>
      </c>
      <c r="J2021" t="s">
        <v>108</v>
      </c>
      <c r="K2021" t="s">
        <v>25</v>
      </c>
      <c r="L2021">
        <v>4.7</v>
      </c>
      <c r="M2021" t="s">
        <v>152</v>
      </c>
      <c r="N2021" t="s">
        <v>46</v>
      </c>
      <c r="O2021" t="s">
        <v>76</v>
      </c>
      <c r="P2021" t="s">
        <v>152</v>
      </c>
      <c r="Q2021" t="s">
        <v>152</v>
      </c>
      <c r="R2021">
        <v>23</v>
      </c>
      <c r="S2021" t="s">
        <v>35</v>
      </c>
      <c r="T2021" t="str">
        <f t="shared" si="62"/>
        <v>2-week</v>
      </c>
      <c r="U2021">
        <f>VLOOKUP(T2021,[1]tablescore!$B$3:$C$8, 2,FALSE)</f>
        <v>26</v>
      </c>
      <c r="V2021" t="str">
        <f t="shared" si="63"/>
        <v>Loyal</v>
      </c>
      <c r="W2021" t="s">
        <v>30</v>
      </c>
    </row>
    <row r="2022" spans="1:23" x14ac:dyDescent="0.25">
      <c r="A2022">
        <v>2021</v>
      </c>
      <c r="B2022">
        <v>41</v>
      </c>
      <c r="C2022" t="str" cm="1">
        <f t="array" ref="C2022">_xlfn.IFS(
  AND(B2022&gt;=18, B2022&lt;=24), "18-24",
  AND(B2022&gt;=25, B2022&lt;=34), "25-34",
  AND(B2022&gt;=35, B2022&lt;=44), "35-44",
  AND(B2022&gt;=45, B2022&lt;=54), "45-54",
  B2022&gt;=55, "55+"
)</f>
        <v>35-44</v>
      </c>
      <c r="D2022" t="s">
        <v>19</v>
      </c>
      <c r="E2022" t="s">
        <v>31</v>
      </c>
      <c r="F2022" t="s">
        <v>21</v>
      </c>
      <c r="G2022">
        <v>23</v>
      </c>
      <c r="H2022" t="s">
        <v>141</v>
      </c>
      <c r="I2022" t="s">
        <v>45</v>
      </c>
      <c r="J2022" t="s">
        <v>118</v>
      </c>
      <c r="K2022" t="s">
        <v>25</v>
      </c>
      <c r="L2022">
        <v>4.8</v>
      </c>
      <c r="M2022" t="s">
        <v>152</v>
      </c>
      <c r="N2022" t="s">
        <v>27</v>
      </c>
      <c r="O2022" t="s">
        <v>47</v>
      </c>
      <c r="P2022" t="s">
        <v>152</v>
      </c>
      <c r="Q2022" t="s">
        <v>152</v>
      </c>
      <c r="R2022">
        <v>26</v>
      </c>
      <c r="S2022" t="s">
        <v>35</v>
      </c>
      <c r="T2022" t="str">
        <f t="shared" si="62"/>
        <v>Quarterly</v>
      </c>
      <c r="U2022">
        <f>VLOOKUP(T2022,[1]tablescore!$B$3:$C$8, 2,FALSE)</f>
        <v>4</v>
      </c>
      <c r="V2022" t="str">
        <f t="shared" si="63"/>
        <v>Low Loyalty</v>
      </c>
      <c r="W2022" t="s">
        <v>60</v>
      </c>
    </row>
    <row r="2023" spans="1:23" x14ac:dyDescent="0.25">
      <c r="A2023">
        <v>2022</v>
      </c>
      <c r="B2023">
        <v>62</v>
      </c>
      <c r="C2023" t="str" cm="1">
        <f t="array" ref="C2023">_xlfn.IFS(
  AND(B2023&gt;=18, B2023&lt;=24), "18-24",
  AND(B2023&gt;=25, B2023&lt;=34), "25-34",
  AND(B2023&gt;=35, B2023&lt;=44), "35-44",
  AND(B2023&gt;=45, B2023&lt;=54), "45-54",
  B2023&gt;=55, "55+"
)</f>
        <v>55+</v>
      </c>
      <c r="D2023" t="s">
        <v>19</v>
      </c>
      <c r="E2023" t="s">
        <v>68</v>
      </c>
      <c r="F2023" t="s">
        <v>69</v>
      </c>
      <c r="G2023">
        <v>33</v>
      </c>
      <c r="H2023" t="s">
        <v>32</v>
      </c>
      <c r="I2023" t="s">
        <v>45</v>
      </c>
      <c r="J2023" t="s">
        <v>96</v>
      </c>
      <c r="K2023" t="s">
        <v>25</v>
      </c>
      <c r="L2023">
        <v>4.4000000000000004</v>
      </c>
      <c r="M2023" t="s">
        <v>152</v>
      </c>
      <c r="N2023" t="s">
        <v>59</v>
      </c>
      <c r="O2023" t="s">
        <v>55</v>
      </c>
      <c r="P2023" t="s">
        <v>152</v>
      </c>
      <c r="Q2023" t="s">
        <v>152</v>
      </c>
      <c r="R2023">
        <v>48</v>
      </c>
      <c r="S2023" t="s">
        <v>29</v>
      </c>
      <c r="T2023" t="str">
        <f t="shared" si="62"/>
        <v>Quarterly</v>
      </c>
      <c r="U2023">
        <f>VLOOKUP(T2023,[1]tablescore!$B$3:$C$8, 2,FALSE)</f>
        <v>4</v>
      </c>
      <c r="V2023" t="str">
        <f t="shared" si="63"/>
        <v>Low Loyalty</v>
      </c>
      <c r="W2023" t="s">
        <v>60</v>
      </c>
    </row>
    <row r="2024" spans="1:23" x14ac:dyDescent="0.25">
      <c r="A2024">
        <v>2023</v>
      </c>
      <c r="B2024">
        <v>59</v>
      </c>
      <c r="C2024" t="str" cm="1">
        <f t="array" ref="C2024">_xlfn.IFS(
  AND(B2024&gt;=18, B2024&lt;=24), "18-24",
  AND(B2024&gt;=25, B2024&lt;=34), "25-34",
  AND(B2024&gt;=35, B2024&lt;=44), "35-44",
  AND(B2024&gt;=45, B2024&lt;=54), "45-54",
  B2024&gt;=55, "55+"
)</f>
        <v>55+</v>
      </c>
      <c r="D2024" t="s">
        <v>19</v>
      </c>
      <c r="E2024" t="s">
        <v>106</v>
      </c>
      <c r="F2024" t="s">
        <v>69</v>
      </c>
      <c r="G2024">
        <v>38</v>
      </c>
      <c r="H2024" t="s">
        <v>90</v>
      </c>
      <c r="I2024" t="s">
        <v>38</v>
      </c>
      <c r="J2024" t="s">
        <v>94</v>
      </c>
      <c r="K2024" t="s">
        <v>25</v>
      </c>
      <c r="L2024">
        <v>4</v>
      </c>
      <c r="M2024" t="s">
        <v>152</v>
      </c>
      <c r="N2024" t="s">
        <v>34</v>
      </c>
      <c r="O2024" t="s">
        <v>76</v>
      </c>
      <c r="P2024" t="s">
        <v>152</v>
      </c>
      <c r="Q2024" t="s">
        <v>152</v>
      </c>
      <c r="R2024">
        <v>16</v>
      </c>
      <c r="S2024" t="s">
        <v>35</v>
      </c>
      <c r="T2024" t="str">
        <f t="shared" si="62"/>
        <v>2-week</v>
      </c>
      <c r="U2024">
        <f>VLOOKUP(T2024,[1]tablescore!$B$3:$C$8, 2,FALSE)</f>
        <v>26</v>
      </c>
      <c r="V2024" t="str">
        <f t="shared" si="63"/>
        <v>Loyal</v>
      </c>
      <c r="W2024" t="s">
        <v>77</v>
      </c>
    </row>
    <row r="2025" spans="1:23" x14ac:dyDescent="0.25">
      <c r="A2025">
        <v>2024</v>
      </c>
      <c r="B2025">
        <v>46</v>
      </c>
      <c r="C2025" t="str" cm="1">
        <f t="array" ref="C2025">_xlfn.IFS(
  AND(B2025&gt;=18, B2025&lt;=24), "18-24",
  AND(B2025&gt;=25, B2025&lt;=34), "25-34",
  AND(B2025&gt;=35, B2025&lt;=44), "35-44",
  AND(B2025&gt;=45, B2025&lt;=54), "45-54",
  B2025&gt;=55, "55+"
)</f>
        <v>45-54</v>
      </c>
      <c r="D2025" t="s">
        <v>19</v>
      </c>
      <c r="E2025" t="s">
        <v>131</v>
      </c>
      <c r="F2025" t="s">
        <v>21</v>
      </c>
      <c r="G2025">
        <v>68</v>
      </c>
      <c r="H2025" t="s">
        <v>144</v>
      </c>
      <c r="I2025" t="s">
        <v>38</v>
      </c>
      <c r="J2025" t="s">
        <v>86</v>
      </c>
      <c r="K2025" t="s">
        <v>25</v>
      </c>
      <c r="L2025">
        <v>4.0999999999999996</v>
      </c>
      <c r="M2025" t="s">
        <v>152</v>
      </c>
      <c r="N2025" t="s">
        <v>34</v>
      </c>
      <c r="O2025" t="s">
        <v>76</v>
      </c>
      <c r="P2025" t="s">
        <v>152</v>
      </c>
      <c r="Q2025" t="s">
        <v>152</v>
      </c>
      <c r="R2025">
        <v>28</v>
      </c>
      <c r="S2025" t="s">
        <v>35</v>
      </c>
      <c r="T2025" t="str">
        <f t="shared" si="62"/>
        <v>2-week</v>
      </c>
      <c r="U2025">
        <f>VLOOKUP(T2025,[1]tablescore!$B$3:$C$8, 2,FALSE)</f>
        <v>26</v>
      </c>
      <c r="V2025" t="str">
        <f t="shared" si="63"/>
        <v>Loyal</v>
      </c>
      <c r="W2025" t="s">
        <v>77</v>
      </c>
    </row>
    <row r="2026" spans="1:23" x14ac:dyDescent="0.25">
      <c r="A2026">
        <v>2025</v>
      </c>
      <c r="B2026">
        <v>62</v>
      </c>
      <c r="C2026" t="str" cm="1">
        <f t="array" ref="C2026">_xlfn.IFS(
  AND(B2026&gt;=18, B2026&lt;=24), "18-24",
  AND(B2026&gt;=25, B2026&lt;=34), "25-34",
  AND(B2026&gt;=35, B2026&lt;=44), "35-44",
  AND(B2026&gt;=45, B2026&lt;=54), "45-54",
  B2026&gt;=55, "55+"
)</f>
        <v>55+</v>
      </c>
      <c r="D2026" t="s">
        <v>19</v>
      </c>
      <c r="E2026" t="s">
        <v>131</v>
      </c>
      <c r="F2026" t="s">
        <v>21</v>
      </c>
      <c r="G2026">
        <v>23</v>
      </c>
      <c r="H2026" t="s">
        <v>74</v>
      </c>
      <c r="I2026" t="s">
        <v>23</v>
      </c>
      <c r="J2026" t="s">
        <v>67</v>
      </c>
      <c r="K2026" t="s">
        <v>58</v>
      </c>
      <c r="L2026">
        <v>3.7</v>
      </c>
      <c r="M2026" t="s">
        <v>152</v>
      </c>
      <c r="N2026" t="s">
        <v>34</v>
      </c>
      <c r="O2026" t="s">
        <v>28</v>
      </c>
      <c r="P2026" t="s">
        <v>152</v>
      </c>
      <c r="Q2026" t="s">
        <v>152</v>
      </c>
      <c r="R2026">
        <v>39</v>
      </c>
      <c r="S2026" t="s">
        <v>46</v>
      </c>
      <c r="T2026" t="str">
        <f t="shared" si="62"/>
        <v>Daily</v>
      </c>
      <c r="U2026">
        <f>VLOOKUP(T2026,[1]tablescore!$B$3:$C$8, 2,FALSE)</f>
        <v>30</v>
      </c>
      <c r="V2026" t="str">
        <f t="shared" si="63"/>
        <v>Highly Loyal</v>
      </c>
      <c r="W2026" t="s">
        <v>41</v>
      </c>
    </row>
    <row r="2027" spans="1:23" x14ac:dyDescent="0.25">
      <c r="A2027">
        <v>2026</v>
      </c>
      <c r="B2027">
        <v>42</v>
      </c>
      <c r="C2027" t="str" cm="1">
        <f t="array" ref="C2027">_xlfn.IFS(
  AND(B2027&gt;=18, B2027&lt;=24), "18-24",
  AND(B2027&gt;=25, B2027&lt;=34), "25-34",
  AND(B2027&gt;=35, B2027&lt;=44), "35-44",
  AND(B2027&gt;=45, B2027&lt;=54), "45-54",
  B2027&gt;=55, "55+"
)</f>
        <v>35-44</v>
      </c>
      <c r="D2027" t="s">
        <v>19</v>
      </c>
      <c r="E2027" t="s">
        <v>56</v>
      </c>
      <c r="F2027" t="s">
        <v>21</v>
      </c>
      <c r="G2027">
        <v>29</v>
      </c>
      <c r="H2027" t="s">
        <v>80</v>
      </c>
      <c r="I2027" t="s">
        <v>45</v>
      </c>
      <c r="J2027" t="s">
        <v>49</v>
      </c>
      <c r="K2027" t="s">
        <v>54</v>
      </c>
      <c r="L2027">
        <v>3</v>
      </c>
      <c r="M2027" t="s">
        <v>152</v>
      </c>
      <c r="N2027" t="s">
        <v>34</v>
      </c>
      <c r="O2027" t="s">
        <v>28</v>
      </c>
      <c r="P2027" t="s">
        <v>152</v>
      </c>
      <c r="Q2027" t="s">
        <v>152</v>
      </c>
      <c r="R2027">
        <v>43</v>
      </c>
      <c r="S2027" t="s">
        <v>59</v>
      </c>
      <c r="T2027" t="str">
        <f t="shared" si="62"/>
        <v>2-week</v>
      </c>
      <c r="U2027">
        <f>VLOOKUP(T2027,[1]tablescore!$B$3:$C$8, 2,FALSE)</f>
        <v>26</v>
      </c>
      <c r="V2027" t="str">
        <f t="shared" si="63"/>
        <v>Loyal</v>
      </c>
      <c r="W2027" t="s">
        <v>30</v>
      </c>
    </row>
    <row r="2028" spans="1:23" x14ac:dyDescent="0.25">
      <c r="A2028">
        <v>2027</v>
      </c>
      <c r="B2028">
        <v>37</v>
      </c>
      <c r="C2028" t="str" cm="1">
        <f t="array" ref="C2028">_xlfn.IFS(
  AND(B2028&gt;=18, B2028&lt;=24), "18-24",
  AND(B2028&gt;=25, B2028&lt;=34), "25-34",
  AND(B2028&gt;=35, B2028&lt;=44), "35-44",
  AND(B2028&gt;=45, B2028&lt;=54), "45-54",
  B2028&gt;=55, "55+"
)</f>
        <v>35-44</v>
      </c>
      <c r="D2028" t="s">
        <v>19</v>
      </c>
      <c r="E2028" t="s">
        <v>119</v>
      </c>
      <c r="F2028" t="s">
        <v>69</v>
      </c>
      <c r="G2028">
        <v>35</v>
      </c>
      <c r="H2028" t="s">
        <v>32</v>
      </c>
      <c r="I2028" t="s">
        <v>45</v>
      </c>
      <c r="J2028" t="s">
        <v>121</v>
      </c>
      <c r="K2028" t="s">
        <v>25</v>
      </c>
      <c r="L2028">
        <v>3.6</v>
      </c>
      <c r="M2028" t="s">
        <v>152</v>
      </c>
      <c r="N2028" t="s">
        <v>34</v>
      </c>
      <c r="O2028" t="s">
        <v>28</v>
      </c>
      <c r="P2028" t="s">
        <v>152</v>
      </c>
      <c r="Q2028" t="s">
        <v>152</v>
      </c>
      <c r="R2028">
        <v>45</v>
      </c>
      <c r="S2028" t="s">
        <v>34</v>
      </c>
      <c r="T2028" t="str">
        <f t="shared" si="62"/>
        <v>Quarterly</v>
      </c>
      <c r="U2028">
        <f>VLOOKUP(T2028,[1]tablescore!$B$3:$C$8, 2,FALSE)</f>
        <v>4</v>
      </c>
      <c r="V2028" t="str">
        <f t="shared" si="63"/>
        <v>Low Loyalty</v>
      </c>
      <c r="W2028" t="s">
        <v>97</v>
      </c>
    </row>
    <row r="2029" spans="1:23" x14ac:dyDescent="0.25">
      <c r="A2029">
        <v>2028</v>
      </c>
      <c r="B2029">
        <v>50</v>
      </c>
      <c r="C2029" t="str" cm="1">
        <f t="array" ref="C2029">_xlfn.IFS(
  AND(B2029&gt;=18, B2029&lt;=24), "18-24",
  AND(B2029&gt;=25, B2029&lt;=34), "25-34",
  AND(B2029&gt;=35, B2029&lt;=44), "35-44",
  AND(B2029&gt;=45, B2029&lt;=54), "45-54",
  B2029&gt;=55, "55+"
)</f>
        <v>45-54</v>
      </c>
      <c r="D2029" t="s">
        <v>19</v>
      </c>
      <c r="E2029" t="s">
        <v>73</v>
      </c>
      <c r="F2029" t="s">
        <v>43</v>
      </c>
      <c r="G2029">
        <v>73</v>
      </c>
      <c r="H2029" t="s">
        <v>143</v>
      </c>
      <c r="I2029" t="s">
        <v>38</v>
      </c>
      <c r="J2029" t="s">
        <v>81</v>
      </c>
      <c r="K2029" t="s">
        <v>58</v>
      </c>
      <c r="L2029">
        <v>4.8</v>
      </c>
      <c r="M2029" t="s">
        <v>152</v>
      </c>
      <c r="N2029" t="s">
        <v>29</v>
      </c>
      <c r="O2029" t="s">
        <v>55</v>
      </c>
      <c r="P2029" t="s">
        <v>152</v>
      </c>
      <c r="Q2029" t="s">
        <v>152</v>
      </c>
      <c r="R2029">
        <v>50</v>
      </c>
      <c r="S2029" t="s">
        <v>27</v>
      </c>
      <c r="T2029" t="str">
        <f t="shared" si="62"/>
        <v>Quarterly</v>
      </c>
      <c r="U2029">
        <f>VLOOKUP(T2029,[1]tablescore!$B$3:$C$8, 2,FALSE)</f>
        <v>4</v>
      </c>
      <c r="V2029" t="str">
        <f t="shared" si="63"/>
        <v>Low Loyalty</v>
      </c>
      <c r="W2029" t="s">
        <v>97</v>
      </c>
    </row>
    <row r="2030" spans="1:23" x14ac:dyDescent="0.25">
      <c r="A2030">
        <v>2029</v>
      </c>
      <c r="B2030">
        <v>29</v>
      </c>
      <c r="C2030" t="str" cm="1">
        <f t="array" ref="C2030">_xlfn.IFS(
  AND(B2030&gt;=18, B2030&lt;=24), "18-24",
  AND(B2030&gt;=25, B2030&lt;=34), "25-34",
  AND(B2030&gt;=35, B2030&lt;=44), "35-44",
  AND(B2030&gt;=45, B2030&lt;=54), "45-54",
  B2030&gt;=55, "55+"
)</f>
        <v>25-34</v>
      </c>
      <c r="D2030" t="s">
        <v>19</v>
      </c>
      <c r="E2030" t="s">
        <v>73</v>
      </c>
      <c r="F2030" t="s">
        <v>43</v>
      </c>
      <c r="G2030">
        <v>84</v>
      </c>
      <c r="H2030" t="s">
        <v>124</v>
      </c>
      <c r="I2030" t="s">
        <v>92</v>
      </c>
      <c r="J2030" t="s">
        <v>75</v>
      </c>
      <c r="K2030" t="s">
        <v>58</v>
      </c>
      <c r="L2030">
        <v>3.7</v>
      </c>
      <c r="M2030" t="s">
        <v>152</v>
      </c>
      <c r="N2030" t="s">
        <v>35</v>
      </c>
      <c r="O2030" t="s">
        <v>72</v>
      </c>
      <c r="P2030" t="s">
        <v>152</v>
      </c>
      <c r="Q2030" t="s">
        <v>152</v>
      </c>
      <c r="R2030">
        <v>10</v>
      </c>
      <c r="S2030" t="s">
        <v>29</v>
      </c>
      <c r="T2030" t="str">
        <f t="shared" si="62"/>
        <v>2-week</v>
      </c>
      <c r="U2030">
        <f>VLOOKUP(T2030,[1]tablescore!$B$3:$C$8, 2,FALSE)</f>
        <v>26</v>
      </c>
      <c r="V2030" t="str">
        <f t="shared" si="63"/>
        <v>Loyal</v>
      </c>
      <c r="W2030" t="s">
        <v>77</v>
      </c>
    </row>
    <row r="2031" spans="1:23" x14ac:dyDescent="0.25">
      <c r="A2031">
        <v>2030</v>
      </c>
      <c r="B2031">
        <v>25</v>
      </c>
      <c r="C2031" t="str" cm="1">
        <f t="array" ref="C2031">_xlfn.IFS(
  AND(B2031&gt;=18, B2031&lt;=24), "18-24",
  AND(B2031&gt;=25, B2031&lt;=34), "25-34",
  AND(B2031&gt;=35, B2031&lt;=44), "35-44",
  AND(B2031&gt;=45, B2031&lt;=54), "45-54",
  B2031&gt;=55, "55+"
)</f>
        <v>25-34</v>
      </c>
      <c r="D2031" t="s">
        <v>19</v>
      </c>
      <c r="E2031" t="s">
        <v>119</v>
      </c>
      <c r="F2031" t="s">
        <v>69</v>
      </c>
      <c r="G2031">
        <v>23</v>
      </c>
      <c r="H2031" t="s">
        <v>57</v>
      </c>
      <c r="I2031" t="s">
        <v>45</v>
      </c>
      <c r="J2031" t="s">
        <v>71</v>
      </c>
      <c r="K2031" t="s">
        <v>39</v>
      </c>
      <c r="L2031">
        <v>4.5999999999999996</v>
      </c>
      <c r="M2031" t="s">
        <v>152</v>
      </c>
      <c r="N2031" t="s">
        <v>34</v>
      </c>
      <c r="O2031" t="s">
        <v>47</v>
      </c>
      <c r="P2031" t="s">
        <v>152</v>
      </c>
      <c r="Q2031" t="s">
        <v>152</v>
      </c>
      <c r="R2031">
        <v>40</v>
      </c>
      <c r="S2031" t="s">
        <v>46</v>
      </c>
      <c r="T2031" t="str">
        <f t="shared" si="62"/>
        <v>Quarterly</v>
      </c>
      <c r="U2031">
        <f>VLOOKUP(T2031,[1]tablescore!$B$3:$C$8, 2,FALSE)</f>
        <v>4</v>
      </c>
      <c r="V2031" t="str">
        <f t="shared" si="63"/>
        <v>Low Loyalty</v>
      </c>
      <c r="W2031" t="s">
        <v>60</v>
      </c>
    </row>
    <row r="2032" spans="1:23" x14ac:dyDescent="0.25">
      <c r="A2032">
        <v>2031</v>
      </c>
      <c r="B2032">
        <v>66</v>
      </c>
      <c r="C2032" t="str" cm="1">
        <f t="array" ref="C2032">_xlfn.IFS(
  AND(B2032&gt;=18, B2032&lt;=24), "18-24",
  AND(B2032&gt;=25, B2032&lt;=34), "25-34",
  AND(B2032&gt;=35, B2032&lt;=44), "35-44",
  AND(B2032&gt;=45, B2032&lt;=54), "45-54",
  B2032&gt;=55, "55+"
)</f>
        <v>55+</v>
      </c>
      <c r="D2032" t="s">
        <v>19</v>
      </c>
      <c r="E2032" t="s">
        <v>89</v>
      </c>
      <c r="F2032" t="s">
        <v>69</v>
      </c>
      <c r="G2032">
        <v>67</v>
      </c>
      <c r="H2032" t="s">
        <v>123</v>
      </c>
      <c r="I2032" t="s">
        <v>38</v>
      </c>
      <c r="J2032" t="s">
        <v>96</v>
      </c>
      <c r="K2032" t="s">
        <v>54</v>
      </c>
      <c r="L2032">
        <v>2.8</v>
      </c>
      <c r="M2032" t="s">
        <v>152</v>
      </c>
      <c r="N2032" t="s">
        <v>29</v>
      </c>
      <c r="O2032" t="s">
        <v>55</v>
      </c>
      <c r="P2032" t="s">
        <v>152</v>
      </c>
      <c r="Q2032" t="s">
        <v>152</v>
      </c>
      <c r="R2032">
        <v>38</v>
      </c>
      <c r="S2032" t="s">
        <v>27</v>
      </c>
      <c r="T2032" t="str">
        <f t="shared" si="62"/>
        <v>Month</v>
      </c>
      <c r="U2032">
        <f>VLOOKUP(T2032,[1]tablescore!$B$3:$C$8, 2,FALSE)</f>
        <v>12</v>
      </c>
      <c r="V2032" t="str">
        <f t="shared" si="63"/>
        <v>Moderate</v>
      </c>
      <c r="W2032" t="s">
        <v>88</v>
      </c>
    </row>
    <row r="2033" spans="1:23" x14ac:dyDescent="0.25">
      <c r="A2033">
        <v>2032</v>
      </c>
      <c r="B2033">
        <v>21</v>
      </c>
      <c r="C2033" t="str" cm="1">
        <f t="array" ref="C2033">_xlfn.IFS(
  AND(B2033&gt;=18, B2033&lt;=24), "18-24",
  AND(B2033&gt;=25, B2033&lt;=34), "25-34",
  AND(B2033&gt;=35, B2033&lt;=44), "35-44",
  AND(B2033&gt;=45, B2033&lt;=54), "45-54",
  B2033&gt;=55, "55+"
)</f>
        <v>18-24</v>
      </c>
      <c r="D2033" t="s">
        <v>19</v>
      </c>
      <c r="E2033" t="s">
        <v>131</v>
      </c>
      <c r="F2033" t="s">
        <v>21</v>
      </c>
      <c r="G2033">
        <v>51</v>
      </c>
      <c r="H2033" t="s">
        <v>98</v>
      </c>
      <c r="I2033" t="s">
        <v>23</v>
      </c>
      <c r="J2033" t="s">
        <v>63</v>
      </c>
      <c r="K2033" t="s">
        <v>39</v>
      </c>
      <c r="L2033">
        <v>4</v>
      </c>
      <c r="M2033" t="s">
        <v>152</v>
      </c>
      <c r="N2033" t="s">
        <v>27</v>
      </c>
      <c r="O2033" t="s">
        <v>55</v>
      </c>
      <c r="P2033" t="s">
        <v>152</v>
      </c>
      <c r="Q2033" t="s">
        <v>152</v>
      </c>
      <c r="R2033">
        <v>2</v>
      </c>
      <c r="S2033" t="s">
        <v>27</v>
      </c>
      <c r="T2033" t="str">
        <f t="shared" si="62"/>
        <v>Month</v>
      </c>
      <c r="U2033">
        <f>VLOOKUP(T2033,[1]tablescore!$B$3:$C$8, 2,FALSE)</f>
        <v>12</v>
      </c>
      <c r="V2033" t="str">
        <f t="shared" si="63"/>
        <v>Moderate</v>
      </c>
      <c r="W2033" t="s">
        <v>88</v>
      </c>
    </row>
    <row r="2034" spans="1:23" x14ac:dyDescent="0.25">
      <c r="A2034">
        <v>2033</v>
      </c>
      <c r="B2034">
        <v>46</v>
      </c>
      <c r="C2034" t="str" cm="1">
        <f t="array" ref="C2034">_xlfn.IFS(
  AND(B2034&gt;=18, B2034&lt;=24), "18-24",
  AND(B2034&gt;=25, B2034&lt;=34), "25-34",
  AND(B2034&gt;=35, B2034&lt;=44), "35-44",
  AND(B2034&gt;=45, B2034&lt;=54), "45-54",
  B2034&gt;=55, "55+"
)</f>
        <v>45-54</v>
      </c>
      <c r="D2034" t="s">
        <v>19</v>
      </c>
      <c r="E2034" t="s">
        <v>20</v>
      </c>
      <c r="F2034" t="s">
        <v>21</v>
      </c>
      <c r="G2034">
        <v>36</v>
      </c>
      <c r="H2034" t="s">
        <v>126</v>
      </c>
      <c r="I2034" t="s">
        <v>45</v>
      </c>
      <c r="J2034" t="s">
        <v>33</v>
      </c>
      <c r="K2034" t="s">
        <v>25</v>
      </c>
      <c r="L2034">
        <v>4.2</v>
      </c>
      <c r="M2034" t="s">
        <v>152</v>
      </c>
      <c r="N2034" t="s">
        <v>27</v>
      </c>
      <c r="O2034" t="s">
        <v>47</v>
      </c>
      <c r="P2034" t="s">
        <v>152</v>
      </c>
      <c r="Q2034" t="s">
        <v>152</v>
      </c>
      <c r="R2034">
        <v>13</v>
      </c>
      <c r="S2034" t="s">
        <v>35</v>
      </c>
      <c r="T2034" t="str">
        <f t="shared" si="62"/>
        <v>Annually</v>
      </c>
      <c r="U2034">
        <f>VLOOKUP(T2034,[1]tablescore!$B$3:$C$8, 2,FALSE)</f>
        <v>1</v>
      </c>
      <c r="V2034" t="str">
        <f t="shared" si="63"/>
        <v>Low Loyalty</v>
      </c>
      <c r="W2034" t="s">
        <v>50</v>
      </c>
    </row>
    <row r="2035" spans="1:23" x14ac:dyDescent="0.25">
      <c r="A2035">
        <v>2034</v>
      </c>
      <c r="B2035">
        <v>57</v>
      </c>
      <c r="C2035" t="str" cm="1">
        <f t="array" ref="C2035">_xlfn.IFS(
  AND(B2035&gt;=18, B2035&lt;=24), "18-24",
  AND(B2035&gt;=25, B2035&lt;=34), "25-34",
  AND(B2035&gt;=35, B2035&lt;=44), "35-44",
  AND(B2035&gt;=45, B2035&lt;=54), "45-54",
  B2035&gt;=55, "55+"
)</f>
        <v>55+</v>
      </c>
      <c r="D2035" t="s">
        <v>19</v>
      </c>
      <c r="E2035" t="s">
        <v>36</v>
      </c>
      <c r="F2035" t="s">
        <v>21</v>
      </c>
      <c r="G2035">
        <v>55</v>
      </c>
      <c r="H2035" t="s">
        <v>115</v>
      </c>
      <c r="I2035" t="s">
        <v>23</v>
      </c>
      <c r="J2035" t="s">
        <v>79</v>
      </c>
      <c r="K2035" t="s">
        <v>54</v>
      </c>
      <c r="L2035">
        <v>3.6</v>
      </c>
      <c r="M2035" t="s">
        <v>152</v>
      </c>
      <c r="N2035" t="s">
        <v>35</v>
      </c>
      <c r="O2035" t="s">
        <v>28</v>
      </c>
      <c r="P2035" t="s">
        <v>152</v>
      </c>
      <c r="Q2035" t="s">
        <v>152</v>
      </c>
      <c r="R2035">
        <v>33</v>
      </c>
      <c r="S2035" t="s">
        <v>29</v>
      </c>
      <c r="T2035" t="str">
        <f t="shared" si="62"/>
        <v>Annually</v>
      </c>
      <c r="U2035">
        <f>VLOOKUP(T2035,[1]tablescore!$B$3:$C$8, 2,FALSE)</f>
        <v>1</v>
      </c>
      <c r="V2035" t="str">
        <f t="shared" si="63"/>
        <v>Low Loyalty</v>
      </c>
      <c r="W2035" t="s">
        <v>50</v>
      </c>
    </row>
    <row r="2036" spans="1:23" x14ac:dyDescent="0.25">
      <c r="A2036">
        <v>2035</v>
      </c>
      <c r="B2036">
        <v>61</v>
      </c>
      <c r="C2036" t="str" cm="1">
        <f t="array" ref="C2036">_xlfn.IFS(
  AND(B2036&gt;=18, B2036&lt;=24), "18-24",
  AND(B2036&gt;=25, B2036&lt;=34), "25-34",
  AND(B2036&gt;=35, B2036&lt;=44), "35-44",
  AND(B2036&gt;=45, B2036&lt;=54), "45-54",
  B2036&gt;=55, "55+"
)</f>
        <v>55+</v>
      </c>
      <c r="D2036" t="s">
        <v>19</v>
      </c>
      <c r="E2036" t="s">
        <v>61</v>
      </c>
      <c r="F2036" t="s">
        <v>21</v>
      </c>
      <c r="G2036">
        <v>30</v>
      </c>
      <c r="H2036" t="s">
        <v>90</v>
      </c>
      <c r="I2036" t="s">
        <v>45</v>
      </c>
      <c r="J2036" t="s">
        <v>100</v>
      </c>
      <c r="K2036" t="s">
        <v>39</v>
      </c>
      <c r="L2036">
        <v>2.9</v>
      </c>
      <c r="M2036" t="s">
        <v>152</v>
      </c>
      <c r="N2036" t="s">
        <v>27</v>
      </c>
      <c r="O2036" t="s">
        <v>76</v>
      </c>
      <c r="P2036" t="s">
        <v>152</v>
      </c>
      <c r="Q2036" t="s">
        <v>152</v>
      </c>
      <c r="R2036">
        <v>27</v>
      </c>
      <c r="S2036" t="s">
        <v>46</v>
      </c>
      <c r="T2036" t="str">
        <f t="shared" si="62"/>
        <v>Month</v>
      </c>
      <c r="U2036">
        <f>VLOOKUP(T2036,[1]tablescore!$B$3:$C$8, 2,FALSE)</f>
        <v>12</v>
      </c>
      <c r="V2036" t="str">
        <f t="shared" si="63"/>
        <v>Moderate</v>
      </c>
      <c r="W2036" t="s">
        <v>88</v>
      </c>
    </row>
    <row r="2037" spans="1:23" x14ac:dyDescent="0.25">
      <c r="A2037">
        <v>2036</v>
      </c>
      <c r="B2037">
        <v>53</v>
      </c>
      <c r="C2037" t="str" cm="1">
        <f t="array" ref="C2037">_xlfn.IFS(
  AND(B2037&gt;=18, B2037&lt;=24), "18-24",
  AND(B2037&gt;=25, B2037&lt;=34), "25-34",
  AND(B2037&gt;=35, B2037&lt;=44), "35-44",
  AND(B2037&gt;=45, B2037&lt;=54), "45-54",
  B2037&gt;=55, "55+"
)</f>
        <v>45-54</v>
      </c>
      <c r="D2037" t="s">
        <v>19</v>
      </c>
      <c r="E2037" t="s">
        <v>113</v>
      </c>
      <c r="F2037" t="s">
        <v>21</v>
      </c>
      <c r="G2037">
        <v>70</v>
      </c>
      <c r="H2037" t="s">
        <v>101</v>
      </c>
      <c r="I2037" t="s">
        <v>38</v>
      </c>
      <c r="J2037" t="s">
        <v>139</v>
      </c>
      <c r="K2037" t="s">
        <v>54</v>
      </c>
      <c r="L2037">
        <v>4.0999999999999996</v>
      </c>
      <c r="M2037" t="s">
        <v>152</v>
      </c>
      <c r="N2037" t="s">
        <v>29</v>
      </c>
      <c r="O2037" t="s">
        <v>28</v>
      </c>
      <c r="P2037" t="s">
        <v>152</v>
      </c>
      <c r="Q2037" t="s">
        <v>152</v>
      </c>
      <c r="R2037">
        <v>43</v>
      </c>
      <c r="S2037" t="s">
        <v>34</v>
      </c>
      <c r="T2037" t="str">
        <f t="shared" si="62"/>
        <v>Daily</v>
      </c>
      <c r="U2037">
        <f>VLOOKUP(T2037,[1]tablescore!$B$3:$C$8, 2,FALSE)</f>
        <v>30</v>
      </c>
      <c r="V2037" t="str">
        <f t="shared" si="63"/>
        <v>Highly Loyal</v>
      </c>
      <c r="W2037" t="s">
        <v>41</v>
      </c>
    </row>
    <row r="2038" spans="1:23" x14ac:dyDescent="0.25">
      <c r="A2038">
        <v>2037</v>
      </c>
      <c r="B2038">
        <v>37</v>
      </c>
      <c r="C2038" t="str" cm="1">
        <f t="array" ref="C2038">_xlfn.IFS(
  AND(B2038&gt;=18, B2038&lt;=24), "18-24",
  AND(B2038&gt;=25, B2038&lt;=34), "25-34",
  AND(B2038&gt;=35, B2038&lt;=44), "35-44",
  AND(B2038&gt;=45, B2038&lt;=54), "45-54",
  B2038&gt;=55, "55+"
)</f>
        <v>35-44</v>
      </c>
      <c r="D2038" t="s">
        <v>19</v>
      </c>
      <c r="E2038" t="s">
        <v>20</v>
      </c>
      <c r="F2038" t="s">
        <v>21</v>
      </c>
      <c r="G2038">
        <v>63</v>
      </c>
      <c r="H2038" t="s">
        <v>134</v>
      </c>
      <c r="I2038" t="s">
        <v>38</v>
      </c>
      <c r="J2038" t="s">
        <v>93</v>
      </c>
      <c r="K2038" t="s">
        <v>25</v>
      </c>
      <c r="L2038">
        <v>3.1</v>
      </c>
      <c r="M2038" t="s">
        <v>152</v>
      </c>
      <c r="N2038" t="s">
        <v>46</v>
      </c>
      <c r="O2038" t="s">
        <v>47</v>
      </c>
      <c r="P2038" t="s">
        <v>152</v>
      </c>
      <c r="Q2038" t="s">
        <v>152</v>
      </c>
      <c r="R2038">
        <v>46</v>
      </c>
      <c r="S2038" t="s">
        <v>35</v>
      </c>
      <c r="T2038" t="str">
        <f t="shared" si="62"/>
        <v>Daily</v>
      </c>
      <c r="U2038">
        <f>VLOOKUP(T2038,[1]tablescore!$B$3:$C$8, 2,FALSE)</f>
        <v>30</v>
      </c>
      <c r="V2038" t="str">
        <f t="shared" si="63"/>
        <v>Highly Loyal</v>
      </c>
      <c r="W2038" t="s">
        <v>41</v>
      </c>
    </row>
    <row r="2039" spans="1:23" x14ac:dyDescent="0.25">
      <c r="A2039">
        <v>2038</v>
      </c>
      <c r="B2039">
        <v>39</v>
      </c>
      <c r="C2039" t="str" cm="1">
        <f t="array" ref="C2039">_xlfn.IFS(
  AND(B2039&gt;=18, B2039&lt;=24), "18-24",
  AND(B2039&gt;=25, B2039&lt;=34), "25-34",
  AND(B2039&gt;=35, B2039&lt;=44), "35-44",
  AND(B2039&gt;=45, B2039&lt;=54), "45-54",
  B2039&gt;=55, "55+"
)</f>
        <v>35-44</v>
      </c>
      <c r="D2039" t="s">
        <v>19</v>
      </c>
      <c r="E2039" t="s">
        <v>136</v>
      </c>
      <c r="F2039" t="s">
        <v>69</v>
      </c>
      <c r="G2039">
        <v>87</v>
      </c>
      <c r="H2039" t="s">
        <v>115</v>
      </c>
      <c r="I2039" t="s">
        <v>38</v>
      </c>
      <c r="J2039" t="s">
        <v>96</v>
      </c>
      <c r="K2039" t="s">
        <v>54</v>
      </c>
      <c r="L2039">
        <v>4.3</v>
      </c>
      <c r="M2039" t="s">
        <v>152</v>
      </c>
      <c r="N2039" t="s">
        <v>35</v>
      </c>
      <c r="O2039" t="s">
        <v>28</v>
      </c>
      <c r="P2039" t="s">
        <v>152</v>
      </c>
      <c r="Q2039" t="s">
        <v>152</v>
      </c>
      <c r="R2039">
        <v>7</v>
      </c>
      <c r="S2039" t="s">
        <v>29</v>
      </c>
      <c r="T2039" t="str">
        <f t="shared" si="62"/>
        <v>2-week</v>
      </c>
      <c r="U2039">
        <f>VLOOKUP(T2039,[1]tablescore!$B$3:$C$8, 2,FALSE)</f>
        <v>26</v>
      </c>
      <c r="V2039" t="str">
        <f t="shared" si="63"/>
        <v>Loyal</v>
      </c>
      <c r="W2039" t="s">
        <v>77</v>
      </c>
    </row>
    <row r="2040" spans="1:23" x14ac:dyDescent="0.25">
      <c r="A2040">
        <v>2039</v>
      </c>
      <c r="B2040">
        <v>53</v>
      </c>
      <c r="C2040" t="str" cm="1">
        <f t="array" ref="C2040">_xlfn.IFS(
  AND(B2040&gt;=18, B2040&lt;=24), "18-24",
  AND(B2040&gt;=25, B2040&lt;=34), "25-34",
  AND(B2040&gt;=35, B2040&lt;=44), "35-44",
  AND(B2040&gt;=45, B2040&lt;=54), "45-54",
  B2040&gt;=55, "55+"
)</f>
        <v>45-54</v>
      </c>
      <c r="D2040" t="s">
        <v>19</v>
      </c>
      <c r="E2040" t="s">
        <v>20</v>
      </c>
      <c r="F2040" t="s">
        <v>21</v>
      </c>
      <c r="G2040">
        <v>70</v>
      </c>
      <c r="H2040" t="s">
        <v>74</v>
      </c>
      <c r="I2040" t="s">
        <v>23</v>
      </c>
      <c r="J2040" t="s">
        <v>121</v>
      </c>
      <c r="K2040" t="s">
        <v>39</v>
      </c>
      <c r="L2040">
        <v>4.4000000000000004</v>
      </c>
      <c r="M2040" t="s">
        <v>152</v>
      </c>
      <c r="N2040" t="s">
        <v>59</v>
      </c>
      <c r="O2040" t="s">
        <v>47</v>
      </c>
      <c r="P2040" t="s">
        <v>152</v>
      </c>
      <c r="Q2040" t="s">
        <v>152</v>
      </c>
      <c r="R2040">
        <v>35</v>
      </c>
      <c r="S2040" t="s">
        <v>27</v>
      </c>
      <c r="T2040" t="str">
        <f t="shared" si="62"/>
        <v>2-week</v>
      </c>
      <c r="U2040">
        <f>VLOOKUP(T2040,[1]tablescore!$B$3:$C$8, 2,FALSE)</f>
        <v>26</v>
      </c>
      <c r="V2040" t="str">
        <f t="shared" si="63"/>
        <v>Loyal</v>
      </c>
      <c r="W2040" t="s">
        <v>30</v>
      </c>
    </row>
    <row r="2041" spans="1:23" x14ac:dyDescent="0.25">
      <c r="A2041">
        <v>2040</v>
      </c>
      <c r="B2041">
        <v>35</v>
      </c>
      <c r="C2041" t="str" cm="1">
        <f t="array" ref="C2041">_xlfn.IFS(
  AND(B2041&gt;=18, B2041&lt;=24), "18-24",
  AND(B2041&gt;=25, B2041&lt;=34), "25-34",
  AND(B2041&gt;=35, B2041&lt;=44), "35-44",
  AND(B2041&gt;=45, B2041&lt;=54), "45-54",
  B2041&gt;=55, "55+"
)</f>
        <v>35-44</v>
      </c>
      <c r="D2041" t="s">
        <v>19</v>
      </c>
      <c r="E2041" t="s">
        <v>113</v>
      </c>
      <c r="F2041" t="s">
        <v>21</v>
      </c>
      <c r="G2041">
        <v>51</v>
      </c>
      <c r="H2041" t="s">
        <v>134</v>
      </c>
      <c r="I2041" t="s">
        <v>45</v>
      </c>
      <c r="J2041" t="s">
        <v>79</v>
      </c>
      <c r="K2041" t="s">
        <v>39</v>
      </c>
      <c r="L2041">
        <v>3.1</v>
      </c>
      <c r="M2041" t="s">
        <v>152</v>
      </c>
      <c r="N2041" t="s">
        <v>35</v>
      </c>
      <c r="O2041" t="s">
        <v>47</v>
      </c>
      <c r="P2041" t="s">
        <v>152</v>
      </c>
      <c r="Q2041" t="s">
        <v>152</v>
      </c>
      <c r="R2041">
        <v>31</v>
      </c>
      <c r="S2041" t="s">
        <v>59</v>
      </c>
      <c r="T2041" t="str">
        <f t="shared" si="62"/>
        <v>2-week</v>
      </c>
      <c r="U2041">
        <f>VLOOKUP(T2041,[1]tablescore!$B$3:$C$8, 2,FALSE)</f>
        <v>26</v>
      </c>
      <c r="V2041" t="str">
        <f t="shared" si="63"/>
        <v>Loyal</v>
      </c>
      <c r="W2041" t="s">
        <v>77</v>
      </c>
    </row>
    <row r="2042" spans="1:23" x14ac:dyDescent="0.25">
      <c r="A2042">
        <v>2041</v>
      </c>
      <c r="B2042">
        <v>69</v>
      </c>
      <c r="C2042" t="str" cm="1">
        <f t="array" ref="C2042">_xlfn.IFS(
  AND(B2042&gt;=18, B2042&lt;=24), "18-24",
  AND(B2042&gt;=25, B2042&lt;=34), "25-34",
  AND(B2042&gt;=35, B2042&lt;=44), "35-44",
  AND(B2042&gt;=45, B2042&lt;=54), "45-54",
  B2042&gt;=55, "55+"
)</f>
        <v>55+</v>
      </c>
      <c r="D2042" t="s">
        <v>19</v>
      </c>
      <c r="E2042" t="s">
        <v>106</v>
      </c>
      <c r="F2042" t="s">
        <v>69</v>
      </c>
      <c r="G2042">
        <v>25</v>
      </c>
      <c r="H2042" t="s">
        <v>126</v>
      </c>
      <c r="I2042" t="s">
        <v>92</v>
      </c>
      <c r="J2042" t="s">
        <v>24</v>
      </c>
      <c r="K2042" t="s">
        <v>39</v>
      </c>
      <c r="L2042">
        <v>2.9</v>
      </c>
      <c r="M2042" t="s">
        <v>152</v>
      </c>
      <c r="N2042" t="s">
        <v>59</v>
      </c>
      <c r="O2042" t="s">
        <v>40</v>
      </c>
      <c r="P2042" t="s">
        <v>152</v>
      </c>
      <c r="Q2042" t="s">
        <v>152</v>
      </c>
      <c r="R2042">
        <v>42</v>
      </c>
      <c r="S2042" t="s">
        <v>29</v>
      </c>
      <c r="T2042" t="str">
        <f t="shared" si="62"/>
        <v>Quarterly</v>
      </c>
      <c r="U2042">
        <f>VLOOKUP(T2042,[1]tablescore!$B$3:$C$8, 2,FALSE)</f>
        <v>4</v>
      </c>
      <c r="V2042" t="str">
        <f t="shared" si="63"/>
        <v>Low Loyalty</v>
      </c>
      <c r="W2042" t="s">
        <v>60</v>
      </c>
    </row>
    <row r="2043" spans="1:23" x14ac:dyDescent="0.25">
      <c r="A2043">
        <v>2042</v>
      </c>
      <c r="B2043">
        <v>66</v>
      </c>
      <c r="C2043" t="str" cm="1">
        <f t="array" ref="C2043">_xlfn.IFS(
  AND(B2043&gt;=18, B2043&lt;=24), "18-24",
  AND(B2043&gt;=25, B2043&lt;=34), "25-34",
  AND(B2043&gt;=35, B2043&lt;=44), "35-44",
  AND(B2043&gt;=45, B2043&lt;=54), "45-54",
  B2043&gt;=55, "55+"
)</f>
        <v>55+</v>
      </c>
      <c r="D2043" t="s">
        <v>19</v>
      </c>
      <c r="E2043" t="s">
        <v>102</v>
      </c>
      <c r="F2043" t="s">
        <v>65</v>
      </c>
      <c r="G2043">
        <v>32</v>
      </c>
      <c r="H2043" t="s">
        <v>85</v>
      </c>
      <c r="I2043" t="s">
        <v>38</v>
      </c>
      <c r="J2043" t="s">
        <v>93</v>
      </c>
      <c r="K2043" t="s">
        <v>25</v>
      </c>
      <c r="L2043">
        <v>3.2</v>
      </c>
      <c r="M2043" t="s">
        <v>152</v>
      </c>
      <c r="N2043" t="s">
        <v>35</v>
      </c>
      <c r="O2043" t="s">
        <v>47</v>
      </c>
      <c r="P2043" t="s">
        <v>152</v>
      </c>
      <c r="Q2043" t="s">
        <v>152</v>
      </c>
      <c r="R2043">
        <v>14</v>
      </c>
      <c r="S2043" t="s">
        <v>46</v>
      </c>
      <c r="T2043" t="str">
        <f t="shared" si="62"/>
        <v>2-week</v>
      </c>
      <c r="U2043">
        <f>VLOOKUP(T2043,[1]tablescore!$B$3:$C$8, 2,FALSE)</f>
        <v>26</v>
      </c>
      <c r="V2043" t="str">
        <f t="shared" si="63"/>
        <v>Loyal</v>
      </c>
      <c r="W2043" t="s">
        <v>77</v>
      </c>
    </row>
    <row r="2044" spans="1:23" x14ac:dyDescent="0.25">
      <c r="A2044">
        <v>2043</v>
      </c>
      <c r="B2044">
        <v>19</v>
      </c>
      <c r="C2044" t="str" cm="1">
        <f t="array" ref="C2044">_xlfn.IFS(
  AND(B2044&gt;=18, B2044&lt;=24), "18-24",
  AND(B2044&gt;=25, B2044&lt;=34), "25-34",
  AND(B2044&gt;=35, B2044&lt;=44), "35-44",
  AND(B2044&gt;=45, B2044&lt;=54), "45-54",
  B2044&gt;=55, "55+"
)</f>
        <v>18-24</v>
      </c>
      <c r="D2044" t="s">
        <v>19</v>
      </c>
      <c r="E2044" t="s">
        <v>73</v>
      </c>
      <c r="F2044" t="s">
        <v>43</v>
      </c>
      <c r="G2044">
        <v>52</v>
      </c>
      <c r="H2044" t="s">
        <v>90</v>
      </c>
      <c r="I2044" t="s">
        <v>45</v>
      </c>
      <c r="J2044" t="s">
        <v>108</v>
      </c>
      <c r="K2044" t="s">
        <v>39</v>
      </c>
      <c r="L2044">
        <v>4</v>
      </c>
      <c r="M2044" t="s">
        <v>152</v>
      </c>
      <c r="N2044" t="s">
        <v>27</v>
      </c>
      <c r="O2044" t="s">
        <v>72</v>
      </c>
      <c r="P2044" t="s">
        <v>152</v>
      </c>
      <c r="Q2044" t="s">
        <v>152</v>
      </c>
      <c r="R2044">
        <v>35</v>
      </c>
      <c r="S2044" t="s">
        <v>29</v>
      </c>
      <c r="T2044" t="str">
        <f t="shared" si="62"/>
        <v>Month</v>
      </c>
      <c r="U2044">
        <f>VLOOKUP(T2044,[1]tablescore!$B$3:$C$8, 2,FALSE)</f>
        <v>12</v>
      </c>
      <c r="V2044" t="str">
        <f t="shared" si="63"/>
        <v>Moderate</v>
      </c>
      <c r="W2044" t="s">
        <v>88</v>
      </c>
    </row>
    <row r="2045" spans="1:23" x14ac:dyDescent="0.25">
      <c r="A2045">
        <v>2044</v>
      </c>
      <c r="B2045">
        <v>47</v>
      </c>
      <c r="C2045" t="str" cm="1">
        <f t="array" ref="C2045">_xlfn.IFS(
  AND(B2045&gt;=18, B2045&lt;=24), "18-24",
  AND(B2045&gt;=25, B2045&lt;=34), "25-34",
  AND(B2045&gt;=35, B2045&lt;=44), "35-44",
  AND(B2045&gt;=45, B2045&lt;=54), "45-54",
  B2045&gt;=55, "55+"
)</f>
        <v>45-54</v>
      </c>
      <c r="D2045" t="s">
        <v>19</v>
      </c>
      <c r="E2045" t="s">
        <v>127</v>
      </c>
      <c r="F2045" t="s">
        <v>69</v>
      </c>
      <c r="G2045">
        <v>33</v>
      </c>
      <c r="H2045" t="s">
        <v>85</v>
      </c>
      <c r="I2045" t="s">
        <v>45</v>
      </c>
      <c r="J2045" t="s">
        <v>63</v>
      </c>
      <c r="K2045" t="s">
        <v>54</v>
      </c>
      <c r="L2045">
        <v>2.7</v>
      </c>
      <c r="M2045" t="s">
        <v>152</v>
      </c>
      <c r="N2045" t="s">
        <v>46</v>
      </c>
      <c r="O2045" t="s">
        <v>55</v>
      </c>
      <c r="P2045" t="s">
        <v>152</v>
      </c>
      <c r="Q2045" t="s">
        <v>152</v>
      </c>
      <c r="R2045">
        <v>49</v>
      </c>
      <c r="S2045" t="s">
        <v>46</v>
      </c>
      <c r="T2045" t="str">
        <f t="shared" si="62"/>
        <v>Daily</v>
      </c>
      <c r="U2045">
        <f>VLOOKUP(T2045,[1]tablescore!$B$3:$C$8, 2,FALSE)</f>
        <v>30</v>
      </c>
      <c r="V2045" t="str">
        <f t="shared" si="63"/>
        <v>Highly Loyal</v>
      </c>
      <c r="W2045" t="s">
        <v>41</v>
      </c>
    </row>
    <row r="2046" spans="1:23" x14ac:dyDescent="0.25">
      <c r="A2046">
        <v>2045</v>
      </c>
      <c r="B2046">
        <v>49</v>
      </c>
      <c r="C2046" t="str" cm="1">
        <f t="array" ref="C2046">_xlfn.IFS(
  AND(B2046&gt;=18, B2046&lt;=24), "18-24",
  AND(B2046&gt;=25, B2046&lt;=34), "25-34",
  AND(B2046&gt;=35, B2046&lt;=44), "35-44",
  AND(B2046&gt;=45, B2046&lt;=54), "45-54",
  B2046&gt;=55, "55+"
)</f>
        <v>45-54</v>
      </c>
      <c r="D2046" t="s">
        <v>19</v>
      </c>
      <c r="E2046" t="s">
        <v>36</v>
      </c>
      <c r="F2046" t="s">
        <v>21</v>
      </c>
      <c r="G2046">
        <v>68</v>
      </c>
      <c r="H2046" t="s">
        <v>70</v>
      </c>
      <c r="I2046" t="s">
        <v>23</v>
      </c>
      <c r="J2046" t="s">
        <v>121</v>
      </c>
      <c r="K2046" t="s">
        <v>39</v>
      </c>
      <c r="L2046">
        <v>3</v>
      </c>
      <c r="M2046" t="s">
        <v>152</v>
      </c>
      <c r="N2046" t="s">
        <v>35</v>
      </c>
      <c r="O2046" t="s">
        <v>40</v>
      </c>
      <c r="P2046" t="s">
        <v>152</v>
      </c>
      <c r="Q2046" t="s">
        <v>152</v>
      </c>
      <c r="R2046">
        <v>17</v>
      </c>
      <c r="S2046" t="s">
        <v>46</v>
      </c>
      <c r="T2046" t="str">
        <f t="shared" si="62"/>
        <v>2-week</v>
      </c>
      <c r="U2046">
        <f>VLOOKUP(T2046,[1]tablescore!$B$3:$C$8, 2,FALSE)</f>
        <v>26</v>
      </c>
      <c r="V2046" t="str">
        <f t="shared" si="63"/>
        <v>Loyal</v>
      </c>
      <c r="W2046" t="s">
        <v>30</v>
      </c>
    </row>
    <row r="2047" spans="1:23" x14ac:dyDescent="0.25">
      <c r="A2047">
        <v>2046</v>
      </c>
      <c r="B2047">
        <v>31</v>
      </c>
      <c r="C2047" t="str" cm="1">
        <f t="array" ref="C2047">_xlfn.IFS(
  AND(B2047&gt;=18, B2047&lt;=24), "18-24",
  AND(B2047&gt;=25, B2047&lt;=34), "25-34",
  AND(B2047&gt;=35, B2047&lt;=44), "35-44",
  AND(B2047&gt;=45, B2047&lt;=54), "45-54",
  B2047&gt;=55, "55+"
)</f>
        <v>25-34</v>
      </c>
      <c r="D2047" t="s">
        <v>19</v>
      </c>
      <c r="E2047" t="s">
        <v>106</v>
      </c>
      <c r="F2047" t="s">
        <v>69</v>
      </c>
      <c r="G2047">
        <v>20</v>
      </c>
      <c r="H2047" t="s">
        <v>142</v>
      </c>
      <c r="I2047" t="s">
        <v>45</v>
      </c>
      <c r="J2047" t="s">
        <v>108</v>
      </c>
      <c r="K2047" t="s">
        <v>58</v>
      </c>
      <c r="L2047">
        <v>4.4000000000000004</v>
      </c>
      <c r="M2047" t="s">
        <v>152</v>
      </c>
      <c r="N2047" t="s">
        <v>46</v>
      </c>
      <c r="O2047" t="s">
        <v>28</v>
      </c>
      <c r="P2047" t="s">
        <v>152</v>
      </c>
      <c r="Q2047" t="s">
        <v>152</v>
      </c>
      <c r="R2047">
        <v>26</v>
      </c>
      <c r="S2047" t="s">
        <v>46</v>
      </c>
      <c r="T2047" t="str">
        <f t="shared" si="62"/>
        <v>Quarterly</v>
      </c>
      <c r="U2047">
        <f>VLOOKUP(T2047,[1]tablescore!$B$3:$C$8, 2,FALSE)</f>
        <v>4</v>
      </c>
      <c r="V2047" t="str">
        <f t="shared" si="63"/>
        <v>Low Loyalty</v>
      </c>
      <c r="W2047" t="s">
        <v>60</v>
      </c>
    </row>
    <row r="2048" spans="1:23" x14ac:dyDescent="0.25">
      <c r="A2048">
        <v>2047</v>
      </c>
      <c r="B2048">
        <v>39</v>
      </c>
      <c r="C2048" t="str" cm="1">
        <f t="array" ref="C2048">_xlfn.IFS(
  AND(B2048&gt;=18, B2048&lt;=24), "18-24",
  AND(B2048&gt;=25, B2048&lt;=34), "25-34",
  AND(B2048&gt;=35, B2048&lt;=44), "35-44",
  AND(B2048&gt;=45, B2048&lt;=54), "45-54",
  B2048&gt;=55, "55+"
)</f>
        <v>35-44</v>
      </c>
      <c r="D2048" t="s">
        <v>19</v>
      </c>
      <c r="E2048" t="s">
        <v>95</v>
      </c>
      <c r="F2048" t="s">
        <v>21</v>
      </c>
      <c r="G2048">
        <v>32</v>
      </c>
      <c r="H2048" t="s">
        <v>101</v>
      </c>
      <c r="I2048" t="s">
        <v>45</v>
      </c>
      <c r="J2048" t="s">
        <v>33</v>
      </c>
      <c r="K2048" t="s">
        <v>25</v>
      </c>
      <c r="L2048">
        <v>2.8</v>
      </c>
      <c r="M2048" t="s">
        <v>152</v>
      </c>
      <c r="N2048" t="s">
        <v>34</v>
      </c>
      <c r="O2048" t="s">
        <v>40</v>
      </c>
      <c r="P2048" t="s">
        <v>152</v>
      </c>
      <c r="Q2048" t="s">
        <v>152</v>
      </c>
      <c r="R2048">
        <v>30</v>
      </c>
      <c r="S2048" t="s">
        <v>35</v>
      </c>
      <c r="T2048" t="str">
        <f t="shared" si="62"/>
        <v>Quarterly</v>
      </c>
      <c r="U2048">
        <f>VLOOKUP(T2048,[1]tablescore!$B$3:$C$8, 2,FALSE)</f>
        <v>4</v>
      </c>
      <c r="V2048" t="str">
        <f t="shared" si="63"/>
        <v>Low Loyalty</v>
      </c>
      <c r="W2048" t="s">
        <v>97</v>
      </c>
    </row>
    <row r="2049" spans="1:23" x14ac:dyDescent="0.25">
      <c r="A2049">
        <v>2048</v>
      </c>
      <c r="B2049">
        <v>58</v>
      </c>
      <c r="C2049" t="str" cm="1">
        <f t="array" ref="C2049">_xlfn.IFS(
  AND(B2049&gt;=18, B2049&lt;=24), "18-24",
  AND(B2049&gt;=25, B2049&lt;=34), "25-34",
  AND(B2049&gt;=35, B2049&lt;=44), "35-44",
  AND(B2049&gt;=45, B2049&lt;=54), "45-54",
  B2049&gt;=55, "55+"
)</f>
        <v>55+</v>
      </c>
      <c r="D2049" t="s">
        <v>19</v>
      </c>
      <c r="E2049" t="s">
        <v>106</v>
      </c>
      <c r="F2049" t="s">
        <v>69</v>
      </c>
      <c r="G2049">
        <v>82</v>
      </c>
      <c r="H2049" t="s">
        <v>146</v>
      </c>
      <c r="I2049" t="s">
        <v>45</v>
      </c>
      <c r="J2049" t="s">
        <v>67</v>
      </c>
      <c r="K2049" t="s">
        <v>54</v>
      </c>
      <c r="L2049">
        <v>3.1</v>
      </c>
      <c r="M2049" t="s">
        <v>152</v>
      </c>
      <c r="N2049" t="s">
        <v>35</v>
      </c>
      <c r="O2049" t="s">
        <v>76</v>
      </c>
      <c r="P2049" t="s">
        <v>152</v>
      </c>
      <c r="Q2049" t="s">
        <v>152</v>
      </c>
      <c r="R2049">
        <v>32</v>
      </c>
      <c r="S2049" t="s">
        <v>35</v>
      </c>
      <c r="T2049" t="str">
        <f t="shared" si="62"/>
        <v>Annually</v>
      </c>
      <c r="U2049">
        <f>VLOOKUP(T2049,[1]tablescore!$B$3:$C$8, 2,FALSE)</f>
        <v>1</v>
      </c>
      <c r="V2049" t="str">
        <f t="shared" si="63"/>
        <v>Low Loyalty</v>
      </c>
      <c r="W2049" t="s">
        <v>50</v>
      </c>
    </row>
    <row r="2050" spans="1:23" x14ac:dyDescent="0.25">
      <c r="A2050">
        <v>2049</v>
      </c>
      <c r="B2050">
        <v>45</v>
      </c>
      <c r="C2050" t="str" cm="1">
        <f t="array" ref="C2050">_xlfn.IFS(
  AND(B2050&gt;=18, B2050&lt;=24), "18-24",
  AND(B2050&gt;=25, B2050&lt;=34), "25-34",
  AND(B2050&gt;=35, B2050&lt;=44), "35-44",
  AND(B2050&gt;=45, B2050&lt;=54), "45-54",
  B2050&gt;=55, "55+"
)</f>
        <v>45-54</v>
      </c>
      <c r="D2050" t="s">
        <v>19</v>
      </c>
      <c r="E2050" t="s">
        <v>51</v>
      </c>
      <c r="F2050" t="s">
        <v>43</v>
      </c>
      <c r="G2050">
        <v>64</v>
      </c>
      <c r="H2050" t="s">
        <v>151</v>
      </c>
      <c r="I2050" t="s">
        <v>92</v>
      </c>
      <c r="J2050" t="s">
        <v>71</v>
      </c>
      <c r="K2050" t="s">
        <v>25</v>
      </c>
      <c r="L2050">
        <v>3.9</v>
      </c>
      <c r="M2050" t="s">
        <v>152</v>
      </c>
      <c r="N2050" t="s">
        <v>27</v>
      </c>
      <c r="O2050" t="s">
        <v>28</v>
      </c>
      <c r="P2050" t="s">
        <v>152</v>
      </c>
      <c r="Q2050" t="s">
        <v>152</v>
      </c>
      <c r="R2050">
        <v>35</v>
      </c>
      <c r="S2050" t="s">
        <v>34</v>
      </c>
      <c r="T2050" t="str">
        <f t="shared" si="62"/>
        <v>Quarterly</v>
      </c>
      <c r="U2050">
        <f>VLOOKUP(T2050,[1]tablescore!$B$3:$C$8, 2,FALSE)</f>
        <v>4</v>
      </c>
      <c r="V2050" t="str">
        <f t="shared" si="63"/>
        <v>Low Loyalty</v>
      </c>
      <c r="W2050" t="s">
        <v>60</v>
      </c>
    </row>
    <row r="2051" spans="1:23" x14ac:dyDescent="0.25">
      <c r="A2051">
        <v>2050</v>
      </c>
      <c r="B2051">
        <v>68</v>
      </c>
      <c r="C2051" t="str" cm="1">
        <f t="array" ref="C2051">_xlfn.IFS(
  AND(B2051&gt;=18, B2051&lt;=24), "18-24",
  AND(B2051&gt;=25, B2051&lt;=34), "25-34",
  AND(B2051&gt;=35, B2051&lt;=44), "35-44",
  AND(B2051&gt;=45, B2051&lt;=54), "45-54",
  B2051&gt;=55, "55+"
)</f>
        <v>55+</v>
      </c>
      <c r="D2051" t="s">
        <v>19</v>
      </c>
      <c r="E2051" t="s">
        <v>132</v>
      </c>
      <c r="F2051" t="s">
        <v>43</v>
      </c>
      <c r="G2051">
        <v>24</v>
      </c>
      <c r="H2051" t="s">
        <v>44</v>
      </c>
      <c r="I2051" t="s">
        <v>23</v>
      </c>
      <c r="J2051" t="s">
        <v>138</v>
      </c>
      <c r="K2051" t="s">
        <v>58</v>
      </c>
      <c r="L2051">
        <v>2.7</v>
      </c>
      <c r="M2051" t="s">
        <v>152</v>
      </c>
      <c r="N2051" t="s">
        <v>59</v>
      </c>
      <c r="O2051" t="s">
        <v>55</v>
      </c>
      <c r="P2051" t="s">
        <v>152</v>
      </c>
      <c r="Q2051" t="s">
        <v>152</v>
      </c>
      <c r="R2051">
        <v>15</v>
      </c>
      <c r="S2051" t="s">
        <v>29</v>
      </c>
      <c r="T2051" t="str">
        <f t="shared" ref="T2051:T2114" si="64">IF(TRIM(W2051)="Every 3 months","Quarterly",IF(TRIM(W2051)="Fortnightly","2-week",IF(TRIM(W2051)="Bi-Weekly","2-week",IF(TRIM(W2051)="Weekly","Daily",IF(TRIM(W2051)="Monthly","Month",TRIM(W2051))))))</f>
        <v>Annually</v>
      </c>
      <c r="U2051">
        <f>VLOOKUP(T2051,[1]tablescore!$B$3:$C$8, 2,FALSE)</f>
        <v>1</v>
      </c>
      <c r="V2051" t="str">
        <f t="shared" ref="V2051:V2114" si="65">_xlfn.IFS(U2051&gt;=30, "Highly Loyal", U2051&gt;=26, "Loyal", U2051&gt;=12, "Moderate", U2051&lt;5, "Low Loyalty")</f>
        <v>Low Loyalty</v>
      </c>
      <c r="W2051" t="s">
        <v>50</v>
      </c>
    </row>
    <row r="2052" spans="1:23" x14ac:dyDescent="0.25">
      <c r="A2052">
        <v>2051</v>
      </c>
      <c r="B2052">
        <v>35</v>
      </c>
      <c r="C2052" t="str" cm="1">
        <f t="array" ref="C2052">_xlfn.IFS(
  AND(B2052&gt;=18, B2052&lt;=24), "18-24",
  AND(B2052&gt;=25, B2052&lt;=34), "25-34",
  AND(B2052&gt;=35, B2052&lt;=44), "35-44",
  AND(B2052&gt;=45, B2052&lt;=54), "45-54",
  B2052&gt;=55, "55+"
)</f>
        <v>35-44</v>
      </c>
      <c r="D2052" t="s">
        <v>19</v>
      </c>
      <c r="E2052" t="s">
        <v>125</v>
      </c>
      <c r="F2052" t="s">
        <v>69</v>
      </c>
      <c r="G2052">
        <v>96</v>
      </c>
      <c r="H2052" t="s">
        <v>91</v>
      </c>
      <c r="I2052" t="s">
        <v>45</v>
      </c>
      <c r="J2052" t="s">
        <v>86</v>
      </c>
      <c r="K2052" t="s">
        <v>54</v>
      </c>
      <c r="L2052">
        <v>3.4</v>
      </c>
      <c r="M2052" t="s">
        <v>152</v>
      </c>
      <c r="N2052" t="s">
        <v>27</v>
      </c>
      <c r="O2052" t="s">
        <v>76</v>
      </c>
      <c r="P2052" t="s">
        <v>152</v>
      </c>
      <c r="Q2052" t="s">
        <v>152</v>
      </c>
      <c r="R2052">
        <v>10</v>
      </c>
      <c r="S2052" t="s">
        <v>59</v>
      </c>
      <c r="T2052" t="str">
        <f t="shared" si="64"/>
        <v>Annually</v>
      </c>
      <c r="U2052">
        <f>VLOOKUP(T2052,[1]tablescore!$B$3:$C$8, 2,FALSE)</f>
        <v>1</v>
      </c>
      <c r="V2052" t="str">
        <f t="shared" si="65"/>
        <v>Low Loyalty</v>
      </c>
      <c r="W2052" t="s">
        <v>50</v>
      </c>
    </row>
    <row r="2053" spans="1:23" x14ac:dyDescent="0.25">
      <c r="A2053">
        <v>2052</v>
      </c>
      <c r="B2053">
        <v>65</v>
      </c>
      <c r="C2053" t="str" cm="1">
        <f t="array" ref="C2053">_xlfn.IFS(
  AND(B2053&gt;=18, B2053&lt;=24), "18-24",
  AND(B2053&gt;=25, B2053&lt;=34), "25-34",
  AND(B2053&gt;=35, B2053&lt;=44), "35-44",
  AND(B2053&gt;=45, B2053&lt;=54), "45-54",
  B2053&gt;=55, "55+"
)</f>
        <v>55+</v>
      </c>
      <c r="D2053" t="s">
        <v>19</v>
      </c>
      <c r="E2053" t="s">
        <v>113</v>
      </c>
      <c r="F2053" t="s">
        <v>21</v>
      </c>
      <c r="G2053">
        <v>94</v>
      </c>
      <c r="H2053" t="s">
        <v>37</v>
      </c>
      <c r="I2053" t="s">
        <v>23</v>
      </c>
      <c r="J2053" t="s">
        <v>94</v>
      </c>
      <c r="K2053" t="s">
        <v>39</v>
      </c>
      <c r="L2053">
        <v>3.8</v>
      </c>
      <c r="M2053" t="s">
        <v>152</v>
      </c>
      <c r="N2053" t="s">
        <v>35</v>
      </c>
      <c r="O2053" t="s">
        <v>40</v>
      </c>
      <c r="P2053" t="s">
        <v>152</v>
      </c>
      <c r="Q2053" t="s">
        <v>152</v>
      </c>
      <c r="R2053">
        <v>14</v>
      </c>
      <c r="S2053" t="s">
        <v>27</v>
      </c>
      <c r="T2053" t="str">
        <f t="shared" si="64"/>
        <v>Month</v>
      </c>
      <c r="U2053">
        <f>VLOOKUP(T2053,[1]tablescore!$B$3:$C$8, 2,FALSE)</f>
        <v>12</v>
      </c>
      <c r="V2053" t="str">
        <f t="shared" si="65"/>
        <v>Moderate</v>
      </c>
      <c r="W2053" t="s">
        <v>88</v>
      </c>
    </row>
    <row r="2054" spans="1:23" x14ac:dyDescent="0.25">
      <c r="A2054">
        <v>2053</v>
      </c>
      <c r="B2054">
        <v>45</v>
      </c>
      <c r="C2054" t="str" cm="1">
        <f t="array" ref="C2054">_xlfn.IFS(
  AND(B2054&gt;=18, B2054&lt;=24), "18-24",
  AND(B2054&gt;=25, B2054&lt;=34), "25-34",
  AND(B2054&gt;=35, B2054&lt;=44), "35-44",
  AND(B2054&gt;=45, B2054&lt;=54), "45-54",
  B2054&gt;=55, "55+"
)</f>
        <v>45-54</v>
      </c>
      <c r="D2054" t="s">
        <v>19</v>
      </c>
      <c r="E2054" t="s">
        <v>133</v>
      </c>
      <c r="F2054" t="s">
        <v>69</v>
      </c>
      <c r="G2054">
        <v>48</v>
      </c>
      <c r="H2054" t="s">
        <v>83</v>
      </c>
      <c r="I2054" t="s">
        <v>45</v>
      </c>
      <c r="J2054" t="s">
        <v>24</v>
      </c>
      <c r="K2054" t="s">
        <v>25</v>
      </c>
      <c r="L2054">
        <v>3.7</v>
      </c>
      <c r="M2054" t="s">
        <v>152</v>
      </c>
      <c r="N2054" t="s">
        <v>46</v>
      </c>
      <c r="O2054" t="s">
        <v>72</v>
      </c>
      <c r="P2054" t="s">
        <v>152</v>
      </c>
      <c r="Q2054" t="s">
        <v>152</v>
      </c>
      <c r="R2054">
        <v>30</v>
      </c>
      <c r="S2054" t="s">
        <v>34</v>
      </c>
      <c r="T2054" t="str">
        <f t="shared" si="64"/>
        <v>Annually</v>
      </c>
      <c r="U2054">
        <f>VLOOKUP(T2054,[1]tablescore!$B$3:$C$8, 2,FALSE)</f>
        <v>1</v>
      </c>
      <c r="V2054" t="str">
        <f t="shared" si="65"/>
        <v>Low Loyalty</v>
      </c>
      <c r="W2054" t="s">
        <v>50</v>
      </c>
    </row>
    <row r="2055" spans="1:23" x14ac:dyDescent="0.25">
      <c r="A2055">
        <v>2054</v>
      </c>
      <c r="B2055">
        <v>19</v>
      </c>
      <c r="C2055" t="str" cm="1">
        <f t="array" ref="C2055">_xlfn.IFS(
  AND(B2055&gt;=18, B2055&lt;=24), "18-24",
  AND(B2055&gt;=25, B2055&lt;=34), "25-34",
  AND(B2055&gt;=35, B2055&lt;=44), "35-44",
  AND(B2055&gt;=45, B2055&lt;=54), "45-54",
  B2055&gt;=55, "55+"
)</f>
        <v>18-24</v>
      </c>
      <c r="D2055" t="s">
        <v>19</v>
      </c>
      <c r="E2055" t="s">
        <v>89</v>
      </c>
      <c r="F2055" t="s">
        <v>69</v>
      </c>
      <c r="G2055">
        <v>60</v>
      </c>
      <c r="H2055" t="s">
        <v>52</v>
      </c>
      <c r="I2055" t="s">
        <v>38</v>
      </c>
      <c r="J2055" t="s">
        <v>75</v>
      </c>
      <c r="K2055" t="s">
        <v>39</v>
      </c>
      <c r="L2055">
        <v>4.5</v>
      </c>
      <c r="M2055" t="s">
        <v>152</v>
      </c>
      <c r="N2055" t="s">
        <v>34</v>
      </c>
      <c r="O2055" t="s">
        <v>72</v>
      </c>
      <c r="P2055" t="s">
        <v>152</v>
      </c>
      <c r="Q2055" t="s">
        <v>152</v>
      </c>
      <c r="R2055">
        <v>16</v>
      </c>
      <c r="S2055" t="s">
        <v>27</v>
      </c>
      <c r="T2055" t="str">
        <f t="shared" si="64"/>
        <v>2-week</v>
      </c>
      <c r="U2055">
        <f>VLOOKUP(T2055,[1]tablescore!$B$3:$C$8, 2,FALSE)</f>
        <v>26</v>
      </c>
      <c r="V2055" t="str">
        <f t="shared" si="65"/>
        <v>Loyal</v>
      </c>
      <c r="W2055" t="s">
        <v>30</v>
      </c>
    </row>
    <row r="2056" spans="1:23" x14ac:dyDescent="0.25">
      <c r="A2056">
        <v>2055</v>
      </c>
      <c r="B2056">
        <v>65</v>
      </c>
      <c r="C2056" t="str" cm="1">
        <f t="array" ref="C2056">_xlfn.IFS(
  AND(B2056&gt;=18, B2056&lt;=24), "18-24",
  AND(B2056&gt;=25, B2056&lt;=34), "25-34",
  AND(B2056&gt;=35, B2056&lt;=44), "35-44",
  AND(B2056&gt;=45, B2056&lt;=54), "45-54",
  B2056&gt;=55, "55+"
)</f>
        <v>55+</v>
      </c>
      <c r="D2056" t="s">
        <v>19</v>
      </c>
      <c r="E2056" t="s">
        <v>31</v>
      </c>
      <c r="F2056" t="s">
        <v>21</v>
      </c>
      <c r="G2056">
        <v>56</v>
      </c>
      <c r="H2056" t="s">
        <v>137</v>
      </c>
      <c r="I2056" t="s">
        <v>92</v>
      </c>
      <c r="J2056" t="s">
        <v>81</v>
      </c>
      <c r="K2056" t="s">
        <v>39</v>
      </c>
      <c r="L2056">
        <v>2.9</v>
      </c>
      <c r="M2056" t="s">
        <v>152</v>
      </c>
      <c r="N2056" t="s">
        <v>46</v>
      </c>
      <c r="O2056" t="s">
        <v>28</v>
      </c>
      <c r="P2056" t="s">
        <v>152</v>
      </c>
      <c r="Q2056" t="s">
        <v>152</v>
      </c>
      <c r="R2056">
        <v>14</v>
      </c>
      <c r="S2056" t="s">
        <v>46</v>
      </c>
      <c r="T2056" t="str">
        <f t="shared" si="64"/>
        <v>Annually</v>
      </c>
      <c r="U2056">
        <f>VLOOKUP(T2056,[1]tablescore!$B$3:$C$8, 2,FALSE)</f>
        <v>1</v>
      </c>
      <c r="V2056" t="str">
        <f t="shared" si="65"/>
        <v>Low Loyalty</v>
      </c>
      <c r="W2056" t="s">
        <v>50</v>
      </c>
    </row>
    <row r="2057" spans="1:23" x14ac:dyDescent="0.25">
      <c r="A2057">
        <v>2056</v>
      </c>
      <c r="B2057">
        <v>28</v>
      </c>
      <c r="C2057" t="str" cm="1">
        <f t="array" ref="C2057">_xlfn.IFS(
  AND(B2057&gt;=18, B2057&lt;=24), "18-24",
  AND(B2057&gt;=25, B2057&lt;=34), "25-34",
  AND(B2057&gt;=35, B2057&lt;=44), "35-44",
  AND(B2057&gt;=45, B2057&lt;=54), "45-54",
  B2057&gt;=55, "55+"
)</f>
        <v>25-34</v>
      </c>
      <c r="D2057" t="s">
        <v>19</v>
      </c>
      <c r="E2057" t="s">
        <v>68</v>
      </c>
      <c r="F2057" t="s">
        <v>69</v>
      </c>
      <c r="G2057">
        <v>33</v>
      </c>
      <c r="H2057" t="s">
        <v>105</v>
      </c>
      <c r="I2057" t="s">
        <v>45</v>
      </c>
      <c r="J2057" t="s">
        <v>67</v>
      </c>
      <c r="K2057" t="s">
        <v>58</v>
      </c>
      <c r="L2057">
        <v>3.4</v>
      </c>
      <c r="M2057" t="s">
        <v>152</v>
      </c>
      <c r="N2057" t="s">
        <v>59</v>
      </c>
      <c r="O2057" t="s">
        <v>72</v>
      </c>
      <c r="P2057" t="s">
        <v>152</v>
      </c>
      <c r="Q2057" t="s">
        <v>152</v>
      </c>
      <c r="R2057">
        <v>28</v>
      </c>
      <c r="S2057" t="s">
        <v>34</v>
      </c>
      <c r="T2057" t="str">
        <f t="shared" si="64"/>
        <v>Daily</v>
      </c>
      <c r="U2057">
        <f>VLOOKUP(T2057,[1]tablescore!$B$3:$C$8, 2,FALSE)</f>
        <v>30</v>
      </c>
      <c r="V2057" t="str">
        <f t="shared" si="65"/>
        <v>Highly Loyal</v>
      </c>
      <c r="W2057" t="s">
        <v>41</v>
      </c>
    </row>
    <row r="2058" spans="1:23" x14ac:dyDescent="0.25">
      <c r="A2058">
        <v>2057</v>
      </c>
      <c r="B2058">
        <v>55</v>
      </c>
      <c r="C2058" t="str" cm="1">
        <f t="array" ref="C2058">_xlfn.IFS(
  AND(B2058&gt;=18, B2058&lt;=24), "18-24",
  AND(B2058&gt;=25, B2058&lt;=34), "25-34",
  AND(B2058&gt;=35, B2058&lt;=44), "35-44",
  AND(B2058&gt;=45, B2058&lt;=54), "45-54",
  B2058&gt;=55, "55+"
)</f>
        <v>55+</v>
      </c>
      <c r="D2058" t="s">
        <v>19</v>
      </c>
      <c r="E2058" t="s">
        <v>133</v>
      </c>
      <c r="F2058" t="s">
        <v>69</v>
      </c>
      <c r="G2058">
        <v>46</v>
      </c>
      <c r="H2058" t="s">
        <v>134</v>
      </c>
      <c r="I2058" t="s">
        <v>23</v>
      </c>
      <c r="J2058" t="s">
        <v>138</v>
      </c>
      <c r="K2058" t="s">
        <v>39</v>
      </c>
      <c r="L2058">
        <v>4.4000000000000004</v>
      </c>
      <c r="M2058" t="s">
        <v>152</v>
      </c>
      <c r="N2058" t="s">
        <v>35</v>
      </c>
      <c r="O2058" t="s">
        <v>72</v>
      </c>
      <c r="P2058" t="s">
        <v>152</v>
      </c>
      <c r="Q2058" t="s">
        <v>152</v>
      </c>
      <c r="R2058">
        <v>29</v>
      </c>
      <c r="S2058" t="s">
        <v>46</v>
      </c>
      <c r="T2058" t="str">
        <f t="shared" si="64"/>
        <v>Month</v>
      </c>
      <c r="U2058">
        <f>VLOOKUP(T2058,[1]tablescore!$B$3:$C$8, 2,FALSE)</f>
        <v>12</v>
      </c>
      <c r="V2058" t="str">
        <f t="shared" si="65"/>
        <v>Moderate</v>
      </c>
      <c r="W2058" t="s">
        <v>88</v>
      </c>
    </row>
    <row r="2059" spans="1:23" x14ac:dyDescent="0.25">
      <c r="A2059">
        <v>2058</v>
      </c>
      <c r="B2059">
        <v>66</v>
      </c>
      <c r="C2059" t="str" cm="1">
        <f t="array" ref="C2059">_xlfn.IFS(
  AND(B2059&gt;=18, B2059&lt;=24), "18-24",
  AND(B2059&gt;=25, B2059&lt;=34), "25-34",
  AND(B2059&gt;=35, B2059&lt;=44), "35-44",
  AND(B2059&gt;=45, B2059&lt;=54), "45-54",
  B2059&gt;=55, "55+"
)</f>
        <v>55+</v>
      </c>
      <c r="D2059" t="s">
        <v>19</v>
      </c>
      <c r="E2059" t="s">
        <v>131</v>
      </c>
      <c r="F2059" t="s">
        <v>21</v>
      </c>
      <c r="G2059">
        <v>37</v>
      </c>
      <c r="H2059" t="s">
        <v>130</v>
      </c>
      <c r="I2059" t="s">
        <v>23</v>
      </c>
      <c r="J2059" t="s">
        <v>139</v>
      </c>
      <c r="K2059" t="s">
        <v>39</v>
      </c>
      <c r="L2059">
        <v>4.2</v>
      </c>
      <c r="M2059" t="s">
        <v>152</v>
      </c>
      <c r="N2059" t="s">
        <v>27</v>
      </c>
      <c r="O2059" t="s">
        <v>55</v>
      </c>
      <c r="P2059" t="s">
        <v>152</v>
      </c>
      <c r="Q2059" t="s">
        <v>152</v>
      </c>
      <c r="R2059">
        <v>5</v>
      </c>
      <c r="S2059" t="s">
        <v>46</v>
      </c>
      <c r="T2059" t="str">
        <f t="shared" si="64"/>
        <v>Quarterly</v>
      </c>
      <c r="U2059">
        <f>VLOOKUP(T2059,[1]tablescore!$B$3:$C$8, 2,FALSE)</f>
        <v>4</v>
      </c>
      <c r="V2059" t="str">
        <f t="shared" si="65"/>
        <v>Low Loyalty</v>
      </c>
      <c r="W2059" t="s">
        <v>97</v>
      </c>
    </row>
    <row r="2060" spans="1:23" x14ac:dyDescent="0.25">
      <c r="A2060">
        <v>2059</v>
      </c>
      <c r="B2060">
        <v>29</v>
      </c>
      <c r="C2060" t="str" cm="1">
        <f t="array" ref="C2060">_xlfn.IFS(
  AND(B2060&gt;=18, B2060&lt;=24), "18-24",
  AND(B2060&gt;=25, B2060&lt;=34), "25-34",
  AND(B2060&gt;=35, B2060&lt;=44), "35-44",
  AND(B2060&gt;=45, B2060&lt;=54), "45-54",
  B2060&gt;=55, "55+"
)</f>
        <v>25-34</v>
      </c>
      <c r="D2060" t="s">
        <v>19</v>
      </c>
      <c r="E2060" t="s">
        <v>56</v>
      </c>
      <c r="F2060" t="s">
        <v>21</v>
      </c>
      <c r="G2060">
        <v>98</v>
      </c>
      <c r="H2060" t="s">
        <v>140</v>
      </c>
      <c r="I2060" t="s">
        <v>45</v>
      </c>
      <c r="J2060" t="s">
        <v>110</v>
      </c>
      <c r="K2060" t="s">
        <v>25</v>
      </c>
      <c r="L2060">
        <v>3.3</v>
      </c>
      <c r="M2060" t="s">
        <v>152</v>
      </c>
      <c r="N2060" t="s">
        <v>59</v>
      </c>
      <c r="O2060" t="s">
        <v>76</v>
      </c>
      <c r="P2060" t="s">
        <v>152</v>
      </c>
      <c r="Q2060" t="s">
        <v>152</v>
      </c>
      <c r="R2060">
        <v>17</v>
      </c>
      <c r="S2060" t="s">
        <v>34</v>
      </c>
      <c r="T2060" t="str">
        <f t="shared" si="64"/>
        <v>Quarterly</v>
      </c>
      <c r="U2060">
        <f>VLOOKUP(T2060,[1]tablescore!$B$3:$C$8, 2,FALSE)</f>
        <v>4</v>
      </c>
      <c r="V2060" t="str">
        <f t="shared" si="65"/>
        <v>Low Loyalty</v>
      </c>
      <c r="W2060" t="s">
        <v>60</v>
      </c>
    </row>
    <row r="2061" spans="1:23" x14ac:dyDescent="0.25">
      <c r="A2061">
        <v>2060</v>
      </c>
      <c r="B2061">
        <v>56</v>
      </c>
      <c r="C2061" t="str" cm="1">
        <f t="array" ref="C2061">_xlfn.IFS(
  AND(B2061&gt;=18, B2061&lt;=24), "18-24",
  AND(B2061&gt;=25, B2061&lt;=34), "25-34",
  AND(B2061&gt;=35, B2061&lt;=44), "35-44",
  AND(B2061&gt;=45, B2061&lt;=54), "45-54",
  B2061&gt;=55, "55+"
)</f>
        <v>55+</v>
      </c>
      <c r="D2061" t="s">
        <v>19</v>
      </c>
      <c r="E2061" t="s">
        <v>61</v>
      </c>
      <c r="F2061" t="s">
        <v>21</v>
      </c>
      <c r="G2061">
        <v>50</v>
      </c>
      <c r="H2061" t="s">
        <v>99</v>
      </c>
      <c r="I2061" t="s">
        <v>92</v>
      </c>
      <c r="J2061" t="s">
        <v>118</v>
      </c>
      <c r="K2061" t="s">
        <v>39</v>
      </c>
      <c r="L2061">
        <v>3.7</v>
      </c>
      <c r="M2061" t="s">
        <v>152</v>
      </c>
      <c r="N2061" t="s">
        <v>35</v>
      </c>
      <c r="O2061" t="s">
        <v>28</v>
      </c>
      <c r="P2061" t="s">
        <v>152</v>
      </c>
      <c r="Q2061" t="s">
        <v>152</v>
      </c>
      <c r="R2061">
        <v>50</v>
      </c>
      <c r="S2061" t="s">
        <v>46</v>
      </c>
      <c r="T2061" t="str">
        <f t="shared" si="64"/>
        <v>Daily</v>
      </c>
      <c r="U2061">
        <f>VLOOKUP(T2061,[1]tablescore!$B$3:$C$8, 2,FALSE)</f>
        <v>30</v>
      </c>
      <c r="V2061" t="str">
        <f t="shared" si="65"/>
        <v>Highly Loyal</v>
      </c>
      <c r="W2061" t="s">
        <v>41</v>
      </c>
    </row>
    <row r="2062" spans="1:23" x14ac:dyDescent="0.25">
      <c r="A2062">
        <v>2061</v>
      </c>
      <c r="B2062">
        <v>21</v>
      </c>
      <c r="C2062" t="str" cm="1">
        <f t="array" ref="C2062">_xlfn.IFS(
  AND(B2062&gt;=18, B2062&lt;=24), "18-24",
  AND(B2062&gt;=25, B2062&lt;=34), "25-34",
  AND(B2062&gt;=35, B2062&lt;=44), "35-44",
  AND(B2062&gt;=45, B2062&lt;=54), "45-54",
  B2062&gt;=55, "55+"
)</f>
        <v>18-24</v>
      </c>
      <c r="D2062" t="s">
        <v>19</v>
      </c>
      <c r="E2062" t="s">
        <v>136</v>
      </c>
      <c r="F2062" t="s">
        <v>69</v>
      </c>
      <c r="G2062">
        <v>63</v>
      </c>
      <c r="H2062" t="s">
        <v>148</v>
      </c>
      <c r="I2062" t="s">
        <v>45</v>
      </c>
      <c r="J2062" t="s">
        <v>138</v>
      </c>
      <c r="K2062" t="s">
        <v>58</v>
      </c>
      <c r="L2062">
        <v>3.2</v>
      </c>
      <c r="M2062" t="s">
        <v>152</v>
      </c>
      <c r="N2062" t="s">
        <v>59</v>
      </c>
      <c r="O2062" t="s">
        <v>47</v>
      </c>
      <c r="P2062" t="s">
        <v>152</v>
      </c>
      <c r="Q2062" t="s">
        <v>152</v>
      </c>
      <c r="R2062">
        <v>23</v>
      </c>
      <c r="S2062" t="s">
        <v>34</v>
      </c>
      <c r="T2062" t="str">
        <f t="shared" si="64"/>
        <v>Quarterly</v>
      </c>
      <c r="U2062">
        <f>VLOOKUP(T2062,[1]tablescore!$B$3:$C$8, 2,FALSE)</f>
        <v>4</v>
      </c>
      <c r="V2062" t="str">
        <f t="shared" si="65"/>
        <v>Low Loyalty</v>
      </c>
      <c r="W2062" t="s">
        <v>60</v>
      </c>
    </row>
    <row r="2063" spans="1:23" x14ac:dyDescent="0.25">
      <c r="A2063">
        <v>2062</v>
      </c>
      <c r="B2063">
        <v>32</v>
      </c>
      <c r="C2063" t="str" cm="1">
        <f t="array" ref="C2063">_xlfn.IFS(
  AND(B2063&gt;=18, B2063&lt;=24), "18-24",
  AND(B2063&gt;=25, B2063&lt;=34), "25-34",
  AND(B2063&gt;=35, B2063&lt;=44), "35-44",
  AND(B2063&gt;=45, B2063&lt;=54), "45-54",
  B2063&gt;=55, "55+"
)</f>
        <v>25-34</v>
      </c>
      <c r="D2063" t="s">
        <v>19</v>
      </c>
      <c r="E2063" t="s">
        <v>31</v>
      </c>
      <c r="F2063" t="s">
        <v>21</v>
      </c>
      <c r="G2063">
        <v>70</v>
      </c>
      <c r="H2063" t="s">
        <v>151</v>
      </c>
      <c r="I2063" t="s">
        <v>38</v>
      </c>
      <c r="J2063" t="s">
        <v>147</v>
      </c>
      <c r="K2063" t="s">
        <v>54</v>
      </c>
      <c r="L2063">
        <v>2.6</v>
      </c>
      <c r="M2063" t="s">
        <v>152</v>
      </c>
      <c r="N2063" t="s">
        <v>46</v>
      </c>
      <c r="O2063" t="s">
        <v>76</v>
      </c>
      <c r="P2063" t="s">
        <v>152</v>
      </c>
      <c r="Q2063" t="s">
        <v>152</v>
      </c>
      <c r="R2063">
        <v>22</v>
      </c>
      <c r="S2063" t="s">
        <v>59</v>
      </c>
      <c r="T2063" t="str">
        <f t="shared" si="64"/>
        <v>Annually</v>
      </c>
      <c r="U2063">
        <f>VLOOKUP(T2063,[1]tablescore!$B$3:$C$8, 2,FALSE)</f>
        <v>1</v>
      </c>
      <c r="V2063" t="str">
        <f t="shared" si="65"/>
        <v>Low Loyalty</v>
      </c>
      <c r="W2063" t="s">
        <v>50</v>
      </c>
    </row>
    <row r="2064" spans="1:23" x14ac:dyDescent="0.25">
      <c r="A2064">
        <v>2063</v>
      </c>
      <c r="B2064">
        <v>54</v>
      </c>
      <c r="C2064" t="str" cm="1">
        <f t="array" ref="C2064">_xlfn.IFS(
  AND(B2064&gt;=18, B2064&lt;=24), "18-24",
  AND(B2064&gt;=25, B2064&lt;=34), "25-34",
  AND(B2064&gt;=35, B2064&lt;=44), "35-44",
  AND(B2064&gt;=45, B2064&lt;=54), "45-54",
  B2064&gt;=55, "55+"
)</f>
        <v>45-54</v>
      </c>
      <c r="D2064" t="s">
        <v>19</v>
      </c>
      <c r="E2064" t="s">
        <v>64</v>
      </c>
      <c r="F2064" t="s">
        <v>65</v>
      </c>
      <c r="G2064">
        <v>63</v>
      </c>
      <c r="H2064" t="s">
        <v>126</v>
      </c>
      <c r="I2064" t="s">
        <v>23</v>
      </c>
      <c r="J2064" t="s">
        <v>67</v>
      </c>
      <c r="K2064" t="s">
        <v>58</v>
      </c>
      <c r="L2064">
        <v>2.8</v>
      </c>
      <c r="M2064" t="s">
        <v>152</v>
      </c>
      <c r="N2064" t="s">
        <v>46</v>
      </c>
      <c r="O2064" t="s">
        <v>55</v>
      </c>
      <c r="P2064" t="s">
        <v>152</v>
      </c>
      <c r="Q2064" t="s">
        <v>152</v>
      </c>
      <c r="R2064">
        <v>15</v>
      </c>
      <c r="S2064" t="s">
        <v>35</v>
      </c>
      <c r="T2064" t="str">
        <f t="shared" si="64"/>
        <v>Quarterly</v>
      </c>
      <c r="U2064">
        <f>VLOOKUP(T2064,[1]tablescore!$B$3:$C$8, 2,FALSE)</f>
        <v>4</v>
      </c>
      <c r="V2064" t="str">
        <f t="shared" si="65"/>
        <v>Low Loyalty</v>
      </c>
      <c r="W2064" t="s">
        <v>60</v>
      </c>
    </row>
    <row r="2065" spans="1:23" x14ac:dyDescent="0.25">
      <c r="A2065">
        <v>2064</v>
      </c>
      <c r="B2065">
        <v>61</v>
      </c>
      <c r="C2065" t="str" cm="1">
        <f t="array" ref="C2065">_xlfn.IFS(
  AND(B2065&gt;=18, B2065&lt;=24), "18-24",
  AND(B2065&gt;=25, B2065&lt;=34), "25-34",
  AND(B2065&gt;=35, B2065&lt;=44), "35-44",
  AND(B2065&gt;=45, B2065&lt;=54), "45-54",
  B2065&gt;=55, "55+"
)</f>
        <v>55+</v>
      </c>
      <c r="D2065" t="s">
        <v>19</v>
      </c>
      <c r="E2065" t="s">
        <v>61</v>
      </c>
      <c r="F2065" t="s">
        <v>21</v>
      </c>
      <c r="G2065">
        <v>86</v>
      </c>
      <c r="H2065" t="s">
        <v>116</v>
      </c>
      <c r="I2065" t="s">
        <v>45</v>
      </c>
      <c r="J2065" t="s">
        <v>109</v>
      </c>
      <c r="K2065" t="s">
        <v>58</v>
      </c>
      <c r="L2065">
        <v>2.9</v>
      </c>
      <c r="M2065" t="s">
        <v>152</v>
      </c>
      <c r="N2065" t="s">
        <v>29</v>
      </c>
      <c r="O2065" t="s">
        <v>55</v>
      </c>
      <c r="P2065" t="s">
        <v>152</v>
      </c>
      <c r="Q2065" t="s">
        <v>152</v>
      </c>
      <c r="R2065">
        <v>32</v>
      </c>
      <c r="S2065" t="s">
        <v>35</v>
      </c>
      <c r="T2065" t="str">
        <f t="shared" si="64"/>
        <v>Month</v>
      </c>
      <c r="U2065">
        <f>VLOOKUP(T2065,[1]tablescore!$B$3:$C$8, 2,FALSE)</f>
        <v>12</v>
      </c>
      <c r="V2065" t="str">
        <f t="shared" si="65"/>
        <v>Moderate</v>
      </c>
      <c r="W2065" t="s">
        <v>88</v>
      </c>
    </row>
    <row r="2066" spans="1:23" x14ac:dyDescent="0.25">
      <c r="A2066">
        <v>2065</v>
      </c>
      <c r="B2066">
        <v>31</v>
      </c>
      <c r="C2066" t="str" cm="1">
        <f t="array" ref="C2066">_xlfn.IFS(
  AND(B2066&gt;=18, B2066&lt;=24), "18-24",
  AND(B2066&gt;=25, B2066&lt;=34), "25-34",
  AND(B2066&gt;=35, B2066&lt;=44), "35-44",
  AND(B2066&gt;=45, B2066&lt;=54), "45-54",
  B2066&gt;=55, "55+"
)</f>
        <v>25-34</v>
      </c>
      <c r="D2066" t="s">
        <v>19</v>
      </c>
      <c r="E2066" t="s">
        <v>73</v>
      </c>
      <c r="F2066" t="s">
        <v>43</v>
      </c>
      <c r="G2066">
        <v>99</v>
      </c>
      <c r="H2066" t="s">
        <v>74</v>
      </c>
      <c r="I2066" t="s">
        <v>45</v>
      </c>
      <c r="J2066" t="s">
        <v>96</v>
      </c>
      <c r="K2066" t="s">
        <v>54</v>
      </c>
      <c r="L2066">
        <v>4</v>
      </c>
      <c r="M2066" t="s">
        <v>152</v>
      </c>
      <c r="N2066" t="s">
        <v>34</v>
      </c>
      <c r="O2066" t="s">
        <v>72</v>
      </c>
      <c r="P2066" t="s">
        <v>152</v>
      </c>
      <c r="Q2066" t="s">
        <v>152</v>
      </c>
      <c r="R2066">
        <v>5</v>
      </c>
      <c r="S2066" t="s">
        <v>34</v>
      </c>
      <c r="T2066" t="str">
        <f t="shared" si="64"/>
        <v>Month</v>
      </c>
      <c r="U2066">
        <f>VLOOKUP(T2066,[1]tablescore!$B$3:$C$8, 2,FALSE)</f>
        <v>12</v>
      </c>
      <c r="V2066" t="str">
        <f t="shared" si="65"/>
        <v>Moderate</v>
      </c>
      <c r="W2066" t="s">
        <v>88</v>
      </c>
    </row>
    <row r="2067" spans="1:23" x14ac:dyDescent="0.25">
      <c r="A2067">
        <v>2066</v>
      </c>
      <c r="B2067">
        <v>27</v>
      </c>
      <c r="C2067" t="str" cm="1">
        <f t="array" ref="C2067">_xlfn.IFS(
  AND(B2067&gt;=18, B2067&lt;=24), "18-24",
  AND(B2067&gt;=25, B2067&lt;=34), "25-34",
  AND(B2067&gt;=35, B2067&lt;=44), "35-44",
  AND(B2067&gt;=45, B2067&lt;=54), "45-54",
  B2067&gt;=55, "55+"
)</f>
        <v>25-34</v>
      </c>
      <c r="D2067" t="s">
        <v>19</v>
      </c>
      <c r="E2067" t="s">
        <v>51</v>
      </c>
      <c r="F2067" t="s">
        <v>43</v>
      </c>
      <c r="G2067">
        <v>40</v>
      </c>
      <c r="H2067" t="s">
        <v>48</v>
      </c>
      <c r="I2067" t="s">
        <v>45</v>
      </c>
      <c r="J2067" t="s">
        <v>138</v>
      </c>
      <c r="K2067" t="s">
        <v>39</v>
      </c>
      <c r="L2067">
        <v>2.9</v>
      </c>
      <c r="M2067" t="s">
        <v>152</v>
      </c>
      <c r="N2067" t="s">
        <v>46</v>
      </c>
      <c r="O2067" t="s">
        <v>40</v>
      </c>
      <c r="P2067" t="s">
        <v>152</v>
      </c>
      <c r="Q2067" t="s">
        <v>152</v>
      </c>
      <c r="R2067">
        <v>6</v>
      </c>
      <c r="S2067" t="s">
        <v>34</v>
      </c>
      <c r="T2067" t="str">
        <f t="shared" si="64"/>
        <v>2-week</v>
      </c>
      <c r="U2067">
        <f>VLOOKUP(T2067,[1]tablescore!$B$3:$C$8, 2,FALSE)</f>
        <v>26</v>
      </c>
      <c r="V2067" t="str">
        <f t="shared" si="65"/>
        <v>Loyal</v>
      </c>
      <c r="W2067" t="s">
        <v>77</v>
      </c>
    </row>
    <row r="2068" spans="1:23" x14ac:dyDescent="0.25">
      <c r="A2068">
        <v>2067</v>
      </c>
      <c r="B2068">
        <v>64</v>
      </c>
      <c r="C2068" t="str" cm="1">
        <f t="array" ref="C2068">_xlfn.IFS(
  AND(B2068&gt;=18, B2068&lt;=24), "18-24",
  AND(B2068&gt;=25, B2068&lt;=34), "25-34",
  AND(B2068&gt;=35, B2068&lt;=44), "35-44",
  AND(B2068&gt;=45, B2068&lt;=54), "45-54",
  B2068&gt;=55, "55+"
)</f>
        <v>55+</v>
      </c>
      <c r="D2068" t="s">
        <v>19</v>
      </c>
      <c r="E2068" t="s">
        <v>51</v>
      </c>
      <c r="F2068" t="s">
        <v>43</v>
      </c>
      <c r="G2068">
        <v>92</v>
      </c>
      <c r="H2068" t="s">
        <v>115</v>
      </c>
      <c r="I2068" t="s">
        <v>45</v>
      </c>
      <c r="J2068" t="s">
        <v>79</v>
      </c>
      <c r="K2068" t="s">
        <v>58</v>
      </c>
      <c r="L2068">
        <v>4.7</v>
      </c>
      <c r="M2068" t="s">
        <v>152</v>
      </c>
      <c r="N2068" t="s">
        <v>27</v>
      </c>
      <c r="O2068" t="s">
        <v>76</v>
      </c>
      <c r="P2068" t="s">
        <v>152</v>
      </c>
      <c r="Q2068" t="s">
        <v>152</v>
      </c>
      <c r="R2068">
        <v>44</v>
      </c>
      <c r="S2068" t="s">
        <v>59</v>
      </c>
      <c r="T2068" t="str">
        <f t="shared" si="64"/>
        <v>2-week</v>
      </c>
      <c r="U2068">
        <f>VLOOKUP(T2068,[1]tablescore!$B$3:$C$8, 2,FALSE)</f>
        <v>26</v>
      </c>
      <c r="V2068" t="str">
        <f t="shared" si="65"/>
        <v>Loyal</v>
      </c>
      <c r="W2068" t="s">
        <v>30</v>
      </c>
    </row>
    <row r="2069" spans="1:23" x14ac:dyDescent="0.25">
      <c r="A2069">
        <v>2068</v>
      </c>
      <c r="B2069">
        <v>60</v>
      </c>
      <c r="C2069" t="str" cm="1">
        <f t="array" ref="C2069">_xlfn.IFS(
  AND(B2069&gt;=18, B2069&lt;=24), "18-24",
  AND(B2069&gt;=25, B2069&lt;=34), "25-34",
  AND(B2069&gt;=35, B2069&lt;=44), "35-44",
  AND(B2069&gt;=45, B2069&lt;=54), "45-54",
  B2069&gt;=55, "55+"
)</f>
        <v>55+</v>
      </c>
      <c r="D2069" t="s">
        <v>19</v>
      </c>
      <c r="E2069" t="s">
        <v>95</v>
      </c>
      <c r="F2069" t="s">
        <v>21</v>
      </c>
      <c r="G2069">
        <v>21</v>
      </c>
      <c r="H2069" t="s">
        <v>135</v>
      </c>
      <c r="I2069" t="s">
        <v>92</v>
      </c>
      <c r="J2069" t="s">
        <v>118</v>
      </c>
      <c r="K2069" t="s">
        <v>58</v>
      </c>
      <c r="L2069">
        <v>3.1</v>
      </c>
      <c r="M2069" t="s">
        <v>152</v>
      </c>
      <c r="N2069" t="s">
        <v>35</v>
      </c>
      <c r="O2069" t="s">
        <v>72</v>
      </c>
      <c r="P2069" t="s">
        <v>152</v>
      </c>
      <c r="Q2069" t="s">
        <v>152</v>
      </c>
      <c r="R2069">
        <v>23</v>
      </c>
      <c r="S2069" t="s">
        <v>35</v>
      </c>
      <c r="T2069" t="str">
        <f t="shared" si="64"/>
        <v>2-week</v>
      </c>
      <c r="U2069">
        <f>VLOOKUP(T2069,[1]tablescore!$B$3:$C$8, 2,FALSE)</f>
        <v>26</v>
      </c>
      <c r="V2069" t="str">
        <f t="shared" si="65"/>
        <v>Loyal</v>
      </c>
      <c r="W2069" t="s">
        <v>30</v>
      </c>
    </row>
    <row r="2070" spans="1:23" x14ac:dyDescent="0.25">
      <c r="A2070">
        <v>2069</v>
      </c>
      <c r="B2070">
        <v>70</v>
      </c>
      <c r="C2070" t="str" cm="1">
        <f t="array" ref="C2070">_xlfn.IFS(
  AND(B2070&gt;=18, B2070&lt;=24), "18-24",
  AND(B2070&gt;=25, B2070&lt;=34), "25-34",
  AND(B2070&gt;=35, B2070&lt;=44), "35-44",
  AND(B2070&gt;=45, B2070&lt;=54), "45-54",
  B2070&gt;=55, "55+"
)</f>
        <v>55+</v>
      </c>
      <c r="D2070" t="s">
        <v>19</v>
      </c>
      <c r="E2070" t="s">
        <v>106</v>
      </c>
      <c r="F2070" t="s">
        <v>69</v>
      </c>
      <c r="G2070">
        <v>81</v>
      </c>
      <c r="H2070" t="s">
        <v>145</v>
      </c>
      <c r="I2070" t="s">
        <v>92</v>
      </c>
      <c r="J2070" t="s">
        <v>94</v>
      </c>
      <c r="K2070" t="s">
        <v>54</v>
      </c>
      <c r="L2070">
        <v>3.9</v>
      </c>
      <c r="M2070" t="s">
        <v>152</v>
      </c>
      <c r="N2070" t="s">
        <v>27</v>
      </c>
      <c r="O2070" t="s">
        <v>76</v>
      </c>
      <c r="P2070" t="s">
        <v>152</v>
      </c>
      <c r="Q2070" t="s">
        <v>152</v>
      </c>
      <c r="R2070">
        <v>44</v>
      </c>
      <c r="S2070" t="s">
        <v>29</v>
      </c>
      <c r="T2070" t="str">
        <f t="shared" si="64"/>
        <v>Month</v>
      </c>
      <c r="U2070">
        <f>VLOOKUP(T2070,[1]tablescore!$B$3:$C$8, 2,FALSE)</f>
        <v>12</v>
      </c>
      <c r="V2070" t="str">
        <f t="shared" si="65"/>
        <v>Moderate</v>
      </c>
      <c r="W2070" t="s">
        <v>88</v>
      </c>
    </row>
    <row r="2071" spans="1:23" x14ac:dyDescent="0.25">
      <c r="A2071">
        <v>2070</v>
      </c>
      <c r="B2071">
        <v>36</v>
      </c>
      <c r="C2071" t="str" cm="1">
        <f t="array" ref="C2071">_xlfn.IFS(
  AND(B2071&gt;=18, B2071&lt;=24), "18-24",
  AND(B2071&gt;=25, B2071&lt;=34), "25-34",
  AND(B2071&gt;=35, B2071&lt;=44), "35-44",
  AND(B2071&gt;=45, B2071&lt;=54), "45-54",
  B2071&gt;=55, "55+"
)</f>
        <v>35-44</v>
      </c>
      <c r="D2071" t="s">
        <v>19</v>
      </c>
      <c r="E2071" t="s">
        <v>113</v>
      </c>
      <c r="F2071" t="s">
        <v>21</v>
      </c>
      <c r="G2071">
        <v>82</v>
      </c>
      <c r="H2071" t="s">
        <v>105</v>
      </c>
      <c r="I2071" t="s">
        <v>45</v>
      </c>
      <c r="J2071" t="s">
        <v>129</v>
      </c>
      <c r="K2071" t="s">
        <v>58</v>
      </c>
      <c r="L2071">
        <v>3.4</v>
      </c>
      <c r="M2071" t="s">
        <v>152</v>
      </c>
      <c r="N2071" t="s">
        <v>35</v>
      </c>
      <c r="O2071" t="s">
        <v>40</v>
      </c>
      <c r="P2071" t="s">
        <v>152</v>
      </c>
      <c r="Q2071" t="s">
        <v>152</v>
      </c>
      <c r="R2071">
        <v>3</v>
      </c>
      <c r="S2071" t="s">
        <v>59</v>
      </c>
      <c r="T2071" t="str">
        <f t="shared" si="64"/>
        <v>Quarterly</v>
      </c>
      <c r="U2071">
        <f>VLOOKUP(T2071,[1]tablescore!$B$3:$C$8, 2,FALSE)</f>
        <v>4</v>
      </c>
      <c r="V2071" t="str">
        <f t="shared" si="65"/>
        <v>Low Loyalty</v>
      </c>
      <c r="W2071" t="s">
        <v>60</v>
      </c>
    </row>
    <row r="2072" spans="1:23" x14ac:dyDescent="0.25">
      <c r="A2072">
        <v>2071</v>
      </c>
      <c r="B2072">
        <v>56</v>
      </c>
      <c r="C2072" t="str" cm="1">
        <f t="array" ref="C2072">_xlfn.IFS(
  AND(B2072&gt;=18, B2072&lt;=24), "18-24",
  AND(B2072&gt;=25, B2072&lt;=34), "25-34",
  AND(B2072&gt;=35, B2072&lt;=44), "35-44",
  AND(B2072&gt;=45, B2072&lt;=54), "45-54",
  B2072&gt;=55, "55+"
)</f>
        <v>55+</v>
      </c>
      <c r="D2072" t="s">
        <v>19</v>
      </c>
      <c r="E2072" t="s">
        <v>106</v>
      </c>
      <c r="F2072" t="s">
        <v>69</v>
      </c>
      <c r="G2072">
        <v>88</v>
      </c>
      <c r="H2072" t="s">
        <v>143</v>
      </c>
      <c r="I2072" t="s">
        <v>92</v>
      </c>
      <c r="J2072" t="s">
        <v>108</v>
      </c>
      <c r="K2072" t="s">
        <v>39</v>
      </c>
      <c r="L2072">
        <v>3.1</v>
      </c>
      <c r="M2072" t="s">
        <v>152</v>
      </c>
      <c r="N2072" t="s">
        <v>35</v>
      </c>
      <c r="O2072" t="s">
        <v>28</v>
      </c>
      <c r="P2072" t="s">
        <v>152</v>
      </c>
      <c r="Q2072" t="s">
        <v>152</v>
      </c>
      <c r="R2072">
        <v>14</v>
      </c>
      <c r="S2072" t="s">
        <v>35</v>
      </c>
      <c r="T2072" t="str">
        <f t="shared" si="64"/>
        <v>Month</v>
      </c>
      <c r="U2072">
        <f>VLOOKUP(T2072,[1]tablescore!$B$3:$C$8, 2,FALSE)</f>
        <v>12</v>
      </c>
      <c r="V2072" t="str">
        <f t="shared" si="65"/>
        <v>Moderate</v>
      </c>
      <c r="W2072" t="s">
        <v>88</v>
      </c>
    </row>
    <row r="2073" spans="1:23" x14ac:dyDescent="0.25">
      <c r="A2073">
        <v>2072</v>
      </c>
      <c r="B2073">
        <v>69</v>
      </c>
      <c r="C2073" t="str" cm="1">
        <f t="array" ref="C2073">_xlfn.IFS(
  AND(B2073&gt;=18, B2073&lt;=24), "18-24",
  AND(B2073&gt;=25, B2073&lt;=34), "25-34",
  AND(B2073&gt;=35, B2073&lt;=44), "35-44",
  AND(B2073&gt;=45, B2073&lt;=54), "45-54",
  B2073&gt;=55, "55+"
)</f>
        <v>55+</v>
      </c>
      <c r="D2073" t="s">
        <v>19</v>
      </c>
      <c r="E2073" t="s">
        <v>102</v>
      </c>
      <c r="F2073" t="s">
        <v>65</v>
      </c>
      <c r="G2073">
        <v>100</v>
      </c>
      <c r="H2073" t="s">
        <v>126</v>
      </c>
      <c r="I2073" t="s">
        <v>38</v>
      </c>
      <c r="J2073" t="s">
        <v>139</v>
      </c>
      <c r="K2073" t="s">
        <v>58</v>
      </c>
      <c r="L2073">
        <v>4.8</v>
      </c>
      <c r="M2073" t="s">
        <v>152</v>
      </c>
      <c r="N2073" t="s">
        <v>59</v>
      </c>
      <c r="O2073" t="s">
        <v>76</v>
      </c>
      <c r="P2073" t="s">
        <v>152</v>
      </c>
      <c r="Q2073" t="s">
        <v>152</v>
      </c>
      <c r="R2073">
        <v>37</v>
      </c>
      <c r="S2073" t="s">
        <v>46</v>
      </c>
      <c r="T2073" t="str">
        <f t="shared" si="64"/>
        <v>Quarterly</v>
      </c>
      <c r="U2073">
        <f>VLOOKUP(T2073,[1]tablescore!$B$3:$C$8, 2,FALSE)</f>
        <v>4</v>
      </c>
      <c r="V2073" t="str">
        <f t="shared" si="65"/>
        <v>Low Loyalty</v>
      </c>
      <c r="W2073" t="s">
        <v>60</v>
      </c>
    </row>
    <row r="2074" spans="1:23" x14ac:dyDescent="0.25">
      <c r="A2074">
        <v>2073</v>
      </c>
      <c r="B2074">
        <v>39</v>
      </c>
      <c r="C2074" t="str" cm="1">
        <f t="array" ref="C2074">_xlfn.IFS(
  AND(B2074&gt;=18, B2074&lt;=24), "18-24",
  AND(B2074&gt;=25, B2074&lt;=34), "25-34",
  AND(B2074&gt;=35, B2074&lt;=44), "35-44",
  AND(B2074&gt;=45, B2074&lt;=54), "45-54",
  B2074&gt;=55, "55+"
)</f>
        <v>35-44</v>
      </c>
      <c r="D2074" t="s">
        <v>19</v>
      </c>
      <c r="E2074" t="s">
        <v>133</v>
      </c>
      <c r="F2074" t="s">
        <v>69</v>
      </c>
      <c r="G2074">
        <v>66</v>
      </c>
      <c r="H2074" t="s">
        <v>37</v>
      </c>
      <c r="I2074" t="s">
        <v>45</v>
      </c>
      <c r="J2074" t="s">
        <v>118</v>
      </c>
      <c r="K2074" t="s">
        <v>25</v>
      </c>
      <c r="L2074">
        <v>3.9</v>
      </c>
      <c r="M2074" t="s">
        <v>152</v>
      </c>
      <c r="N2074" t="s">
        <v>27</v>
      </c>
      <c r="O2074" t="s">
        <v>47</v>
      </c>
      <c r="P2074" t="s">
        <v>152</v>
      </c>
      <c r="Q2074" t="s">
        <v>152</v>
      </c>
      <c r="R2074">
        <v>22</v>
      </c>
      <c r="S2074" t="s">
        <v>34</v>
      </c>
      <c r="T2074" t="str">
        <f t="shared" si="64"/>
        <v>Daily</v>
      </c>
      <c r="U2074">
        <f>VLOOKUP(T2074,[1]tablescore!$B$3:$C$8, 2,FALSE)</f>
        <v>30</v>
      </c>
      <c r="V2074" t="str">
        <f t="shared" si="65"/>
        <v>Highly Loyal</v>
      </c>
      <c r="W2074" t="s">
        <v>41</v>
      </c>
    </row>
    <row r="2075" spans="1:23" x14ac:dyDescent="0.25">
      <c r="A2075">
        <v>2074</v>
      </c>
      <c r="B2075">
        <v>38</v>
      </c>
      <c r="C2075" t="str" cm="1">
        <f t="array" ref="C2075">_xlfn.IFS(
  AND(B2075&gt;=18, B2075&lt;=24), "18-24",
  AND(B2075&gt;=25, B2075&lt;=34), "25-34",
  AND(B2075&gt;=35, B2075&lt;=44), "35-44",
  AND(B2075&gt;=45, B2075&lt;=54), "45-54",
  B2075&gt;=55, "55+"
)</f>
        <v>35-44</v>
      </c>
      <c r="D2075" t="s">
        <v>19</v>
      </c>
      <c r="E2075" t="s">
        <v>136</v>
      </c>
      <c r="F2075" t="s">
        <v>69</v>
      </c>
      <c r="G2075">
        <v>25</v>
      </c>
      <c r="H2075" t="s">
        <v>105</v>
      </c>
      <c r="I2075" t="s">
        <v>38</v>
      </c>
      <c r="J2075" t="s">
        <v>96</v>
      </c>
      <c r="K2075" t="s">
        <v>25</v>
      </c>
      <c r="L2075">
        <v>3.5</v>
      </c>
      <c r="M2075" t="s">
        <v>152</v>
      </c>
      <c r="N2075" t="s">
        <v>59</v>
      </c>
      <c r="O2075" t="s">
        <v>47</v>
      </c>
      <c r="P2075" t="s">
        <v>152</v>
      </c>
      <c r="Q2075" t="s">
        <v>152</v>
      </c>
      <c r="R2075">
        <v>2</v>
      </c>
      <c r="S2075" t="s">
        <v>46</v>
      </c>
      <c r="T2075" t="str">
        <f t="shared" si="64"/>
        <v>Quarterly</v>
      </c>
      <c r="U2075">
        <f>VLOOKUP(T2075,[1]tablescore!$B$3:$C$8, 2,FALSE)</f>
        <v>4</v>
      </c>
      <c r="V2075" t="str">
        <f t="shared" si="65"/>
        <v>Low Loyalty</v>
      </c>
      <c r="W2075" t="s">
        <v>97</v>
      </c>
    </row>
    <row r="2076" spans="1:23" x14ac:dyDescent="0.25">
      <c r="A2076">
        <v>2075</v>
      </c>
      <c r="B2076">
        <v>36</v>
      </c>
      <c r="C2076" t="str" cm="1">
        <f t="array" ref="C2076">_xlfn.IFS(
  AND(B2076&gt;=18, B2076&lt;=24), "18-24",
  AND(B2076&gt;=25, B2076&lt;=34), "25-34",
  AND(B2076&gt;=35, B2076&lt;=44), "35-44",
  AND(B2076&gt;=45, B2076&lt;=54), "45-54",
  B2076&gt;=55, "55+"
)</f>
        <v>35-44</v>
      </c>
      <c r="D2076" t="s">
        <v>19</v>
      </c>
      <c r="E2076" t="s">
        <v>119</v>
      </c>
      <c r="F2076" t="s">
        <v>69</v>
      </c>
      <c r="G2076">
        <v>53</v>
      </c>
      <c r="H2076" t="s">
        <v>103</v>
      </c>
      <c r="I2076" t="s">
        <v>45</v>
      </c>
      <c r="J2076" t="s">
        <v>53</v>
      </c>
      <c r="K2076" t="s">
        <v>54</v>
      </c>
      <c r="L2076">
        <v>3.1</v>
      </c>
      <c r="M2076" t="s">
        <v>152</v>
      </c>
      <c r="N2076" t="s">
        <v>27</v>
      </c>
      <c r="O2076" t="s">
        <v>40</v>
      </c>
      <c r="P2076" t="s">
        <v>152</v>
      </c>
      <c r="Q2076" t="s">
        <v>152</v>
      </c>
      <c r="R2076">
        <v>44</v>
      </c>
      <c r="S2076" t="s">
        <v>59</v>
      </c>
      <c r="T2076" t="str">
        <f t="shared" si="64"/>
        <v>2-week</v>
      </c>
      <c r="U2076">
        <f>VLOOKUP(T2076,[1]tablescore!$B$3:$C$8, 2,FALSE)</f>
        <v>26</v>
      </c>
      <c r="V2076" t="str">
        <f t="shared" si="65"/>
        <v>Loyal</v>
      </c>
      <c r="W2076" t="s">
        <v>30</v>
      </c>
    </row>
    <row r="2077" spans="1:23" x14ac:dyDescent="0.25">
      <c r="A2077">
        <v>2076</v>
      </c>
      <c r="B2077">
        <v>46</v>
      </c>
      <c r="C2077" t="str" cm="1">
        <f t="array" ref="C2077">_xlfn.IFS(
  AND(B2077&gt;=18, B2077&lt;=24), "18-24",
  AND(B2077&gt;=25, B2077&lt;=34), "25-34",
  AND(B2077&gt;=35, B2077&lt;=44), "35-44",
  AND(B2077&gt;=45, B2077&lt;=54), "45-54",
  B2077&gt;=55, "55+"
)</f>
        <v>45-54</v>
      </c>
      <c r="D2077" t="s">
        <v>19</v>
      </c>
      <c r="E2077" t="s">
        <v>31</v>
      </c>
      <c r="F2077" t="s">
        <v>21</v>
      </c>
      <c r="G2077">
        <v>28</v>
      </c>
      <c r="H2077" t="s">
        <v>126</v>
      </c>
      <c r="I2077" t="s">
        <v>38</v>
      </c>
      <c r="J2077" t="s">
        <v>49</v>
      </c>
      <c r="K2077" t="s">
        <v>58</v>
      </c>
      <c r="L2077">
        <v>4.7</v>
      </c>
      <c r="M2077" t="s">
        <v>152</v>
      </c>
      <c r="N2077" t="s">
        <v>34</v>
      </c>
      <c r="O2077" t="s">
        <v>28</v>
      </c>
      <c r="P2077" t="s">
        <v>152</v>
      </c>
      <c r="Q2077" t="s">
        <v>152</v>
      </c>
      <c r="R2077">
        <v>49</v>
      </c>
      <c r="S2077" t="s">
        <v>59</v>
      </c>
      <c r="T2077" t="str">
        <f t="shared" si="64"/>
        <v>Month</v>
      </c>
      <c r="U2077">
        <f>VLOOKUP(T2077,[1]tablescore!$B$3:$C$8, 2,FALSE)</f>
        <v>12</v>
      </c>
      <c r="V2077" t="str">
        <f t="shared" si="65"/>
        <v>Moderate</v>
      </c>
      <c r="W2077" t="s">
        <v>88</v>
      </c>
    </row>
    <row r="2078" spans="1:23" x14ac:dyDescent="0.25">
      <c r="A2078">
        <v>2077</v>
      </c>
      <c r="B2078">
        <v>59</v>
      </c>
      <c r="C2078" t="str" cm="1">
        <f t="array" ref="C2078">_xlfn.IFS(
  AND(B2078&gt;=18, B2078&lt;=24), "18-24",
  AND(B2078&gt;=25, B2078&lt;=34), "25-34",
  AND(B2078&gt;=35, B2078&lt;=44), "35-44",
  AND(B2078&gt;=45, B2078&lt;=54), "45-54",
  B2078&gt;=55, "55+"
)</f>
        <v>55+</v>
      </c>
      <c r="D2078" t="s">
        <v>19</v>
      </c>
      <c r="E2078" t="s">
        <v>127</v>
      </c>
      <c r="F2078" t="s">
        <v>69</v>
      </c>
      <c r="G2078">
        <v>23</v>
      </c>
      <c r="H2078" t="s">
        <v>103</v>
      </c>
      <c r="I2078" t="s">
        <v>38</v>
      </c>
      <c r="J2078" t="s">
        <v>129</v>
      </c>
      <c r="K2078" t="s">
        <v>58</v>
      </c>
      <c r="L2078">
        <v>4.5999999999999996</v>
      </c>
      <c r="M2078" t="s">
        <v>152</v>
      </c>
      <c r="N2078" t="s">
        <v>35</v>
      </c>
      <c r="O2078" t="s">
        <v>40</v>
      </c>
      <c r="P2078" t="s">
        <v>152</v>
      </c>
      <c r="Q2078" t="s">
        <v>152</v>
      </c>
      <c r="R2078">
        <v>22</v>
      </c>
      <c r="S2078" t="s">
        <v>59</v>
      </c>
      <c r="T2078" t="str">
        <f t="shared" si="64"/>
        <v>2-week</v>
      </c>
      <c r="U2078">
        <f>VLOOKUP(T2078,[1]tablescore!$B$3:$C$8, 2,FALSE)</f>
        <v>26</v>
      </c>
      <c r="V2078" t="str">
        <f t="shared" si="65"/>
        <v>Loyal</v>
      </c>
      <c r="W2078" t="s">
        <v>77</v>
      </c>
    </row>
    <row r="2079" spans="1:23" x14ac:dyDescent="0.25">
      <c r="A2079">
        <v>2078</v>
      </c>
      <c r="B2079">
        <v>64</v>
      </c>
      <c r="C2079" t="str" cm="1">
        <f t="array" ref="C2079">_xlfn.IFS(
  AND(B2079&gt;=18, B2079&lt;=24), "18-24",
  AND(B2079&gt;=25, B2079&lt;=34), "25-34",
  AND(B2079&gt;=35, B2079&lt;=44), "35-44",
  AND(B2079&gt;=45, B2079&lt;=54), "45-54",
  B2079&gt;=55, "55+"
)</f>
        <v>55+</v>
      </c>
      <c r="D2079" t="s">
        <v>19</v>
      </c>
      <c r="E2079" t="s">
        <v>119</v>
      </c>
      <c r="F2079" t="s">
        <v>69</v>
      </c>
      <c r="G2079">
        <v>34</v>
      </c>
      <c r="H2079" t="s">
        <v>143</v>
      </c>
      <c r="I2079" t="s">
        <v>23</v>
      </c>
      <c r="J2079" t="s">
        <v>121</v>
      </c>
      <c r="K2079" t="s">
        <v>58</v>
      </c>
      <c r="L2079">
        <v>3.3</v>
      </c>
      <c r="M2079" t="s">
        <v>152</v>
      </c>
      <c r="N2079" t="s">
        <v>34</v>
      </c>
      <c r="O2079" t="s">
        <v>40</v>
      </c>
      <c r="P2079" t="s">
        <v>152</v>
      </c>
      <c r="Q2079" t="s">
        <v>152</v>
      </c>
      <c r="R2079">
        <v>26</v>
      </c>
      <c r="S2079" t="s">
        <v>34</v>
      </c>
      <c r="T2079" t="str">
        <f t="shared" si="64"/>
        <v>Annually</v>
      </c>
      <c r="U2079">
        <f>VLOOKUP(T2079,[1]tablescore!$B$3:$C$8, 2,FALSE)</f>
        <v>1</v>
      </c>
      <c r="V2079" t="str">
        <f t="shared" si="65"/>
        <v>Low Loyalty</v>
      </c>
      <c r="W2079" t="s">
        <v>50</v>
      </c>
    </row>
    <row r="2080" spans="1:23" x14ac:dyDescent="0.25">
      <c r="A2080">
        <v>2079</v>
      </c>
      <c r="B2080">
        <v>49</v>
      </c>
      <c r="C2080" t="str" cm="1">
        <f t="array" ref="C2080">_xlfn.IFS(
  AND(B2080&gt;=18, B2080&lt;=24), "18-24",
  AND(B2080&gt;=25, B2080&lt;=34), "25-34",
  AND(B2080&gt;=35, B2080&lt;=44), "35-44",
  AND(B2080&gt;=45, B2080&lt;=54), "45-54",
  B2080&gt;=55, "55+"
)</f>
        <v>45-54</v>
      </c>
      <c r="D2080" t="s">
        <v>19</v>
      </c>
      <c r="E2080" t="s">
        <v>82</v>
      </c>
      <c r="F2080" t="s">
        <v>21</v>
      </c>
      <c r="G2080">
        <v>42</v>
      </c>
      <c r="H2080" t="s">
        <v>78</v>
      </c>
      <c r="I2080" t="s">
        <v>45</v>
      </c>
      <c r="J2080" t="s">
        <v>138</v>
      </c>
      <c r="K2080" t="s">
        <v>39</v>
      </c>
      <c r="L2080">
        <v>3.2</v>
      </c>
      <c r="M2080" t="s">
        <v>152</v>
      </c>
      <c r="N2080" t="s">
        <v>29</v>
      </c>
      <c r="O2080" t="s">
        <v>47</v>
      </c>
      <c r="P2080" t="s">
        <v>152</v>
      </c>
      <c r="Q2080" t="s">
        <v>152</v>
      </c>
      <c r="R2080">
        <v>40</v>
      </c>
      <c r="S2080" t="s">
        <v>59</v>
      </c>
      <c r="T2080" t="str">
        <f t="shared" si="64"/>
        <v>Daily</v>
      </c>
      <c r="U2080">
        <f>VLOOKUP(T2080,[1]tablescore!$B$3:$C$8, 2,FALSE)</f>
        <v>30</v>
      </c>
      <c r="V2080" t="str">
        <f t="shared" si="65"/>
        <v>Highly Loyal</v>
      </c>
      <c r="W2080" t="s">
        <v>41</v>
      </c>
    </row>
    <row r="2081" spans="1:23" x14ac:dyDescent="0.25">
      <c r="A2081">
        <v>2080</v>
      </c>
      <c r="B2081">
        <v>32</v>
      </c>
      <c r="C2081" t="str" cm="1">
        <f t="array" ref="C2081">_xlfn.IFS(
  AND(B2081&gt;=18, B2081&lt;=24), "18-24",
  AND(B2081&gt;=25, B2081&lt;=34), "25-34",
  AND(B2081&gt;=35, B2081&lt;=44), "35-44",
  AND(B2081&gt;=45, B2081&lt;=54), "45-54",
  B2081&gt;=55, "55+"
)</f>
        <v>25-34</v>
      </c>
      <c r="D2081" t="s">
        <v>19</v>
      </c>
      <c r="E2081" t="s">
        <v>36</v>
      </c>
      <c r="F2081" t="s">
        <v>21</v>
      </c>
      <c r="G2081">
        <v>24</v>
      </c>
      <c r="H2081" t="s">
        <v>57</v>
      </c>
      <c r="I2081" t="s">
        <v>23</v>
      </c>
      <c r="J2081" t="s">
        <v>84</v>
      </c>
      <c r="K2081" t="s">
        <v>54</v>
      </c>
      <c r="L2081">
        <v>3.1</v>
      </c>
      <c r="M2081" t="s">
        <v>152</v>
      </c>
      <c r="N2081" t="s">
        <v>59</v>
      </c>
      <c r="O2081" t="s">
        <v>47</v>
      </c>
      <c r="P2081" t="s">
        <v>152</v>
      </c>
      <c r="Q2081" t="s">
        <v>152</v>
      </c>
      <c r="R2081">
        <v>16</v>
      </c>
      <c r="S2081" t="s">
        <v>46</v>
      </c>
      <c r="T2081" t="str">
        <f t="shared" si="64"/>
        <v>Quarterly</v>
      </c>
      <c r="U2081">
        <f>VLOOKUP(T2081,[1]tablescore!$B$3:$C$8, 2,FALSE)</f>
        <v>4</v>
      </c>
      <c r="V2081" t="str">
        <f t="shared" si="65"/>
        <v>Low Loyalty</v>
      </c>
      <c r="W2081" t="s">
        <v>60</v>
      </c>
    </row>
    <row r="2082" spans="1:23" x14ac:dyDescent="0.25">
      <c r="A2082">
        <v>2081</v>
      </c>
      <c r="B2082">
        <v>29</v>
      </c>
      <c r="C2082" t="str" cm="1">
        <f t="array" ref="C2082">_xlfn.IFS(
  AND(B2082&gt;=18, B2082&lt;=24), "18-24",
  AND(B2082&gt;=25, B2082&lt;=34), "25-34",
  AND(B2082&gt;=35, B2082&lt;=44), "35-44",
  AND(B2082&gt;=45, B2082&lt;=54), "45-54",
  B2082&gt;=55, "55+"
)</f>
        <v>25-34</v>
      </c>
      <c r="D2082" t="s">
        <v>19</v>
      </c>
      <c r="E2082" t="s">
        <v>89</v>
      </c>
      <c r="F2082" t="s">
        <v>69</v>
      </c>
      <c r="G2082">
        <v>47</v>
      </c>
      <c r="H2082" t="s">
        <v>130</v>
      </c>
      <c r="I2082" t="s">
        <v>38</v>
      </c>
      <c r="J2082" t="s">
        <v>24</v>
      </c>
      <c r="K2082" t="s">
        <v>58</v>
      </c>
      <c r="L2082">
        <v>3.5</v>
      </c>
      <c r="M2082" t="s">
        <v>152</v>
      </c>
      <c r="N2082" t="s">
        <v>27</v>
      </c>
      <c r="O2082" t="s">
        <v>40</v>
      </c>
      <c r="P2082" t="s">
        <v>152</v>
      </c>
      <c r="Q2082" t="s">
        <v>152</v>
      </c>
      <c r="R2082">
        <v>17</v>
      </c>
      <c r="S2082" t="s">
        <v>59</v>
      </c>
      <c r="T2082" t="str">
        <f t="shared" si="64"/>
        <v>2-week</v>
      </c>
      <c r="U2082">
        <f>VLOOKUP(T2082,[1]tablescore!$B$3:$C$8, 2,FALSE)</f>
        <v>26</v>
      </c>
      <c r="V2082" t="str">
        <f t="shared" si="65"/>
        <v>Loyal</v>
      </c>
      <c r="W2082" t="s">
        <v>77</v>
      </c>
    </row>
    <row r="2083" spans="1:23" x14ac:dyDescent="0.25">
      <c r="A2083">
        <v>2082</v>
      </c>
      <c r="B2083">
        <v>24</v>
      </c>
      <c r="C2083" t="str" cm="1">
        <f t="array" ref="C2083">_xlfn.IFS(
  AND(B2083&gt;=18, B2083&lt;=24), "18-24",
  AND(B2083&gt;=25, B2083&lt;=34), "25-34",
  AND(B2083&gt;=35, B2083&lt;=44), "35-44",
  AND(B2083&gt;=45, B2083&lt;=54), "45-54",
  B2083&gt;=55, "55+"
)</f>
        <v>18-24</v>
      </c>
      <c r="D2083" t="s">
        <v>19</v>
      </c>
      <c r="E2083" t="s">
        <v>64</v>
      </c>
      <c r="F2083" t="s">
        <v>65</v>
      </c>
      <c r="G2083">
        <v>78</v>
      </c>
      <c r="H2083" t="s">
        <v>90</v>
      </c>
      <c r="I2083" t="s">
        <v>38</v>
      </c>
      <c r="J2083" t="s">
        <v>109</v>
      </c>
      <c r="K2083" t="s">
        <v>39</v>
      </c>
      <c r="L2083">
        <v>4.3</v>
      </c>
      <c r="M2083" t="s">
        <v>152</v>
      </c>
      <c r="N2083" t="s">
        <v>27</v>
      </c>
      <c r="O2083" t="s">
        <v>55</v>
      </c>
      <c r="P2083" t="s">
        <v>152</v>
      </c>
      <c r="Q2083" t="s">
        <v>152</v>
      </c>
      <c r="R2083">
        <v>48</v>
      </c>
      <c r="S2083" t="s">
        <v>34</v>
      </c>
      <c r="T2083" t="str">
        <f t="shared" si="64"/>
        <v>2-week</v>
      </c>
      <c r="U2083">
        <f>VLOOKUP(T2083,[1]tablescore!$B$3:$C$8, 2,FALSE)</f>
        <v>26</v>
      </c>
      <c r="V2083" t="str">
        <f t="shared" si="65"/>
        <v>Loyal</v>
      </c>
      <c r="W2083" t="s">
        <v>77</v>
      </c>
    </row>
    <row r="2084" spans="1:23" x14ac:dyDescent="0.25">
      <c r="A2084">
        <v>2083</v>
      </c>
      <c r="B2084">
        <v>41</v>
      </c>
      <c r="C2084" t="str" cm="1">
        <f t="array" ref="C2084">_xlfn.IFS(
  AND(B2084&gt;=18, B2084&lt;=24), "18-24",
  AND(B2084&gt;=25, B2084&lt;=34), "25-34",
  AND(B2084&gt;=35, B2084&lt;=44), "35-44",
  AND(B2084&gt;=45, B2084&lt;=54), "45-54",
  B2084&gt;=55, "55+"
)</f>
        <v>35-44</v>
      </c>
      <c r="D2084" t="s">
        <v>19</v>
      </c>
      <c r="E2084" t="s">
        <v>36</v>
      </c>
      <c r="F2084" t="s">
        <v>21</v>
      </c>
      <c r="G2084">
        <v>89</v>
      </c>
      <c r="H2084" t="s">
        <v>74</v>
      </c>
      <c r="I2084" t="s">
        <v>45</v>
      </c>
      <c r="J2084" t="s">
        <v>139</v>
      </c>
      <c r="K2084" t="s">
        <v>54</v>
      </c>
      <c r="L2084">
        <v>2.9</v>
      </c>
      <c r="M2084" t="s">
        <v>152</v>
      </c>
      <c r="N2084" t="s">
        <v>35</v>
      </c>
      <c r="O2084" t="s">
        <v>40</v>
      </c>
      <c r="P2084" t="s">
        <v>152</v>
      </c>
      <c r="Q2084" t="s">
        <v>152</v>
      </c>
      <c r="R2084">
        <v>28</v>
      </c>
      <c r="S2084" t="s">
        <v>29</v>
      </c>
      <c r="T2084" t="str">
        <f t="shared" si="64"/>
        <v>Quarterly</v>
      </c>
      <c r="U2084">
        <f>VLOOKUP(T2084,[1]tablescore!$B$3:$C$8, 2,FALSE)</f>
        <v>4</v>
      </c>
      <c r="V2084" t="str">
        <f t="shared" si="65"/>
        <v>Low Loyalty</v>
      </c>
      <c r="W2084" t="s">
        <v>97</v>
      </c>
    </row>
    <row r="2085" spans="1:23" x14ac:dyDescent="0.25">
      <c r="A2085">
        <v>2084</v>
      </c>
      <c r="B2085">
        <v>41</v>
      </c>
      <c r="C2085" t="str" cm="1">
        <f t="array" ref="C2085">_xlfn.IFS(
  AND(B2085&gt;=18, B2085&lt;=24), "18-24",
  AND(B2085&gt;=25, B2085&lt;=34), "25-34",
  AND(B2085&gt;=35, B2085&lt;=44), "35-44",
  AND(B2085&gt;=45, B2085&lt;=54), "45-54",
  B2085&gt;=55, "55+"
)</f>
        <v>35-44</v>
      </c>
      <c r="D2085" t="s">
        <v>19</v>
      </c>
      <c r="E2085" t="s">
        <v>119</v>
      </c>
      <c r="F2085" t="s">
        <v>69</v>
      </c>
      <c r="G2085">
        <v>59</v>
      </c>
      <c r="H2085" t="s">
        <v>91</v>
      </c>
      <c r="I2085" t="s">
        <v>23</v>
      </c>
      <c r="J2085" t="s">
        <v>121</v>
      </c>
      <c r="K2085" t="s">
        <v>58</v>
      </c>
      <c r="L2085">
        <v>2.7</v>
      </c>
      <c r="M2085" t="s">
        <v>152</v>
      </c>
      <c r="N2085" t="s">
        <v>27</v>
      </c>
      <c r="O2085" t="s">
        <v>76</v>
      </c>
      <c r="P2085" t="s">
        <v>152</v>
      </c>
      <c r="Q2085" t="s">
        <v>152</v>
      </c>
      <c r="R2085">
        <v>26</v>
      </c>
      <c r="S2085" t="s">
        <v>27</v>
      </c>
      <c r="T2085" t="str">
        <f t="shared" si="64"/>
        <v>2-week</v>
      </c>
      <c r="U2085">
        <f>VLOOKUP(T2085,[1]tablescore!$B$3:$C$8, 2,FALSE)</f>
        <v>26</v>
      </c>
      <c r="V2085" t="str">
        <f t="shared" si="65"/>
        <v>Loyal</v>
      </c>
      <c r="W2085" t="s">
        <v>30</v>
      </c>
    </row>
    <row r="2086" spans="1:23" x14ac:dyDescent="0.25">
      <c r="A2086">
        <v>2085</v>
      </c>
      <c r="B2086">
        <v>32</v>
      </c>
      <c r="C2086" t="str" cm="1">
        <f t="array" ref="C2086">_xlfn.IFS(
  AND(B2086&gt;=18, B2086&lt;=24), "18-24",
  AND(B2086&gt;=25, B2086&lt;=34), "25-34",
  AND(B2086&gt;=35, B2086&lt;=44), "35-44",
  AND(B2086&gt;=45, B2086&lt;=54), "45-54",
  B2086&gt;=55, "55+"
)</f>
        <v>25-34</v>
      </c>
      <c r="D2086" t="s">
        <v>19</v>
      </c>
      <c r="E2086" t="s">
        <v>20</v>
      </c>
      <c r="F2086" t="s">
        <v>21</v>
      </c>
      <c r="G2086">
        <v>94</v>
      </c>
      <c r="H2086" t="s">
        <v>145</v>
      </c>
      <c r="I2086" t="s">
        <v>38</v>
      </c>
      <c r="J2086" t="s">
        <v>110</v>
      </c>
      <c r="K2086" t="s">
        <v>54</v>
      </c>
      <c r="L2086">
        <v>4</v>
      </c>
      <c r="M2086" t="s">
        <v>152</v>
      </c>
      <c r="N2086" t="s">
        <v>34</v>
      </c>
      <c r="O2086" t="s">
        <v>55</v>
      </c>
      <c r="P2086" t="s">
        <v>152</v>
      </c>
      <c r="Q2086" t="s">
        <v>152</v>
      </c>
      <c r="R2086">
        <v>43</v>
      </c>
      <c r="S2086" t="s">
        <v>34</v>
      </c>
      <c r="T2086" t="str">
        <f t="shared" si="64"/>
        <v>Quarterly</v>
      </c>
      <c r="U2086">
        <f>VLOOKUP(T2086,[1]tablescore!$B$3:$C$8, 2,FALSE)</f>
        <v>4</v>
      </c>
      <c r="V2086" t="str">
        <f t="shared" si="65"/>
        <v>Low Loyalty</v>
      </c>
      <c r="W2086" t="s">
        <v>60</v>
      </c>
    </row>
    <row r="2087" spans="1:23" x14ac:dyDescent="0.25">
      <c r="A2087">
        <v>2086</v>
      </c>
      <c r="B2087">
        <v>69</v>
      </c>
      <c r="C2087" t="str" cm="1">
        <f t="array" ref="C2087">_xlfn.IFS(
  AND(B2087&gt;=18, B2087&lt;=24), "18-24",
  AND(B2087&gt;=25, B2087&lt;=34), "25-34",
  AND(B2087&gt;=35, B2087&lt;=44), "35-44",
  AND(B2087&gt;=45, B2087&lt;=54), "45-54",
  B2087&gt;=55, "55+"
)</f>
        <v>55+</v>
      </c>
      <c r="D2087" t="s">
        <v>19</v>
      </c>
      <c r="E2087" t="s">
        <v>36</v>
      </c>
      <c r="F2087" t="s">
        <v>21</v>
      </c>
      <c r="G2087">
        <v>49</v>
      </c>
      <c r="H2087" t="s">
        <v>85</v>
      </c>
      <c r="I2087" t="s">
        <v>45</v>
      </c>
      <c r="J2087" t="s">
        <v>86</v>
      </c>
      <c r="K2087" t="s">
        <v>58</v>
      </c>
      <c r="L2087">
        <v>4.5999999999999996</v>
      </c>
      <c r="M2087" t="s">
        <v>152</v>
      </c>
      <c r="N2087" t="s">
        <v>35</v>
      </c>
      <c r="O2087" t="s">
        <v>40</v>
      </c>
      <c r="P2087" t="s">
        <v>152</v>
      </c>
      <c r="Q2087" t="s">
        <v>152</v>
      </c>
      <c r="R2087">
        <v>38</v>
      </c>
      <c r="S2087" t="s">
        <v>59</v>
      </c>
      <c r="T2087" t="str">
        <f t="shared" si="64"/>
        <v>Daily</v>
      </c>
      <c r="U2087">
        <f>VLOOKUP(T2087,[1]tablescore!$B$3:$C$8, 2,FALSE)</f>
        <v>30</v>
      </c>
      <c r="V2087" t="str">
        <f t="shared" si="65"/>
        <v>Highly Loyal</v>
      </c>
      <c r="W2087" t="s">
        <v>41</v>
      </c>
    </row>
    <row r="2088" spans="1:23" x14ac:dyDescent="0.25">
      <c r="A2088">
        <v>2087</v>
      </c>
      <c r="B2088">
        <v>65</v>
      </c>
      <c r="C2088" t="str" cm="1">
        <f t="array" ref="C2088">_xlfn.IFS(
  AND(B2088&gt;=18, B2088&lt;=24), "18-24",
  AND(B2088&gt;=25, B2088&lt;=34), "25-34",
  AND(B2088&gt;=35, B2088&lt;=44), "35-44",
  AND(B2088&gt;=45, B2088&lt;=54), "45-54",
  B2088&gt;=55, "55+"
)</f>
        <v>55+</v>
      </c>
      <c r="D2088" t="s">
        <v>19</v>
      </c>
      <c r="E2088" t="s">
        <v>82</v>
      </c>
      <c r="F2088" t="s">
        <v>21</v>
      </c>
      <c r="G2088">
        <v>89</v>
      </c>
      <c r="H2088" t="s">
        <v>114</v>
      </c>
      <c r="I2088" t="s">
        <v>23</v>
      </c>
      <c r="J2088" t="s">
        <v>118</v>
      </c>
      <c r="K2088" t="s">
        <v>54</v>
      </c>
      <c r="L2088">
        <v>4.7</v>
      </c>
      <c r="M2088" t="s">
        <v>152</v>
      </c>
      <c r="N2088" t="s">
        <v>27</v>
      </c>
      <c r="O2088" t="s">
        <v>72</v>
      </c>
      <c r="P2088" t="s">
        <v>152</v>
      </c>
      <c r="Q2088" t="s">
        <v>152</v>
      </c>
      <c r="R2088">
        <v>36</v>
      </c>
      <c r="S2088" t="s">
        <v>35</v>
      </c>
      <c r="T2088" t="str">
        <f t="shared" si="64"/>
        <v>Quarterly</v>
      </c>
      <c r="U2088">
        <f>VLOOKUP(T2088,[1]tablescore!$B$3:$C$8, 2,FALSE)</f>
        <v>4</v>
      </c>
      <c r="V2088" t="str">
        <f t="shared" si="65"/>
        <v>Low Loyalty</v>
      </c>
      <c r="W2088" t="s">
        <v>97</v>
      </c>
    </row>
    <row r="2089" spans="1:23" x14ac:dyDescent="0.25">
      <c r="A2089">
        <v>2088</v>
      </c>
      <c r="B2089">
        <v>54</v>
      </c>
      <c r="C2089" t="str" cm="1">
        <f t="array" ref="C2089">_xlfn.IFS(
  AND(B2089&gt;=18, B2089&lt;=24), "18-24",
  AND(B2089&gt;=25, B2089&lt;=34), "25-34",
  AND(B2089&gt;=35, B2089&lt;=44), "35-44",
  AND(B2089&gt;=45, B2089&lt;=54), "45-54",
  B2089&gt;=55, "55+"
)</f>
        <v>45-54</v>
      </c>
      <c r="D2089" t="s">
        <v>19</v>
      </c>
      <c r="E2089" t="s">
        <v>125</v>
      </c>
      <c r="F2089" t="s">
        <v>69</v>
      </c>
      <c r="G2089">
        <v>91</v>
      </c>
      <c r="H2089" t="s">
        <v>148</v>
      </c>
      <c r="I2089" t="s">
        <v>45</v>
      </c>
      <c r="J2089" t="s">
        <v>138</v>
      </c>
      <c r="K2089" t="s">
        <v>54</v>
      </c>
      <c r="L2089">
        <v>4.7</v>
      </c>
      <c r="M2089" t="s">
        <v>152</v>
      </c>
      <c r="N2089" t="s">
        <v>27</v>
      </c>
      <c r="O2089" t="s">
        <v>55</v>
      </c>
      <c r="P2089" t="s">
        <v>152</v>
      </c>
      <c r="Q2089" t="s">
        <v>152</v>
      </c>
      <c r="R2089">
        <v>1</v>
      </c>
      <c r="S2089" t="s">
        <v>27</v>
      </c>
      <c r="T2089" t="str">
        <f t="shared" si="64"/>
        <v>Daily</v>
      </c>
      <c r="U2089">
        <f>VLOOKUP(T2089,[1]tablescore!$B$3:$C$8, 2,FALSE)</f>
        <v>30</v>
      </c>
      <c r="V2089" t="str">
        <f t="shared" si="65"/>
        <v>Highly Loyal</v>
      </c>
      <c r="W2089" t="s">
        <v>41</v>
      </c>
    </row>
    <row r="2090" spans="1:23" x14ac:dyDescent="0.25">
      <c r="A2090">
        <v>2089</v>
      </c>
      <c r="B2090">
        <v>39</v>
      </c>
      <c r="C2090" t="str" cm="1">
        <f t="array" ref="C2090">_xlfn.IFS(
  AND(B2090&gt;=18, B2090&lt;=24), "18-24",
  AND(B2090&gt;=25, B2090&lt;=34), "25-34",
  AND(B2090&gt;=35, B2090&lt;=44), "35-44",
  AND(B2090&gt;=45, B2090&lt;=54), "45-54",
  B2090&gt;=55, "55+"
)</f>
        <v>35-44</v>
      </c>
      <c r="D2090" t="s">
        <v>19</v>
      </c>
      <c r="E2090" t="s">
        <v>42</v>
      </c>
      <c r="F2090" t="s">
        <v>43</v>
      </c>
      <c r="G2090">
        <v>89</v>
      </c>
      <c r="H2090" t="s">
        <v>99</v>
      </c>
      <c r="I2090" t="s">
        <v>23</v>
      </c>
      <c r="J2090" t="s">
        <v>121</v>
      </c>
      <c r="K2090" t="s">
        <v>39</v>
      </c>
      <c r="L2090">
        <v>4</v>
      </c>
      <c r="M2090" t="s">
        <v>152</v>
      </c>
      <c r="N2090" t="s">
        <v>35</v>
      </c>
      <c r="O2090" t="s">
        <v>55</v>
      </c>
      <c r="P2090" t="s">
        <v>152</v>
      </c>
      <c r="Q2090" t="s">
        <v>152</v>
      </c>
      <c r="R2090">
        <v>49</v>
      </c>
      <c r="S2090" t="s">
        <v>59</v>
      </c>
      <c r="T2090" t="str">
        <f t="shared" si="64"/>
        <v>Annually</v>
      </c>
      <c r="U2090">
        <f>VLOOKUP(T2090,[1]tablescore!$B$3:$C$8, 2,FALSE)</f>
        <v>1</v>
      </c>
      <c r="V2090" t="str">
        <f t="shared" si="65"/>
        <v>Low Loyalty</v>
      </c>
      <c r="W2090" t="s">
        <v>50</v>
      </c>
    </row>
    <row r="2091" spans="1:23" x14ac:dyDescent="0.25">
      <c r="A2091">
        <v>2090</v>
      </c>
      <c r="B2091">
        <v>37</v>
      </c>
      <c r="C2091" t="str" cm="1">
        <f t="array" ref="C2091">_xlfn.IFS(
  AND(B2091&gt;=18, B2091&lt;=24), "18-24",
  AND(B2091&gt;=25, B2091&lt;=34), "25-34",
  AND(B2091&gt;=35, B2091&lt;=44), "35-44",
  AND(B2091&gt;=45, B2091&lt;=54), "45-54",
  B2091&gt;=55, "55+"
)</f>
        <v>35-44</v>
      </c>
      <c r="D2091" t="s">
        <v>19</v>
      </c>
      <c r="E2091" t="s">
        <v>102</v>
      </c>
      <c r="F2091" t="s">
        <v>65</v>
      </c>
      <c r="G2091">
        <v>57</v>
      </c>
      <c r="H2091" t="s">
        <v>135</v>
      </c>
      <c r="I2091" t="s">
        <v>23</v>
      </c>
      <c r="J2091" t="s">
        <v>81</v>
      </c>
      <c r="K2091" t="s">
        <v>39</v>
      </c>
      <c r="L2091">
        <v>3.6</v>
      </c>
      <c r="M2091" t="s">
        <v>152</v>
      </c>
      <c r="N2091" t="s">
        <v>35</v>
      </c>
      <c r="O2091" t="s">
        <v>40</v>
      </c>
      <c r="P2091" t="s">
        <v>152</v>
      </c>
      <c r="Q2091" t="s">
        <v>152</v>
      </c>
      <c r="R2091">
        <v>41</v>
      </c>
      <c r="S2091" t="s">
        <v>27</v>
      </c>
      <c r="T2091" t="str">
        <f t="shared" si="64"/>
        <v>Quarterly</v>
      </c>
      <c r="U2091">
        <f>VLOOKUP(T2091,[1]tablescore!$B$3:$C$8, 2,FALSE)</f>
        <v>4</v>
      </c>
      <c r="V2091" t="str">
        <f t="shared" si="65"/>
        <v>Low Loyalty</v>
      </c>
      <c r="W2091" t="s">
        <v>97</v>
      </c>
    </row>
    <row r="2092" spans="1:23" x14ac:dyDescent="0.25">
      <c r="A2092">
        <v>2091</v>
      </c>
      <c r="B2092">
        <v>51</v>
      </c>
      <c r="C2092" t="str" cm="1">
        <f t="array" ref="C2092">_xlfn.IFS(
  AND(B2092&gt;=18, B2092&lt;=24), "18-24",
  AND(B2092&gt;=25, B2092&lt;=34), "25-34",
  AND(B2092&gt;=35, B2092&lt;=44), "35-44",
  AND(B2092&gt;=45, B2092&lt;=54), "45-54",
  B2092&gt;=55, "55+"
)</f>
        <v>45-54</v>
      </c>
      <c r="D2092" t="s">
        <v>19</v>
      </c>
      <c r="E2092" t="s">
        <v>131</v>
      </c>
      <c r="F2092" t="s">
        <v>21</v>
      </c>
      <c r="G2092">
        <v>71</v>
      </c>
      <c r="H2092" t="s">
        <v>37</v>
      </c>
      <c r="I2092" t="s">
        <v>38</v>
      </c>
      <c r="J2092" t="s">
        <v>86</v>
      </c>
      <c r="K2092" t="s">
        <v>25</v>
      </c>
      <c r="L2092">
        <v>3.4</v>
      </c>
      <c r="M2092" t="s">
        <v>152</v>
      </c>
      <c r="N2092" t="s">
        <v>59</v>
      </c>
      <c r="O2092" t="s">
        <v>40</v>
      </c>
      <c r="P2092" t="s">
        <v>152</v>
      </c>
      <c r="Q2092" t="s">
        <v>152</v>
      </c>
      <c r="R2092">
        <v>21</v>
      </c>
      <c r="S2092" t="s">
        <v>59</v>
      </c>
      <c r="T2092" t="str">
        <f t="shared" si="64"/>
        <v>Month</v>
      </c>
      <c r="U2092">
        <f>VLOOKUP(T2092,[1]tablescore!$B$3:$C$8, 2,FALSE)</f>
        <v>12</v>
      </c>
      <c r="V2092" t="str">
        <f t="shared" si="65"/>
        <v>Moderate</v>
      </c>
      <c r="W2092" t="s">
        <v>88</v>
      </c>
    </row>
    <row r="2093" spans="1:23" x14ac:dyDescent="0.25">
      <c r="A2093">
        <v>2092</v>
      </c>
      <c r="B2093">
        <v>26</v>
      </c>
      <c r="C2093" t="str" cm="1">
        <f t="array" ref="C2093">_xlfn.IFS(
  AND(B2093&gt;=18, B2093&lt;=24), "18-24",
  AND(B2093&gt;=25, B2093&lt;=34), "25-34",
  AND(B2093&gt;=35, B2093&lt;=44), "35-44",
  AND(B2093&gt;=45, B2093&lt;=54), "45-54",
  B2093&gt;=55, "55+"
)</f>
        <v>25-34</v>
      </c>
      <c r="D2093" t="s">
        <v>19</v>
      </c>
      <c r="E2093" t="s">
        <v>36</v>
      </c>
      <c r="F2093" t="s">
        <v>21</v>
      </c>
      <c r="G2093">
        <v>97</v>
      </c>
      <c r="H2093" t="s">
        <v>140</v>
      </c>
      <c r="I2093" t="s">
        <v>92</v>
      </c>
      <c r="J2093" t="s">
        <v>118</v>
      </c>
      <c r="K2093" t="s">
        <v>58</v>
      </c>
      <c r="L2093">
        <v>3</v>
      </c>
      <c r="M2093" t="s">
        <v>152</v>
      </c>
      <c r="N2093" t="s">
        <v>46</v>
      </c>
      <c r="O2093" t="s">
        <v>47</v>
      </c>
      <c r="P2093" t="s">
        <v>152</v>
      </c>
      <c r="Q2093" t="s">
        <v>152</v>
      </c>
      <c r="R2093">
        <v>24</v>
      </c>
      <c r="S2093" t="s">
        <v>34</v>
      </c>
      <c r="T2093" t="str">
        <f t="shared" si="64"/>
        <v>Quarterly</v>
      </c>
      <c r="U2093">
        <f>VLOOKUP(T2093,[1]tablescore!$B$3:$C$8, 2,FALSE)</f>
        <v>4</v>
      </c>
      <c r="V2093" t="str">
        <f t="shared" si="65"/>
        <v>Low Loyalty</v>
      </c>
      <c r="W2093" t="s">
        <v>60</v>
      </c>
    </row>
    <row r="2094" spans="1:23" x14ac:dyDescent="0.25">
      <c r="A2094">
        <v>2093</v>
      </c>
      <c r="B2094">
        <v>42</v>
      </c>
      <c r="C2094" t="str" cm="1">
        <f t="array" ref="C2094">_xlfn.IFS(
  AND(B2094&gt;=18, B2094&lt;=24), "18-24",
  AND(B2094&gt;=25, B2094&lt;=34), "25-34",
  AND(B2094&gt;=35, B2094&lt;=44), "35-44",
  AND(B2094&gt;=45, B2094&lt;=54), "45-54",
  B2094&gt;=55, "55+"
)</f>
        <v>35-44</v>
      </c>
      <c r="D2094" t="s">
        <v>19</v>
      </c>
      <c r="E2094" t="s">
        <v>42</v>
      </c>
      <c r="F2094" t="s">
        <v>43</v>
      </c>
      <c r="G2094">
        <v>45</v>
      </c>
      <c r="H2094" t="s">
        <v>134</v>
      </c>
      <c r="I2094" t="s">
        <v>45</v>
      </c>
      <c r="J2094" t="s">
        <v>67</v>
      </c>
      <c r="K2094" t="s">
        <v>58</v>
      </c>
      <c r="L2094">
        <v>2.6</v>
      </c>
      <c r="M2094" t="s">
        <v>152</v>
      </c>
      <c r="N2094" t="s">
        <v>34</v>
      </c>
      <c r="O2094" t="s">
        <v>47</v>
      </c>
      <c r="P2094" t="s">
        <v>152</v>
      </c>
      <c r="Q2094" t="s">
        <v>152</v>
      </c>
      <c r="R2094">
        <v>27</v>
      </c>
      <c r="S2094" t="s">
        <v>34</v>
      </c>
      <c r="T2094" t="str">
        <f t="shared" si="64"/>
        <v>Daily</v>
      </c>
      <c r="U2094">
        <f>VLOOKUP(T2094,[1]tablescore!$B$3:$C$8, 2,FALSE)</f>
        <v>30</v>
      </c>
      <c r="V2094" t="str">
        <f t="shared" si="65"/>
        <v>Highly Loyal</v>
      </c>
      <c r="W2094" t="s">
        <v>41</v>
      </c>
    </row>
    <row r="2095" spans="1:23" x14ac:dyDescent="0.25">
      <c r="A2095">
        <v>2094</v>
      </c>
      <c r="B2095">
        <v>21</v>
      </c>
      <c r="C2095" t="str" cm="1">
        <f t="array" ref="C2095">_xlfn.IFS(
  AND(B2095&gt;=18, B2095&lt;=24), "18-24",
  AND(B2095&gt;=25, B2095&lt;=34), "25-34",
  AND(B2095&gt;=35, B2095&lt;=44), "35-44",
  AND(B2095&gt;=45, B2095&lt;=54), "45-54",
  B2095&gt;=55, "55+"
)</f>
        <v>18-24</v>
      </c>
      <c r="D2095" t="s">
        <v>19</v>
      </c>
      <c r="E2095" t="s">
        <v>82</v>
      </c>
      <c r="F2095" t="s">
        <v>21</v>
      </c>
      <c r="G2095">
        <v>91</v>
      </c>
      <c r="H2095" t="s">
        <v>140</v>
      </c>
      <c r="I2095" t="s">
        <v>45</v>
      </c>
      <c r="J2095" t="s">
        <v>33</v>
      </c>
      <c r="K2095" t="s">
        <v>39</v>
      </c>
      <c r="L2095">
        <v>4.2</v>
      </c>
      <c r="M2095" t="s">
        <v>152</v>
      </c>
      <c r="N2095" t="s">
        <v>29</v>
      </c>
      <c r="O2095" t="s">
        <v>76</v>
      </c>
      <c r="P2095" t="s">
        <v>152</v>
      </c>
      <c r="Q2095" t="s">
        <v>152</v>
      </c>
      <c r="R2095">
        <v>4</v>
      </c>
      <c r="S2095" t="s">
        <v>59</v>
      </c>
      <c r="T2095" t="str">
        <f t="shared" si="64"/>
        <v>Annually</v>
      </c>
      <c r="U2095">
        <f>VLOOKUP(T2095,[1]tablescore!$B$3:$C$8, 2,FALSE)</f>
        <v>1</v>
      </c>
      <c r="V2095" t="str">
        <f t="shared" si="65"/>
        <v>Low Loyalty</v>
      </c>
      <c r="W2095" t="s">
        <v>50</v>
      </c>
    </row>
    <row r="2096" spans="1:23" x14ac:dyDescent="0.25">
      <c r="A2096">
        <v>2095</v>
      </c>
      <c r="B2096">
        <v>53</v>
      </c>
      <c r="C2096" t="str" cm="1">
        <f t="array" ref="C2096">_xlfn.IFS(
  AND(B2096&gt;=18, B2096&lt;=24), "18-24",
  AND(B2096&gt;=25, B2096&lt;=34), "25-34",
  AND(B2096&gt;=35, B2096&lt;=44), "35-44",
  AND(B2096&gt;=45, B2096&lt;=54), "45-54",
  B2096&gt;=55, "55+"
)</f>
        <v>45-54</v>
      </c>
      <c r="D2096" t="s">
        <v>19</v>
      </c>
      <c r="E2096" t="s">
        <v>131</v>
      </c>
      <c r="F2096" t="s">
        <v>21</v>
      </c>
      <c r="G2096">
        <v>25</v>
      </c>
      <c r="H2096" t="s">
        <v>126</v>
      </c>
      <c r="I2096" t="s">
        <v>45</v>
      </c>
      <c r="J2096" t="s">
        <v>129</v>
      </c>
      <c r="K2096" t="s">
        <v>39</v>
      </c>
      <c r="L2096">
        <v>3.4</v>
      </c>
      <c r="M2096" t="s">
        <v>152</v>
      </c>
      <c r="N2096" t="s">
        <v>34</v>
      </c>
      <c r="O2096" t="s">
        <v>55</v>
      </c>
      <c r="P2096" t="s">
        <v>152</v>
      </c>
      <c r="Q2096" t="s">
        <v>152</v>
      </c>
      <c r="R2096">
        <v>19</v>
      </c>
      <c r="S2096" t="s">
        <v>29</v>
      </c>
      <c r="T2096" t="str">
        <f t="shared" si="64"/>
        <v>Annually</v>
      </c>
      <c r="U2096">
        <f>VLOOKUP(T2096,[1]tablescore!$B$3:$C$8, 2,FALSE)</f>
        <v>1</v>
      </c>
      <c r="V2096" t="str">
        <f t="shared" si="65"/>
        <v>Low Loyalty</v>
      </c>
      <c r="W2096" t="s">
        <v>50</v>
      </c>
    </row>
    <row r="2097" spans="1:23" x14ac:dyDescent="0.25">
      <c r="A2097">
        <v>2096</v>
      </c>
      <c r="B2097">
        <v>36</v>
      </c>
      <c r="C2097" t="str" cm="1">
        <f t="array" ref="C2097">_xlfn.IFS(
  AND(B2097&gt;=18, B2097&lt;=24), "18-24",
  AND(B2097&gt;=25, B2097&lt;=34), "25-34",
  AND(B2097&gt;=35, B2097&lt;=44), "35-44",
  AND(B2097&gt;=45, B2097&lt;=54), "45-54",
  B2097&gt;=55, "55+"
)</f>
        <v>35-44</v>
      </c>
      <c r="D2097" t="s">
        <v>19</v>
      </c>
      <c r="E2097" t="s">
        <v>104</v>
      </c>
      <c r="F2097" t="s">
        <v>21</v>
      </c>
      <c r="G2097">
        <v>63</v>
      </c>
      <c r="H2097" t="s">
        <v>123</v>
      </c>
      <c r="I2097" t="s">
        <v>45</v>
      </c>
      <c r="J2097" t="s">
        <v>24</v>
      </c>
      <c r="K2097" t="s">
        <v>58</v>
      </c>
      <c r="L2097">
        <v>4</v>
      </c>
      <c r="M2097" t="s">
        <v>152</v>
      </c>
      <c r="N2097" t="s">
        <v>27</v>
      </c>
      <c r="O2097" t="s">
        <v>76</v>
      </c>
      <c r="P2097" t="s">
        <v>152</v>
      </c>
      <c r="Q2097" t="s">
        <v>152</v>
      </c>
      <c r="R2097">
        <v>1</v>
      </c>
      <c r="S2097" t="s">
        <v>34</v>
      </c>
      <c r="T2097" t="str">
        <f t="shared" si="64"/>
        <v>2-week</v>
      </c>
      <c r="U2097">
        <f>VLOOKUP(T2097,[1]tablescore!$B$3:$C$8, 2,FALSE)</f>
        <v>26</v>
      </c>
      <c r="V2097" t="str">
        <f t="shared" si="65"/>
        <v>Loyal</v>
      </c>
      <c r="W2097" t="s">
        <v>30</v>
      </c>
    </row>
    <row r="2098" spans="1:23" x14ac:dyDescent="0.25">
      <c r="A2098">
        <v>2097</v>
      </c>
      <c r="B2098">
        <v>21</v>
      </c>
      <c r="C2098" t="str" cm="1">
        <f t="array" ref="C2098">_xlfn.IFS(
  AND(B2098&gt;=18, B2098&lt;=24), "18-24",
  AND(B2098&gt;=25, B2098&lt;=34), "25-34",
  AND(B2098&gt;=35, B2098&lt;=44), "35-44",
  AND(B2098&gt;=45, B2098&lt;=54), "45-54",
  B2098&gt;=55, "55+"
)</f>
        <v>18-24</v>
      </c>
      <c r="D2098" t="s">
        <v>19</v>
      </c>
      <c r="E2098" t="s">
        <v>82</v>
      </c>
      <c r="F2098" t="s">
        <v>21</v>
      </c>
      <c r="G2098">
        <v>52</v>
      </c>
      <c r="H2098" t="s">
        <v>98</v>
      </c>
      <c r="I2098" t="s">
        <v>23</v>
      </c>
      <c r="J2098" t="s">
        <v>138</v>
      </c>
      <c r="K2098" t="s">
        <v>54</v>
      </c>
      <c r="L2098">
        <v>4.7</v>
      </c>
      <c r="M2098" t="s">
        <v>152</v>
      </c>
      <c r="N2098" t="s">
        <v>59</v>
      </c>
      <c r="O2098" t="s">
        <v>40</v>
      </c>
      <c r="P2098" t="s">
        <v>152</v>
      </c>
      <c r="Q2098" t="s">
        <v>152</v>
      </c>
      <c r="R2098">
        <v>27</v>
      </c>
      <c r="S2098" t="s">
        <v>59</v>
      </c>
      <c r="T2098" t="str">
        <f t="shared" si="64"/>
        <v>Annually</v>
      </c>
      <c r="U2098">
        <f>VLOOKUP(T2098,[1]tablescore!$B$3:$C$8, 2,FALSE)</f>
        <v>1</v>
      </c>
      <c r="V2098" t="str">
        <f t="shared" si="65"/>
        <v>Low Loyalty</v>
      </c>
      <c r="W2098" t="s">
        <v>50</v>
      </c>
    </row>
    <row r="2099" spans="1:23" x14ac:dyDescent="0.25">
      <c r="A2099">
        <v>2098</v>
      </c>
      <c r="B2099">
        <v>33</v>
      </c>
      <c r="C2099" t="str" cm="1">
        <f t="array" ref="C2099">_xlfn.IFS(
  AND(B2099&gt;=18, B2099&lt;=24), "18-24",
  AND(B2099&gt;=25, B2099&lt;=34), "25-34",
  AND(B2099&gt;=35, B2099&lt;=44), "35-44",
  AND(B2099&gt;=45, B2099&lt;=54), "45-54",
  B2099&gt;=55, "55+"
)</f>
        <v>25-34</v>
      </c>
      <c r="D2099" t="s">
        <v>19</v>
      </c>
      <c r="E2099" t="s">
        <v>51</v>
      </c>
      <c r="F2099" t="s">
        <v>43</v>
      </c>
      <c r="G2099">
        <v>43</v>
      </c>
      <c r="H2099" t="s">
        <v>150</v>
      </c>
      <c r="I2099" t="s">
        <v>38</v>
      </c>
      <c r="J2099" t="s">
        <v>109</v>
      </c>
      <c r="K2099" t="s">
        <v>25</v>
      </c>
      <c r="L2099">
        <v>3.9</v>
      </c>
      <c r="M2099" t="s">
        <v>152</v>
      </c>
      <c r="N2099" t="s">
        <v>27</v>
      </c>
      <c r="O2099" t="s">
        <v>47</v>
      </c>
      <c r="P2099" t="s">
        <v>152</v>
      </c>
      <c r="Q2099" t="s">
        <v>152</v>
      </c>
      <c r="R2099">
        <v>5</v>
      </c>
      <c r="S2099" t="s">
        <v>27</v>
      </c>
      <c r="T2099" t="str">
        <f t="shared" si="64"/>
        <v>Daily</v>
      </c>
      <c r="U2099">
        <f>VLOOKUP(T2099,[1]tablescore!$B$3:$C$8, 2,FALSE)</f>
        <v>30</v>
      </c>
      <c r="V2099" t="str">
        <f t="shared" si="65"/>
        <v>Highly Loyal</v>
      </c>
      <c r="W2099" t="s">
        <v>41</v>
      </c>
    </row>
    <row r="2100" spans="1:23" x14ac:dyDescent="0.25">
      <c r="A2100">
        <v>2099</v>
      </c>
      <c r="B2100">
        <v>49</v>
      </c>
      <c r="C2100" t="str" cm="1">
        <f t="array" ref="C2100">_xlfn.IFS(
  AND(B2100&gt;=18, B2100&lt;=24), "18-24",
  AND(B2100&gt;=25, B2100&lt;=34), "25-34",
  AND(B2100&gt;=35, B2100&lt;=44), "35-44",
  AND(B2100&gt;=45, B2100&lt;=54), "45-54",
  B2100&gt;=55, "55+"
)</f>
        <v>45-54</v>
      </c>
      <c r="D2100" t="s">
        <v>19</v>
      </c>
      <c r="E2100" t="s">
        <v>113</v>
      </c>
      <c r="F2100" t="s">
        <v>21</v>
      </c>
      <c r="G2100">
        <v>28</v>
      </c>
      <c r="H2100" t="s">
        <v>62</v>
      </c>
      <c r="I2100" t="s">
        <v>45</v>
      </c>
      <c r="J2100" t="s">
        <v>53</v>
      </c>
      <c r="K2100" t="s">
        <v>54</v>
      </c>
      <c r="L2100">
        <v>3.3</v>
      </c>
      <c r="M2100" t="s">
        <v>152</v>
      </c>
      <c r="N2100" t="s">
        <v>27</v>
      </c>
      <c r="O2100" t="s">
        <v>72</v>
      </c>
      <c r="P2100" t="s">
        <v>152</v>
      </c>
      <c r="Q2100" t="s">
        <v>152</v>
      </c>
      <c r="R2100">
        <v>20</v>
      </c>
      <c r="S2100" t="s">
        <v>29</v>
      </c>
      <c r="T2100" t="str">
        <f t="shared" si="64"/>
        <v>Quarterly</v>
      </c>
      <c r="U2100">
        <f>VLOOKUP(T2100,[1]tablescore!$B$3:$C$8, 2,FALSE)</f>
        <v>4</v>
      </c>
      <c r="V2100" t="str">
        <f t="shared" si="65"/>
        <v>Low Loyalty</v>
      </c>
      <c r="W2100" t="s">
        <v>60</v>
      </c>
    </row>
    <row r="2101" spans="1:23" x14ac:dyDescent="0.25">
      <c r="A2101">
        <v>2100</v>
      </c>
      <c r="B2101">
        <v>31</v>
      </c>
      <c r="C2101" t="str" cm="1">
        <f t="array" ref="C2101">_xlfn.IFS(
  AND(B2101&gt;=18, B2101&lt;=24), "18-24",
  AND(B2101&gt;=25, B2101&lt;=34), "25-34",
  AND(B2101&gt;=35, B2101&lt;=44), "35-44",
  AND(B2101&gt;=45, B2101&lt;=54), "45-54",
  B2101&gt;=55, "55+"
)</f>
        <v>25-34</v>
      </c>
      <c r="D2101" t="s">
        <v>19</v>
      </c>
      <c r="E2101" t="s">
        <v>113</v>
      </c>
      <c r="F2101" t="s">
        <v>21</v>
      </c>
      <c r="G2101">
        <v>78</v>
      </c>
      <c r="H2101" t="s">
        <v>101</v>
      </c>
      <c r="I2101" t="s">
        <v>23</v>
      </c>
      <c r="J2101" t="s">
        <v>96</v>
      </c>
      <c r="K2101" t="s">
        <v>54</v>
      </c>
      <c r="L2101">
        <v>2.9</v>
      </c>
      <c r="M2101" t="s">
        <v>152</v>
      </c>
      <c r="N2101" t="s">
        <v>59</v>
      </c>
      <c r="O2101" t="s">
        <v>28</v>
      </c>
      <c r="P2101" t="s">
        <v>152</v>
      </c>
      <c r="Q2101" t="s">
        <v>152</v>
      </c>
      <c r="R2101">
        <v>50</v>
      </c>
      <c r="S2101" t="s">
        <v>46</v>
      </c>
      <c r="T2101" t="str">
        <f t="shared" si="64"/>
        <v>Annually</v>
      </c>
      <c r="U2101">
        <f>VLOOKUP(T2101,[1]tablescore!$B$3:$C$8, 2,FALSE)</f>
        <v>1</v>
      </c>
      <c r="V2101" t="str">
        <f t="shared" si="65"/>
        <v>Low Loyalty</v>
      </c>
      <c r="W2101" t="s">
        <v>50</v>
      </c>
    </row>
    <row r="2102" spans="1:23" x14ac:dyDescent="0.25">
      <c r="A2102">
        <v>2101</v>
      </c>
      <c r="B2102">
        <v>68</v>
      </c>
      <c r="C2102" t="str" cm="1">
        <f t="array" ref="C2102">_xlfn.IFS(
  AND(B2102&gt;=18, B2102&lt;=24), "18-24",
  AND(B2102&gt;=25, B2102&lt;=34), "25-34",
  AND(B2102&gt;=35, B2102&lt;=44), "35-44",
  AND(B2102&gt;=45, B2102&lt;=54), "45-54",
  B2102&gt;=55, "55+"
)</f>
        <v>55+</v>
      </c>
      <c r="D2102" t="s">
        <v>19</v>
      </c>
      <c r="E2102" t="s">
        <v>31</v>
      </c>
      <c r="F2102" t="s">
        <v>21</v>
      </c>
      <c r="G2102">
        <v>31</v>
      </c>
      <c r="H2102" t="s">
        <v>151</v>
      </c>
      <c r="I2102" t="s">
        <v>45</v>
      </c>
      <c r="J2102" t="s">
        <v>67</v>
      </c>
      <c r="K2102" t="s">
        <v>39</v>
      </c>
      <c r="L2102">
        <v>4.4000000000000004</v>
      </c>
      <c r="M2102" t="s">
        <v>152</v>
      </c>
      <c r="N2102" t="s">
        <v>46</v>
      </c>
      <c r="O2102" t="s">
        <v>40</v>
      </c>
      <c r="P2102" t="s">
        <v>152</v>
      </c>
      <c r="Q2102" t="s">
        <v>152</v>
      </c>
      <c r="R2102">
        <v>36</v>
      </c>
      <c r="S2102" t="s">
        <v>35</v>
      </c>
      <c r="T2102" t="str">
        <f t="shared" si="64"/>
        <v>2-week</v>
      </c>
      <c r="U2102">
        <f>VLOOKUP(T2102,[1]tablescore!$B$3:$C$8, 2,FALSE)</f>
        <v>26</v>
      </c>
      <c r="V2102" t="str">
        <f t="shared" si="65"/>
        <v>Loyal</v>
      </c>
      <c r="W2102" t="s">
        <v>30</v>
      </c>
    </row>
    <row r="2103" spans="1:23" x14ac:dyDescent="0.25">
      <c r="A2103">
        <v>2102</v>
      </c>
      <c r="B2103">
        <v>49</v>
      </c>
      <c r="C2103" t="str" cm="1">
        <f t="array" ref="C2103">_xlfn.IFS(
  AND(B2103&gt;=18, B2103&lt;=24), "18-24",
  AND(B2103&gt;=25, B2103&lt;=34), "25-34",
  AND(B2103&gt;=35, B2103&lt;=44), "35-44",
  AND(B2103&gt;=45, B2103&lt;=54), "45-54",
  B2103&gt;=55, "55+"
)</f>
        <v>45-54</v>
      </c>
      <c r="D2103" t="s">
        <v>19</v>
      </c>
      <c r="E2103" t="s">
        <v>56</v>
      </c>
      <c r="F2103" t="s">
        <v>21</v>
      </c>
      <c r="G2103">
        <v>23</v>
      </c>
      <c r="H2103" t="s">
        <v>48</v>
      </c>
      <c r="I2103" t="s">
        <v>45</v>
      </c>
      <c r="J2103" t="s">
        <v>138</v>
      </c>
      <c r="K2103" t="s">
        <v>25</v>
      </c>
      <c r="L2103">
        <v>3.6</v>
      </c>
      <c r="M2103" t="s">
        <v>152</v>
      </c>
      <c r="N2103" t="s">
        <v>35</v>
      </c>
      <c r="O2103" t="s">
        <v>47</v>
      </c>
      <c r="P2103" t="s">
        <v>152</v>
      </c>
      <c r="Q2103" t="s">
        <v>152</v>
      </c>
      <c r="R2103">
        <v>12</v>
      </c>
      <c r="S2103" t="s">
        <v>34</v>
      </c>
      <c r="T2103" t="str">
        <f t="shared" si="64"/>
        <v>2-week</v>
      </c>
      <c r="U2103">
        <f>VLOOKUP(T2103,[1]tablescore!$B$3:$C$8, 2,FALSE)</f>
        <v>26</v>
      </c>
      <c r="V2103" t="str">
        <f t="shared" si="65"/>
        <v>Loyal</v>
      </c>
      <c r="W2103" t="s">
        <v>77</v>
      </c>
    </row>
    <row r="2104" spans="1:23" x14ac:dyDescent="0.25">
      <c r="A2104">
        <v>2103</v>
      </c>
      <c r="B2104">
        <v>23</v>
      </c>
      <c r="C2104" t="str" cm="1">
        <f t="array" ref="C2104">_xlfn.IFS(
  AND(B2104&gt;=18, B2104&lt;=24), "18-24",
  AND(B2104&gt;=25, B2104&lt;=34), "25-34",
  AND(B2104&gt;=35, B2104&lt;=44), "35-44",
  AND(B2104&gt;=45, B2104&lt;=54), "45-54",
  B2104&gt;=55, "55+"
)</f>
        <v>18-24</v>
      </c>
      <c r="D2104" t="s">
        <v>19</v>
      </c>
      <c r="E2104" t="s">
        <v>125</v>
      </c>
      <c r="F2104" t="s">
        <v>69</v>
      </c>
      <c r="G2104">
        <v>25</v>
      </c>
      <c r="H2104" t="s">
        <v>144</v>
      </c>
      <c r="I2104" t="s">
        <v>45</v>
      </c>
      <c r="J2104" t="s">
        <v>110</v>
      </c>
      <c r="K2104" t="s">
        <v>39</v>
      </c>
      <c r="L2104">
        <v>4.5</v>
      </c>
      <c r="M2104" t="s">
        <v>152</v>
      </c>
      <c r="N2104" t="s">
        <v>46</v>
      </c>
      <c r="O2104" t="s">
        <v>76</v>
      </c>
      <c r="P2104" t="s">
        <v>152</v>
      </c>
      <c r="Q2104" t="s">
        <v>152</v>
      </c>
      <c r="R2104">
        <v>23</v>
      </c>
      <c r="S2104" t="s">
        <v>35</v>
      </c>
      <c r="T2104" t="str">
        <f t="shared" si="64"/>
        <v>Month</v>
      </c>
      <c r="U2104">
        <f>VLOOKUP(T2104,[1]tablescore!$B$3:$C$8, 2,FALSE)</f>
        <v>12</v>
      </c>
      <c r="V2104" t="str">
        <f t="shared" si="65"/>
        <v>Moderate</v>
      </c>
      <c r="W2104" t="s">
        <v>88</v>
      </c>
    </row>
    <row r="2105" spans="1:23" x14ac:dyDescent="0.25">
      <c r="A2105">
        <v>2104</v>
      </c>
      <c r="B2105">
        <v>30</v>
      </c>
      <c r="C2105" t="str" cm="1">
        <f t="array" ref="C2105">_xlfn.IFS(
  AND(B2105&gt;=18, B2105&lt;=24), "18-24",
  AND(B2105&gt;=25, B2105&lt;=34), "25-34",
  AND(B2105&gt;=35, B2105&lt;=44), "35-44",
  AND(B2105&gt;=45, B2105&lt;=54), "45-54",
  B2105&gt;=55, "55+"
)</f>
        <v>25-34</v>
      </c>
      <c r="D2105" t="s">
        <v>19</v>
      </c>
      <c r="E2105" t="s">
        <v>95</v>
      </c>
      <c r="F2105" t="s">
        <v>21</v>
      </c>
      <c r="G2105">
        <v>86</v>
      </c>
      <c r="H2105" t="s">
        <v>116</v>
      </c>
      <c r="I2105" t="s">
        <v>38</v>
      </c>
      <c r="J2105" t="s">
        <v>108</v>
      </c>
      <c r="K2105" t="s">
        <v>54</v>
      </c>
      <c r="L2105">
        <v>3.7</v>
      </c>
      <c r="M2105" t="s">
        <v>152</v>
      </c>
      <c r="N2105" t="s">
        <v>46</v>
      </c>
      <c r="O2105" t="s">
        <v>76</v>
      </c>
      <c r="P2105" t="s">
        <v>152</v>
      </c>
      <c r="Q2105" t="s">
        <v>152</v>
      </c>
      <c r="R2105">
        <v>21</v>
      </c>
      <c r="S2105" t="s">
        <v>29</v>
      </c>
      <c r="T2105" t="str">
        <f t="shared" si="64"/>
        <v>Daily</v>
      </c>
      <c r="U2105">
        <f>VLOOKUP(T2105,[1]tablescore!$B$3:$C$8, 2,FALSE)</f>
        <v>30</v>
      </c>
      <c r="V2105" t="str">
        <f t="shared" si="65"/>
        <v>Highly Loyal</v>
      </c>
      <c r="W2105" t="s">
        <v>41</v>
      </c>
    </row>
    <row r="2106" spans="1:23" x14ac:dyDescent="0.25">
      <c r="A2106">
        <v>2105</v>
      </c>
      <c r="B2106">
        <v>53</v>
      </c>
      <c r="C2106" t="str" cm="1">
        <f t="array" ref="C2106">_xlfn.IFS(
  AND(B2106&gt;=18, B2106&lt;=24), "18-24",
  AND(B2106&gt;=25, B2106&lt;=34), "25-34",
  AND(B2106&gt;=35, B2106&lt;=44), "35-44",
  AND(B2106&gt;=45, B2106&lt;=54), "45-54",
  B2106&gt;=55, "55+"
)</f>
        <v>45-54</v>
      </c>
      <c r="D2106" t="s">
        <v>19</v>
      </c>
      <c r="E2106" t="s">
        <v>73</v>
      </c>
      <c r="F2106" t="s">
        <v>43</v>
      </c>
      <c r="G2106">
        <v>88</v>
      </c>
      <c r="H2106" t="s">
        <v>123</v>
      </c>
      <c r="I2106" t="s">
        <v>45</v>
      </c>
      <c r="J2106" t="s">
        <v>81</v>
      </c>
      <c r="K2106" t="s">
        <v>39</v>
      </c>
      <c r="L2106">
        <v>2.8</v>
      </c>
      <c r="M2106" t="s">
        <v>152</v>
      </c>
      <c r="N2106" t="s">
        <v>34</v>
      </c>
      <c r="O2106" t="s">
        <v>40</v>
      </c>
      <c r="P2106" t="s">
        <v>152</v>
      </c>
      <c r="Q2106" t="s">
        <v>152</v>
      </c>
      <c r="R2106">
        <v>47</v>
      </c>
      <c r="S2106" t="s">
        <v>29</v>
      </c>
      <c r="T2106" t="str">
        <f t="shared" si="64"/>
        <v>Daily</v>
      </c>
      <c r="U2106">
        <f>VLOOKUP(T2106,[1]tablescore!$B$3:$C$8, 2,FALSE)</f>
        <v>30</v>
      </c>
      <c r="V2106" t="str">
        <f t="shared" si="65"/>
        <v>Highly Loyal</v>
      </c>
      <c r="W2106" t="s">
        <v>41</v>
      </c>
    </row>
    <row r="2107" spans="1:23" x14ac:dyDescent="0.25">
      <c r="A2107">
        <v>2106</v>
      </c>
      <c r="B2107">
        <v>65</v>
      </c>
      <c r="C2107" t="str" cm="1">
        <f t="array" ref="C2107">_xlfn.IFS(
  AND(B2107&gt;=18, B2107&lt;=24), "18-24",
  AND(B2107&gt;=25, B2107&lt;=34), "25-34",
  AND(B2107&gt;=35, B2107&lt;=44), "35-44",
  AND(B2107&gt;=45, B2107&lt;=54), "45-54",
  B2107&gt;=55, "55+"
)</f>
        <v>55+</v>
      </c>
      <c r="D2107" t="s">
        <v>19</v>
      </c>
      <c r="E2107" t="s">
        <v>127</v>
      </c>
      <c r="F2107" t="s">
        <v>69</v>
      </c>
      <c r="G2107">
        <v>35</v>
      </c>
      <c r="H2107" t="s">
        <v>126</v>
      </c>
      <c r="I2107" t="s">
        <v>45</v>
      </c>
      <c r="J2107" t="s">
        <v>67</v>
      </c>
      <c r="K2107" t="s">
        <v>39</v>
      </c>
      <c r="L2107">
        <v>4.5</v>
      </c>
      <c r="M2107" t="s">
        <v>152</v>
      </c>
      <c r="N2107" t="s">
        <v>27</v>
      </c>
      <c r="O2107" t="s">
        <v>40</v>
      </c>
      <c r="P2107" t="s">
        <v>152</v>
      </c>
      <c r="Q2107" t="s">
        <v>152</v>
      </c>
      <c r="R2107">
        <v>38</v>
      </c>
      <c r="S2107" t="s">
        <v>29</v>
      </c>
      <c r="T2107" t="str">
        <f t="shared" si="64"/>
        <v>2-week</v>
      </c>
      <c r="U2107">
        <f>VLOOKUP(T2107,[1]tablescore!$B$3:$C$8, 2,FALSE)</f>
        <v>26</v>
      </c>
      <c r="V2107" t="str">
        <f t="shared" si="65"/>
        <v>Loyal</v>
      </c>
      <c r="W2107" t="s">
        <v>77</v>
      </c>
    </row>
    <row r="2108" spans="1:23" x14ac:dyDescent="0.25">
      <c r="A2108">
        <v>2107</v>
      </c>
      <c r="B2108">
        <v>60</v>
      </c>
      <c r="C2108" t="str" cm="1">
        <f t="array" ref="C2108">_xlfn.IFS(
  AND(B2108&gt;=18, B2108&lt;=24), "18-24",
  AND(B2108&gt;=25, B2108&lt;=34), "25-34",
  AND(B2108&gt;=35, B2108&lt;=44), "35-44",
  AND(B2108&gt;=45, B2108&lt;=54), "45-54",
  B2108&gt;=55, "55+"
)</f>
        <v>55+</v>
      </c>
      <c r="D2108" t="s">
        <v>19</v>
      </c>
      <c r="E2108" t="s">
        <v>106</v>
      </c>
      <c r="F2108" t="s">
        <v>69</v>
      </c>
      <c r="G2108">
        <v>34</v>
      </c>
      <c r="H2108" t="s">
        <v>145</v>
      </c>
      <c r="I2108" t="s">
        <v>45</v>
      </c>
      <c r="J2108" t="s">
        <v>24</v>
      </c>
      <c r="K2108" t="s">
        <v>58</v>
      </c>
      <c r="L2108">
        <v>4.4000000000000004</v>
      </c>
      <c r="M2108" t="s">
        <v>152</v>
      </c>
      <c r="N2108" t="s">
        <v>35</v>
      </c>
      <c r="O2108" t="s">
        <v>55</v>
      </c>
      <c r="P2108" t="s">
        <v>152</v>
      </c>
      <c r="Q2108" t="s">
        <v>152</v>
      </c>
      <c r="R2108">
        <v>40</v>
      </c>
      <c r="S2108" t="s">
        <v>27</v>
      </c>
      <c r="T2108" t="str">
        <f t="shared" si="64"/>
        <v>Quarterly</v>
      </c>
      <c r="U2108">
        <f>VLOOKUP(T2108,[1]tablescore!$B$3:$C$8, 2,FALSE)</f>
        <v>4</v>
      </c>
      <c r="V2108" t="str">
        <f t="shared" si="65"/>
        <v>Low Loyalty</v>
      </c>
      <c r="W2108" t="s">
        <v>97</v>
      </c>
    </row>
    <row r="2109" spans="1:23" x14ac:dyDescent="0.25">
      <c r="A2109">
        <v>2108</v>
      </c>
      <c r="B2109">
        <v>46</v>
      </c>
      <c r="C2109" t="str" cm="1">
        <f t="array" ref="C2109">_xlfn.IFS(
  AND(B2109&gt;=18, B2109&lt;=24), "18-24",
  AND(B2109&gt;=25, B2109&lt;=34), "25-34",
  AND(B2109&gt;=35, B2109&lt;=44), "35-44",
  AND(B2109&gt;=45, B2109&lt;=54), "45-54",
  B2109&gt;=55, "55+"
)</f>
        <v>45-54</v>
      </c>
      <c r="D2109" t="s">
        <v>19</v>
      </c>
      <c r="E2109" t="s">
        <v>95</v>
      </c>
      <c r="F2109" t="s">
        <v>21</v>
      </c>
      <c r="G2109">
        <v>75</v>
      </c>
      <c r="H2109" t="s">
        <v>80</v>
      </c>
      <c r="I2109" t="s">
        <v>45</v>
      </c>
      <c r="J2109" t="s">
        <v>94</v>
      </c>
      <c r="K2109" t="s">
        <v>25</v>
      </c>
      <c r="L2109">
        <v>3.3</v>
      </c>
      <c r="M2109" t="s">
        <v>152</v>
      </c>
      <c r="N2109" t="s">
        <v>46</v>
      </c>
      <c r="O2109" t="s">
        <v>55</v>
      </c>
      <c r="P2109" t="s">
        <v>152</v>
      </c>
      <c r="Q2109" t="s">
        <v>152</v>
      </c>
      <c r="R2109">
        <v>35</v>
      </c>
      <c r="S2109" t="s">
        <v>46</v>
      </c>
      <c r="T2109" t="str">
        <f t="shared" si="64"/>
        <v>Quarterly</v>
      </c>
      <c r="U2109">
        <f>VLOOKUP(T2109,[1]tablescore!$B$3:$C$8, 2,FALSE)</f>
        <v>4</v>
      </c>
      <c r="V2109" t="str">
        <f t="shared" si="65"/>
        <v>Low Loyalty</v>
      </c>
      <c r="W2109" t="s">
        <v>60</v>
      </c>
    </row>
    <row r="2110" spans="1:23" x14ac:dyDescent="0.25">
      <c r="A2110">
        <v>2109</v>
      </c>
      <c r="B2110">
        <v>54</v>
      </c>
      <c r="C2110" t="str" cm="1">
        <f t="array" ref="C2110">_xlfn.IFS(
  AND(B2110&gt;=18, B2110&lt;=24), "18-24",
  AND(B2110&gt;=25, B2110&lt;=34), "25-34",
  AND(B2110&gt;=35, B2110&lt;=44), "35-44",
  AND(B2110&gt;=45, B2110&lt;=54), "45-54",
  B2110&gt;=55, "55+"
)</f>
        <v>45-54</v>
      </c>
      <c r="D2110" t="s">
        <v>19</v>
      </c>
      <c r="E2110" t="s">
        <v>104</v>
      </c>
      <c r="F2110" t="s">
        <v>21</v>
      </c>
      <c r="G2110">
        <v>46</v>
      </c>
      <c r="H2110" t="s">
        <v>114</v>
      </c>
      <c r="I2110" t="s">
        <v>92</v>
      </c>
      <c r="J2110" t="s">
        <v>118</v>
      </c>
      <c r="K2110" t="s">
        <v>25</v>
      </c>
      <c r="L2110">
        <v>4.2</v>
      </c>
      <c r="M2110" t="s">
        <v>152</v>
      </c>
      <c r="N2110" t="s">
        <v>59</v>
      </c>
      <c r="O2110" t="s">
        <v>28</v>
      </c>
      <c r="P2110" t="s">
        <v>152</v>
      </c>
      <c r="Q2110" t="s">
        <v>152</v>
      </c>
      <c r="R2110">
        <v>4</v>
      </c>
      <c r="S2110" t="s">
        <v>27</v>
      </c>
      <c r="T2110" t="str">
        <f t="shared" si="64"/>
        <v>Quarterly</v>
      </c>
      <c r="U2110">
        <f>VLOOKUP(T2110,[1]tablescore!$B$3:$C$8, 2,FALSE)</f>
        <v>4</v>
      </c>
      <c r="V2110" t="str">
        <f t="shared" si="65"/>
        <v>Low Loyalty</v>
      </c>
      <c r="W2110" t="s">
        <v>60</v>
      </c>
    </row>
    <row r="2111" spans="1:23" x14ac:dyDescent="0.25">
      <c r="A2111">
        <v>2110</v>
      </c>
      <c r="B2111">
        <v>59</v>
      </c>
      <c r="C2111" t="str" cm="1">
        <f t="array" ref="C2111">_xlfn.IFS(
  AND(B2111&gt;=18, B2111&lt;=24), "18-24",
  AND(B2111&gt;=25, B2111&lt;=34), "25-34",
  AND(B2111&gt;=35, B2111&lt;=44), "35-44",
  AND(B2111&gt;=45, B2111&lt;=54), "45-54",
  B2111&gt;=55, "55+"
)</f>
        <v>55+</v>
      </c>
      <c r="D2111" t="s">
        <v>19</v>
      </c>
      <c r="E2111" t="s">
        <v>106</v>
      </c>
      <c r="F2111" t="s">
        <v>69</v>
      </c>
      <c r="G2111">
        <v>31</v>
      </c>
      <c r="H2111" t="s">
        <v>99</v>
      </c>
      <c r="I2111" t="s">
        <v>23</v>
      </c>
      <c r="J2111" t="s">
        <v>100</v>
      </c>
      <c r="K2111" t="s">
        <v>58</v>
      </c>
      <c r="L2111">
        <v>2.7</v>
      </c>
      <c r="M2111" t="s">
        <v>152</v>
      </c>
      <c r="N2111" t="s">
        <v>35</v>
      </c>
      <c r="O2111" t="s">
        <v>40</v>
      </c>
      <c r="P2111" t="s">
        <v>152</v>
      </c>
      <c r="Q2111" t="s">
        <v>152</v>
      </c>
      <c r="R2111">
        <v>28</v>
      </c>
      <c r="S2111" t="s">
        <v>29</v>
      </c>
      <c r="T2111" t="str">
        <f t="shared" si="64"/>
        <v>Quarterly</v>
      </c>
      <c r="U2111">
        <f>VLOOKUP(T2111,[1]tablescore!$B$3:$C$8, 2,FALSE)</f>
        <v>4</v>
      </c>
      <c r="V2111" t="str">
        <f t="shared" si="65"/>
        <v>Low Loyalty</v>
      </c>
      <c r="W2111" t="s">
        <v>97</v>
      </c>
    </row>
    <row r="2112" spans="1:23" x14ac:dyDescent="0.25">
      <c r="A2112">
        <v>2111</v>
      </c>
      <c r="B2112">
        <v>52</v>
      </c>
      <c r="C2112" t="str" cm="1">
        <f t="array" ref="C2112">_xlfn.IFS(
  AND(B2112&gt;=18, B2112&lt;=24), "18-24",
  AND(B2112&gt;=25, B2112&lt;=34), "25-34",
  AND(B2112&gt;=35, B2112&lt;=44), "35-44",
  AND(B2112&gt;=45, B2112&lt;=54), "45-54",
  B2112&gt;=55, "55+"
)</f>
        <v>45-54</v>
      </c>
      <c r="D2112" t="s">
        <v>19</v>
      </c>
      <c r="E2112" t="s">
        <v>131</v>
      </c>
      <c r="F2112" t="s">
        <v>21</v>
      </c>
      <c r="G2112">
        <v>93</v>
      </c>
      <c r="H2112" t="s">
        <v>57</v>
      </c>
      <c r="I2112" t="s">
        <v>23</v>
      </c>
      <c r="J2112" t="s">
        <v>109</v>
      </c>
      <c r="K2112" t="s">
        <v>39</v>
      </c>
      <c r="L2112">
        <v>3.9</v>
      </c>
      <c r="M2112" t="s">
        <v>152</v>
      </c>
      <c r="N2112" t="s">
        <v>35</v>
      </c>
      <c r="O2112" t="s">
        <v>76</v>
      </c>
      <c r="P2112" t="s">
        <v>152</v>
      </c>
      <c r="Q2112" t="s">
        <v>152</v>
      </c>
      <c r="R2112">
        <v>36</v>
      </c>
      <c r="S2112" t="s">
        <v>59</v>
      </c>
      <c r="T2112" t="str">
        <f t="shared" si="64"/>
        <v>Quarterly</v>
      </c>
      <c r="U2112">
        <f>VLOOKUP(T2112,[1]tablescore!$B$3:$C$8, 2,FALSE)</f>
        <v>4</v>
      </c>
      <c r="V2112" t="str">
        <f t="shared" si="65"/>
        <v>Low Loyalty</v>
      </c>
      <c r="W2112" t="s">
        <v>97</v>
      </c>
    </row>
    <row r="2113" spans="1:23" x14ac:dyDescent="0.25">
      <c r="A2113">
        <v>2112</v>
      </c>
      <c r="B2113">
        <v>41</v>
      </c>
      <c r="C2113" t="str" cm="1">
        <f t="array" ref="C2113">_xlfn.IFS(
  AND(B2113&gt;=18, B2113&lt;=24), "18-24",
  AND(B2113&gt;=25, B2113&lt;=34), "25-34",
  AND(B2113&gt;=35, B2113&lt;=44), "35-44",
  AND(B2113&gt;=45, B2113&lt;=54), "45-54",
  B2113&gt;=55, "55+"
)</f>
        <v>35-44</v>
      </c>
      <c r="D2113" t="s">
        <v>19</v>
      </c>
      <c r="E2113" t="s">
        <v>89</v>
      </c>
      <c r="F2113" t="s">
        <v>69</v>
      </c>
      <c r="G2113">
        <v>85</v>
      </c>
      <c r="H2113" t="s">
        <v>70</v>
      </c>
      <c r="I2113" t="s">
        <v>92</v>
      </c>
      <c r="J2113" t="s">
        <v>71</v>
      </c>
      <c r="K2113" t="s">
        <v>39</v>
      </c>
      <c r="L2113">
        <v>2.6</v>
      </c>
      <c r="M2113" t="s">
        <v>152</v>
      </c>
      <c r="N2113" t="s">
        <v>27</v>
      </c>
      <c r="O2113" t="s">
        <v>40</v>
      </c>
      <c r="P2113" t="s">
        <v>152</v>
      </c>
      <c r="Q2113" t="s">
        <v>152</v>
      </c>
      <c r="R2113">
        <v>15</v>
      </c>
      <c r="S2113" t="s">
        <v>34</v>
      </c>
      <c r="T2113" t="str">
        <f t="shared" si="64"/>
        <v>Annually</v>
      </c>
      <c r="U2113">
        <f>VLOOKUP(T2113,[1]tablescore!$B$3:$C$8, 2,FALSE)</f>
        <v>1</v>
      </c>
      <c r="V2113" t="str">
        <f t="shared" si="65"/>
        <v>Low Loyalty</v>
      </c>
      <c r="W2113" t="s">
        <v>50</v>
      </c>
    </row>
    <row r="2114" spans="1:23" x14ac:dyDescent="0.25">
      <c r="A2114">
        <v>2113</v>
      </c>
      <c r="B2114">
        <v>43</v>
      </c>
      <c r="C2114" t="str" cm="1">
        <f t="array" ref="C2114">_xlfn.IFS(
  AND(B2114&gt;=18, B2114&lt;=24), "18-24",
  AND(B2114&gt;=25, B2114&lt;=34), "25-34",
  AND(B2114&gt;=35, B2114&lt;=44), "35-44",
  AND(B2114&gt;=45, B2114&lt;=54), "45-54",
  B2114&gt;=55, "55+"
)</f>
        <v>35-44</v>
      </c>
      <c r="D2114" t="s">
        <v>19</v>
      </c>
      <c r="E2114" t="s">
        <v>136</v>
      </c>
      <c r="F2114" t="s">
        <v>69</v>
      </c>
      <c r="G2114">
        <v>68</v>
      </c>
      <c r="H2114" t="s">
        <v>122</v>
      </c>
      <c r="I2114" t="s">
        <v>45</v>
      </c>
      <c r="J2114" t="s">
        <v>93</v>
      </c>
      <c r="K2114" t="s">
        <v>58</v>
      </c>
      <c r="L2114">
        <v>4.5</v>
      </c>
      <c r="M2114" t="s">
        <v>152</v>
      </c>
      <c r="N2114" t="s">
        <v>27</v>
      </c>
      <c r="O2114" t="s">
        <v>72</v>
      </c>
      <c r="P2114" t="s">
        <v>152</v>
      </c>
      <c r="Q2114" t="s">
        <v>152</v>
      </c>
      <c r="R2114">
        <v>7</v>
      </c>
      <c r="S2114" t="s">
        <v>35</v>
      </c>
      <c r="T2114" t="str">
        <f t="shared" si="64"/>
        <v>2-week</v>
      </c>
      <c r="U2114">
        <f>VLOOKUP(T2114,[1]tablescore!$B$3:$C$8, 2,FALSE)</f>
        <v>26</v>
      </c>
      <c r="V2114" t="str">
        <f t="shared" si="65"/>
        <v>Loyal</v>
      </c>
      <c r="W2114" t="s">
        <v>30</v>
      </c>
    </row>
    <row r="2115" spans="1:23" x14ac:dyDescent="0.25">
      <c r="A2115">
        <v>2114</v>
      </c>
      <c r="B2115">
        <v>63</v>
      </c>
      <c r="C2115" t="str" cm="1">
        <f t="array" ref="C2115">_xlfn.IFS(
  AND(B2115&gt;=18, B2115&lt;=24), "18-24",
  AND(B2115&gt;=25, B2115&lt;=34), "25-34",
  AND(B2115&gt;=35, B2115&lt;=44), "35-44",
  AND(B2115&gt;=45, B2115&lt;=54), "45-54",
  B2115&gt;=55, "55+"
)</f>
        <v>55+</v>
      </c>
      <c r="D2115" t="s">
        <v>19</v>
      </c>
      <c r="E2115" t="s">
        <v>82</v>
      </c>
      <c r="F2115" t="s">
        <v>21</v>
      </c>
      <c r="G2115">
        <v>40</v>
      </c>
      <c r="H2115" t="s">
        <v>128</v>
      </c>
      <c r="I2115" t="s">
        <v>45</v>
      </c>
      <c r="J2115" t="s">
        <v>110</v>
      </c>
      <c r="K2115" t="s">
        <v>39</v>
      </c>
      <c r="L2115">
        <v>2.7</v>
      </c>
      <c r="M2115" t="s">
        <v>152</v>
      </c>
      <c r="N2115" t="s">
        <v>27</v>
      </c>
      <c r="O2115" t="s">
        <v>76</v>
      </c>
      <c r="P2115" t="s">
        <v>152</v>
      </c>
      <c r="Q2115" t="s">
        <v>152</v>
      </c>
      <c r="R2115">
        <v>29</v>
      </c>
      <c r="S2115" t="s">
        <v>46</v>
      </c>
      <c r="T2115" t="str">
        <f t="shared" ref="T2115:T2178" si="66">IF(TRIM(W2115)="Every 3 months","Quarterly",IF(TRIM(W2115)="Fortnightly","2-week",IF(TRIM(W2115)="Bi-Weekly","2-week",IF(TRIM(W2115)="Weekly","Daily",IF(TRIM(W2115)="Monthly","Month",TRIM(W2115))))))</f>
        <v>Quarterly</v>
      </c>
      <c r="U2115">
        <f>VLOOKUP(T2115,[1]tablescore!$B$3:$C$8, 2,FALSE)</f>
        <v>4</v>
      </c>
      <c r="V2115" t="str">
        <f t="shared" ref="V2115:V2178" si="67">_xlfn.IFS(U2115&gt;=30, "Highly Loyal", U2115&gt;=26, "Loyal", U2115&gt;=12, "Moderate", U2115&lt;5, "Low Loyalty")</f>
        <v>Low Loyalty</v>
      </c>
      <c r="W2115" t="s">
        <v>97</v>
      </c>
    </row>
    <row r="2116" spans="1:23" x14ac:dyDescent="0.25">
      <c r="A2116">
        <v>2115</v>
      </c>
      <c r="B2116">
        <v>37</v>
      </c>
      <c r="C2116" t="str" cm="1">
        <f t="array" ref="C2116">_xlfn.IFS(
  AND(B2116&gt;=18, B2116&lt;=24), "18-24",
  AND(B2116&gt;=25, B2116&lt;=34), "25-34",
  AND(B2116&gt;=35, B2116&lt;=44), "35-44",
  AND(B2116&gt;=45, B2116&lt;=54), "45-54",
  B2116&gt;=55, "55+"
)</f>
        <v>35-44</v>
      </c>
      <c r="D2116" t="s">
        <v>19</v>
      </c>
      <c r="E2116" t="s">
        <v>56</v>
      </c>
      <c r="F2116" t="s">
        <v>21</v>
      </c>
      <c r="G2116">
        <v>51</v>
      </c>
      <c r="H2116" t="s">
        <v>145</v>
      </c>
      <c r="I2116" t="s">
        <v>45</v>
      </c>
      <c r="J2116" t="s">
        <v>147</v>
      </c>
      <c r="K2116" t="s">
        <v>25</v>
      </c>
      <c r="L2116">
        <v>2.9</v>
      </c>
      <c r="M2116" t="s">
        <v>152</v>
      </c>
      <c r="N2116" t="s">
        <v>27</v>
      </c>
      <c r="O2116" t="s">
        <v>55</v>
      </c>
      <c r="P2116" t="s">
        <v>152</v>
      </c>
      <c r="Q2116" t="s">
        <v>152</v>
      </c>
      <c r="R2116">
        <v>12</v>
      </c>
      <c r="S2116" t="s">
        <v>59</v>
      </c>
      <c r="T2116" t="str">
        <f t="shared" si="66"/>
        <v>Annually</v>
      </c>
      <c r="U2116">
        <f>VLOOKUP(T2116,[1]tablescore!$B$3:$C$8, 2,FALSE)</f>
        <v>1</v>
      </c>
      <c r="V2116" t="str">
        <f t="shared" si="67"/>
        <v>Low Loyalty</v>
      </c>
      <c r="W2116" t="s">
        <v>50</v>
      </c>
    </row>
    <row r="2117" spans="1:23" x14ac:dyDescent="0.25">
      <c r="A2117">
        <v>2116</v>
      </c>
      <c r="B2117">
        <v>44</v>
      </c>
      <c r="C2117" t="str" cm="1">
        <f t="array" ref="C2117">_xlfn.IFS(
  AND(B2117&gt;=18, B2117&lt;=24), "18-24",
  AND(B2117&gt;=25, B2117&lt;=34), "25-34",
  AND(B2117&gt;=35, B2117&lt;=44), "35-44",
  AND(B2117&gt;=45, B2117&lt;=54), "45-54",
  B2117&gt;=55, "55+"
)</f>
        <v>35-44</v>
      </c>
      <c r="D2117" t="s">
        <v>19</v>
      </c>
      <c r="E2117" t="s">
        <v>119</v>
      </c>
      <c r="F2117" t="s">
        <v>69</v>
      </c>
      <c r="G2117">
        <v>85</v>
      </c>
      <c r="H2117" t="s">
        <v>44</v>
      </c>
      <c r="I2117" t="s">
        <v>45</v>
      </c>
      <c r="J2117" t="s">
        <v>84</v>
      </c>
      <c r="K2117" t="s">
        <v>25</v>
      </c>
      <c r="L2117">
        <v>3.4</v>
      </c>
      <c r="M2117" t="s">
        <v>152</v>
      </c>
      <c r="N2117" t="s">
        <v>27</v>
      </c>
      <c r="O2117" t="s">
        <v>76</v>
      </c>
      <c r="P2117" t="s">
        <v>152</v>
      </c>
      <c r="Q2117" t="s">
        <v>152</v>
      </c>
      <c r="R2117">
        <v>16</v>
      </c>
      <c r="S2117" t="s">
        <v>34</v>
      </c>
      <c r="T2117" t="str">
        <f t="shared" si="66"/>
        <v>2-week</v>
      </c>
      <c r="U2117">
        <f>VLOOKUP(T2117,[1]tablescore!$B$3:$C$8, 2,FALSE)</f>
        <v>26</v>
      </c>
      <c r="V2117" t="str">
        <f t="shared" si="67"/>
        <v>Loyal</v>
      </c>
      <c r="W2117" t="s">
        <v>77</v>
      </c>
    </row>
    <row r="2118" spans="1:23" x14ac:dyDescent="0.25">
      <c r="A2118">
        <v>2117</v>
      </c>
      <c r="B2118">
        <v>67</v>
      </c>
      <c r="C2118" t="str" cm="1">
        <f t="array" ref="C2118">_xlfn.IFS(
  AND(B2118&gt;=18, B2118&lt;=24), "18-24",
  AND(B2118&gt;=25, B2118&lt;=34), "25-34",
  AND(B2118&gt;=35, B2118&lt;=44), "35-44",
  AND(B2118&gt;=45, B2118&lt;=54), "45-54",
  B2118&gt;=55, "55+"
)</f>
        <v>55+</v>
      </c>
      <c r="D2118" t="s">
        <v>19</v>
      </c>
      <c r="E2118" t="s">
        <v>102</v>
      </c>
      <c r="F2118" t="s">
        <v>65</v>
      </c>
      <c r="G2118">
        <v>23</v>
      </c>
      <c r="H2118" t="s">
        <v>111</v>
      </c>
      <c r="I2118" t="s">
        <v>45</v>
      </c>
      <c r="J2118" t="s">
        <v>86</v>
      </c>
      <c r="K2118" t="s">
        <v>54</v>
      </c>
      <c r="L2118">
        <v>2.9</v>
      </c>
      <c r="M2118" t="s">
        <v>152</v>
      </c>
      <c r="N2118" t="s">
        <v>46</v>
      </c>
      <c r="O2118" t="s">
        <v>28</v>
      </c>
      <c r="P2118" t="s">
        <v>152</v>
      </c>
      <c r="Q2118" t="s">
        <v>152</v>
      </c>
      <c r="R2118">
        <v>50</v>
      </c>
      <c r="S2118" t="s">
        <v>59</v>
      </c>
      <c r="T2118" t="str">
        <f t="shared" si="66"/>
        <v>2-week</v>
      </c>
      <c r="U2118">
        <f>VLOOKUP(T2118,[1]tablescore!$B$3:$C$8, 2,FALSE)</f>
        <v>26</v>
      </c>
      <c r="V2118" t="str">
        <f t="shared" si="67"/>
        <v>Loyal</v>
      </c>
      <c r="W2118" t="s">
        <v>77</v>
      </c>
    </row>
    <row r="2119" spans="1:23" x14ac:dyDescent="0.25">
      <c r="A2119">
        <v>2118</v>
      </c>
      <c r="B2119">
        <v>27</v>
      </c>
      <c r="C2119" t="str" cm="1">
        <f t="array" ref="C2119">_xlfn.IFS(
  AND(B2119&gt;=18, B2119&lt;=24), "18-24",
  AND(B2119&gt;=25, B2119&lt;=34), "25-34",
  AND(B2119&gt;=35, B2119&lt;=44), "35-44",
  AND(B2119&gt;=45, B2119&lt;=54), "45-54",
  B2119&gt;=55, "55+"
)</f>
        <v>25-34</v>
      </c>
      <c r="D2119" t="s">
        <v>19</v>
      </c>
      <c r="E2119" t="s">
        <v>82</v>
      </c>
      <c r="F2119" t="s">
        <v>21</v>
      </c>
      <c r="G2119">
        <v>28</v>
      </c>
      <c r="H2119" t="s">
        <v>112</v>
      </c>
      <c r="I2119" t="s">
        <v>23</v>
      </c>
      <c r="J2119" t="s">
        <v>110</v>
      </c>
      <c r="K2119" t="s">
        <v>54</v>
      </c>
      <c r="L2119">
        <v>3.8</v>
      </c>
      <c r="M2119" t="s">
        <v>152</v>
      </c>
      <c r="N2119" t="s">
        <v>34</v>
      </c>
      <c r="O2119" t="s">
        <v>40</v>
      </c>
      <c r="P2119" t="s">
        <v>152</v>
      </c>
      <c r="Q2119" t="s">
        <v>152</v>
      </c>
      <c r="R2119">
        <v>11</v>
      </c>
      <c r="S2119" t="s">
        <v>59</v>
      </c>
      <c r="T2119" t="str">
        <f t="shared" si="66"/>
        <v>Annually</v>
      </c>
      <c r="U2119">
        <f>VLOOKUP(T2119,[1]tablescore!$B$3:$C$8, 2,FALSE)</f>
        <v>1</v>
      </c>
      <c r="V2119" t="str">
        <f t="shared" si="67"/>
        <v>Low Loyalty</v>
      </c>
      <c r="W2119" t="s">
        <v>50</v>
      </c>
    </row>
    <row r="2120" spans="1:23" x14ac:dyDescent="0.25">
      <c r="A2120">
        <v>2119</v>
      </c>
      <c r="B2120">
        <v>60</v>
      </c>
      <c r="C2120" t="str" cm="1">
        <f t="array" ref="C2120">_xlfn.IFS(
  AND(B2120&gt;=18, B2120&lt;=24), "18-24",
  AND(B2120&gt;=25, B2120&lt;=34), "25-34",
  AND(B2120&gt;=35, B2120&lt;=44), "35-44",
  AND(B2120&gt;=45, B2120&lt;=54), "45-54",
  B2120&gt;=55, "55+"
)</f>
        <v>55+</v>
      </c>
      <c r="D2120" t="s">
        <v>19</v>
      </c>
      <c r="E2120" t="s">
        <v>131</v>
      </c>
      <c r="F2120" t="s">
        <v>21</v>
      </c>
      <c r="G2120">
        <v>44</v>
      </c>
      <c r="H2120" t="s">
        <v>142</v>
      </c>
      <c r="I2120" t="s">
        <v>45</v>
      </c>
      <c r="J2120" t="s">
        <v>79</v>
      </c>
      <c r="K2120" t="s">
        <v>58</v>
      </c>
      <c r="L2120">
        <v>4.2</v>
      </c>
      <c r="M2120" t="s">
        <v>152</v>
      </c>
      <c r="N2120" t="s">
        <v>34</v>
      </c>
      <c r="O2120" t="s">
        <v>72</v>
      </c>
      <c r="P2120" t="s">
        <v>152</v>
      </c>
      <c r="Q2120" t="s">
        <v>152</v>
      </c>
      <c r="R2120">
        <v>28</v>
      </c>
      <c r="S2120" t="s">
        <v>59</v>
      </c>
      <c r="T2120" t="str">
        <f t="shared" si="66"/>
        <v>Quarterly</v>
      </c>
      <c r="U2120">
        <f>VLOOKUP(T2120,[1]tablescore!$B$3:$C$8, 2,FALSE)</f>
        <v>4</v>
      </c>
      <c r="V2120" t="str">
        <f t="shared" si="67"/>
        <v>Low Loyalty</v>
      </c>
      <c r="W2120" t="s">
        <v>60</v>
      </c>
    </row>
    <row r="2121" spans="1:23" x14ac:dyDescent="0.25">
      <c r="A2121">
        <v>2120</v>
      </c>
      <c r="B2121">
        <v>58</v>
      </c>
      <c r="C2121" t="str" cm="1">
        <f t="array" ref="C2121">_xlfn.IFS(
  AND(B2121&gt;=18, B2121&lt;=24), "18-24",
  AND(B2121&gt;=25, B2121&lt;=34), "25-34",
  AND(B2121&gt;=35, B2121&lt;=44), "35-44",
  AND(B2121&gt;=45, B2121&lt;=54), "45-54",
  B2121&gt;=55, "55+"
)</f>
        <v>55+</v>
      </c>
      <c r="D2121" t="s">
        <v>19</v>
      </c>
      <c r="E2121" t="s">
        <v>106</v>
      </c>
      <c r="F2121" t="s">
        <v>69</v>
      </c>
      <c r="G2121">
        <v>57</v>
      </c>
      <c r="H2121" t="s">
        <v>143</v>
      </c>
      <c r="I2121" t="s">
        <v>45</v>
      </c>
      <c r="J2121" t="s">
        <v>129</v>
      </c>
      <c r="K2121" t="s">
        <v>39</v>
      </c>
      <c r="L2121">
        <v>3.5</v>
      </c>
      <c r="M2121" t="s">
        <v>152</v>
      </c>
      <c r="N2121" t="s">
        <v>59</v>
      </c>
      <c r="O2121" t="s">
        <v>76</v>
      </c>
      <c r="P2121" t="s">
        <v>152</v>
      </c>
      <c r="Q2121" t="s">
        <v>152</v>
      </c>
      <c r="R2121">
        <v>36</v>
      </c>
      <c r="S2121" t="s">
        <v>29</v>
      </c>
      <c r="T2121" t="str">
        <f t="shared" si="66"/>
        <v>2-week</v>
      </c>
      <c r="U2121">
        <f>VLOOKUP(T2121,[1]tablescore!$B$3:$C$8, 2,FALSE)</f>
        <v>26</v>
      </c>
      <c r="V2121" t="str">
        <f t="shared" si="67"/>
        <v>Loyal</v>
      </c>
      <c r="W2121" t="s">
        <v>77</v>
      </c>
    </row>
    <row r="2122" spans="1:23" x14ac:dyDescent="0.25">
      <c r="A2122">
        <v>2121</v>
      </c>
      <c r="B2122">
        <v>53</v>
      </c>
      <c r="C2122" t="str" cm="1">
        <f t="array" ref="C2122">_xlfn.IFS(
  AND(B2122&gt;=18, B2122&lt;=24), "18-24",
  AND(B2122&gt;=25, B2122&lt;=34), "25-34",
  AND(B2122&gt;=35, B2122&lt;=44), "35-44",
  AND(B2122&gt;=45, B2122&lt;=54), "45-54",
  B2122&gt;=55, "55+"
)</f>
        <v>45-54</v>
      </c>
      <c r="D2122" t="s">
        <v>19</v>
      </c>
      <c r="E2122" t="s">
        <v>119</v>
      </c>
      <c r="F2122" t="s">
        <v>69</v>
      </c>
      <c r="G2122">
        <v>98</v>
      </c>
      <c r="H2122" t="s">
        <v>70</v>
      </c>
      <c r="I2122" t="s">
        <v>38</v>
      </c>
      <c r="J2122" t="s">
        <v>108</v>
      </c>
      <c r="K2122" t="s">
        <v>58</v>
      </c>
      <c r="L2122">
        <v>3.1</v>
      </c>
      <c r="M2122" t="s">
        <v>152</v>
      </c>
      <c r="N2122" t="s">
        <v>29</v>
      </c>
      <c r="O2122" t="s">
        <v>47</v>
      </c>
      <c r="P2122" t="s">
        <v>152</v>
      </c>
      <c r="Q2122" t="s">
        <v>152</v>
      </c>
      <c r="R2122">
        <v>38</v>
      </c>
      <c r="S2122" t="s">
        <v>46</v>
      </c>
      <c r="T2122" t="str">
        <f t="shared" si="66"/>
        <v>Quarterly</v>
      </c>
      <c r="U2122">
        <f>VLOOKUP(T2122,[1]tablescore!$B$3:$C$8, 2,FALSE)</f>
        <v>4</v>
      </c>
      <c r="V2122" t="str">
        <f t="shared" si="67"/>
        <v>Low Loyalty</v>
      </c>
      <c r="W2122" t="s">
        <v>60</v>
      </c>
    </row>
    <row r="2123" spans="1:23" x14ac:dyDescent="0.25">
      <c r="A2123">
        <v>2122</v>
      </c>
      <c r="B2123">
        <v>43</v>
      </c>
      <c r="C2123" t="str" cm="1">
        <f t="array" ref="C2123">_xlfn.IFS(
  AND(B2123&gt;=18, B2123&lt;=24), "18-24",
  AND(B2123&gt;=25, B2123&lt;=34), "25-34",
  AND(B2123&gt;=35, B2123&lt;=44), "35-44",
  AND(B2123&gt;=45, B2123&lt;=54), "45-54",
  B2123&gt;=55, "55+"
)</f>
        <v>35-44</v>
      </c>
      <c r="D2123" t="s">
        <v>19</v>
      </c>
      <c r="E2123" t="s">
        <v>133</v>
      </c>
      <c r="F2123" t="s">
        <v>69</v>
      </c>
      <c r="G2123">
        <v>68</v>
      </c>
      <c r="H2123" t="s">
        <v>120</v>
      </c>
      <c r="I2123" t="s">
        <v>45</v>
      </c>
      <c r="J2123" t="s">
        <v>79</v>
      </c>
      <c r="K2123" t="s">
        <v>25</v>
      </c>
      <c r="L2123">
        <v>3.5</v>
      </c>
      <c r="M2123" t="s">
        <v>152</v>
      </c>
      <c r="N2123" t="s">
        <v>27</v>
      </c>
      <c r="O2123" t="s">
        <v>72</v>
      </c>
      <c r="P2123" t="s">
        <v>152</v>
      </c>
      <c r="Q2123" t="s">
        <v>152</v>
      </c>
      <c r="R2123">
        <v>32</v>
      </c>
      <c r="S2123" t="s">
        <v>34</v>
      </c>
      <c r="T2123" t="str">
        <f t="shared" si="66"/>
        <v>Month</v>
      </c>
      <c r="U2123">
        <f>VLOOKUP(T2123,[1]tablescore!$B$3:$C$8, 2,FALSE)</f>
        <v>12</v>
      </c>
      <c r="V2123" t="str">
        <f t="shared" si="67"/>
        <v>Moderate</v>
      </c>
      <c r="W2123" t="s">
        <v>88</v>
      </c>
    </row>
    <row r="2124" spans="1:23" x14ac:dyDescent="0.25">
      <c r="A2124">
        <v>2123</v>
      </c>
      <c r="B2124">
        <v>32</v>
      </c>
      <c r="C2124" t="str" cm="1">
        <f t="array" ref="C2124">_xlfn.IFS(
  AND(B2124&gt;=18, B2124&lt;=24), "18-24",
  AND(B2124&gt;=25, B2124&lt;=34), "25-34",
  AND(B2124&gt;=35, B2124&lt;=44), "35-44",
  AND(B2124&gt;=45, B2124&lt;=54), "45-54",
  B2124&gt;=55, "55+"
)</f>
        <v>25-34</v>
      </c>
      <c r="D2124" t="s">
        <v>19</v>
      </c>
      <c r="E2124" t="s">
        <v>102</v>
      </c>
      <c r="F2124" t="s">
        <v>65</v>
      </c>
      <c r="G2124">
        <v>36</v>
      </c>
      <c r="H2124" t="s">
        <v>128</v>
      </c>
      <c r="I2124" t="s">
        <v>23</v>
      </c>
      <c r="J2124" t="s">
        <v>86</v>
      </c>
      <c r="K2124" t="s">
        <v>58</v>
      </c>
      <c r="L2124">
        <v>4</v>
      </c>
      <c r="M2124" t="s">
        <v>152</v>
      </c>
      <c r="N2124" t="s">
        <v>46</v>
      </c>
      <c r="O2124" t="s">
        <v>28</v>
      </c>
      <c r="P2124" t="s">
        <v>152</v>
      </c>
      <c r="Q2124" t="s">
        <v>152</v>
      </c>
      <c r="R2124">
        <v>42</v>
      </c>
      <c r="S2124" t="s">
        <v>59</v>
      </c>
      <c r="T2124" t="str">
        <f t="shared" si="66"/>
        <v>Daily</v>
      </c>
      <c r="U2124">
        <f>VLOOKUP(T2124,[1]tablescore!$B$3:$C$8, 2,FALSE)</f>
        <v>30</v>
      </c>
      <c r="V2124" t="str">
        <f t="shared" si="67"/>
        <v>Highly Loyal</v>
      </c>
      <c r="W2124" t="s">
        <v>41</v>
      </c>
    </row>
    <row r="2125" spans="1:23" x14ac:dyDescent="0.25">
      <c r="A2125">
        <v>2124</v>
      </c>
      <c r="B2125">
        <v>54</v>
      </c>
      <c r="C2125" t="str" cm="1">
        <f t="array" ref="C2125">_xlfn.IFS(
  AND(B2125&gt;=18, B2125&lt;=24), "18-24",
  AND(B2125&gt;=25, B2125&lt;=34), "25-34",
  AND(B2125&gt;=35, B2125&lt;=44), "35-44",
  AND(B2125&gt;=45, B2125&lt;=54), "45-54",
  B2125&gt;=55, "55+"
)</f>
        <v>45-54</v>
      </c>
      <c r="D2125" t="s">
        <v>19</v>
      </c>
      <c r="E2125" t="s">
        <v>64</v>
      </c>
      <c r="F2125" t="s">
        <v>65</v>
      </c>
      <c r="G2125">
        <v>71</v>
      </c>
      <c r="H2125" t="s">
        <v>143</v>
      </c>
      <c r="I2125" t="s">
        <v>23</v>
      </c>
      <c r="J2125" t="s">
        <v>109</v>
      </c>
      <c r="K2125" t="s">
        <v>39</v>
      </c>
      <c r="L2125">
        <v>3.7</v>
      </c>
      <c r="M2125" t="s">
        <v>152</v>
      </c>
      <c r="N2125" t="s">
        <v>35</v>
      </c>
      <c r="O2125" t="s">
        <v>28</v>
      </c>
      <c r="P2125" t="s">
        <v>152</v>
      </c>
      <c r="Q2125" t="s">
        <v>152</v>
      </c>
      <c r="R2125">
        <v>22</v>
      </c>
      <c r="S2125" t="s">
        <v>59</v>
      </c>
      <c r="T2125" t="str">
        <f t="shared" si="66"/>
        <v>2-week</v>
      </c>
      <c r="U2125">
        <f>VLOOKUP(T2125,[1]tablescore!$B$3:$C$8, 2,FALSE)</f>
        <v>26</v>
      </c>
      <c r="V2125" t="str">
        <f t="shared" si="67"/>
        <v>Loyal</v>
      </c>
      <c r="W2125" t="s">
        <v>77</v>
      </c>
    </row>
    <row r="2126" spans="1:23" x14ac:dyDescent="0.25">
      <c r="A2126">
        <v>2125</v>
      </c>
      <c r="B2126">
        <v>47</v>
      </c>
      <c r="C2126" t="str" cm="1">
        <f t="array" ref="C2126">_xlfn.IFS(
  AND(B2126&gt;=18, B2126&lt;=24), "18-24",
  AND(B2126&gt;=25, B2126&lt;=34), "25-34",
  AND(B2126&gt;=35, B2126&lt;=44), "35-44",
  AND(B2126&gt;=45, B2126&lt;=54), "45-54",
  B2126&gt;=55, "55+"
)</f>
        <v>45-54</v>
      </c>
      <c r="D2126" t="s">
        <v>19</v>
      </c>
      <c r="E2126" t="s">
        <v>87</v>
      </c>
      <c r="F2126" t="s">
        <v>21</v>
      </c>
      <c r="G2126">
        <v>60</v>
      </c>
      <c r="H2126" t="s">
        <v>44</v>
      </c>
      <c r="I2126" t="s">
        <v>45</v>
      </c>
      <c r="J2126" t="s">
        <v>86</v>
      </c>
      <c r="K2126" t="s">
        <v>58</v>
      </c>
      <c r="L2126">
        <v>4.2</v>
      </c>
      <c r="M2126" t="s">
        <v>152</v>
      </c>
      <c r="N2126" t="s">
        <v>29</v>
      </c>
      <c r="O2126" t="s">
        <v>47</v>
      </c>
      <c r="P2126" t="s">
        <v>152</v>
      </c>
      <c r="Q2126" t="s">
        <v>152</v>
      </c>
      <c r="R2126">
        <v>22</v>
      </c>
      <c r="S2126" t="s">
        <v>29</v>
      </c>
      <c r="T2126" t="str">
        <f t="shared" si="66"/>
        <v>Quarterly</v>
      </c>
      <c r="U2126">
        <f>VLOOKUP(T2126,[1]tablescore!$B$3:$C$8, 2,FALSE)</f>
        <v>4</v>
      </c>
      <c r="V2126" t="str">
        <f t="shared" si="67"/>
        <v>Low Loyalty</v>
      </c>
      <c r="W2126" t="s">
        <v>60</v>
      </c>
    </row>
    <row r="2127" spans="1:23" x14ac:dyDescent="0.25">
      <c r="A2127">
        <v>2126</v>
      </c>
      <c r="B2127">
        <v>57</v>
      </c>
      <c r="C2127" t="str" cm="1">
        <f t="array" ref="C2127">_xlfn.IFS(
  AND(B2127&gt;=18, B2127&lt;=24), "18-24",
  AND(B2127&gt;=25, B2127&lt;=34), "25-34",
  AND(B2127&gt;=35, B2127&lt;=44), "35-44",
  AND(B2127&gt;=45, B2127&lt;=54), "45-54",
  B2127&gt;=55, "55+"
)</f>
        <v>55+</v>
      </c>
      <c r="D2127" t="s">
        <v>19</v>
      </c>
      <c r="E2127" t="s">
        <v>64</v>
      </c>
      <c r="F2127" t="s">
        <v>65</v>
      </c>
      <c r="G2127">
        <v>87</v>
      </c>
      <c r="H2127" t="s">
        <v>83</v>
      </c>
      <c r="I2127" t="s">
        <v>45</v>
      </c>
      <c r="J2127" t="s">
        <v>118</v>
      </c>
      <c r="K2127" t="s">
        <v>58</v>
      </c>
      <c r="L2127">
        <v>4.8</v>
      </c>
      <c r="M2127" t="s">
        <v>152</v>
      </c>
      <c r="N2127" t="s">
        <v>27</v>
      </c>
      <c r="O2127" t="s">
        <v>76</v>
      </c>
      <c r="P2127" t="s">
        <v>152</v>
      </c>
      <c r="Q2127" t="s">
        <v>152</v>
      </c>
      <c r="R2127">
        <v>31</v>
      </c>
      <c r="S2127" t="s">
        <v>46</v>
      </c>
      <c r="T2127" t="str">
        <f t="shared" si="66"/>
        <v>Quarterly</v>
      </c>
      <c r="U2127">
        <f>VLOOKUP(T2127,[1]tablescore!$B$3:$C$8, 2,FALSE)</f>
        <v>4</v>
      </c>
      <c r="V2127" t="str">
        <f t="shared" si="67"/>
        <v>Low Loyalty</v>
      </c>
      <c r="W2127" t="s">
        <v>60</v>
      </c>
    </row>
    <row r="2128" spans="1:23" x14ac:dyDescent="0.25">
      <c r="A2128">
        <v>2127</v>
      </c>
      <c r="B2128">
        <v>63</v>
      </c>
      <c r="C2128" t="str" cm="1">
        <f t="array" ref="C2128">_xlfn.IFS(
  AND(B2128&gt;=18, B2128&lt;=24), "18-24",
  AND(B2128&gt;=25, B2128&lt;=34), "25-34",
  AND(B2128&gt;=35, B2128&lt;=44), "35-44",
  AND(B2128&gt;=45, B2128&lt;=54), "45-54",
  B2128&gt;=55, "55+"
)</f>
        <v>55+</v>
      </c>
      <c r="D2128" t="s">
        <v>19</v>
      </c>
      <c r="E2128" t="s">
        <v>73</v>
      </c>
      <c r="F2128" t="s">
        <v>43</v>
      </c>
      <c r="G2128">
        <v>38</v>
      </c>
      <c r="H2128" t="s">
        <v>90</v>
      </c>
      <c r="I2128" t="s">
        <v>92</v>
      </c>
      <c r="J2128" t="s">
        <v>147</v>
      </c>
      <c r="K2128" t="s">
        <v>25</v>
      </c>
      <c r="L2128">
        <v>4.0999999999999996</v>
      </c>
      <c r="M2128" t="s">
        <v>152</v>
      </c>
      <c r="N2128" t="s">
        <v>46</v>
      </c>
      <c r="O2128" t="s">
        <v>28</v>
      </c>
      <c r="P2128" t="s">
        <v>152</v>
      </c>
      <c r="Q2128" t="s">
        <v>152</v>
      </c>
      <c r="R2128">
        <v>28</v>
      </c>
      <c r="S2128" t="s">
        <v>27</v>
      </c>
      <c r="T2128" t="str">
        <f t="shared" si="66"/>
        <v>Month</v>
      </c>
      <c r="U2128">
        <f>VLOOKUP(T2128,[1]tablescore!$B$3:$C$8, 2,FALSE)</f>
        <v>12</v>
      </c>
      <c r="V2128" t="str">
        <f t="shared" si="67"/>
        <v>Moderate</v>
      </c>
      <c r="W2128" t="s">
        <v>88</v>
      </c>
    </row>
    <row r="2129" spans="1:23" x14ac:dyDescent="0.25">
      <c r="A2129">
        <v>2128</v>
      </c>
      <c r="B2129">
        <v>70</v>
      </c>
      <c r="C2129" t="str" cm="1">
        <f t="array" ref="C2129">_xlfn.IFS(
  AND(B2129&gt;=18, B2129&lt;=24), "18-24",
  AND(B2129&gt;=25, B2129&lt;=34), "25-34",
  AND(B2129&gt;=35, B2129&lt;=44), "35-44",
  AND(B2129&gt;=45, B2129&lt;=54), "45-54",
  B2129&gt;=55, "55+"
)</f>
        <v>55+</v>
      </c>
      <c r="D2129" t="s">
        <v>19</v>
      </c>
      <c r="E2129" t="s">
        <v>132</v>
      </c>
      <c r="F2129" t="s">
        <v>43</v>
      </c>
      <c r="G2129">
        <v>45</v>
      </c>
      <c r="H2129" t="s">
        <v>98</v>
      </c>
      <c r="I2129" t="s">
        <v>45</v>
      </c>
      <c r="J2129" t="s">
        <v>129</v>
      </c>
      <c r="K2129" t="s">
        <v>39</v>
      </c>
      <c r="L2129">
        <v>4.5</v>
      </c>
      <c r="M2129" t="s">
        <v>152</v>
      </c>
      <c r="N2129" t="s">
        <v>27</v>
      </c>
      <c r="O2129" t="s">
        <v>72</v>
      </c>
      <c r="P2129" t="s">
        <v>152</v>
      </c>
      <c r="Q2129" t="s">
        <v>152</v>
      </c>
      <c r="R2129">
        <v>40</v>
      </c>
      <c r="S2129" t="s">
        <v>59</v>
      </c>
      <c r="T2129" t="str">
        <f t="shared" si="66"/>
        <v>Daily</v>
      </c>
      <c r="U2129">
        <f>VLOOKUP(T2129,[1]tablescore!$B$3:$C$8, 2,FALSE)</f>
        <v>30</v>
      </c>
      <c r="V2129" t="str">
        <f t="shared" si="67"/>
        <v>Highly Loyal</v>
      </c>
      <c r="W2129" t="s">
        <v>41</v>
      </c>
    </row>
    <row r="2130" spans="1:23" x14ac:dyDescent="0.25">
      <c r="A2130">
        <v>2129</v>
      </c>
      <c r="B2130">
        <v>62</v>
      </c>
      <c r="C2130" t="str" cm="1">
        <f t="array" ref="C2130">_xlfn.IFS(
  AND(B2130&gt;=18, B2130&lt;=24), "18-24",
  AND(B2130&gt;=25, B2130&lt;=34), "25-34",
  AND(B2130&gt;=35, B2130&lt;=44), "35-44",
  AND(B2130&gt;=45, B2130&lt;=54), "45-54",
  B2130&gt;=55, "55+"
)</f>
        <v>55+</v>
      </c>
      <c r="D2130" t="s">
        <v>19</v>
      </c>
      <c r="E2130" t="s">
        <v>64</v>
      </c>
      <c r="F2130" t="s">
        <v>65</v>
      </c>
      <c r="G2130">
        <v>47</v>
      </c>
      <c r="H2130" t="s">
        <v>123</v>
      </c>
      <c r="I2130" t="s">
        <v>23</v>
      </c>
      <c r="J2130" t="s">
        <v>109</v>
      </c>
      <c r="K2130" t="s">
        <v>58</v>
      </c>
      <c r="L2130">
        <v>2.7</v>
      </c>
      <c r="M2130" t="s">
        <v>152</v>
      </c>
      <c r="N2130" t="s">
        <v>46</v>
      </c>
      <c r="O2130" t="s">
        <v>72</v>
      </c>
      <c r="P2130" t="s">
        <v>152</v>
      </c>
      <c r="Q2130" t="s">
        <v>152</v>
      </c>
      <c r="R2130">
        <v>21</v>
      </c>
      <c r="S2130" t="s">
        <v>46</v>
      </c>
      <c r="T2130" t="str">
        <f t="shared" si="66"/>
        <v>Daily</v>
      </c>
      <c r="U2130">
        <f>VLOOKUP(T2130,[1]tablescore!$B$3:$C$8, 2,FALSE)</f>
        <v>30</v>
      </c>
      <c r="V2130" t="str">
        <f t="shared" si="67"/>
        <v>Highly Loyal</v>
      </c>
      <c r="W2130" t="s">
        <v>41</v>
      </c>
    </row>
    <row r="2131" spans="1:23" x14ac:dyDescent="0.25">
      <c r="A2131">
        <v>2130</v>
      </c>
      <c r="B2131">
        <v>40</v>
      </c>
      <c r="C2131" t="str" cm="1">
        <f t="array" ref="C2131">_xlfn.IFS(
  AND(B2131&gt;=18, B2131&lt;=24), "18-24",
  AND(B2131&gt;=25, B2131&lt;=34), "25-34",
  AND(B2131&gt;=35, B2131&lt;=44), "35-44",
  AND(B2131&gt;=45, B2131&lt;=54), "45-54",
  B2131&gt;=55, "55+"
)</f>
        <v>35-44</v>
      </c>
      <c r="D2131" t="s">
        <v>19</v>
      </c>
      <c r="E2131" t="s">
        <v>87</v>
      </c>
      <c r="F2131" t="s">
        <v>21</v>
      </c>
      <c r="G2131">
        <v>57</v>
      </c>
      <c r="H2131" t="s">
        <v>134</v>
      </c>
      <c r="I2131" t="s">
        <v>23</v>
      </c>
      <c r="J2131" t="s">
        <v>121</v>
      </c>
      <c r="K2131" t="s">
        <v>58</v>
      </c>
      <c r="L2131">
        <v>2.8</v>
      </c>
      <c r="M2131" t="s">
        <v>152</v>
      </c>
      <c r="N2131" t="s">
        <v>27</v>
      </c>
      <c r="O2131" t="s">
        <v>76</v>
      </c>
      <c r="P2131" t="s">
        <v>152</v>
      </c>
      <c r="Q2131" t="s">
        <v>152</v>
      </c>
      <c r="R2131">
        <v>12</v>
      </c>
      <c r="S2131" t="s">
        <v>46</v>
      </c>
      <c r="T2131" t="str">
        <f t="shared" si="66"/>
        <v>Quarterly</v>
      </c>
      <c r="U2131">
        <f>VLOOKUP(T2131,[1]tablescore!$B$3:$C$8, 2,FALSE)</f>
        <v>4</v>
      </c>
      <c r="V2131" t="str">
        <f t="shared" si="67"/>
        <v>Low Loyalty</v>
      </c>
      <c r="W2131" t="s">
        <v>97</v>
      </c>
    </row>
    <row r="2132" spans="1:23" x14ac:dyDescent="0.25">
      <c r="A2132">
        <v>2131</v>
      </c>
      <c r="B2132">
        <v>25</v>
      </c>
      <c r="C2132" t="str" cm="1">
        <f t="array" ref="C2132">_xlfn.IFS(
  AND(B2132&gt;=18, B2132&lt;=24), "18-24",
  AND(B2132&gt;=25, B2132&lt;=34), "25-34",
  AND(B2132&gt;=35, B2132&lt;=44), "35-44",
  AND(B2132&gt;=45, B2132&lt;=54), "45-54",
  B2132&gt;=55, "55+"
)</f>
        <v>25-34</v>
      </c>
      <c r="D2132" t="s">
        <v>19</v>
      </c>
      <c r="E2132" t="s">
        <v>133</v>
      </c>
      <c r="F2132" t="s">
        <v>69</v>
      </c>
      <c r="G2132">
        <v>68</v>
      </c>
      <c r="H2132" t="s">
        <v>117</v>
      </c>
      <c r="I2132" t="s">
        <v>23</v>
      </c>
      <c r="J2132" t="s">
        <v>84</v>
      </c>
      <c r="K2132" t="s">
        <v>54</v>
      </c>
      <c r="L2132">
        <v>3.7</v>
      </c>
      <c r="M2132" t="s">
        <v>152</v>
      </c>
      <c r="N2132" t="s">
        <v>59</v>
      </c>
      <c r="O2132" t="s">
        <v>40</v>
      </c>
      <c r="P2132" t="s">
        <v>152</v>
      </c>
      <c r="Q2132" t="s">
        <v>152</v>
      </c>
      <c r="R2132">
        <v>33</v>
      </c>
      <c r="S2132" t="s">
        <v>27</v>
      </c>
      <c r="T2132" t="str">
        <f t="shared" si="66"/>
        <v>Annually</v>
      </c>
      <c r="U2132">
        <f>VLOOKUP(T2132,[1]tablescore!$B$3:$C$8, 2,FALSE)</f>
        <v>1</v>
      </c>
      <c r="V2132" t="str">
        <f t="shared" si="67"/>
        <v>Low Loyalty</v>
      </c>
      <c r="W2132" t="s">
        <v>50</v>
      </c>
    </row>
    <row r="2133" spans="1:23" x14ac:dyDescent="0.25">
      <c r="A2133">
        <v>2132</v>
      </c>
      <c r="B2133">
        <v>19</v>
      </c>
      <c r="C2133" t="str" cm="1">
        <f t="array" ref="C2133">_xlfn.IFS(
  AND(B2133&gt;=18, B2133&lt;=24), "18-24",
  AND(B2133&gt;=25, B2133&lt;=34), "25-34",
  AND(B2133&gt;=35, B2133&lt;=44), "35-44",
  AND(B2133&gt;=45, B2133&lt;=54), "45-54",
  B2133&gt;=55, "55+"
)</f>
        <v>18-24</v>
      </c>
      <c r="D2133" t="s">
        <v>19</v>
      </c>
      <c r="E2133" t="s">
        <v>61</v>
      </c>
      <c r="F2133" t="s">
        <v>21</v>
      </c>
      <c r="G2133">
        <v>52</v>
      </c>
      <c r="H2133" t="s">
        <v>57</v>
      </c>
      <c r="I2133" t="s">
        <v>45</v>
      </c>
      <c r="J2133" t="s">
        <v>108</v>
      </c>
      <c r="K2133" t="s">
        <v>58</v>
      </c>
      <c r="L2133">
        <v>3.6</v>
      </c>
      <c r="M2133" t="s">
        <v>152</v>
      </c>
      <c r="N2133" t="s">
        <v>27</v>
      </c>
      <c r="O2133" t="s">
        <v>28</v>
      </c>
      <c r="P2133" t="s">
        <v>152</v>
      </c>
      <c r="Q2133" t="s">
        <v>152</v>
      </c>
      <c r="R2133">
        <v>9</v>
      </c>
      <c r="S2133" t="s">
        <v>34</v>
      </c>
      <c r="T2133" t="str">
        <f t="shared" si="66"/>
        <v>2-week</v>
      </c>
      <c r="U2133">
        <f>VLOOKUP(T2133,[1]tablescore!$B$3:$C$8, 2,FALSE)</f>
        <v>26</v>
      </c>
      <c r="V2133" t="str">
        <f t="shared" si="67"/>
        <v>Loyal</v>
      </c>
      <c r="W2133" t="s">
        <v>30</v>
      </c>
    </row>
    <row r="2134" spans="1:23" x14ac:dyDescent="0.25">
      <c r="A2134">
        <v>2133</v>
      </c>
      <c r="B2134">
        <v>25</v>
      </c>
      <c r="C2134" t="str" cm="1">
        <f t="array" ref="C2134">_xlfn.IFS(
  AND(B2134&gt;=18, B2134&lt;=24), "18-24",
  AND(B2134&gt;=25, B2134&lt;=34), "25-34",
  AND(B2134&gt;=35, B2134&lt;=44), "35-44",
  AND(B2134&gt;=45, B2134&lt;=54), "45-54",
  B2134&gt;=55, "55+"
)</f>
        <v>25-34</v>
      </c>
      <c r="D2134" t="s">
        <v>19</v>
      </c>
      <c r="E2134" t="s">
        <v>87</v>
      </c>
      <c r="F2134" t="s">
        <v>21</v>
      </c>
      <c r="G2134">
        <v>87</v>
      </c>
      <c r="H2134" t="s">
        <v>145</v>
      </c>
      <c r="I2134" t="s">
        <v>45</v>
      </c>
      <c r="J2134" t="s">
        <v>147</v>
      </c>
      <c r="K2134" t="s">
        <v>58</v>
      </c>
      <c r="L2134">
        <v>4.7</v>
      </c>
      <c r="M2134" t="s">
        <v>152</v>
      </c>
      <c r="N2134" t="s">
        <v>46</v>
      </c>
      <c r="O2134" t="s">
        <v>72</v>
      </c>
      <c r="P2134" t="s">
        <v>152</v>
      </c>
      <c r="Q2134" t="s">
        <v>152</v>
      </c>
      <c r="R2134">
        <v>15</v>
      </c>
      <c r="S2134" t="s">
        <v>59</v>
      </c>
      <c r="T2134" t="str">
        <f t="shared" si="66"/>
        <v>Daily</v>
      </c>
      <c r="U2134">
        <f>VLOOKUP(T2134,[1]tablescore!$B$3:$C$8, 2,FALSE)</f>
        <v>30</v>
      </c>
      <c r="V2134" t="str">
        <f t="shared" si="67"/>
        <v>Highly Loyal</v>
      </c>
      <c r="W2134" t="s">
        <v>41</v>
      </c>
    </row>
    <row r="2135" spans="1:23" x14ac:dyDescent="0.25">
      <c r="A2135">
        <v>2134</v>
      </c>
      <c r="B2135">
        <v>21</v>
      </c>
      <c r="C2135" t="str" cm="1">
        <f t="array" ref="C2135">_xlfn.IFS(
  AND(B2135&gt;=18, B2135&lt;=24), "18-24",
  AND(B2135&gt;=25, B2135&lt;=34), "25-34",
  AND(B2135&gt;=35, B2135&lt;=44), "35-44",
  AND(B2135&gt;=45, B2135&lt;=54), "45-54",
  B2135&gt;=55, "55+"
)</f>
        <v>18-24</v>
      </c>
      <c r="D2135" t="s">
        <v>19</v>
      </c>
      <c r="E2135" t="s">
        <v>125</v>
      </c>
      <c r="F2135" t="s">
        <v>69</v>
      </c>
      <c r="G2135">
        <v>34</v>
      </c>
      <c r="H2135" t="s">
        <v>32</v>
      </c>
      <c r="I2135" t="s">
        <v>45</v>
      </c>
      <c r="J2135" t="s">
        <v>79</v>
      </c>
      <c r="K2135" t="s">
        <v>54</v>
      </c>
      <c r="L2135">
        <v>3.8</v>
      </c>
      <c r="M2135" t="s">
        <v>152</v>
      </c>
      <c r="N2135" t="s">
        <v>46</v>
      </c>
      <c r="O2135" t="s">
        <v>55</v>
      </c>
      <c r="P2135" t="s">
        <v>152</v>
      </c>
      <c r="Q2135" t="s">
        <v>152</v>
      </c>
      <c r="R2135">
        <v>13</v>
      </c>
      <c r="S2135" t="s">
        <v>34</v>
      </c>
      <c r="T2135" t="str">
        <f t="shared" si="66"/>
        <v>Annually</v>
      </c>
      <c r="U2135">
        <f>VLOOKUP(T2135,[1]tablescore!$B$3:$C$8, 2,FALSE)</f>
        <v>1</v>
      </c>
      <c r="V2135" t="str">
        <f t="shared" si="67"/>
        <v>Low Loyalty</v>
      </c>
      <c r="W2135" t="s">
        <v>50</v>
      </c>
    </row>
    <row r="2136" spans="1:23" x14ac:dyDescent="0.25">
      <c r="A2136">
        <v>2135</v>
      </c>
      <c r="B2136">
        <v>55</v>
      </c>
      <c r="C2136" t="str" cm="1">
        <f t="array" ref="C2136">_xlfn.IFS(
  AND(B2136&gt;=18, B2136&lt;=24), "18-24",
  AND(B2136&gt;=25, B2136&lt;=34), "25-34",
  AND(B2136&gt;=35, B2136&lt;=44), "35-44",
  AND(B2136&gt;=45, B2136&lt;=54), "45-54",
  B2136&gt;=55, "55+"
)</f>
        <v>55+</v>
      </c>
      <c r="D2136" t="s">
        <v>19</v>
      </c>
      <c r="E2136" t="s">
        <v>42</v>
      </c>
      <c r="F2136" t="s">
        <v>43</v>
      </c>
      <c r="G2136">
        <v>41</v>
      </c>
      <c r="H2136" t="s">
        <v>128</v>
      </c>
      <c r="I2136" t="s">
        <v>92</v>
      </c>
      <c r="J2136" t="s">
        <v>33</v>
      </c>
      <c r="K2136" t="s">
        <v>25</v>
      </c>
      <c r="L2136">
        <v>2.9</v>
      </c>
      <c r="M2136" t="s">
        <v>152</v>
      </c>
      <c r="N2136" t="s">
        <v>29</v>
      </c>
      <c r="O2136" t="s">
        <v>55</v>
      </c>
      <c r="P2136" t="s">
        <v>152</v>
      </c>
      <c r="Q2136" t="s">
        <v>152</v>
      </c>
      <c r="R2136">
        <v>35</v>
      </c>
      <c r="S2136" t="s">
        <v>27</v>
      </c>
      <c r="T2136" t="str">
        <f t="shared" si="66"/>
        <v>2-week</v>
      </c>
      <c r="U2136">
        <f>VLOOKUP(T2136,[1]tablescore!$B$3:$C$8, 2,FALSE)</f>
        <v>26</v>
      </c>
      <c r="V2136" t="str">
        <f t="shared" si="67"/>
        <v>Loyal</v>
      </c>
      <c r="W2136" t="s">
        <v>30</v>
      </c>
    </row>
    <row r="2137" spans="1:23" x14ac:dyDescent="0.25">
      <c r="A2137">
        <v>2136</v>
      </c>
      <c r="B2137">
        <v>34</v>
      </c>
      <c r="C2137" t="str" cm="1">
        <f t="array" ref="C2137">_xlfn.IFS(
  AND(B2137&gt;=18, B2137&lt;=24), "18-24",
  AND(B2137&gt;=25, B2137&lt;=34), "25-34",
  AND(B2137&gt;=35, B2137&lt;=44), "35-44",
  AND(B2137&gt;=45, B2137&lt;=54), "45-54",
  B2137&gt;=55, "55+"
)</f>
        <v>25-34</v>
      </c>
      <c r="D2137" t="s">
        <v>19</v>
      </c>
      <c r="E2137" t="s">
        <v>89</v>
      </c>
      <c r="F2137" t="s">
        <v>69</v>
      </c>
      <c r="G2137">
        <v>94</v>
      </c>
      <c r="H2137" t="s">
        <v>99</v>
      </c>
      <c r="I2137" t="s">
        <v>38</v>
      </c>
      <c r="J2137" t="s">
        <v>139</v>
      </c>
      <c r="K2137" t="s">
        <v>25</v>
      </c>
      <c r="L2137">
        <v>4.5999999999999996</v>
      </c>
      <c r="M2137" t="s">
        <v>152</v>
      </c>
      <c r="N2137" t="s">
        <v>27</v>
      </c>
      <c r="O2137" t="s">
        <v>47</v>
      </c>
      <c r="P2137" t="s">
        <v>152</v>
      </c>
      <c r="Q2137" t="s">
        <v>152</v>
      </c>
      <c r="R2137">
        <v>1</v>
      </c>
      <c r="S2137" t="s">
        <v>59</v>
      </c>
      <c r="T2137" t="str">
        <f t="shared" si="66"/>
        <v>Quarterly</v>
      </c>
      <c r="U2137">
        <f>VLOOKUP(T2137,[1]tablescore!$B$3:$C$8, 2,FALSE)</f>
        <v>4</v>
      </c>
      <c r="V2137" t="str">
        <f t="shared" si="67"/>
        <v>Low Loyalty</v>
      </c>
      <c r="W2137" t="s">
        <v>97</v>
      </c>
    </row>
    <row r="2138" spans="1:23" x14ac:dyDescent="0.25">
      <c r="A2138">
        <v>2137</v>
      </c>
      <c r="B2138">
        <v>47</v>
      </c>
      <c r="C2138" t="str" cm="1">
        <f t="array" ref="C2138">_xlfn.IFS(
  AND(B2138&gt;=18, B2138&lt;=24), "18-24",
  AND(B2138&gt;=25, B2138&lt;=34), "25-34",
  AND(B2138&gt;=35, B2138&lt;=44), "35-44",
  AND(B2138&gt;=45, B2138&lt;=54), "45-54",
  B2138&gt;=55, "55+"
)</f>
        <v>45-54</v>
      </c>
      <c r="D2138" t="s">
        <v>19</v>
      </c>
      <c r="E2138" t="s">
        <v>89</v>
      </c>
      <c r="F2138" t="s">
        <v>69</v>
      </c>
      <c r="G2138">
        <v>93</v>
      </c>
      <c r="H2138" t="s">
        <v>85</v>
      </c>
      <c r="I2138" t="s">
        <v>45</v>
      </c>
      <c r="J2138" t="s">
        <v>108</v>
      </c>
      <c r="K2138" t="s">
        <v>54</v>
      </c>
      <c r="L2138">
        <v>2.8</v>
      </c>
      <c r="M2138" t="s">
        <v>152</v>
      </c>
      <c r="N2138" t="s">
        <v>34</v>
      </c>
      <c r="O2138" t="s">
        <v>55</v>
      </c>
      <c r="P2138" t="s">
        <v>152</v>
      </c>
      <c r="Q2138" t="s">
        <v>152</v>
      </c>
      <c r="R2138">
        <v>25</v>
      </c>
      <c r="S2138" t="s">
        <v>34</v>
      </c>
      <c r="T2138" t="str">
        <f t="shared" si="66"/>
        <v>2-week</v>
      </c>
      <c r="U2138">
        <f>VLOOKUP(T2138,[1]tablescore!$B$3:$C$8, 2,FALSE)</f>
        <v>26</v>
      </c>
      <c r="V2138" t="str">
        <f t="shared" si="67"/>
        <v>Loyal</v>
      </c>
      <c r="W2138" t="s">
        <v>30</v>
      </c>
    </row>
    <row r="2139" spans="1:23" x14ac:dyDescent="0.25">
      <c r="A2139">
        <v>2138</v>
      </c>
      <c r="B2139">
        <v>27</v>
      </c>
      <c r="C2139" t="str" cm="1">
        <f t="array" ref="C2139">_xlfn.IFS(
  AND(B2139&gt;=18, B2139&lt;=24), "18-24",
  AND(B2139&gt;=25, B2139&lt;=34), "25-34",
  AND(B2139&gt;=35, B2139&lt;=44), "35-44",
  AND(B2139&gt;=45, B2139&lt;=54), "45-54",
  B2139&gt;=55, "55+"
)</f>
        <v>25-34</v>
      </c>
      <c r="D2139" t="s">
        <v>19</v>
      </c>
      <c r="E2139" t="s">
        <v>131</v>
      </c>
      <c r="F2139" t="s">
        <v>21</v>
      </c>
      <c r="G2139">
        <v>51</v>
      </c>
      <c r="H2139" t="s">
        <v>116</v>
      </c>
      <c r="I2139" t="s">
        <v>92</v>
      </c>
      <c r="J2139" t="s">
        <v>75</v>
      </c>
      <c r="K2139" t="s">
        <v>25</v>
      </c>
      <c r="L2139">
        <v>4.5999999999999996</v>
      </c>
      <c r="M2139" t="s">
        <v>152</v>
      </c>
      <c r="N2139" t="s">
        <v>34</v>
      </c>
      <c r="O2139" t="s">
        <v>72</v>
      </c>
      <c r="P2139" t="s">
        <v>152</v>
      </c>
      <c r="Q2139" t="s">
        <v>152</v>
      </c>
      <c r="R2139">
        <v>20</v>
      </c>
      <c r="S2139" t="s">
        <v>27</v>
      </c>
      <c r="T2139" t="str">
        <f t="shared" si="66"/>
        <v>Quarterly</v>
      </c>
      <c r="U2139">
        <f>VLOOKUP(T2139,[1]tablescore!$B$3:$C$8, 2,FALSE)</f>
        <v>4</v>
      </c>
      <c r="V2139" t="str">
        <f t="shared" si="67"/>
        <v>Low Loyalty</v>
      </c>
      <c r="W2139" t="s">
        <v>97</v>
      </c>
    </row>
    <row r="2140" spans="1:23" x14ac:dyDescent="0.25">
      <c r="A2140">
        <v>2139</v>
      </c>
      <c r="B2140">
        <v>67</v>
      </c>
      <c r="C2140" t="str" cm="1">
        <f t="array" ref="C2140">_xlfn.IFS(
  AND(B2140&gt;=18, B2140&lt;=24), "18-24",
  AND(B2140&gt;=25, B2140&lt;=34), "25-34",
  AND(B2140&gt;=35, B2140&lt;=44), "35-44",
  AND(B2140&gt;=45, B2140&lt;=54), "45-54",
  B2140&gt;=55, "55+"
)</f>
        <v>55+</v>
      </c>
      <c r="D2140" t="s">
        <v>19</v>
      </c>
      <c r="E2140" t="s">
        <v>31</v>
      </c>
      <c r="F2140" t="s">
        <v>21</v>
      </c>
      <c r="G2140">
        <v>42</v>
      </c>
      <c r="H2140" t="s">
        <v>91</v>
      </c>
      <c r="I2140" t="s">
        <v>45</v>
      </c>
      <c r="J2140" t="s">
        <v>86</v>
      </c>
      <c r="K2140" t="s">
        <v>58</v>
      </c>
      <c r="L2140">
        <v>2.8</v>
      </c>
      <c r="M2140" t="s">
        <v>152</v>
      </c>
      <c r="N2140" t="s">
        <v>29</v>
      </c>
      <c r="O2140" t="s">
        <v>47</v>
      </c>
      <c r="P2140" t="s">
        <v>152</v>
      </c>
      <c r="Q2140" t="s">
        <v>152</v>
      </c>
      <c r="R2140">
        <v>36</v>
      </c>
      <c r="S2140" t="s">
        <v>29</v>
      </c>
      <c r="T2140" t="str">
        <f t="shared" si="66"/>
        <v>Quarterly</v>
      </c>
      <c r="U2140">
        <f>VLOOKUP(T2140,[1]tablescore!$B$3:$C$8, 2,FALSE)</f>
        <v>4</v>
      </c>
      <c r="V2140" t="str">
        <f t="shared" si="67"/>
        <v>Low Loyalty</v>
      </c>
      <c r="W2140" t="s">
        <v>60</v>
      </c>
    </row>
    <row r="2141" spans="1:23" x14ac:dyDescent="0.25">
      <c r="A2141">
        <v>2140</v>
      </c>
      <c r="B2141">
        <v>40</v>
      </c>
      <c r="C2141" t="str" cm="1">
        <f t="array" ref="C2141">_xlfn.IFS(
  AND(B2141&gt;=18, B2141&lt;=24), "18-24",
  AND(B2141&gt;=25, B2141&lt;=34), "25-34",
  AND(B2141&gt;=35, B2141&lt;=44), "35-44",
  AND(B2141&gt;=45, B2141&lt;=54), "45-54",
  B2141&gt;=55, "55+"
)</f>
        <v>35-44</v>
      </c>
      <c r="D2141" t="s">
        <v>19</v>
      </c>
      <c r="E2141" t="s">
        <v>132</v>
      </c>
      <c r="F2141" t="s">
        <v>43</v>
      </c>
      <c r="G2141">
        <v>95</v>
      </c>
      <c r="H2141" t="s">
        <v>85</v>
      </c>
      <c r="I2141" t="s">
        <v>45</v>
      </c>
      <c r="J2141" t="s">
        <v>108</v>
      </c>
      <c r="K2141" t="s">
        <v>25</v>
      </c>
      <c r="L2141">
        <v>3</v>
      </c>
      <c r="M2141" t="s">
        <v>152</v>
      </c>
      <c r="N2141" t="s">
        <v>27</v>
      </c>
      <c r="O2141" t="s">
        <v>40</v>
      </c>
      <c r="P2141" t="s">
        <v>152</v>
      </c>
      <c r="Q2141" t="s">
        <v>152</v>
      </c>
      <c r="R2141">
        <v>33</v>
      </c>
      <c r="S2141" t="s">
        <v>35</v>
      </c>
      <c r="T2141" t="str">
        <f t="shared" si="66"/>
        <v>Daily</v>
      </c>
      <c r="U2141">
        <f>VLOOKUP(T2141,[1]tablescore!$B$3:$C$8, 2,FALSE)</f>
        <v>30</v>
      </c>
      <c r="V2141" t="str">
        <f t="shared" si="67"/>
        <v>Highly Loyal</v>
      </c>
      <c r="W2141" t="s">
        <v>41</v>
      </c>
    </row>
    <row r="2142" spans="1:23" x14ac:dyDescent="0.25">
      <c r="A2142">
        <v>2141</v>
      </c>
      <c r="B2142">
        <v>53</v>
      </c>
      <c r="C2142" t="str" cm="1">
        <f t="array" ref="C2142">_xlfn.IFS(
  AND(B2142&gt;=18, B2142&lt;=24), "18-24",
  AND(B2142&gt;=25, B2142&lt;=34), "25-34",
  AND(B2142&gt;=35, B2142&lt;=44), "35-44",
  AND(B2142&gt;=45, B2142&lt;=54), "45-54",
  B2142&gt;=55, "55+"
)</f>
        <v>45-54</v>
      </c>
      <c r="D2142" t="s">
        <v>19</v>
      </c>
      <c r="E2142" t="s">
        <v>68</v>
      </c>
      <c r="F2142" t="s">
        <v>69</v>
      </c>
      <c r="G2142">
        <v>90</v>
      </c>
      <c r="H2142" t="s">
        <v>123</v>
      </c>
      <c r="I2142" t="s">
        <v>45</v>
      </c>
      <c r="J2142" t="s">
        <v>110</v>
      </c>
      <c r="K2142" t="s">
        <v>58</v>
      </c>
      <c r="L2142">
        <v>3.7</v>
      </c>
      <c r="M2142" t="s">
        <v>152</v>
      </c>
      <c r="N2142" t="s">
        <v>35</v>
      </c>
      <c r="O2142" t="s">
        <v>55</v>
      </c>
      <c r="P2142" t="s">
        <v>152</v>
      </c>
      <c r="Q2142" t="s">
        <v>152</v>
      </c>
      <c r="R2142">
        <v>36</v>
      </c>
      <c r="S2142" t="s">
        <v>35</v>
      </c>
      <c r="T2142" t="str">
        <f t="shared" si="66"/>
        <v>2-week</v>
      </c>
      <c r="U2142">
        <f>VLOOKUP(T2142,[1]tablescore!$B$3:$C$8, 2,FALSE)</f>
        <v>26</v>
      </c>
      <c r="V2142" t="str">
        <f t="shared" si="67"/>
        <v>Loyal</v>
      </c>
      <c r="W2142" t="s">
        <v>30</v>
      </c>
    </row>
    <row r="2143" spans="1:23" x14ac:dyDescent="0.25">
      <c r="A2143">
        <v>2142</v>
      </c>
      <c r="B2143">
        <v>24</v>
      </c>
      <c r="C2143" t="str" cm="1">
        <f t="array" ref="C2143">_xlfn.IFS(
  AND(B2143&gt;=18, B2143&lt;=24), "18-24",
  AND(B2143&gt;=25, B2143&lt;=34), "25-34",
  AND(B2143&gt;=35, B2143&lt;=44), "35-44",
  AND(B2143&gt;=45, B2143&lt;=54), "45-54",
  B2143&gt;=55, "55+"
)</f>
        <v>18-24</v>
      </c>
      <c r="D2143" t="s">
        <v>19</v>
      </c>
      <c r="E2143" t="s">
        <v>82</v>
      </c>
      <c r="F2143" t="s">
        <v>21</v>
      </c>
      <c r="G2143">
        <v>98</v>
      </c>
      <c r="H2143" t="s">
        <v>22</v>
      </c>
      <c r="I2143" t="s">
        <v>45</v>
      </c>
      <c r="J2143" t="s">
        <v>100</v>
      </c>
      <c r="K2143" t="s">
        <v>25</v>
      </c>
      <c r="L2143">
        <v>4.0999999999999996</v>
      </c>
      <c r="M2143" t="s">
        <v>152</v>
      </c>
      <c r="N2143" t="s">
        <v>27</v>
      </c>
      <c r="O2143" t="s">
        <v>72</v>
      </c>
      <c r="P2143" t="s">
        <v>152</v>
      </c>
      <c r="Q2143" t="s">
        <v>152</v>
      </c>
      <c r="R2143">
        <v>32</v>
      </c>
      <c r="S2143" t="s">
        <v>46</v>
      </c>
      <c r="T2143" t="str">
        <f t="shared" si="66"/>
        <v>Annually</v>
      </c>
      <c r="U2143">
        <f>VLOOKUP(T2143,[1]tablescore!$B$3:$C$8, 2,FALSE)</f>
        <v>1</v>
      </c>
      <c r="V2143" t="str">
        <f t="shared" si="67"/>
        <v>Low Loyalty</v>
      </c>
      <c r="W2143" t="s">
        <v>50</v>
      </c>
    </row>
    <row r="2144" spans="1:23" x14ac:dyDescent="0.25">
      <c r="A2144">
        <v>2143</v>
      </c>
      <c r="B2144">
        <v>47</v>
      </c>
      <c r="C2144" t="str" cm="1">
        <f t="array" ref="C2144">_xlfn.IFS(
  AND(B2144&gt;=18, B2144&lt;=24), "18-24",
  AND(B2144&gt;=25, B2144&lt;=34), "25-34",
  AND(B2144&gt;=35, B2144&lt;=44), "35-44",
  AND(B2144&gt;=45, B2144&lt;=54), "45-54",
  B2144&gt;=55, "55+"
)</f>
        <v>45-54</v>
      </c>
      <c r="D2144" t="s">
        <v>19</v>
      </c>
      <c r="E2144" t="s">
        <v>125</v>
      </c>
      <c r="F2144" t="s">
        <v>69</v>
      </c>
      <c r="G2144">
        <v>39</v>
      </c>
      <c r="H2144" t="s">
        <v>114</v>
      </c>
      <c r="I2144" t="s">
        <v>45</v>
      </c>
      <c r="J2144" t="s">
        <v>33</v>
      </c>
      <c r="K2144" t="s">
        <v>25</v>
      </c>
      <c r="L2144">
        <v>4.3</v>
      </c>
      <c r="M2144" t="s">
        <v>152</v>
      </c>
      <c r="N2144" t="s">
        <v>29</v>
      </c>
      <c r="O2144" t="s">
        <v>47</v>
      </c>
      <c r="P2144" t="s">
        <v>152</v>
      </c>
      <c r="Q2144" t="s">
        <v>152</v>
      </c>
      <c r="R2144">
        <v>21</v>
      </c>
      <c r="S2144" t="s">
        <v>29</v>
      </c>
      <c r="T2144" t="str">
        <f t="shared" si="66"/>
        <v>Quarterly</v>
      </c>
      <c r="U2144">
        <f>VLOOKUP(T2144,[1]tablescore!$B$3:$C$8, 2,FALSE)</f>
        <v>4</v>
      </c>
      <c r="V2144" t="str">
        <f t="shared" si="67"/>
        <v>Low Loyalty</v>
      </c>
      <c r="W2144" t="s">
        <v>60</v>
      </c>
    </row>
    <row r="2145" spans="1:23" x14ac:dyDescent="0.25">
      <c r="A2145">
        <v>2144</v>
      </c>
      <c r="B2145">
        <v>53</v>
      </c>
      <c r="C2145" t="str" cm="1">
        <f t="array" ref="C2145">_xlfn.IFS(
  AND(B2145&gt;=18, B2145&lt;=24), "18-24",
  AND(B2145&gt;=25, B2145&lt;=34), "25-34",
  AND(B2145&gt;=35, B2145&lt;=44), "35-44",
  AND(B2145&gt;=45, B2145&lt;=54), "45-54",
  B2145&gt;=55, "55+"
)</f>
        <v>45-54</v>
      </c>
      <c r="D2145" t="s">
        <v>19</v>
      </c>
      <c r="E2145" t="s">
        <v>42</v>
      </c>
      <c r="F2145" t="s">
        <v>43</v>
      </c>
      <c r="G2145">
        <v>66</v>
      </c>
      <c r="H2145" t="s">
        <v>74</v>
      </c>
      <c r="I2145" t="s">
        <v>23</v>
      </c>
      <c r="J2145" t="s">
        <v>108</v>
      </c>
      <c r="K2145" t="s">
        <v>58</v>
      </c>
      <c r="L2145">
        <v>3.8</v>
      </c>
      <c r="M2145" t="s">
        <v>152</v>
      </c>
      <c r="N2145" t="s">
        <v>59</v>
      </c>
      <c r="O2145" t="s">
        <v>47</v>
      </c>
      <c r="P2145" t="s">
        <v>152</v>
      </c>
      <c r="Q2145" t="s">
        <v>152</v>
      </c>
      <c r="R2145">
        <v>48</v>
      </c>
      <c r="S2145" t="s">
        <v>29</v>
      </c>
      <c r="T2145" t="str">
        <f t="shared" si="66"/>
        <v>2-week</v>
      </c>
      <c r="U2145">
        <f>VLOOKUP(T2145,[1]tablescore!$B$3:$C$8, 2,FALSE)</f>
        <v>26</v>
      </c>
      <c r="V2145" t="str">
        <f t="shared" si="67"/>
        <v>Loyal</v>
      </c>
      <c r="W2145" t="s">
        <v>77</v>
      </c>
    </row>
    <row r="2146" spans="1:23" x14ac:dyDescent="0.25">
      <c r="A2146">
        <v>2145</v>
      </c>
      <c r="B2146">
        <v>47</v>
      </c>
      <c r="C2146" t="str" cm="1">
        <f t="array" ref="C2146">_xlfn.IFS(
  AND(B2146&gt;=18, B2146&lt;=24), "18-24",
  AND(B2146&gt;=25, B2146&lt;=34), "25-34",
  AND(B2146&gt;=35, B2146&lt;=44), "35-44",
  AND(B2146&gt;=45, B2146&lt;=54), "45-54",
  B2146&gt;=55, "55+"
)</f>
        <v>45-54</v>
      </c>
      <c r="D2146" t="s">
        <v>19</v>
      </c>
      <c r="E2146" t="s">
        <v>73</v>
      </c>
      <c r="F2146" t="s">
        <v>43</v>
      </c>
      <c r="G2146">
        <v>23</v>
      </c>
      <c r="H2146" t="s">
        <v>135</v>
      </c>
      <c r="I2146" t="s">
        <v>23</v>
      </c>
      <c r="J2146" t="s">
        <v>121</v>
      </c>
      <c r="K2146" t="s">
        <v>25</v>
      </c>
      <c r="L2146">
        <v>3.7</v>
      </c>
      <c r="M2146" t="s">
        <v>152</v>
      </c>
      <c r="N2146" t="s">
        <v>35</v>
      </c>
      <c r="O2146" t="s">
        <v>40</v>
      </c>
      <c r="P2146" t="s">
        <v>152</v>
      </c>
      <c r="Q2146" t="s">
        <v>152</v>
      </c>
      <c r="R2146">
        <v>25</v>
      </c>
      <c r="S2146" t="s">
        <v>46</v>
      </c>
      <c r="T2146" t="str">
        <f t="shared" si="66"/>
        <v>Quarterly</v>
      </c>
      <c r="U2146">
        <f>VLOOKUP(T2146,[1]tablescore!$B$3:$C$8, 2,FALSE)</f>
        <v>4</v>
      </c>
      <c r="V2146" t="str">
        <f t="shared" si="67"/>
        <v>Low Loyalty</v>
      </c>
      <c r="W2146" t="s">
        <v>60</v>
      </c>
    </row>
    <row r="2147" spans="1:23" x14ac:dyDescent="0.25">
      <c r="A2147">
        <v>2146</v>
      </c>
      <c r="B2147">
        <v>38</v>
      </c>
      <c r="C2147" t="str" cm="1">
        <f t="array" ref="C2147">_xlfn.IFS(
  AND(B2147&gt;=18, B2147&lt;=24), "18-24",
  AND(B2147&gt;=25, B2147&lt;=34), "25-34",
  AND(B2147&gt;=35, B2147&lt;=44), "35-44",
  AND(B2147&gt;=45, B2147&lt;=54), "45-54",
  B2147&gt;=55, "55+"
)</f>
        <v>35-44</v>
      </c>
      <c r="D2147" t="s">
        <v>19</v>
      </c>
      <c r="E2147" t="s">
        <v>87</v>
      </c>
      <c r="F2147" t="s">
        <v>21</v>
      </c>
      <c r="G2147">
        <v>73</v>
      </c>
      <c r="H2147" t="s">
        <v>146</v>
      </c>
      <c r="I2147" t="s">
        <v>38</v>
      </c>
      <c r="J2147" t="s">
        <v>53</v>
      </c>
      <c r="K2147" t="s">
        <v>25</v>
      </c>
      <c r="L2147">
        <v>4.8</v>
      </c>
      <c r="M2147" t="s">
        <v>152</v>
      </c>
      <c r="N2147" t="s">
        <v>59</v>
      </c>
      <c r="O2147" t="s">
        <v>55</v>
      </c>
      <c r="P2147" t="s">
        <v>152</v>
      </c>
      <c r="Q2147" t="s">
        <v>152</v>
      </c>
      <c r="R2147">
        <v>32</v>
      </c>
      <c r="S2147" t="s">
        <v>46</v>
      </c>
      <c r="T2147" t="str">
        <f t="shared" si="66"/>
        <v>Annually</v>
      </c>
      <c r="U2147">
        <f>VLOOKUP(T2147,[1]tablescore!$B$3:$C$8, 2,FALSE)</f>
        <v>1</v>
      </c>
      <c r="V2147" t="str">
        <f t="shared" si="67"/>
        <v>Low Loyalty</v>
      </c>
      <c r="W2147" t="s">
        <v>50</v>
      </c>
    </row>
    <row r="2148" spans="1:23" x14ac:dyDescent="0.25">
      <c r="A2148">
        <v>2147</v>
      </c>
      <c r="B2148">
        <v>48</v>
      </c>
      <c r="C2148" t="str" cm="1">
        <f t="array" ref="C2148">_xlfn.IFS(
  AND(B2148&gt;=18, B2148&lt;=24), "18-24",
  AND(B2148&gt;=25, B2148&lt;=34), "25-34",
  AND(B2148&gt;=35, B2148&lt;=44), "35-44",
  AND(B2148&gt;=45, B2148&lt;=54), "45-54",
  B2148&gt;=55, "55+"
)</f>
        <v>45-54</v>
      </c>
      <c r="D2148" t="s">
        <v>19</v>
      </c>
      <c r="E2148" t="s">
        <v>89</v>
      </c>
      <c r="F2148" t="s">
        <v>69</v>
      </c>
      <c r="G2148">
        <v>23</v>
      </c>
      <c r="H2148" t="s">
        <v>149</v>
      </c>
      <c r="I2148" t="s">
        <v>92</v>
      </c>
      <c r="J2148" t="s">
        <v>53</v>
      </c>
      <c r="K2148" t="s">
        <v>54</v>
      </c>
      <c r="L2148">
        <v>4.5999999999999996</v>
      </c>
      <c r="M2148" t="s">
        <v>152</v>
      </c>
      <c r="N2148" t="s">
        <v>59</v>
      </c>
      <c r="O2148" t="s">
        <v>55</v>
      </c>
      <c r="P2148" t="s">
        <v>152</v>
      </c>
      <c r="Q2148" t="s">
        <v>152</v>
      </c>
      <c r="R2148">
        <v>45</v>
      </c>
      <c r="S2148" t="s">
        <v>46</v>
      </c>
      <c r="T2148" t="str">
        <f t="shared" si="66"/>
        <v>Quarterly</v>
      </c>
      <c r="U2148">
        <f>VLOOKUP(T2148,[1]tablescore!$B$3:$C$8, 2,FALSE)</f>
        <v>4</v>
      </c>
      <c r="V2148" t="str">
        <f t="shared" si="67"/>
        <v>Low Loyalty</v>
      </c>
      <c r="W2148" t="s">
        <v>97</v>
      </c>
    </row>
    <row r="2149" spans="1:23" x14ac:dyDescent="0.25">
      <c r="A2149">
        <v>2148</v>
      </c>
      <c r="B2149">
        <v>47</v>
      </c>
      <c r="C2149" t="str" cm="1">
        <f t="array" ref="C2149">_xlfn.IFS(
  AND(B2149&gt;=18, B2149&lt;=24), "18-24",
  AND(B2149&gt;=25, B2149&lt;=34), "25-34",
  AND(B2149&gt;=35, B2149&lt;=44), "35-44",
  AND(B2149&gt;=45, B2149&lt;=54), "45-54",
  B2149&gt;=55, "55+"
)</f>
        <v>45-54</v>
      </c>
      <c r="D2149" t="s">
        <v>19</v>
      </c>
      <c r="E2149" t="s">
        <v>87</v>
      </c>
      <c r="F2149" t="s">
        <v>21</v>
      </c>
      <c r="G2149">
        <v>43</v>
      </c>
      <c r="H2149" t="s">
        <v>70</v>
      </c>
      <c r="I2149" t="s">
        <v>38</v>
      </c>
      <c r="J2149" t="s">
        <v>63</v>
      </c>
      <c r="K2149" t="s">
        <v>58</v>
      </c>
      <c r="L2149">
        <v>4.8</v>
      </c>
      <c r="M2149" t="s">
        <v>152</v>
      </c>
      <c r="N2149" t="s">
        <v>46</v>
      </c>
      <c r="O2149" t="s">
        <v>55</v>
      </c>
      <c r="P2149" t="s">
        <v>152</v>
      </c>
      <c r="Q2149" t="s">
        <v>152</v>
      </c>
      <c r="R2149">
        <v>4</v>
      </c>
      <c r="S2149" t="s">
        <v>35</v>
      </c>
      <c r="T2149" t="str">
        <f t="shared" si="66"/>
        <v>2-week</v>
      </c>
      <c r="U2149">
        <f>VLOOKUP(T2149,[1]tablescore!$B$3:$C$8, 2,FALSE)</f>
        <v>26</v>
      </c>
      <c r="V2149" t="str">
        <f t="shared" si="67"/>
        <v>Loyal</v>
      </c>
      <c r="W2149" t="s">
        <v>30</v>
      </c>
    </row>
    <row r="2150" spans="1:23" x14ac:dyDescent="0.25">
      <c r="A2150">
        <v>2149</v>
      </c>
      <c r="B2150">
        <v>19</v>
      </c>
      <c r="C2150" t="str" cm="1">
        <f t="array" ref="C2150">_xlfn.IFS(
  AND(B2150&gt;=18, B2150&lt;=24), "18-24",
  AND(B2150&gt;=25, B2150&lt;=34), "25-34",
  AND(B2150&gt;=35, B2150&lt;=44), "35-44",
  AND(B2150&gt;=45, B2150&lt;=54), "45-54",
  B2150&gt;=55, "55+"
)</f>
        <v>18-24</v>
      </c>
      <c r="D2150" t="s">
        <v>19</v>
      </c>
      <c r="E2150" t="s">
        <v>113</v>
      </c>
      <c r="F2150" t="s">
        <v>21</v>
      </c>
      <c r="G2150">
        <v>45</v>
      </c>
      <c r="H2150" t="s">
        <v>143</v>
      </c>
      <c r="I2150" t="s">
        <v>92</v>
      </c>
      <c r="J2150" t="s">
        <v>49</v>
      </c>
      <c r="K2150" t="s">
        <v>25</v>
      </c>
      <c r="L2150">
        <v>4.5999999999999996</v>
      </c>
      <c r="M2150" t="s">
        <v>152</v>
      </c>
      <c r="N2150" t="s">
        <v>46</v>
      </c>
      <c r="O2150" t="s">
        <v>72</v>
      </c>
      <c r="P2150" t="s">
        <v>152</v>
      </c>
      <c r="Q2150" t="s">
        <v>152</v>
      </c>
      <c r="R2150">
        <v>19</v>
      </c>
      <c r="S2150" t="s">
        <v>46</v>
      </c>
      <c r="T2150" t="str">
        <f t="shared" si="66"/>
        <v>2-week</v>
      </c>
      <c r="U2150">
        <f>VLOOKUP(T2150,[1]tablescore!$B$3:$C$8, 2,FALSE)</f>
        <v>26</v>
      </c>
      <c r="V2150" t="str">
        <f t="shared" si="67"/>
        <v>Loyal</v>
      </c>
      <c r="W2150" t="s">
        <v>77</v>
      </c>
    </row>
    <row r="2151" spans="1:23" x14ac:dyDescent="0.25">
      <c r="A2151">
        <v>2150</v>
      </c>
      <c r="B2151">
        <v>38</v>
      </c>
      <c r="C2151" t="str" cm="1">
        <f t="array" ref="C2151">_xlfn.IFS(
  AND(B2151&gt;=18, B2151&lt;=24), "18-24",
  AND(B2151&gt;=25, B2151&lt;=34), "25-34",
  AND(B2151&gt;=35, B2151&lt;=44), "35-44",
  AND(B2151&gt;=45, B2151&lt;=54), "45-54",
  B2151&gt;=55, "55+"
)</f>
        <v>35-44</v>
      </c>
      <c r="D2151" t="s">
        <v>19</v>
      </c>
      <c r="E2151" t="s">
        <v>42</v>
      </c>
      <c r="F2151" t="s">
        <v>43</v>
      </c>
      <c r="G2151">
        <v>21</v>
      </c>
      <c r="H2151" t="s">
        <v>78</v>
      </c>
      <c r="I2151" t="s">
        <v>23</v>
      </c>
      <c r="J2151" t="s">
        <v>121</v>
      </c>
      <c r="K2151" t="s">
        <v>25</v>
      </c>
      <c r="L2151">
        <v>4</v>
      </c>
      <c r="M2151" t="s">
        <v>152</v>
      </c>
      <c r="N2151" t="s">
        <v>34</v>
      </c>
      <c r="O2151" t="s">
        <v>55</v>
      </c>
      <c r="P2151" t="s">
        <v>152</v>
      </c>
      <c r="Q2151" t="s">
        <v>152</v>
      </c>
      <c r="R2151">
        <v>1</v>
      </c>
      <c r="S2151" t="s">
        <v>34</v>
      </c>
      <c r="T2151" t="str">
        <f t="shared" si="66"/>
        <v>Daily</v>
      </c>
      <c r="U2151">
        <f>VLOOKUP(T2151,[1]tablescore!$B$3:$C$8, 2,FALSE)</f>
        <v>30</v>
      </c>
      <c r="V2151" t="str">
        <f t="shared" si="67"/>
        <v>Highly Loyal</v>
      </c>
      <c r="W2151" t="s">
        <v>41</v>
      </c>
    </row>
    <row r="2152" spans="1:23" x14ac:dyDescent="0.25">
      <c r="A2152">
        <v>2151</v>
      </c>
      <c r="B2152">
        <v>57</v>
      </c>
      <c r="C2152" t="str" cm="1">
        <f t="array" ref="C2152">_xlfn.IFS(
  AND(B2152&gt;=18, B2152&lt;=24), "18-24",
  AND(B2152&gt;=25, B2152&lt;=34), "25-34",
  AND(B2152&gt;=35, B2152&lt;=44), "35-44",
  AND(B2152&gt;=45, B2152&lt;=54), "45-54",
  B2152&gt;=55, "55+"
)</f>
        <v>55+</v>
      </c>
      <c r="D2152" t="s">
        <v>19</v>
      </c>
      <c r="E2152" t="s">
        <v>56</v>
      </c>
      <c r="F2152" t="s">
        <v>21</v>
      </c>
      <c r="G2152">
        <v>40</v>
      </c>
      <c r="H2152" t="s">
        <v>115</v>
      </c>
      <c r="I2152" t="s">
        <v>45</v>
      </c>
      <c r="J2152" t="s">
        <v>121</v>
      </c>
      <c r="K2152" t="s">
        <v>39</v>
      </c>
      <c r="L2152">
        <v>2.6</v>
      </c>
      <c r="M2152" t="s">
        <v>152</v>
      </c>
      <c r="N2152" t="s">
        <v>46</v>
      </c>
      <c r="O2152" t="s">
        <v>72</v>
      </c>
      <c r="P2152" t="s">
        <v>152</v>
      </c>
      <c r="Q2152" t="s">
        <v>152</v>
      </c>
      <c r="R2152">
        <v>12</v>
      </c>
      <c r="S2152" t="s">
        <v>35</v>
      </c>
      <c r="T2152" t="str">
        <f t="shared" si="66"/>
        <v>Daily</v>
      </c>
      <c r="U2152">
        <f>VLOOKUP(T2152,[1]tablescore!$B$3:$C$8, 2,FALSE)</f>
        <v>30</v>
      </c>
      <c r="V2152" t="str">
        <f t="shared" si="67"/>
        <v>Highly Loyal</v>
      </c>
      <c r="W2152" t="s">
        <v>41</v>
      </c>
    </row>
    <row r="2153" spans="1:23" x14ac:dyDescent="0.25">
      <c r="A2153">
        <v>2152</v>
      </c>
      <c r="B2153">
        <v>70</v>
      </c>
      <c r="C2153" t="str" cm="1">
        <f t="array" ref="C2153">_xlfn.IFS(
  AND(B2153&gt;=18, B2153&lt;=24), "18-24",
  AND(B2153&gt;=25, B2153&lt;=34), "25-34",
  AND(B2153&gt;=35, B2153&lt;=44), "35-44",
  AND(B2153&gt;=45, B2153&lt;=54), "45-54",
  B2153&gt;=55, "55+"
)</f>
        <v>55+</v>
      </c>
      <c r="D2153" t="s">
        <v>19</v>
      </c>
      <c r="E2153" t="s">
        <v>36</v>
      </c>
      <c r="F2153" t="s">
        <v>21</v>
      </c>
      <c r="G2153">
        <v>58</v>
      </c>
      <c r="H2153" t="s">
        <v>145</v>
      </c>
      <c r="I2153" t="s">
        <v>23</v>
      </c>
      <c r="J2153" t="s">
        <v>110</v>
      </c>
      <c r="K2153" t="s">
        <v>58</v>
      </c>
      <c r="L2153">
        <v>2.6</v>
      </c>
      <c r="M2153" t="s">
        <v>152</v>
      </c>
      <c r="N2153" t="s">
        <v>29</v>
      </c>
      <c r="O2153" t="s">
        <v>72</v>
      </c>
      <c r="P2153" t="s">
        <v>152</v>
      </c>
      <c r="Q2153" t="s">
        <v>152</v>
      </c>
      <c r="R2153">
        <v>18</v>
      </c>
      <c r="S2153" t="s">
        <v>29</v>
      </c>
      <c r="T2153" t="str">
        <f t="shared" si="66"/>
        <v>Month</v>
      </c>
      <c r="U2153">
        <f>VLOOKUP(T2153,[1]tablescore!$B$3:$C$8, 2,FALSE)</f>
        <v>12</v>
      </c>
      <c r="V2153" t="str">
        <f t="shared" si="67"/>
        <v>Moderate</v>
      </c>
      <c r="W2153" t="s">
        <v>88</v>
      </c>
    </row>
    <row r="2154" spans="1:23" x14ac:dyDescent="0.25">
      <c r="A2154">
        <v>2153</v>
      </c>
      <c r="B2154">
        <v>38</v>
      </c>
      <c r="C2154" t="str" cm="1">
        <f t="array" ref="C2154">_xlfn.IFS(
  AND(B2154&gt;=18, B2154&lt;=24), "18-24",
  AND(B2154&gt;=25, B2154&lt;=34), "25-34",
  AND(B2154&gt;=35, B2154&lt;=44), "35-44",
  AND(B2154&gt;=45, B2154&lt;=54), "45-54",
  B2154&gt;=55, "55+"
)</f>
        <v>35-44</v>
      </c>
      <c r="D2154" t="s">
        <v>19</v>
      </c>
      <c r="E2154" t="s">
        <v>61</v>
      </c>
      <c r="F2154" t="s">
        <v>21</v>
      </c>
      <c r="G2154">
        <v>48</v>
      </c>
      <c r="H2154" t="s">
        <v>137</v>
      </c>
      <c r="I2154" t="s">
        <v>23</v>
      </c>
      <c r="J2154" t="s">
        <v>147</v>
      </c>
      <c r="K2154" t="s">
        <v>54</v>
      </c>
      <c r="L2154">
        <v>4.5</v>
      </c>
      <c r="M2154" t="s">
        <v>152</v>
      </c>
      <c r="N2154" t="s">
        <v>34</v>
      </c>
      <c r="O2154" t="s">
        <v>47</v>
      </c>
      <c r="P2154" t="s">
        <v>152</v>
      </c>
      <c r="Q2154" t="s">
        <v>152</v>
      </c>
      <c r="R2154">
        <v>43</v>
      </c>
      <c r="S2154" t="s">
        <v>34</v>
      </c>
      <c r="T2154" t="str">
        <f t="shared" si="66"/>
        <v>2-week</v>
      </c>
      <c r="U2154">
        <f>VLOOKUP(T2154,[1]tablescore!$B$3:$C$8, 2,FALSE)</f>
        <v>26</v>
      </c>
      <c r="V2154" t="str">
        <f t="shared" si="67"/>
        <v>Loyal</v>
      </c>
      <c r="W2154" t="s">
        <v>77</v>
      </c>
    </row>
    <row r="2155" spans="1:23" x14ac:dyDescent="0.25">
      <c r="A2155">
        <v>2154</v>
      </c>
      <c r="B2155">
        <v>35</v>
      </c>
      <c r="C2155" t="str" cm="1">
        <f t="array" ref="C2155">_xlfn.IFS(
  AND(B2155&gt;=18, B2155&lt;=24), "18-24",
  AND(B2155&gt;=25, B2155&lt;=34), "25-34",
  AND(B2155&gt;=35, B2155&lt;=44), "35-44",
  AND(B2155&gt;=45, B2155&lt;=54), "45-54",
  B2155&gt;=55, "55+"
)</f>
        <v>35-44</v>
      </c>
      <c r="D2155" t="s">
        <v>19</v>
      </c>
      <c r="E2155" t="s">
        <v>56</v>
      </c>
      <c r="F2155" t="s">
        <v>21</v>
      </c>
      <c r="G2155">
        <v>94</v>
      </c>
      <c r="H2155" t="s">
        <v>22</v>
      </c>
      <c r="I2155" t="s">
        <v>45</v>
      </c>
      <c r="J2155" t="s">
        <v>84</v>
      </c>
      <c r="K2155" t="s">
        <v>58</v>
      </c>
      <c r="L2155">
        <v>4.2</v>
      </c>
      <c r="M2155" t="s">
        <v>152</v>
      </c>
      <c r="N2155" t="s">
        <v>27</v>
      </c>
      <c r="O2155" t="s">
        <v>40</v>
      </c>
      <c r="P2155" t="s">
        <v>152</v>
      </c>
      <c r="Q2155" t="s">
        <v>152</v>
      </c>
      <c r="R2155">
        <v>31</v>
      </c>
      <c r="S2155" t="s">
        <v>46</v>
      </c>
      <c r="T2155" t="str">
        <f t="shared" si="66"/>
        <v>Annually</v>
      </c>
      <c r="U2155">
        <f>VLOOKUP(T2155,[1]tablescore!$B$3:$C$8, 2,FALSE)</f>
        <v>1</v>
      </c>
      <c r="V2155" t="str">
        <f t="shared" si="67"/>
        <v>Low Loyalty</v>
      </c>
      <c r="W2155" t="s">
        <v>50</v>
      </c>
    </row>
    <row r="2156" spans="1:23" x14ac:dyDescent="0.25">
      <c r="A2156">
        <v>2155</v>
      </c>
      <c r="B2156">
        <v>46</v>
      </c>
      <c r="C2156" t="str" cm="1">
        <f t="array" ref="C2156">_xlfn.IFS(
  AND(B2156&gt;=18, B2156&lt;=24), "18-24",
  AND(B2156&gt;=25, B2156&lt;=34), "25-34",
  AND(B2156&gt;=35, B2156&lt;=44), "35-44",
  AND(B2156&gt;=45, B2156&lt;=54), "45-54",
  B2156&gt;=55, "55+"
)</f>
        <v>45-54</v>
      </c>
      <c r="D2156" t="s">
        <v>19</v>
      </c>
      <c r="E2156" t="s">
        <v>119</v>
      </c>
      <c r="F2156" t="s">
        <v>69</v>
      </c>
      <c r="G2156">
        <v>74</v>
      </c>
      <c r="H2156" t="s">
        <v>52</v>
      </c>
      <c r="I2156" t="s">
        <v>45</v>
      </c>
      <c r="J2156" t="s">
        <v>84</v>
      </c>
      <c r="K2156" t="s">
        <v>39</v>
      </c>
      <c r="L2156">
        <v>3.4</v>
      </c>
      <c r="M2156" t="s">
        <v>152</v>
      </c>
      <c r="N2156" t="s">
        <v>59</v>
      </c>
      <c r="O2156" t="s">
        <v>76</v>
      </c>
      <c r="P2156" t="s">
        <v>152</v>
      </c>
      <c r="Q2156" t="s">
        <v>152</v>
      </c>
      <c r="R2156">
        <v>33</v>
      </c>
      <c r="S2156" t="s">
        <v>35</v>
      </c>
      <c r="T2156" t="str">
        <f t="shared" si="66"/>
        <v>Quarterly</v>
      </c>
      <c r="U2156">
        <f>VLOOKUP(T2156,[1]tablescore!$B$3:$C$8, 2,FALSE)</f>
        <v>4</v>
      </c>
      <c r="V2156" t="str">
        <f t="shared" si="67"/>
        <v>Low Loyalty</v>
      </c>
      <c r="W2156" t="s">
        <v>97</v>
      </c>
    </row>
    <row r="2157" spans="1:23" x14ac:dyDescent="0.25">
      <c r="A2157">
        <v>2156</v>
      </c>
      <c r="B2157">
        <v>32</v>
      </c>
      <c r="C2157" t="str" cm="1">
        <f t="array" ref="C2157">_xlfn.IFS(
  AND(B2157&gt;=18, B2157&lt;=24), "18-24",
  AND(B2157&gt;=25, B2157&lt;=34), "25-34",
  AND(B2157&gt;=35, B2157&lt;=44), "35-44",
  AND(B2157&gt;=45, B2157&lt;=54), "45-54",
  B2157&gt;=55, "55+"
)</f>
        <v>25-34</v>
      </c>
      <c r="D2157" t="s">
        <v>19</v>
      </c>
      <c r="E2157" t="s">
        <v>68</v>
      </c>
      <c r="F2157" t="s">
        <v>69</v>
      </c>
      <c r="G2157">
        <v>51</v>
      </c>
      <c r="H2157" t="s">
        <v>78</v>
      </c>
      <c r="I2157" t="s">
        <v>23</v>
      </c>
      <c r="J2157" t="s">
        <v>139</v>
      </c>
      <c r="K2157" t="s">
        <v>58</v>
      </c>
      <c r="L2157">
        <v>3.7</v>
      </c>
      <c r="M2157" t="s">
        <v>152</v>
      </c>
      <c r="N2157" t="s">
        <v>59</v>
      </c>
      <c r="O2157" t="s">
        <v>76</v>
      </c>
      <c r="P2157" t="s">
        <v>152</v>
      </c>
      <c r="Q2157" t="s">
        <v>152</v>
      </c>
      <c r="R2157">
        <v>46</v>
      </c>
      <c r="S2157" t="s">
        <v>46</v>
      </c>
      <c r="T2157" t="str">
        <f t="shared" si="66"/>
        <v>Month</v>
      </c>
      <c r="U2157">
        <f>VLOOKUP(T2157,[1]tablescore!$B$3:$C$8, 2,FALSE)</f>
        <v>12</v>
      </c>
      <c r="V2157" t="str">
        <f t="shared" si="67"/>
        <v>Moderate</v>
      </c>
      <c r="W2157" t="s">
        <v>88</v>
      </c>
    </row>
    <row r="2158" spans="1:23" x14ac:dyDescent="0.25">
      <c r="A2158">
        <v>2157</v>
      </c>
      <c r="B2158">
        <v>38</v>
      </c>
      <c r="C2158" t="str" cm="1">
        <f t="array" ref="C2158">_xlfn.IFS(
  AND(B2158&gt;=18, B2158&lt;=24), "18-24",
  AND(B2158&gt;=25, B2158&lt;=34), "25-34",
  AND(B2158&gt;=35, B2158&lt;=44), "35-44",
  AND(B2158&gt;=45, B2158&lt;=54), "45-54",
  B2158&gt;=55, "55+"
)</f>
        <v>35-44</v>
      </c>
      <c r="D2158" t="s">
        <v>19</v>
      </c>
      <c r="E2158" t="s">
        <v>87</v>
      </c>
      <c r="F2158" t="s">
        <v>21</v>
      </c>
      <c r="G2158">
        <v>83</v>
      </c>
      <c r="H2158" t="s">
        <v>70</v>
      </c>
      <c r="I2158" t="s">
        <v>45</v>
      </c>
      <c r="J2158" t="s">
        <v>33</v>
      </c>
      <c r="K2158" t="s">
        <v>25</v>
      </c>
      <c r="L2158">
        <v>3.6</v>
      </c>
      <c r="M2158" t="s">
        <v>152</v>
      </c>
      <c r="N2158" t="s">
        <v>46</v>
      </c>
      <c r="O2158" t="s">
        <v>47</v>
      </c>
      <c r="P2158" t="s">
        <v>152</v>
      </c>
      <c r="Q2158" t="s">
        <v>152</v>
      </c>
      <c r="R2158">
        <v>41</v>
      </c>
      <c r="S2158" t="s">
        <v>59</v>
      </c>
      <c r="T2158" t="str">
        <f t="shared" si="66"/>
        <v>2-week</v>
      </c>
      <c r="U2158">
        <f>VLOOKUP(T2158,[1]tablescore!$B$3:$C$8, 2,FALSE)</f>
        <v>26</v>
      </c>
      <c r="V2158" t="str">
        <f t="shared" si="67"/>
        <v>Loyal</v>
      </c>
      <c r="W2158" t="s">
        <v>77</v>
      </c>
    </row>
    <row r="2159" spans="1:23" x14ac:dyDescent="0.25">
      <c r="A2159">
        <v>2158</v>
      </c>
      <c r="B2159">
        <v>41</v>
      </c>
      <c r="C2159" t="str" cm="1">
        <f t="array" ref="C2159">_xlfn.IFS(
  AND(B2159&gt;=18, B2159&lt;=24), "18-24",
  AND(B2159&gt;=25, B2159&lt;=34), "25-34",
  AND(B2159&gt;=35, B2159&lt;=44), "35-44",
  AND(B2159&gt;=45, B2159&lt;=54), "45-54",
  B2159&gt;=55, "55+"
)</f>
        <v>35-44</v>
      </c>
      <c r="D2159" t="s">
        <v>19</v>
      </c>
      <c r="E2159" t="s">
        <v>68</v>
      </c>
      <c r="F2159" t="s">
        <v>69</v>
      </c>
      <c r="G2159">
        <v>68</v>
      </c>
      <c r="H2159" t="s">
        <v>91</v>
      </c>
      <c r="I2159" t="s">
        <v>23</v>
      </c>
      <c r="J2159" t="s">
        <v>49</v>
      </c>
      <c r="K2159" t="s">
        <v>25</v>
      </c>
      <c r="L2159">
        <v>4</v>
      </c>
      <c r="M2159" t="s">
        <v>152</v>
      </c>
      <c r="N2159" t="s">
        <v>59</v>
      </c>
      <c r="O2159" t="s">
        <v>47</v>
      </c>
      <c r="P2159" t="s">
        <v>152</v>
      </c>
      <c r="Q2159" t="s">
        <v>152</v>
      </c>
      <c r="R2159">
        <v>41</v>
      </c>
      <c r="S2159" t="s">
        <v>29</v>
      </c>
      <c r="T2159" t="str">
        <f t="shared" si="66"/>
        <v>2-week</v>
      </c>
      <c r="U2159">
        <f>VLOOKUP(T2159,[1]tablescore!$B$3:$C$8, 2,FALSE)</f>
        <v>26</v>
      </c>
      <c r="V2159" t="str">
        <f t="shared" si="67"/>
        <v>Loyal</v>
      </c>
      <c r="W2159" t="s">
        <v>30</v>
      </c>
    </row>
    <row r="2160" spans="1:23" x14ac:dyDescent="0.25">
      <c r="A2160">
        <v>2159</v>
      </c>
      <c r="B2160">
        <v>19</v>
      </c>
      <c r="C2160" t="str" cm="1">
        <f t="array" ref="C2160">_xlfn.IFS(
  AND(B2160&gt;=18, B2160&lt;=24), "18-24",
  AND(B2160&gt;=25, B2160&lt;=34), "25-34",
  AND(B2160&gt;=35, B2160&lt;=44), "35-44",
  AND(B2160&gt;=45, B2160&lt;=54), "45-54",
  B2160&gt;=55, "55+"
)</f>
        <v>18-24</v>
      </c>
      <c r="D2160" t="s">
        <v>19</v>
      </c>
      <c r="E2160" t="s">
        <v>127</v>
      </c>
      <c r="F2160" t="s">
        <v>69</v>
      </c>
      <c r="G2160">
        <v>84</v>
      </c>
      <c r="H2160" t="s">
        <v>37</v>
      </c>
      <c r="I2160" t="s">
        <v>92</v>
      </c>
      <c r="J2160" t="s">
        <v>79</v>
      </c>
      <c r="K2160" t="s">
        <v>39</v>
      </c>
      <c r="L2160">
        <v>4.5999999999999996</v>
      </c>
      <c r="M2160" t="s">
        <v>152</v>
      </c>
      <c r="N2160" t="s">
        <v>27</v>
      </c>
      <c r="O2160" t="s">
        <v>55</v>
      </c>
      <c r="P2160" t="s">
        <v>152</v>
      </c>
      <c r="Q2160" t="s">
        <v>152</v>
      </c>
      <c r="R2160">
        <v>9</v>
      </c>
      <c r="S2160" t="s">
        <v>34</v>
      </c>
      <c r="T2160" t="str">
        <f t="shared" si="66"/>
        <v>2-week</v>
      </c>
      <c r="U2160">
        <f>VLOOKUP(T2160,[1]tablescore!$B$3:$C$8, 2,FALSE)</f>
        <v>26</v>
      </c>
      <c r="V2160" t="str">
        <f t="shared" si="67"/>
        <v>Loyal</v>
      </c>
      <c r="W2160" t="s">
        <v>30</v>
      </c>
    </row>
    <row r="2161" spans="1:23" x14ac:dyDescent="0.25">
      <c r="A2161">
        <v>2160</v>
      </c>
      <c r="B2161">
        <v>18</v>
      </c>
      <c r="C2161" t="str" cm="1">
        <f t="array" ref="C2161">_xlfn.IFS(
  AND(B2161&gt;=18, B2161&lt;=24), "18-24",
  AND(B2161&gt;=25, B2161&lt;=34), "25-34",
  AND(B2161&gt;=35, B2161&lt;=44), "35-44",
  AND(B2161&gt;=45, B2161&lt;=54), "45-54",
  B2161&gt;=55, "55+"
)</f>
        <v>18-24</v>
      </c>
      <c r="D2161" t="s">
        <v>19</v>
      </c>
      <c r="E2161" t="s">
        <v>56</v>
      </c>
      <c r="F2161" t="s">
        <v>21</v>
      </c>
      <c r="G2161">
        <v>58</v>
      </c>
      <c r="H2161" t="s">
        <v>62</v>
      </c>
      <c r="I2161" t="s">
        <v>45</v>
      </c>
      <c r="J2161" t="s">
        <v>100</v>
      </c>
      <c r="K2161" t="s">
        <v>58</v>
      </c>
      <c r="L2161">
        <v>3</v>
      </c>
      <c r="M2161" t="s">
        <v>152</v>
      </c>
      <c r="N2161" t="s">
        <v>46</v>
      </c>
      <c r="O2161" t="s">
        <v>40</v>
      </c>
      <c r="P2161" t="s">
        <v>152</v>
      </c>
      <c r="Q2161" t="s">
        <v>152</v>
      </c>
      <c r="R2161">
        <v>34</v>
      </c>
      <c r="S2161" t="s">
        <v>35</v>
      </c>
      <c r="T2161" t="str">
        <f t="shared" si="66"/>
        <v>Annually</v>
      </c>
      <c r="U2161">
        <f>VLOOKUP(T2161,[1]tablescore!$B$3:$C$8, 2,FALSE)</f>
        <v>1</v>
      </c>
      <c r="V2161" t="str">
        <f t="shared" si="67"/>
        <v>Low Loyalty</v>
      </c>
      <c r="W2161" t="s">
        <v>50</v>
      </c>
    </row>
    <row r="2162" spans="1:23" x14ac:dyDescent="0.25">
      <c r="A2162">
        <v>2161</v>
      </c>
      <c r="B2162">
        <v>45</v>
      </c>
      <c r="C2162" t="str" cm="1">
        <f t="array" ref="C2162">_xlfn.IFS(
  AND(B2162&gt;=18, B2162&lt;=24), "18-24",
  AND(B2162&gt;=25, B2162&lt;=34), "25-34",
  AND(B2162&gt;=35, B2162&lt;=44), "35-44",
  AND(B2162&gt;=45, B2162&lt;=54), "45-54",
  B2162&gt;=55, "55+"
)</f>
        <v>45-54</v>
      </c>
      <c r="D2162" t="s">
        <v>19</v>
      </c>
      <c r="E2162" t="s">
        <v>20</v>
      </c>
      <c r="F2162" t="s">
        <v>21</v>
      </c>
      <c r="G2162">
        <v>92</v>
      </c>
      <c r="H2162" t="s">
        <v>66</v>
      </c>
      <c r="I2162" t="s">
        <v>23</v>
      </c>
      <c r="J2162" t="s">
        <v>63</v>
      </c>
      <c r="K2162" t="s">
        <v>25</v>
      </c>
      <c r="L2162">
        <v>3.3</v>
      </c>
      <c r="M2162" t="s">
        <v>152</v>
      </c>
      <c r="N2162" t="s">
        <v>34</v>
      </c>
      <c r="O2162" t="s">
        <v>28</v>
      </c>
      <c r="P2162" t="s">
        <v>152</v>
      </c>
      <c r="Q2162" t="s">
        <v>152</v>
      </c>
      <c r="R2162">
        <v>21</v>
      </c>
      <c r="S2162" t="s">
        <v>46</v>
      </c>
      <c r="T2162" t="str">
        <f t="shared" si="66"/>
        <v>Annually</v>
      </c>
      <c r="U2162">
        <f>VLOOKUP(T2162,[1]tablescore!$B$3:$C$8, 2,FALSE)</f>
        <v>1</v>
      </c>
      <c r="V2162" t="str">
        <f t="shared" si="67"/>
        <v>Low Loyalty</v>
      </c>
      <c r="W2162" t="s">
        <v>50</v>
      </c>
    </row>
    <row r="2163" spans="1:23" x14ac:dyDescent="0.25">
      <c r="A2163">
        <v>2162</v>
      </c>
      <c r="B2163">
        <v>23</v>
      </c>
      <c r="C2163" t="str" cm="1">
        <f t="array" ref="C2163">_xlfn.IFS(
  AND(B2163&gt;=18, B2163&lt;=24), "18-24",
  AND(B2163&gt;=25, B2163&lt;=34), "25-34",
  AND(B2163&gt;=35, B2163&lt;=44), "35-44",
  AND(B2163&gt;=45, B2163&lt;=54), "45-54",
  B2163&gt;=55, "55+"
)</f>
        <v>18-24</v>
      </c>
      <c r="D2163" t="s">
        <v>19</v>
      </c>
      <c r="E2163" t="s">
        <v>82</v>
      </c>
      <c r="F2163" t="s">
        <v>21</v>
      </c>
      <c r="G2163">
        <v>69</v>
      </c>
      <c r="H2163" t="s">
        <v>140</v>
      </c>
      <c r="I2163" t="s">
        <v>38</v>
      </c>
      <c r="J2163" t="s">
        <v>100</v>
      </c>
      <c r="K2163" t="s">
        <v>54</v>
      </c>
      <c r="L2163">
        <v>3.8</v>
      </c>
      <c r="M2163" t="s">
        <v>152</v>
      </c>
      <c r="N2163" t="s">
        <v>27</v>
      </c>
      <c r="O2163" t="s">
        <v>28</v>
      </c>
      <c r="P2163" t="s">
        <v>152</v>
      </c>
      <c r="Q2163" t="s">
        <v>152</v>
      </c>
      <c r="R2163">
        <v>5</v>
      </c>
      <c r="S2163" t="s">
        <v>59</v>
      </c>
      <c r="T2163" t="str">
        <f t="shared" si="66"/>
        <v>2-week</v>
      </c>
      <c r="U2163">
        <f>VLOOKUP(T2163,[1]tablescore!$B$3:$C$8, 2,FALSE)</f>
        <v>26</v>
      </c>
      <c r="V2163" t="str">
        <f t="shared" si="67"/>
        <v>Loyal</v>
      </c>
      <c r="W2163" t="s">
        <v>30</v>
      </c>
    </row>
    <row r="2164" spans="1:23" x14ac:dyDescent="0.25">
      <c r="A2164">
        <v>2163</v>
      </c>
      <c r="B2164">
        <v>60</v>
      </c>
      <c r="C2164" t="str" cm="1">
        <f t="array" ref="C2164">_xlfn.IFS(
  AND(B2164&gt;=18, B2164&lt;=24), "18-24",
  AND(B2164&gt;=25, B2164&lt;=34), "25-34",
  AND(B2164&gt;=35, B2164&lt;=44), "35-44",
  AND(B2164&gt;=45, B2164&lt;=54), "45-54",
  B2164&gt;=55, "55+"
)</f>
        <v>55+</v>
      </c>
      <c r="D2164" t="s">
        <v>19</v>
      </c>
      <c r="E2164" t="s">
        <v>61</v>
      </c>
      <c r="F2164" t="s">
        <v>21</v>
      </c>
      <c r="G2164">
        <v>48</v>
      </c>
      <c r="H2164" t="s">
        <v>48</v>
      </c>
      <c r="I2164" t="s">
        <v>38</v>
      </c>
      <c r="J2164" t="s">
        <v>94</v>
      </c>
      <c r="K2164" t="s">
        <v>54</v>
      </c>
      <c r="L2164">
        <v>2.7</v>
      </c>
      <c r="M2164" t="s">
        <v>152</v>
      </c>
      <c r="N2164" t="s">
        <v>27</v>
      </c>
      <c r="O2164" t="s">
        <v>40</v>
      </c>
      <c r="P2164" t="s">
        <v>152</v>
      </c>
      <c r="Q2164" t="s">
        <v>152</v>
      </c>
      <c r="R2164">
        <v>32</v>
      </c>
      <c r="S2164" t="s">
        <v>46</v>
      </c>
      <c r="T2164" t="str">
        <f t="shared" si="66"/>
        <v>Daily</v>
      </c>
      <c r="U2164">
        <f>VLOOKUP(T2164,[1]tablescore!$B$3:$C$8, 2,FALSE)</f>
        <v>30</v>
      </c>
      <c r="V2164" t="str">
        <f t="shared" si="67"/>
        <v>Highly Loyal</v>
      </c>
      <c r="W2164" t="s">
        <v>41</v>
      </c>
    </row>
    <row r="2165" spans="1:23" x14ac:dyDescent="0.25">
      <c r="A2165">
        <v>2164</v>
      </c>
      <c r="B2165">
        <v>52</v>
      </c>
      <c r="C2165" t="str" cm="1">
        <f t="array" ref="C2165">_xlfn.IFS(
  AND(B2165&gt;=18, B2165&lt;=24), "18-24",
  AND(B2165&gt;=25, B2165&lt;=34), "25-34",
  AND(B2165&gt;=35, B2165&lt;=44), "35-44",
  AND(B2165&gt;=45, B2165&lt;=54), "45-54",
  B2165&gt;=55, "55+"
)</f>
        <v>45-54</v>
      </c>
      <c r="D2165" t="s">
        <v>19</v>
      </c>
      <c r="E2165" t="s">
        <v>73</v>
      </c>
      <c r="F2165" t="s">
        <v>43</v>
      </c>
      <c r="G2165">
        <v>60</v>
      </c>
      <c r="H2165" t="s">
        <v>85</v>
      </c>
      <c r="I2165" t="s">
        <v>23</v>
      </c>
      <c r="J2165" t="s">
        <v>24</v>
      </c>
      <c r="K2165" t="s">
        <v>39</v>
      </c>
      <c r="L2165">
        <v>4.5</v>
      </c>
      <c r="M2165" t="s">
        <v>152</v>
      </c>
      <c r="N2165" t="s">
        <v>34</v>
      </c>
      <c r="O2165" t="s">
        <v>28</v>
      </c>
      <c r="P2165" t="s">
        <v>152</v>
      </c>
      <c r="Q2165" t="s">
        <v>152</v>
      </c>
      <c r="R2165">
        <v>44</v>
      </c>
      <c r="S2165" t="s">
        <v>34</v>
      </c>
      <c r="T2165" t="str">
        <f t="shared" si="66"/>
        <v>Month</v>
      </c>
      <c r="U2165">
        <f>VLOOKUP(T2165,[1]tablescore!$B$3:$C$8, 2,FALSE)</f>
        <v>12</v>
      </c>
      <c r="V2165" t="str">
        <f t="shared" si="67"/>
        <v>Moderate</v>
      </c>
      <c r="W2165" t="s">
        <v>88</v>
      </c>
    </row>
    <row r="2166" spans="1:23" x14ac:dyDescent="0.25">
      <c r="A2166">
        <v>2165</v>
      </c>
      <c r="B2166">
        <v>42</v>
      </c>
      <c r="C2166" t="str" cm="1">
        <f t="array" ref="C2166">_xlfn.IFS(
  AND(B2166&gt;=18, B2166&lt;=24), "18-24",
  AND(B2166&gt;=25, B2166&lt;=34), "25-34",
  AND(B2166&gt;=35, B2166&lt;=44), "35-44",
  AND(B2166&gt;=45, B2166&lt;=54), "45-54",
  B2166&gt;=55, "55+"
)</f>
        <v>35-44</v>
      </c>
      <c r="D2166" t="s">
        <v>19</v>
      </c>
      <c r="E2166" t="s">
        <v>42</v>
      </c>
      <c r="F2166" t="s">
        <v>43</v>
      </c>
      <c r="G2166">
        <v>20</v>
      </c>
      <c r="H2166" t="s">
        <v>150</v>
      </c>
      <c r="I2166" t="s">
        <v>38</v>
      </c>
      <c r="J2166" t="s">
        <v>79</v>
      </c>
      <c r="K2166" t="s">
        <v>25</v>
      </c>
      <c r="L2166">
        <v>4.8</v>
      </c>
      <c r="M2166" t="s">
        <v>152</v>
      </c>
      <c r="N2166" t="s">
        <v>29</v>
      </c>
      <c r="O2166" t="s">
        <v>47</v>
      </c>
      <c r="P2166" t="s">
        <v>152</v>
      </c>
      <c r="Q2166" t="s">
        <v>152</v>
      </c>
      <c r="R2166">
        <v>46</v>
      </c>
      <c r="S2166" t="s">
        <v>46</v>
      </c>
      <c r="T2166" t="str">
        <f t="shared" si="66"/>
        <v>2-week</v>
      </c>
      <c r="U2166">
        <f>VLOOKUP(T2166,[1]tablescore!$B$3:$C$8, 2,FALSE)</f>
        <v>26</v>
      </c>
      <c r="V2166" t="str">
        <f t="shared" si="67"/>
        <v>Loyal</v>
      </c>
      <c r="W2166" t="s">
        <v>77</v>
      </c>
    </row>
    <row r="2167" spans="1:23" x14ac:dyDescent="0.25">
      <c r="A2167">
        <v>2166</v>
      </c>
      <c r="B2167">
        <v>29</v>
      </c>
      <c r="C2167" t="str" cm="1">
        <f t="array" ref="C2167">_xlfn.IFS(
  AND(B2167&gt;=18, B2167&lt;=24), "18-24",
  AND(B2167&gt;=25, B2167&lt;=34), "25-34",
  AND(B2167&gt;=35, B2167&lt;=44), "35-44",
  AND(B2167&gt;=45, B2167&lt;=54), "45-54",
  B2167&gt;=55, "55+"
)</f>
        <v>25-34</v>
      </c>
      <c r="D2167" t="s">
        <v>19</v>
      </c>
      <c r="E2167" t="s">
        <v>95</v>
      </c>
      <c r="F2167" t="s">
        <v>21</v>
      </c>
      <c r="G2167">
        <v>55</v>
      </c>
      <c r="H2167" t="s">
        <v>144</v>
      </c>
      <c r="I2167" t="s">
        <v>45</v>
      </c>
      <c r="J2167" t="s">
        <v>49</v>
      </c>
      <c r="K2167" t="s">
        <v>54</v>
      </c>
      <c r="L2167">
        <v>4.2</v>
      </c>
      <c r="M2167" t="s">
        <v>152</v>
      </c>
      <c r="N2167" t="s">
        <v>34</v>
      </c>
      <c r="O2167" t="s">
        <v>28</v>
      </c>
      <c r="P2167" t="s">
        <v>152</v>
      </c>
      <c r="Q2167" t="s">
        <v>152</v>
      </c>
      <c r="R2167">
        <v>42</v>
      </c>
      <c r="S2167" t="s">
        <v>27</v>
      </c>
      <c r="T2167" t="str">
        <f t="shared" si="66"/>
        <v>Quarterly</v>
      </c>
      <c r="U2167">
        <f>VLOOKUP(T2167,[1]tablescore!$B$3:$C$8, 2,FALSE)</f>
        <v>4</v>
      </c>
      <c r="V2167" t="str">
        <f t="shared" si="67"/>
        <v>Low Loyalty</v>
      </c>
      <c r="W2167" t="s">
        <v>97</v>
      </c>
    </row>
    <row r="2168" spans="1:23" x14ac:dyDescent="0.25">
      <c r="A2168">
        <v>2167</v>
      </c>
      <c r="B2168">
        <v>31</v>
      </c>
      <c r="C2168" t="str" cm="1">
        <f t="array" ref="C2168">_xlfn.IFS(
  AND(B2168&gt;=18, B2168&lt;=24), "18-24",
  AND(B2168&gt;=25, B2168&lt;=34), "25-34",
  AND(B2168&gt;=35, B2168&lt;=44), "35-44",
  AND(B2168&gt;=45, B2168&lt;=54), "45-54",
  B2168&gt;=55, "55+"
)</f>
        <v>25-34</v>
      </c>
      <c r="D2168" t="s">
        <v>19</v>
      </c>
      <c r="E2168" t="s">
        <v>102</v>
      </c>
      <c r="F2168" t="s">
        <v>65</v>
      </c>
      <c r="G2168">
        <v>88</v>
      </c>
      <c r="H2168" t="s">
        <v>137</v>
      </c>
      <c r="I2168" t="s">
        <v>38</v>
      </c>
      <c r="J2168" t="s">
        <v>75</v>
      </c>
      <c r="K2168" t="s">
        <v>39</v>
      </c>
      <c r="L2168">
        <v>3.5</v>
      </c>
      <c r="M2168" t="s">
        <v>152</v>
      </c>
      <c r="N2168" t="s">
        <v>29</v>
      </c>
      <c r="O2168" t="s">
        <v>28</v>
      </c>
      <c r="P2168" t="s">
        <v>152</v>
      </c>
      <c r="Q2168" t="s">
        <v>152</v>
      </c>
      <c r="R2168">
        <v>50</v>
      </c>
      <c r="S2168" t="s">
        <v>27</v>
      </c>
      <c r="T2168" t="str">
        <f t="shared" si="66"/>
        <v>2-week</v>
      </c>
      <c r="U2168">
        <f>VLOOKUP(T2168,[1]tablescore!$B$3:$C$8, 2,FALSE)</f>
        <v>26</v>
      </c>
      <c r="V2168" t="str">
        <f t="shared" si="67"/>
        <v>Loyal</v>
      </c>
      <c r="W2168" t="s">
        <v>77</v>
      </c>
    </row>
    <row r="2169" spans="1:23" x14ac:dyDescent="0.25">
      <c r="A2169">
        <v>2168</v>
      </c>
      <c r="B2169">
        <v>30</v>
      </c>
      <c r="C2169" t="str" cm="1">
        <f t="array" ref="C2169">_xlfn.IFS(
  AND(B2169&gt;=18, B2169&lt;=24), "18-24",
  AND(B2169&gt;=25, B2169&lt;=34), "25-34",
  AND(B2169&gt;=35, B2169&lt;=44), "35-44",
  AND(B2169&gt;=45, B2169&lt;=54), "45-54",
  B2169&gt;=55, "55+"
)</f>
        <v>25-34</v>
      </c>
      <c r="D2169" t="s">
        <v>19</v>
      </c>
      <c r="E2169" t="s">
        <v>87</v>
      </c>
      <c r="F2169" t="s">
        <v>21</v>
      </c>
      <c r="G2169">
        <v>48</v>
      </c>
      <c r="H2169" t="s">
        <v>124</v>
      </c>
      <c r="I2169" t="s">
        <v>23</v>
      </c>
      <c r="J2169" t="s">
        <v>96</v>
      </c>
      <c r="K2169" t="s">
        <v>25</v>
      </c>
      <c r="L2169">
        <v>4.9000000000000004</v>
      </c>
      <c r="M2169" t="s">
        <v>152</v>
      </c>
      <c r="N2169" t="s">
        <v>29</v>
      </c>
      <c r="O2169" t="s">
        <v>55</v>
      </c>
      <c r="P2169" t="s">
        <v>152</v>
      </c>
      <c r="Q2169" t="s">
        <v>152</v>
      </c>
      <c r="R2169">
        <v>33</v>
      </c>
      <c r="S2169" t="s">
        <v>29</v>
      </c>
      <c r="T2169" t="str">
        <f t="shared" si="66"/>
        <v>2-week</v>
      </c>
      <c r="U2169">
        <f>VLOOKUP(T2169,[1]tablescore!$B$3:$C$8, 2,FALSE)</f>
        <v>26</v>
      </c>
      <c r="V2169" t="str">
        <f t="shared" si="67"/>
        <v>Loyal</v>
      </c>
      <c r="W2169" t="s">
        <v>30</v>
      </c>
    </row>
    <row r="2170" spans="1:23" x14ac:dyDescent="0.25">
      <c r="A2170">
        <v>2169</v>
      </c>
      <c r="B2170">
        <v>23</v>
      </c>
      <c r="C2170" t="str" cm="1">
        <f t="array" ref="C2170">_xlfn.IFS(
  AND(B2170&gt;=18, B2170&lt;=24), "18-24",
  AND(B2170&gt;=25, B2170&lt;=34), "25-34",
  AND(B2170&gt;=35, B2170&lt;=44), "35-44",
  AND(B2170&gt;=45, B2170&lt;=54), "45-54",
  B2170&gt;=55, "55+"
)</f>
        <v>18-24</v>
      </c>
      <c r="D2170" t="s">
        <v>19</v>
      </c>
      <c r="E2170" t="s">
        <v>68</v>
      </c>
      <c r="F2170" t="s">
        <v>69</v>
      </c>
      <c r="G2170">
        <v>74</v>
      </c>
      <c r="H2170" t="s">
        <v>146</v>
      </c>
      <c r="I2170" t="s">
        <v>45</v>
      </c>
      <c r="J2170" t="s">
        <v>118</v>
      </c>
      <c r="K2170" t="s">
        <v>39</v>
      </c>
      <c r="L2170">
        <v>4.0999999999999996</v>
      </c>
      <c r="M2170" t="s">
        <v>152</v>
      </c>
      <c r="N2170" t="s">
        <v>34</v>
      </c>
      <c r="O2170" t="s">
        <v>47</v>
      </c>
      <c r="P2170" t="s">
        <v>152</v>
      </c>
      <c r="Q2170" t="s">
        <v>152</v>
      </c>
      <c r="R2170">
        <v>32</v>
      </c>
      <c r="S2170" t="s">
        <v>35</v>
      </c>
      <c r="T2170" t="str">
        <f t="shared" si="66"/>
        <v>Quarterly</v>
      </c>
      <c r="U2170">
        <f>VLOOKUP(T2170,[1]tablescore!$B$3:$C$8, 2,FALSE)</f>
        <v>4</v>
      </c>
      <c r="V2170" t="str">
        <f t="shared" si="67"/>
        <v>Low Loyalty</v>
      </c>
      <c r="W2170" t="s">
        <v>60</v>
      </c>
    </row>
    <row r="2171" spans="1:23" x14ac:dyDescent="0.25">
      <c r="A2171">
        <v>2170</v>
      </c>
      <c r="B2171">
        <v>31</v>
      </c>
      <c r="C2171" t="str" cm="1">
        <f t="array" ref="C2171">_xlfn.IFS(
  AND(B2171&gt;=18, B2171&lt;=24), "18-24",
  AND(B2171&gt;=25, B2171&lt;=34), "25-34",
  AND(B2171&gt;=35, B2171&lt;=44), "35-44",
  AND(B2171&gt;=45, B2171&lt;=54), "45-54",
  B2171&gt;=55, "55+"
)</f>
        <v>25-34</v>
      </c>
      <c r="D2171" t="s">
        <v>19</v>
      </c>
      <c r="E2171" t="s">
        <v>64</v>
      </c>
      <c r="F2171" t="s">
        <v>65</v>
      </c>
      <c r="G2171">
        <v>42</v>
      </c>
      <c r="H2171" t="s">
        <v>103</v>
      </c>
      <c r="I2171" t="s">
        <v>45</v>
      </c>
      <c r="J2171" t="s">
        <v>110</v>
      </c>
      <c r="K2171" t="s">
        <v>58</v>
      </c>
      <c r="L2171">
        <v>2.9</v>
      </c>
      <c r="M2171" t="s">
        <v>152</v>
      </c>
      <c r="N2171" t="s">
        <v>46</v>
      </c>
      <c r="O2171" t="s">
        <v>47</v>
      </c>
      <c r="P2171" t="s">
        <v>152</v>
      </c>
      <c r="Q2171" t="s">
        <v>152</v>
      </c>
      <c r="R2171">
        <v>32</v>
      </c>
      <c r="S2171" t="s">
        <v>34</v>
      </c>
      <c r="T2171" t="str">
        <f t="shared" si="66"/>
        <v>2-week</v>
      </c>
      <c r="U2171">
        <f>VLOOKUP(T2171,[1]tablescore!$B$3:$C$8, 2,FALSE)</f>
        <v>26</v>
      </c>
      <c r="V2171" t="str">
        <f t="shared" si="67"/>
        <v>Loyal</v>
      </c>
      <c r="W2171" t="s">
        <v>77</v>
      </c>
    </row>
    <row r="2172" spans="1:23" x14ac:dyDescent="0.25">
      <c r="A2172">
        <v>2171</v>
      </c>
      <c r="B2172">
        <v>40</v>
      </c>
      <c r="C2172" t="str" cm="1">
        <f t="array" ref="C2172">_xlfn.IFS(
  AND(B2172&gt;=18, B2172&lt;=24), "18-24",
  AND(B2172&gt;=25, B2172&lt;=34), "25-34",
  AND(B2172&gt;=35, B2172&lt;=44), "35-44",
  AND(B2172&gt;=45, B2172&lt;=54), "45-54",
  B2172&gt;=55, "55+"
)</f>
        <v>35-44</v>
      </c>
      <c r="D2172" t="s">
        <v>19</v>
      </c>
      <c r="E2172" t="s">
        <v>31</v>
      </c>
      <c r="F2172" t="s">
        <v>21</v>
      </c>
      <c r="G2172">
        <v>32</v>
      </c>
      <c r="H2172" t="s">
        <v>126</v>
      </c>
      <c r="I2172" t="s">
        <v>45</v>
      </c>
      <c r="J2172" t="s">
        <v>49</v>
      </c>
      <c r="K2172" t="s">
        <v>58</v>
      </c>
      <c r="L2172">
        <v>4</v>
      </c>
      <c r="M2172" t="s">
        <v>152</v>
      </c>
      <c r="N2172" t="s">
        <v>46</v>
      </c>
      <c r="O2172" t="s">
        <v>47</v>
      </c>
      <c r="P2172" t="s">
        <v>152</v>
      </c>
      <c r="Q2172" t="s">
        <v>152</v>
      </c>
      <c r="R2172">
        <v>37</v>
      </c>
      <c r="S2172" t="s">
        <v>29</v>
      </c>
      <c r="T2172" t="str">
        <f t="shared" si="66"/>
        <v>Quarterly</v>
      </c>
      <c r="U2172">
        <f>VLOOKUP(T2172,[1]tablescore!$B$3:$C$8, 2,FALSE)</f>
        <v>4</v>
      </c>
      <c r="V2172" t="str">
        <f t="shared" si="67"/>
        <v>Low Loyalty</v>
      </c>
      <c r="W2172" t="s">
        <v>97</v>
      </c>
    </row>
    <row r="2173" spans="1:23" x14ac:dyDescent="0.25">
      <c r="A2173">
        <v>2172</v>
      </c>
      <c r="B2173">
        <v>39</v>
      </c>
      <c r="C2173" t="str" cm="1">
        <f t="array" ref="C2173">_xlfn.IFS(
  AND(B2173&gt;=18, B2173&lt;=24), "18-24",
  AND(B2173&gt;=25, B2173&lt;=34), "25-34",
  AND(B2173&gt;=35, B2173&lt;=44), "35-44",
  AND(B2173&gt;=45, B2173&lt;=54), "45-54",
  B2173&gt;=55, "55+"
)</f>
        <v>35-44</v>
      </c>
      <c r="D2173" t="s">
        <v>19</v>
      </c>
      <c r="E2173" t="s">
        <v>61</v>
      </c>
      <c r="F2173" t="s">
        <v>21</v>
      </c>
      <c r="G2173">
        <v>98</v>
      </c>
      <c r="H2173" t="s">
        <v>70</v>
      </c>
      <c r="I2173" t="s">
        <v>45</v>
      </c>
      <c r="J2173" t="s">
        <v>139</v>
      </c>
      <c r="K2173" t="s">
        <v>54</v>
      </c>
      <c r="L2173">
        <v>4.5999999999999996</v>
      </c>
      <c r="M2173" t="s">
        <v>152</v>
      </c>
      <c r="N2173" t="s">
        <v>27</v>
      </c>
      <c r="O2173" t="s">
        <v>76</v>
      </c>
      <c r="P2173" t="s">
        <v>152</v>
      </c>
      <c r="Q2173" t="s">
        <v>152</v>
      </c>
      <c r="R2173">
        <v>9</v>
      </c>
      <c r="S2173" t="s">
        <v>35</v>
      </c>
      <c r="T2173" t="str">
        <f t="shared" si="66"/>
        <v>2-week</v>
      </c>
      <c r="U2173">
        <f>VLOOKUP(T2173,[1]tablescore!$B$3:$C$8, 2,FALSE)</f>
        <v>26</v>
      </c>
      <c r="V2173" t="str">
        <f t="shared" si="67"/>
        <v>Loyal</v>
      </c>
      <c r="W2173" t="s">
        <v>30</v>
      </c>
    </row>
    <row r="2174" spans="1:23" x14ac:dyDescent="0.25">
      <c r="A2174">
        <v>2173</v>
      </c>
      <c r="B2174">
        <v>28</v>
      </c>
      <c r="C2174" t="str" cm="1">
        <f t="array" ref="C2174">_xlfn.IFS(
  AND(B2174&gt;=18, B2174&lt;=24), "18-24",
  AND(B2174&gt;=25, B2174&lt;=34), "25-34",
  AND(B2174&gt;=35, B2174&lt;=44), "35-44",
  AND(B2174&gt;=45, B2174&lt;=54), "45-54",
  B2174&gt;=55, "55+"
)</f>
        <v>25-34</v>
      </c>
      <c r="D2174" t="s">
        <v>19</v>
      </c>
      <c r="E2174" t="s">
        <v>87</v>
      </c>
      <c r="F2174" t="s">
        <v>21</v>
      </c>
      <c r="G2174">
        <v>89</v>
      </c>
      <c r="H2174" t="s">
        <v>44</v>
      </c>
      <c r="I2174" t="s">
        <v>38</v>
      </c>
      <c r="J2174" t="s">
        <v>93</v>
      </c>
      <c r="K2174" t="s">
        <v>58</v>
      </c>
      <c r="L2174">
        <v>2.8</v>
      </c>
      <c r="M2174" t="s">
        <v>152</v>
      </c>
      <c r="N2174" t="s">
        <v>34</v>
      </c>
      <c r="O2174" t="s">
        <v>76</v>
      </c>
      <c r="P2174" t="s">
        <v>152</v>
      </c>
      <c r="Q2174" t="s">
        <v>152</v>
      </c>
      <c r="R2174">
        <v>6</v>
      </c>
      <c r="S2174" t="s">
        <v>46</v>
      </c>
      <c r="T2174" t="str">
        <f t="shared" si="66"/>
        <v>2-week</v>
      </c>
      <c r="U2174">
        <f>VLOOKUP(T2174,[1]tablescore!$B$3:$C$8, 2,FALSE)</f>
        <v>26</v>
      </c>
      <c r="V2174" t="str">
        <f t="shared" si="67"/>
        <v>Loyal</v>
      </c>
      <c r="W2174" t="s">
        <v>30</v>
      </c>
    </row>
    <row r="2175" spans="1:23" x14ac:dyDescent="0.25">
      <c r="A2175">
        <v>2174</v>
      </c>
      <c r="B2175">
        <v>23</v>
      </c>
      <c r="C2175" t="str" cm="1">
        <f t="array" ref="C2175">_xlfn.IFS(
  AND(B2175&gt;=18, B2175&lt;=24), "18-24",
  AND(B2175&gt;=25, B2175&lt;=34), "25-34",
  AND(B2175&gt;=35, B2175&lt;=44), "35-44",
  AND(B2175&gt;=45, B2175&lt;=54), "45-54",
  B2175&gt;=55, "55+"
)</f>
        <v>18-24</v>
      </c>
      <c r="D2175" t="s">
        <v>19</v>
      </c>
      <c r="E2175" t="s">
        <v>127</v>
      </c>
      <c r="F2175" t="s">
        <v>69</v>
      </c>
      <c r="G2175">
        <v>97</v>
      </c>
      <c r="H2175" t="s">
        <v>80</v>
      </c>
      <c r="I2175" t="s">
        <v>38</v>
      </c>
      <c r="J2175" t="s">
        <v>109</v>
      </c>
      <c r="K2175" t="s">
        <v>54</v>
      </c>
      <c r="L2175">
        <v>5</v>
      </c>
      <c r="M2175" t="s">
        <v>152</v>
      </c>
      <c r="N2175" t="s">
        <v>35</v>
      </c>
      <c r="O2175" t="s">
        <v>72</v>
      </c>
      <c r="P2175" t="s">
        <v>152</v>
      </c>
      <c r="Q2175" t="s">
        <v>152</v>
      </c>
      <c r="R2175">
        <v>36</v>
      </c>
      <c r="S2175" t="s">
        <v>29</v>
      </c>
      <c r="T2175" t="str">
        <f t="shared" si="66"/>
        <v>Quarterly</v>
      </c>
      <c r="U2175">
        <f>VLOOKUP(T2175,[1]tablescore!$B$3:$C$8, 2,FALSE)</f>
        <v>4</v>
      </c>
      <c r="V2175" t="str">
        <f t="shared" si="67"/>
        <v>Low Loyalty</v>
      </c>
      <c r="W2175" t="s">
        <v>60</v>
      </c>
    </row>
    <row r="2176" spans="1:23" x14ac:dyDescent="0.25">
      <c r="A2176">
        <v>2175</v>
      </c>
      <c r="B2176">
        <v>42</v>
      </c>
      <c r="C2176" t="str" cm="1">
        <f t="array" ref="C2176">_xlfn.IFS(
  AND(B2176&gt;=18, B2176&lt;=24), "18-24",
  AND(B2176&gt;=25, B2176&lt;=34), "25-34",
  AND(B2176&gt;=35, B2176&lt;=44), "35-44",
  AND(B2176&gt;=45, B2176&lt;=54), "45-54",
  B2176&gt;=55, "55+"
)</f>
        <v>35-44</v>
      </c>
      <c r="D2176" t="s">
        <v>19</v>
      </c>
      <c r="E2176" t="s">
        <v>133</v>
      </c>
      <c r="F2176" t="s">
        <v>69</v>
      </c>
      <c r="G2176">
        <v>49</v>
      </c>
      <c r="H2176" t="s">
        <v>112</v>
      </c>
      <c r="I2176" t="s">
        <v>38</v>
      </c>
      <c r="J2176" t="s">
        <v>79</v>
      </c>
      <c r="K2176" t="s">
        <v>39</v>
      </c>
      <c r="L2176">
        <v>2.9</v>
      </c>
      <c r="M2176" t="s">
        <v>152</v>
      </c>
      <c r="N2176" t="s">
        <v>35</v>
      </c>
      <c r="O2176" t="s">
        <v>76</v>
      </c>
      <c r="P2176" t="s">
        <v>152</v>
      </c>
      <c r="Q2176" t="s">
        <v>152</v>
      </c>
      <c r="R2176">
        <v>1</v>
      </c>
      <c r="S2176" t="s">
        <v>35</v>
      </c>
      <c r="T2176" t="str">
        <f t="shared" si="66"/>
        <v>Annually</v>
      </c>
      <c r="U2176">
        <f>VLOOKUP(T2176,[1]tablescore!$B$3:$C$8, 2,FALSE)</f>
        <v>1</v>
      </c>
      <c r="V2176" t="str">
        <f t="shared" si="67"/>
        <v>Low Loyalty</v>
      </c>
      <c r="W2176" t="s">
        <v>50</v>
      </c>
    </row>
    <row r="2177" spans="1:23" x14ac:dyDescent="0.25">
      <c r="A2177">
        <v>2176</v>
      </c>
      <c r="B2177">
        <v>68</v>
      </c>
      <c r="C2177" t="str" cm="1">
        <f t="array" ref="C2177">_xlfn.IFS(
  AND(B2177&gt;=18, B2177&lt;=24), "18-24",
  AND(B2177&gt;=25, B2177&lt;=34), "25-34",
  AND(B2177&gt;=35, B2177&lt;=44), "35-44",
  AND(B2177&gt;=45, B2177&lt;=54), "45-54",
  B2177&gt;=55, "55+"
)</f>
        <v>55+</v>
      </c>
      <c r="D2177" t="s">
        <v>19</v>
      </c>
      <c r="E2177" t="s">
        <v>82</v>
      </c>
      <c r="F2177" t="s">
        <v>21</v>
      </c>
      <c r="G2177">
        <v>50</v>
      </c>
      <c r="H2177" t="s">
        <v>143</v>
      </c>
      <c r="I2177" t="s">
        <v>45</v>
      </c>
      <c r="J2177" t="s">
        <v>67</v>
      </c>
      <c r="K2177" t="s">
        <v>39</v>
      </c>
      <c r="L2177">
        <v>3.3</v>
      </c>
      <c r="M2177" t="s">
        <v>152</v>
      </c>
      <c r="N2177" t="s">
        <v>34</v>
      </c>
      <c r="O2177" t="s">
        <v>40</v>
      </c>
      <c r="P2177" t="s">
        <v>152</v>
      </c>
      <c r="Q2177" t="s">
        <v>152</v>
      </c>
      <c r="R2177">
        <v>48</v>
      </c>
      <c r="S2177" t="s">
        <v>27</v>
      </c>
      <c r="T2177" t="str">
        <f t="shared" si="66"/>
        <v>2-week</v>
      </c>
      <c r="U2177">
        <f>VLOOKUP(T2177,[1]tablescore!$B$3:$C$8, 2,FALSE)</f>
        <v>26</v>
      </c>
      <c r="V2177" t="str">
        <f t="shared" si="67"/>
        <v>Loyal</v>
      </c>
      <c r="W2177" t="s">
        <v>30</v>
      </c>
    </row>
    <row r="2178" spans="1:23" x14ac:dyDescent="0.25">
      <c r="A2178">
        <v>2177</v>
      </c>
      <c r="B2178">
        <v>24</v>
      </c>
      <c r="C2178" t="str" cm="1">
        <f t="array" ref="C2178">_xlfn.IFS(
  AND(B2178&gt;=18, B2178&lt;=24), "18-24",
  AND(B2178&gt;=25, B2178&lt;=34), "25-34",
  AND(B2178&gt;=35, B2178&lt;=44), "35-44",
  AND(B2178&gt;=45, B2178&lt;=54), "45-54",
  B2178&gt;=55, "55+"
)</f>
        <v>18-24</v>
      </c>
      <c r="D2178" t="s">
        <v>19</v>
      </c>
      <c r="E2178" t="s">
        <v>136</v>
      </c>
      <c r="F2178" t="s">
        <v>69</v>
      </c>
      <c r="G2178">
        <v>91</v>
      </c>
      <c r="H2178" t="s">
        <v>145</v>
      </c>
      <c r="I2178" t="s">
        <v>38</v>
      </c>
      <c r="J2178" t="s">
        <v>108</v>
      </c>
      <c r="K2178" t="s">
        <v>25</v>
      </c>
      <c r="L2178">
        <v>3.4</v>
      </c>
      <c r="M2178" t="s">
        <v>152</v>
      </c>
      <c r="N2178" t="s">
        <v>29</v>
      </c>
      <c r="O2178" t="s">
        <v>72</v>
      </c>
      <c r="P2178" t="s">
        <v>152</v>
      </c>
      <c r="Q2178" t="s">
        <v>152</v>
      </c>
      <c r="R2178">
        <v>44</v>
      </c>
      <c r="S2178" t="s">
        <v>59</v>
      </c>
      <c r="T2178" t="str">
        <f t="shared" si="66"/>
        <v>Quarterly</v>
      </c>
      <c r="U2178">
        <f>VLOOKUP(T2178,[1]tablescore!$B$3:$C$8, 2,FALSE)</f>
        <v>4</v>
      </c>
      <c r="V2178" t="str">
        <f t="shared" si="67"/>
        <v>Low Loyalty</v>
      </c>
      <c r="W2178" t="s">
        <v>60</v>
      </c>
    </row>
    <row r="2179" spans="1:23" x14ac:dyDescent="0.25">
      <c r="A2179">
        <v>2178</v>
      </c>
      <c r="B2179">
        <v>24</v>
      </c>
      <c r="C2179" t="str" cm="1">
        <f t="array" ref="C2179">_xlfn.IFS(
  AND(B2179&gt;=18, B2179&lt;=24), "18-24",
  AND(B2179&gt;=25, B2179&lt;=34), "25-34",
  AND(B2179&gt;=35, B2179&lt;=44), "35-44",
  AND(B2179&gt;=45, B2179&lt;=54), "45-54",
  B2179&gt;=55, "55+"
)</f>
        <v>18-24</v>
      </c>
      <c r="D2179" t="s">
        <v>19</v>
      </c>
      <c r="E2179" t="s">
        <v>127</v>
      </c>
      <c r="F2179" t="s">
        <v>69</v>
      </c>
      <c r="G2179">
        <v>93</v>
      </c>
      <c r="H2179" t="s">
        <v>57</v>
      </c>
      <c r="I2179" t="s">
        <v>92</v>
      </c>
      <c r="J2179" t="s">
        <v>96</v>
      </c>
      <c r="K2179" t="s">
        <v>25</v>
      </c>
      <c r="L2179">
        <v>3</v>
      </c>
      <c r="M2179" t="s">
        <v>152</v>
      </c>
      <c r="N2179" t="s">
        <v>34</v>
      </c>
      <c r="O2179" t="s">
        <v>28</v>
      </c>
      <c r="P2179" t="s">
        <v>152</v>
      </c>
      <c r="Q2179" t="s">
        <v>152</v>
      </c>
      <c r="R2179">
        <v>9</v>
      </c>
      <c r="S2179" t="s">
        <v>46</v>
      </c>
      <c r="T2179" t="str">
        <f t="shared" ref="T2179:T2242" si="68">IF(TRIM(W2179)="Every 3 months","Quarterly",IF(TRIM(W2179)="Fortnightly","2-week",IF(TRIM(W2179)="Bi-Weekly","2-week",IF(TRIM(W2179)="Weekly","Daily",IF(TRIM(W2179)="Monthly","Month",TRIM(W2179))))))</f>
        <v>2-week</v>
      </c>
      <c r="U2179">
        <f>VLOOKUP(T2179,[1]tablescore!$B$3:$C$8, 2,FALSE)</f>
        <v>26</v>
      </c>
      <c r="V2179" t="str">
        <f t="shared" ref="V2179:V2242" si="69">_xlfn.IFS(U2179&gt;=30, "Highly Loyal", U2179&gt;=26, "Loyal", U2179&gt;=12, "Moderate", U2179&lt;5, "Low Loyalty")</f>
        <v>Loyal</v>
      </c>
      <c r="W2179" t="s">
        <v>77</v>
      </c>
    </row>
    <row r="2180" spans="1:23" x14ac:dyDescent="0.25">
      <c r="A2180">
        <v>2179</v>
      </c>
      <c r="B2180">
        <v>21</v>
      </c>
      <c r="C2180" t="str" cm="1">
        <f t="array" ref="C2180">_xlfn.IFS(
  AND(B2180&gt;=18, B2180&lt;=24), "18-24",
  AND(B2180&gt;=25, B2180&lt;=34), "25-34",
  AND(B2180&gt;=35, B2180&lt;=44), "35-44",
  AND(B2180&gt;=45, B2180&lt;=54), "45-54",
  B2180&gt;=55, "55+"
)</f>
        <v>18-24</v>
      </c>
      <c r="D2180" t="s">
        <v>19</v>
      </c>
      <c r="E2180" t="s">
        <v>106</v>
      </c>
      <c r="F2180" t="s">
        <v>69</v>
      </c>
      <c r="G2180">
        <v>98</v>
      </c>
      <c r="H2180" t="s">
        <v>103</v>
      </c>
      <c r="I2180" t="s">
        <v>45</v>
      </c>
      <c r="J2180" t="s">
        <v>81</v>
      </c>
      <c r="K2180" t="s">
        <v>54</v>
      </c>
      <c r="L2180">
        <v>4.7</v>
      </c>
      <c r="M2180" t="s">
        <v>152</v>
      </c>
      <c r="N2180" t="s">
        <v>59</v>
      </c>
      <c r="O2180" t="s">
        <v>55</v>
      </c>
      <c r="P2180" t="s">
        <v>152</v>
      </c>
      <c r="Q2180" t="s">
        <v>152</v>
      </c>
      <c r="R2180">
        <v>32</v>
      </c>
      <c r="S2180" t="s">
        <v>29</v>
      </c>
      <c r="T2180" t="str">
        <f t="shared" si="68"/>
        <v>Annually</v>
      </c>
      <c r="U2180">
        <f>VLOOKUP(T2180,[1]tablescore!$B$3:$C$8, 2,FALSE)</f>
        <v>1</v>
      </c>
      <c r="V2180" t="str">
        <f t="shared" si="69"/>
        <v>Low Loyalty</v>
      </c>
      <c r="W2180" t="s">
        <v>50</v>
      </c>
    </row>
    <row r="2181" spans="1:23" x14ac:dyDescent="0.25">
      <c r="A2181">
        <v>2180</v>
      </c>
      <c r="B2181">
        <v>49</v>
      </c>
      <c r="C2181" t="str" cm="1">
        <f t="array" ref="C2181">_xlfn.IFS(
  AND(B2181&gt;=18, B2181&lt;=24), "18-24",
  AND(B2181&gt;=25, B2181&lt;=34), "25-34",
  AND(B2181&gt;=35, B2181&lt;=44), "35-44",
  AND(B2181&gt;=45, B2181&lt;=54), "45-54",
  B2181&gt;=55, "55+"
)</f>
        <v>45-54</v>
      </c>
      <c r="D2181" t="s">
        <v>19</v>
      </c>
      <c r="E2181" t="s">
        <v>131</v>
      </c>
      <c r="F2181" t="s">
        <v>21</v>
      </c>
      <c r="G2181">
        <v>82</v>
      </c>
      <c r="H2181" t="s">
        <v>80</v>
      </c>
      <c r="I2181" t="s">
        <v>23</v>
      </c>
      <c r="J2181" t="s">
        <v>93</v>
      </c>
      <c r="K2181" t="s">
        <v>58</v>
      </c>
      <c r="L2181">
        <v>2.9</v>
      </c>
      <c r="M2181" t="s">
        <v>152</v>
      </c>
      <c r="N2181" t="s">
        <v>27</v>
      </c>
      <c r="O2181" t="s">
        <v>47</v>
      </c>
      <c r="P2181" t="s">
        <v>152</v>
      </c>
      <c r="Q2181" t="s">
        <v>152</v>
      </c>
      <c r="R2181">
        <v>14</v>
      </c>
      <c r="S2181" t="s">
        <v>46</v>
      </c>
      <c r="T2181" t="str">
        <f t="shared" si="68"/>
        <v>Month</v>
      </c>
      <c r="U2181">
        <f>VLOOKUP(T2181,[1]tablescore!$B$3:$C$8, 2,FALSE)</f>
        <v>12</v>
      </c>
      <c r="V2181" t="str">
        <f t="shared" si="69"/>
        <v>Moderate</v>
      </c>
      <c r="W2181" t="s">
        <v>88</v>
      </c>
    </row>
    <row r="2182" spans="1:23" x14ac:dyDescent="0.25">
      <c r="A2182">
        <v>2181</v>
      </c>
      <c r="B2182">
        <v>41</v>
      </c>
      <c r="C2182" t="str" cm="1">
        <f t="array" ref="C2182">_xlfn.IFS(
  AND(B2182&gt;=18, B2182&lt;=24), "18-24",
  AND(B2182&gt;=25, B2182&lt;=34), "25-34",
  AND(B2182&gt;=35, B2182&lt;=44), "35-44",
  AND(B2182&gt;=45, B2182&lt;=54), "45-54",
  B2182&gt;=55, "55+"
)</f>
        <v>35-44</v>
      </c>
      <c r="D2182" t="s">
        <v>19</v>
      </c>
      <c r="E2182" t="s">
        <v>64</v>
      </c>
      <c r="F2182" t="s">
        <v>65</v>
      </c>
      <c r="G2182">
        <v>37</v>
      </c>
      <c r="H2182" t="s">
        <v>146</v>
      </c>
      <c r="I2182" t="s">
        <v>45</v>
      </c>
      <c r="J2182" t="s">
        <v>139</v>
      </c>
      <c r="K2182" t="s">
        <v>54</v>
      </c>
      <c r="L2182">
        <v>4.0999999999999996</v>
      </c>
      <c r="M2182" t="s">
        <v>152</v>
      </c>
      <c r="N2182" t="s">
        <v>59</v>
      </c>
      <c r="O2182" t="s">
        <v>76</v>
      </c>
      <c r="P2182" t="s">
        <v>152</v>
      </c>
      <c r="Q2182" t="s">
        <v>152</v>
      </c>
      <c r="R2182">
        <v>43</v>
      </c>
      <c r="S2182" t="s">
        <v>35</v>
      </c>
      <c r="T2182" t="str">
        <f t="shared" si="68"/>
        <v>Quarterly</v>
      </c>
      <c r="U2182">
        <f>VLOOKUP(T2182,[1]tablescore!$B$3:$C$8, 2,FALSE)</f>
        <v>4</v>
      </c>
      <c r="V2182" t="str">
        <f t="shared" si="69"/>
        <v>Low Loyalty</v>
      </c>
      <c r="W2182" t="s">
        <v>60</v>
      </c>
    </row>
    <row r="2183" spans="1:23" x14ac:dyDescent="0.25">
      <c r="A2183">
        <v>2182</v>
      </c>
      <c r="B2183">
        <v>22</v>
      </c>
      <c r="C2183" t="str" cm="1">
        <f t="array" ref="C2183">_xlfn.IFS(
  AND(B2183&gt;=18, B2183&lt;=24), "18-24",
  AND(B2183&gt;=25, B2183&lt;=34), "25-34",
  AND(B2183&gt;=35, B2183&lt;=44), "35-44",
  AND(B2183&gt;=45, B2183&lt;=54), "45-54",
  B2183&gt;=55, "55+"
)</f>
        <v>18-24</v>
      </c>
      <c r="D2183" t="s">
        <v>19</v>
      </c>
      <c r="E2183" t="s">
        <v>68</v>
      </c>
      <c r="F2183" t="s">
        <v>69</v>
      </c>
      <c r="G2183">
        <v>63</v>
      </c>
      <c r="H2183" t="s">
        <v>78</v>
      </c>
      <c r="I2183" t="s">
        <v>45</v>
      </c>
      <c r="J2183" t="s">
        <v>94</v>
      </c>
      <c r="K2183" t="s">
        <v>58</v>
      </c>
      <c r="L2183">
        <v>3.2</v>
      </c>
      <c r="M2183" t="s">
        <v>152</v>
      </c>
      <c r="N2183" t="s">
        <v>29</v>
      </c>
      <c r="O2183" t="s">
        <v>40</v>
      </c>
      <c r="P2183" t="s">
        <v>152</v>
      </c>
      <c r="Q2183" t="s">
        <v>152</v>
      </c>
      <c r="R2183">
        <v>32</v>
      </c>
      <c r="S2183" t="s">
        <v>34</v>
      </c>
      <c r="T2183" t="str">
        <f t="shared" si="68"/>
        <v>2-week</v>
      </c>
      <c r="U2183">
        <f>VLOOKUP(T2183,[1]tablescore!$B$3:$C$8, 2,FALSE)</f>
        <v>26</v>
      </c>
      <c r="V2183" t="str">
        <f t="shared" si="69"/>
        <v>Loyal</v>
      </c>
      <c r="W2183" t="s">
        <v>77</v>
      </c>
    </row>
    <row r="2184" spans="1:23" x14ac:dyDescent="0.25">
      <c r="A2184">
        <v>2183</v>
      </c>
      <c r="B2184">
        <v>42</v>
      </c>
      <c r="C2184" t="str" cm="1">
        <f t="array" ref="C2184">_xlfn.IFS(
  AND(B2184&gt;=18, B2184&lt;=24), "18-24",
  AND(B2184&gt;=25, B2184&lt;=34), "25-34",
  AND(B2184&gt;=35, B2184&lt;=44), "35-44",
  AND(B2184&gt;=45, B2184&lt;=54), "45-54",
  B2184&gt;=55, "55+"
)</f>
        <v>35-44</v>
      </c>
      <c r="D2184" t="s">
        <v>19</v>
      </c>
      <c r="E2184" t="s">
        <v>20</v>
      </c>
      <c r="F2184" t="s">
        <v>21</v>
      </c>
      <c r="G2184">
        <v>99</v>
      </c>
      <c r="H2184" t="s">
        <v>123</v>
      </c>
      <c r="I2184" t="s">
        <v>45</v>
      </c>
      <c r="J2184" t="s">
        <v>33</v>
      </c>
      <c r="K2184" t="s">
        <v>25</v>
      </c>
      <c r="L2184">
        <v>2.7</v>
      </c>
      <c r="M2184" t="s">
        <v>152</v>
      </c>
      <c r="N2184" t="s">
        <v>35</v>
      </c>
      <c r="O2184" t="s">
        <v>76</v>
      </c>
      <c r="P2184" t="s">
        <v>152</v>
      </c>
      <c r="Q2184" t="s">
        <v>152</v>
      </c>
      <c r="R2184">
        <v>26</v>
      </c>
      <c r="S2184" t="s">
        <v>29</v>
      </c>
      <c r="T2184" t="str">
        <f t="shared" si="68"/>
        <v>2-week</v>
      </c>
      <c r="U2184">
        <f>VLOOKUP(T2184,[1]tablescore!$B$3:$C$8, 2,FALSE)</f>
        <v>26</v>
      </c>
      <c r="V2184" t="str">
        <f t="shared" si="69"/>
        <v>Loyal</v>
      </c>
      <c r="W2184" t="s">
        <v>77</v>
      </c>
    </row>
    <row r="2185" spans="1:23" x14ac:dyDescent="0.25">
      <c r="A2185">
        <v>2184</v>
      </c>
      <c r="B2185">
        <v>30</v>
      </c>
      <c r="C2185" t="str" cm="1">
        <f t="array" ref="C2185">_xlfn.IFS(
  AND(B2185&gt;=18, B2185&lt;=24), "18-24",
  AND(B2185&gt;=25, B2185&lt;=34), "25-34",
  AND(B2185&gt;=35, B2185&lt;=44), "35-44",
  AND(B2185&gt;=45, B2185&lt;=54), "45-54",
  B2185&gt;=55, "55+"
)</f>
        <v>25-34</v>
      </c>
      <c r="D2185" t="s">
        <v>19</v>
      </c>
      <c r="E2185" t="s">
        <v>61</v>
      </c>
      <c r="F2185" t="s">
        <v>21</v>
      </c>
      <c r="G2185">
        <v>37</v>
      </c>
      <c r="H2185" t="s">
        <v>111</v>
      </c>
      <c r="I2185" t="s">
        <v>45</v>
      </c>
      <c r="J2185" t="s">
        <v>33</v>
      </c>
      <c r="K2185" t="s">
        <v>39</v>
      </c>
      <c r="L2185">
        <v>4.7</v>
      </c>
      <c r="M2185" t="s">
        <v>152</v>
      </c>
      <c r="N2185" t="s">
        <v>46</v>
      </c>
      <c r="O2185" t="s">
        <v>76</v>
      </c>
      <c r="P2185" t="s">
        <v>152</v>
      </c>
      <c r="Q2185" t="s">
        <v>152</v>
      </c>
      <c r="R2185">
        <v>2</v>
      </c>
      <c r="S2185" t="s">
        <v>35</v>
      </c>
      <c r="T2185" t="str">
        <f t="shared" si="68"/>
        <v>Month</v>
      </c>
      <c r="U2185">
        <f>VLOOKUP(T2185,[1]tablescore!$B$3:$C$8, 2,FALSE)</f>
        <v>12</v>
      </c>
      <c r="V2185" t="str">
        <f t="shared" si="69"/>
        <v>Moderate</v>
      </c>
      <c r="W2185" t="s">
        <v>88</v>
      </c>
    </row>
    <row r="2186" spans="1:23" x14ac:dyDescent="0.25">
      <c r="A2186">
        <v>2185</v>
      </c>
      <c r="B2186">
        <v>38</v>
      </c>
      <c r="C2186" t="str" cm="1">
        <f t="array" ref="C2186">_xlfn.IFS(
  AND(B2186&gt;=18, B2186&lt;=24), "18-24",
  AND(B2186&gt;=25, B2186&lt;=34), "25-34",
  AND(B2186&gt;=35, B2186&lt;=44), "35-44",
  AND(B2186&gt;=45, B2186&lt;=54), "45-54",
  B2186&gt;=55, "55+"
)</f>
        <v>35-44</v>
      </c>
      <c r="D2186" t="s">
        <v>19</v>
      </c>
      <c r="E2186" t="s">
        <v>73</v>
      </c>
      <c r="F2186" t="s">
        <v>43</v>
      </c>
      <c r="G2186">
        <v>34</v>
      </c>
      <c r="H2186" t="s">
        <v>107</v>
      </c>
      <c r="I2186" t="s">
        <v>38</v>
      </c>
      <c r="J2186" t="s">
        <v>81</v>
      </c>
      <c r="K2186" t="s">
        <v>39</v>
      </c>
      <c r="L2186">
        <v>3.2</v>
      </c>
      <c r="M2186" t="s">
        <v>152</v>
      </c>
      <c r="N2186" t="s">
        <v>46</v>
      </c>
      <c r="O2186" t="s">
        <v>40</v>
      </c>
      <c r="P2186" t="s">
        <v>152</v>
      </c>
      <c r="Q2186" t="s">
        <v>152</v>
      </c>
      <c r="R2186">
        <v>16</v>
      </c>
      <c r="S2186" t="s">
        <v>46</v>
      </c>
      <c r="T2186" t="str">
        <f t="shared" si="68"/>
        <v>Quarterly</v>
      </c>
      <c r="U2186">
        <f>VLOOKUP(T2186,[1]tablescore!$B$3:$C$8, 2,FALSE)</f>
        <v>4</v>
      </c>
      <c r="V2186" t="str">
        <f t="shared" si="69"/>
        <v>Low Loyalty</v>
      </c>
      <c r="W2186" t="s">
        <v>97</v>
      </c>
    </row>
    <row r="2187" spans="1:23" x14ac:dyDescent="0.25">
      <c r="A2187">
        <v>2186</v>
      </c>
      <c r="B2187">
        <v>40</v>
      </c>
      <c r="C2187" t="str" cm="1">
        <f t="array" ref="C2187">_xlfn.IFS(
  AND(B2187&gt;=18, B2187&lt;=24), "18-24",
  AND(B2187&gt;=25, B2187&lt;=34), "25-34",
  AND(B2187&gt;=35, B2187&lt;=44), "35-44",
  AND(B2187&gt;=45, B2187&lt;=54), "45-54",
  B2187&gt;=55, "55+"
)</f>
        <v>35-44</v>
      </c>
      <c r="D2187" t="s">
        <v>19</v>
      </c>
      <c r="E2187" t="s">
        <v>61</v>
      </c>
      <c r="F2187" t="s">
        <v>21</v>
      </c>
      <c r="G2187">
        <v>32</v>
      </c>
      <c r="H2187" t="s">
        <v>98</v>
      </c>
      <c r="I2187" t="s">
        <v>45</v>
      </c>
      <c r="J2187" t="s">
        <v>84</v>
      </c>
      <c r="K2187" t="s">
        <v>25</v>
      </c>
      <c r="L2187">
        <v>2.5</v>
      </c>
      <c r="M2187" t="s">
        <v>152</v>
      </c>
      <c r="N2187" t="s">
        <v>29</v>
      </c>
      <c r="O2187" t="s">
        <v>28</v>
      </c>
      <c r="P2187" t="s">
        <v>152</v>
      </c>
      <c r="Q2187" t="s">
        <v>152</v>
      </c>
      <c r="R2187">
        <v>50</v>
      </c>
      <c r="S2187" t="s">
        <v>59</v>
      </c>
      <c r="T2187" t="str">
        <f t="shared" si="68"/>
        <v>Quarterly</v>
      </c>
      <c r="U2187">
        <f>VLOOKUP(T2187,[1]tablescore!$B$3:$C$8, 2,FALSE)</f>
        <v>4</v>
      </c>
      <c r="V2187" t="str">
        <f t="shared" si="69"/>
        <v>Low Loyalty</v>
      </c>
      <c r="W2187" t="s">
        <v>97</v>
      </c>
    </row>
    <row r="2188" spans="1:23" x14ac:dyDescent="0.25">
      <c r="A2188">
        <v>2187</v>
      </c>
      <c r="B2188">
        <v>55</v>
      </c>
      <c r="C2188" t="str" cm="1">
        <f t="array" ref="C2188">_xlfn.IFS(
  AND(B2188&gt;=18, B2188&lt;=24), "18-24",
  AND(B2188&gt;=25, B2188&lt;=34), "25-34",
  AND(B2188&gt;=35, B2188&lt;=44), "35-44",
  AND(B2188&gt;=45, B2188&lt;=54), "45-54",
  B2188&gt;=55, "55+"
)</f>
        <v>55+</v>
      </c>
      <c r="D2188" t="s">
        <v>19</v>
      </c>
      <c r="E2188" t="s">
        <v>42</v>
      </c>
      <c r="F2188" t="s">
        <v>43</v>
      </c>
      <c r="G2188">
        <v>23</v>
      </c>
      <c r="H2188" t="s">
        <v>123</v>
      </c>
      <c r="I2188" t="s">
        <v>92</v>
      </c>
      <c r="J2188" t="s">
        <v>86</v>
      </c>
      <c r="K2188" t="s">
        <v>25</v>
      </c>
      <c r="L2188">
        <v>4.3</v>
      </c>
      <c r="M2188" t="s">
        <v>152</v>
      </c>
      <c r="N2188" t="s">
        <v>34</v>
      </c>
      <c r="O2188" t="s">
        <v>47</v>
      </c>
      <c r="P2188" t="s">
        <v>152</v>
      </c>
      <c r="Q2188" t="s">
        <v>152</v>
      </c>
      <c r="R2188">
        <v>6</v>
      </c>
      <c r="S2188" t="s">
        <v>46</v>
      </c>
      <c r="T2188" t="str">
        <f t="shared" si="68"/>
        <v>Quarterly</v>
      </c>
      <c r="U2188">
        <f>VLOOKUP(T2188,[1]tablescore!$B$3:$C$8, 2,FALSE)</f>
        <v>4</v>
      </c>
      <c r="V2188" t="str">
        <f t="shared" si="69"/>
        <v>Low Loyalty</v>
      </c>
      <c r="W2188" t="s">
        <v>97</v>
      </c>
    </row>
    <row r="2189" spans="1:23" x14ac:dyDescent="0.25">
      <c r="A2189">
        <v>2188</v>
      </c>
      <c r="B2189">
        <v>37</v>
      </c>
      <c r="C2189" t="str" cm="1">
        <f t="array" ref="C2189">_xlfn.IFS(
  AND(B2189&gt;=18, B2189&lt;=24), "18-24",
  AND(B2189&gt;=25, B2189&lt;=34), "25-34",
  AND(B2189&gt;=35, B2189&lt;=44), "35-44",
  AND(B2189&gt;=45, B2189&lt;=54), "45-54",
  B2189&gt;=55, "55+"
)</f>
        <v>35-44</v>
      </c>
      <c r="D2189" t="s">
        <v>19</v>
      </c>
      <c r="E2189" t="s">
        <v>20</v>
      </c>
      <c r="F2189" t="s">
        <v>21</v>
      </c>
      <c r="G2189">
        <v>78</v>
      </c>
      <c r="H2189" t="s">
        <v>144</v>
      </c>
      <c r="I2189" t="s">
        <v>45</v>
      </c>
      <c r="J2189" t="s">
        <v>84</v>
      </c>
      <c r="K2189" t="s">
        <v>39</v>
      </c>
      <c r="L2189">
        <v>4.4000000000000004</v>
      </c>
      <c r="M2189" t="s">
        <v>152</v>
      </c>
      <c r="N2189" t="s">
        <v>29</v>
      </c>
      <c r="O2189" t="s">
        <v>40</v>
      </c>
      <c r="P2189" t="s">
        <v>152</v>
      </c>
      <c r="Q2189" t="s">
        <v>152</v>
      </c>
      <c r="R2189">
        <v>20</v>
      </c>
      <c r="S2189" t="s">
        <v>46</v>
      </c>
      <c r="T2189" t="str">
        <f t="shared" si="68"/>
        <v>Annually</v>
      </c>
      <c r="U2189">
        <f>VLOOKUP(T2189,[1]tablescore!$B$3:$C$8, 2,FALSE)</f>
        <v>1</v>
      </c>
      <c r="V2189" t="str">
        <f t="shared" si="69"/>
        <v>Low Loyalty</v>
      </c>
      <c r="W2189" t="s">
        <v>50</v>
      </c>
    </row>
    <row r="2190" spans="1:23" x14ac:dyDescent="0.25">
      <c r="A2190">
        <v>2189</v>
      </c>
      <c r="B2190">
        <v>41</v>
      </c>
      <c r="C2190" t="str" cm="1">
        <f t="array" ref="C2190">_xlfn.IFS(
  AND(B2190&gt;=18, B2190&lt;=24), "18-24",
  AND(B2190&gt;=25, B2190&lt;=34), "25-34",
  AND(B2190&gt;=35, B2190&lt;=44), "35-44",
  AND(B2190&gt;=45, B2190&lt;=54), "45-54",
  B2190&gt;=55, "55+"
)</f>
        <v>35-44</v>
      </c>
      <c r="D2190" t="s">
        <v>19</v>
      </c>
      <c r="E2190" t="s">
        <v>64</v>
      </c>
      <c r="F2190" t="s">
        <v>65</v>
      </c>
      <c r="G2190">
        <v>54</v>
      </c>
      <c r="H2190" t="s">
        <v>99</v>
      </c>
      <c r="I2190" t="s">
        <v>45</v>
      </c>
      <c r="J2190" t="s">
        <v>110</v>
      </c>
      <c r="K2190" t="s">
        <v>25</v>
      </c>
      <c r="L2190">
        <v>4.7</v>
      </c>
      <c r="M2190" t="s">
        <v>152</v>
      </c>
      <c r="N2190" t="s">
        <v>46</v>
      </c>
      <c r="O2190" t="s">
        <v>47</v>
      </c>
      <c r="P2190" t="s">
        <v>152</v>
      </c>
      <c r="Q2190" t="s">
        <v>152</v>
      </c>
      <c r="R2190">
        <v>9</v>
      </c>
      <c r="S2190" t="s">
        <v>27</v>
      </c>
      <c r="T2190" t="str">
        <f t="shared" si="68"/>
        <v>Daily</v>
      </c>
      <c r="U2190">
        <f>VLOOKUP(T2190,[1]tablescore!$B$3:$C$8, 2,FALSE)</f>
        <v>30</v>
      </c>
      <c r="V2190" t="str">
        <f t="shared" si="69"/>
        <v>Highly Loyal</v>
      </c>
      <c r="W2190" t="s">
        <v>41</v>
      </c>
    </row>
    <row r="2191" spans="1:23" x14ac:dyDescent="0.25">
      <c r="A2191">
        <v>2190</v>
      </c>
      <c r="B2191">
        <v>38</v>
      </c>
      <c r="C2191" t="str" cm="1">
        <f t="array" ref="C2191">_xlfn.IFS(
  AND(B2191&gt;=18, B2191&lt;=24), "18-24",
  AND(B2191&gt;=25, B2191&lt;=34), "25-34",
  AND(B2191&gt;=35, B2191&lt;=44), "35-44",
  AND(B2191&gt;=45, B2191&lt;=54), "45-54",
  B2191&gt;=55, "55+"
)</f>
        <v>35-44</v>
      </c>
      <c r="D2191" t="s">
        <v>19</v>
      </c>
      <c r="E2191" t="s">
        <v>20</v>
      </c>
      <c r="F2191" t="s">
        <v>21</v>
      </c>
      <c r="G2191">
        <v>94</v>
      </c>
      <c r="H2191" t="s">
        <v>148</v>
      </c>
      <c r="I2191" t="s">
        <v>92</v>
      </c>
      <c r="J2191" t="s">
        <v>110</v>
      </c>
      <c r="K2191" t="s">
        <v>58</v>
      </c>
      <c r="L2191">
        <v>4</v>
      </c>
      <c r="M2191" t="s">
        <v>152</v>
      </c>
      <c r="N2191" t="s">
        <v>46</v>
      </c>
      <c r="O2191" t="s">
        <v>28</v>
      </c>
      <c r="P2191" t="s">
        <v>152</v>
      </c>
      <c r="Q2191" t="s">
        <v>152</v>
      </c>
      <c r="R2191">
        <v>47</v>
      </c>
      <c r="S2191" t="s">
        <v>27</v>
      </c>
      <c r="T2191" t="str">
        <f t="shared" si="68"/>
        <v>2-week</v>
      </c>
      <c r="U2191">
        <f>VLOOKUP(T2191,[1]tablescore!$B$3:$C$8, 2,FALSE)</f>
        <v>26</v>
      </c>
      <c r="V2191" t="str">
        <f t="shared" si="69"/>
        <v>Loyal</v>
      </c>
      <c r="W2191" t="s">
        <v>77</v>
      </c>
    </row>
    <row r="2192" spans="1:23" x14ac:dyDescent="0.25">
      <c r="A2192">
        <v>2191</v>
      </c>
      <c r="B2192">
        <v>42</v>
      </c>
      <c r="C2192" t="str" cm="1">
        <f t="array" ref="C2192">_xlfn.IFS(
  AND(B2192&gt;=18, B2192&lt;=24), "18-24",
  AND(B2192&gt;=25, B2192&lt;=34), "25-34",
  AND(B2192&gt;=35, B2192&lt;=44), "35-44",
  AND(B2192&gt;=45, B2192&lt;=54), "45-54",
  B2192&gt;=55, "55+"
)</f>
        <v>35-44</v>
      </c>
      <c r="D2192" t="s">
        <v>19</v>
      </c>
      <c r="E2192" t="s">
        <v>136</v>
      </c>
      <c r="F2192" t="s">
        <v>69</v>
      </c>
      <c r="G2192">
        <v>75</v>
      </c>
      <c r="H2192" t="s">
        <v>120</v>
      </c>
      <c r="I2192" t="s">
        <v>38</v>
      </c>
      <c r="J2192" t="s">
        <v>33</v>
      </c>
      <c r="K2192" t="s">
        <v>39</v>
      </c>
      <c r="L2192">
        <v>4.5999999999999996</v>
      </c>
      <c r="M2192" t="s">
        <v>152</v>
      </c>
      <c r="N2192" t="s">
        <v>59</v>
      </c>
      <c r="O2192" t="s">
        <v>28</v>
      </c>
      <c r="P2192" t="s">
        <v>152</v>
      </c>
      <c r="Q2192" t="s">
        <v>152</v>
      </c>
      <c r="R2192">
        <v>33</v>
      </c>
      <c r="S2192" t="s">
        <v>27</v>
      </c>
      <c r="T2192" t="str">
        <f t="shared" si="68"/>
        <v>Annually</v>
      </c>
      <c r="U2192">
        <f>VLOOKUP(T2192,[1]tablescore!$B$3:$C$8, 2,FALSE)</f>
        <v>1</v>
      </c>
      <c r="V2192" t="str">
        <f t="shared" si="69"/>
        <v>Low Loyalty</v>
      </c>
      <c r="W2192" t="s">
        <v>50</v>
      </c>
    </row>
    <row r="2193" spans="1:23" x14ac:dyDescent="0.25">
      <c r="A2193">
        <v>2192</v>
      </c>
      <c r="B2193">
        <v>26</v>
      </c>
      <c r="C2193" t="str" cm="1">
        <f t="array" ref="C2193">_xlfn.IFS(
  AND(B2193&gt;=18, B2193&lt;=24), "18-24",
  AND(B2193&gt;=25, B2193&lt;=34), "25-34",
  AND(B2193&gt;=35, B2193&lt;=44), "35-44",
  AND(B2193&gt;=45, B2193&lt;=54), "45-54",
  B2193&gt;=55, "55+"
)</f>
        <v>25-34</v>
      </c>
      <c r="D2193" t="s">
        <v>19</v>
      </c>
      <c r="E2193" t="s">
        <v>20</v>
      </c>
      <c r="F2193" t="s">
        <v>21</v>
      </c>
      <c r="G2193">
        <v>69</v>
      </c>
      <c r="H2193" t="s">
        <v>141</v>
      </c>
      <c r="I2193" t="s">
        <v>38</v>
      </c>
      <c r="J2193" t="s">
        <v>33</v>
      </c>
      <c r="K2193" t="s">
        <v>54</v>
      </c>
      <c r="L2193">
        <v>3.8</v>
      </c>
      <c r="M2193" t="s">
        <v>152</v>
      </c>
      <c r="N2193" t="s">
        <v>29</v>
      </c>
      <c r="O2193" t="s">
        <v>47</v>
      </c>
      <c r="P2193" t="s">
        <v>152</v>
      </c>
      <c r="Q2193" t="s">
        <v>152</v>
      </c>
      <c r="R2193">
        <v>46</v>
      </c>
      <c r="S2193" t="s">
        <v>35</v>
      </c>
      <c r="T2193" t="str">
        <f t="shared" si="68"/>
        <v>2-week</v>
      </c>
      <c r="U2193">
        <f>VLOOKUP(T2193,[1]tablescore!$B$3:$C$8, 2,FALSE)</f>
        <v>26</v>
      </c>
      <c r="V2193" t="str">
        <f t="shared" si="69"/>
        <v>Loyal</v>
      </c>
      <c r="W2193" t="s">
        <v>77</v>
      </c>
    </row>
    <row r="2194" spans="1:23" x14ac:dyDescent="0.25">
      <c r="A2194">
        <v>2193</v>
      </c>
      <c r="B2194">
        <v>41</v>
      </c>
      <c r="C2194" t="str" cm="1">
        <f t="array" ref="C2194">_xlfn.IFS(
  AND(B2194&gt;=18, B2194&lt;=24), "18-24",
  AND(B2194&gt;=25, B2194&lt;=34), "25-34",
  AND(B2194&gt;=35, B2194&lt;=44), "35-44",
  AND(B2194&gt;=45, B2194&lt;=54), "45-54",
  B2194&gt;=55, "55+"
)</f>
        <v>35-44</v>
      </c>
      <c r="D2194" t="s">
        <v>19</v>
      </c>
      <c r="E2194" t="s">
        <v>119</v>
      </c>
      <c r="F2194" t="s">
        <v>69</v>
      </c>
      <c r="G2194">
        <v>35</v>
      </c>
      <c r="H2194" t="s">
        <v>128</v>
      </c>
      <c r="I2194" t="s">
        <v>23</v>
      </c>
      <c r="J2194" t="s">
        <v>139</v>
      </c>
      <c r="K2194" t="s">
        <v>25</v>
      </c>
      <c r="L2194">
        <v>3.2</v>
      </c>
      <c r="M2194" t="s">
        <v>152</v>
      </c>
      <c r="N2194" t="s">
        <v>34</v>
      </c>
      <c r="O2194" t="s">
        <v>47</v>
      </c>
      <c r="P2194" t="s">
        <v>152</v>
      </c>
      <c r="Q2194" t="s">
        <v>152</v>
      </c>
      <c r="R2194">
        <v>9</v>
      </c>
      <c r="S2194" t="s">
        <v>27</v>
      </c>
      <c r="T2194" t="str">
        <f t="shared" si="68"/>
        <v>Month</v>
      </c>
      <c r="U2194">
        <f>VLOOKUP(T2194,[1]tablescore!$B$3:$C$8, 2,FALSE)</f>
        <v>12</v>
      </c>
      <c r="V2194" t="str">
        <f t="shared" si="69"/>
        <v>Moderate</v>
      </c>
      <c r="W2194" t="s">
        <v>88</v>
      </c>
    </row>
    <row r="2195" spans="1:23" x14ac:dyDescent="0.25">
      <c r="A2195">
        <v>2194</v>
      </c>
      <c r="B2195">
        <v>27</v>
      </c>
      <c r="C2195" t="str" cm="1">
        <f t="array" ref="C2195">_xlfn.IFS(
  AND(B2195&gt;=18, B2195&lt;=24), "18-24",
  AND(B2195&gt;=25, B2195&lt;=34), "25-34",
  AND(B2195&gt;=35, B2195&lt;=44), "35-44",
  AND(B2195&gt;=45, B2195&lt;=54), "45-54",
  B2195&gt;=55, "55+"
)</f>
        <v>25-34</v>
      </c>
      <c r="D2195" t="s">
        <v>19</v>
      </c>
      <c r="E2195" t="s">
        <v>56</v>
      </c>
      <c r="F2195" t="s">
        <v>21</v>
      </c>
      <c r="G2195">
        <v>78</v>
      </c>
      <c r="H2195" t="s">
        <v>99</v>
      </c>
      <c r="I2195" t="s">
        <v>23</v>
      </c>
      <c r="J2195" t="s">
        <v>49</v>
      </c>
      <c r="K2195" t="s">
        <v>39</v>
      </c>
      <c r="L2195">
        <v>5</v>
      </c>
      <c r="M2195" t="s">
        <v>152</v>
      </c>
      <c r="N2195" t="s">
        <v>34</v>
      </c>
      <c r="O2195" t="s">
        <v>28</v>
      </c>
      <c r="P2195" t="s">
        <v>152</v>
      </c>
      <c r="Q2195" t="s">
        <v>152</v>
      </c>
      <c r="R2195">
        <v>8</v>
      </c>
      <c r="S2195" t="s">
        <v>46</v>
      </c>
      <c r="T2195" t="str">
        <f t="shared" si="68"/>
        <v>Month</v>
      </c>
      <c r="U2195">
        <f>VLOOKUP(T2195,[1]tablescore!$B$3:$C$8, 2,FALSE)</f>
        <v>12</v>
      </c>
      <c r="V2195" t="str">
        <f t="shared" si="69"/>
        <v>Moderate</v>
      </c>
      <c r="W2195" t="s">
        <v>88</v>
      </c>
    </row>
    <row r="2196" spans="1:23" x14ac:dyDescent="0.25">
      <c r="A2196">
        <v>2195</v>
      </c>
      <c r="B2196">
        <v>61</v>
      </c>
      <c r="C2196" t="str" cm="1">
        <f t="array" ref="C2196">_xlfn.IFS(
  AND(B2196&gt;=18, B2196&lt;=24), "18-24",
  AND(B2196&gt;=25, B2196&lt;=34), "25-34",
  AND(B2196&gt;=35, B2196&lt;=44), "35-44",
  AND(B2196&gt;=45, B2196&lt;=54), "45-54",
  B2196&gt;=55, "55+"
)</f>
        <v>55+</v>
      </c>
      <c r="D2196" t="s">
        <v>19</v>
      </c>
      <c r="E2196" t="s">
        <v>131</v>
      </c>
      <c r="F2196" t="s">
        <v>21</v>
      </c>
      <c r="G2196">
        <v>29</v>
      </c>
      <c r="H2196" t="s">
        <v>22</v>
      </c>
      <c r="I2196" t="s">
        <v>45</v>
      </c>
      <c r="J2196" t="s">
        <v>67</v>
      </c>
      <c r="K2196" t="s">
        <v>54</v>
      </c>
      <c r="L2196">
        <v>3.5</v>
      </c>
      <c r="M2196" t="s">
        <v>152</v>
      </c>
      <c r="N2196" t="s">
        <v>59</v>
      </c>
      <c r="O2196" t="s">
        <v>55</v>
      </c>
      <c r="P2196" t="s">
        <v>152</v>
      </c>
      <c r="Q2196" t="s">
        <v>152</v>
      </c>
      <c r="R2196">
        <v>48</v>
      </c>
      <c r="S2196" t="s">
        <v>34</v>
      </c>
      <c r="T2196" t="str">
        <f t="shared" si="68"/>
        <v>Quarterly</v>
      </c>
      <c r="U2196">
        <f>VLOOKUP(T2196,[1]tablescore!$B$3:$C$8, 2,FALSE)</f>
        <v>4</v>
      </c>
      <c r="V2196" t="str">
        <f t="shared" si="69"/>
        <v>Low Loyalty</v>
      </c>
      <c r="W2196" t="s">
        <v>60</v>
      </c>
    </row>
    <row r="2197" spans="1:23" x14ac:dyDescent="0.25">
      <c r="A2197">
        <v>2196</v>
      </c>
      <c r="B2197">
        <v>58</v>
      </c>
      <c r="C2197" t="str" cm="1">
        <f t="array" ref="C2197">_xlfn.IFS(
  AND(B2197&gt;=18, B2197&lt;=24), "18-24",
  AND(B2197&gt;=25, B2197&lt;=34), "25-34",
  AND(B2197&gt;=35, B2197&lt;=44), "35-44",
  AND(B2197&gt;=45, B2197&lt;=54), "45-54",
  B2197&gt;=55, "55+"
)</f>
        <v>55+</v>
      </c>
      <c r="D2197" t="s">
        <v>19</v>
      </c>
      <c r="E2197" t="s">
        <v>36</v>
      </c>
      <c r="F2197" t="s">
        <v>21</v>
      </c>
      <c r="G2197">
        <v>62</v>
      </c>
      <c r="H2197" t="s">
        <v>85</v>
      </c>
      <c r="I2197" t="s">
        <v>45</v>
      </c>
      <c r="J2197" t="s">
        <v>110</v>
      </c>
      <c r="K2197" t="s">
        <v>58</v>
      </c>
      <c r="L2197">
        <v>3.7</v>
      </c>
      <c r="M2197" t="s">
        <v>152</v>
      </c>
      <c r="N2197" t="s">
        <v>27</v>
      </c>
      <c r="O2197" t="s">
        <v>47</v>
      </c>
      <c r="P2197" t="s">
        <v>152</v>
      </c>
      <c r="Q2197" t="s">
        <v>152</v>
      </c>
      <c r="R2197">
        <v>2</v>
      </c>
      <c r="S2197" t="s">
        <v>35</v>
      </c>
      <c r="T2197" t="str">
        <f t="shared" si="68"/>
        <v>Month</v>
      </c>
      <c r="U2197">
        <f>VLOOKUP(T2197,[1]tablescore!$B$3:$C$8, 2,FALSE)</f>
        <v>12</v>
      </c>
      <c r="V2197" t="str">
        <f t="shared" si="69"/>
        <v>Moderate</v>
      </c>
      <c r="W2197" t="s">
        <v>88</v>
      </c>
    </row>
    <row r="2198" spans="1:23" x14ac:dyDescent="0.25">
      <c r="A2198">
        <v>2197</v>
      </c>
      <c r="B2198">
        <v>25</v>
      </c>
      <c r="C2198" t="str" cm="1">
        <f t="array" ref="C2198">_xlfn.IFS(
  AND(B2198&gt;=18, B2198&lt;=24), "18-24",
  AND(B2198&gt;=25, B2198&lt;=34), "25-34",
  AND(B2198&gt;=35, B2198&lt;=44), "35-44",
  AND(B2198&gt;=45, B2198&lt;=54), "45-54",
  B2198&gt;=55, "55+"
)</f>
        <v>25-34</v>
      </c>
      <c r="D2198" t="s">
        <v>19</v>
      </c>
      <c r="E2198" t="s">
        <v>82</v>
      </c>
      <c r="F2198" t="s">
        <v>21</v>
      </c>
      <c r="G2198">
        <v>58</v>
      </c>
      <c r="H2198" t="s">
        <v>145</v>
      </c>
      <c r="I2198" t="s">
        <v>45</v>
      </c>
      <c r="J2198" t="s">
        <v>24</v>
      </c>
      <c r="K2198" t="s">
        <v>39</v>
      </c>
      <c r="L2198">
        <v>4.8</v>
      </c>
      <c r="M2198" t="s">
        <v>152</v>
      </c>
      <c r="N2198" t="s">
        <v>29</v>
      </c>
      <c r="O2198" t="s">
        <v>47</v>
      </c>
      <c r="P2198" t="s">
        <v>152</v>
      </c>
      <c r="Q2198" t="s">
        <v>152</v>
      </c>
      <c r="R2198">
        <v>31</v>
      </c>
      <c r="S2198" t="s">
        <v>46</v>
      </c>
      <c r="T2198" t="str">
        <f t="shared" si="68"/>
        <v>Daily</v>
      </c>
      <c r="U2198">
        <f>VLOOKUP(T2198,[1]tablescore!$B$3:$C$8, 2,FALSE)</f>
        <v>30</v>
      </c>
      <c r="V2198" t="str">
        <f t="shared" si="69"/>
        <v>Highly Loyal</v>
      </c>
      <c r="W2198" t="s">
        <v>41</v>
      </c>
    </row>
    <row r="2199" spans="1:23" x14ac:dyDescent="0.25">
      <c r="A2199">
        <v>2198</v>
      </c>
      <c r="B2199">
        <v>33</v>
      </c>
      <c r="C2199" t="str" cm="1">
        <f t="array" ref="C2199">_xlfn.IFS(
  AND(B2199&gt;=18, B2199&lt;=24), "18-24",
  AND(B2199&gt;=25, B2199&lt;=34), "25-34",
  AND(B2199&gt;=35, B2199&lt;=44), "35-44",
  AND(B2199&gt;=45, B2199&lt;=54), "45-54",
  B2199&gt;=55, "55+"
)</f>
        <v>25-34</v>
      </c>
      <c r="D2199" t="s">
        <v>19</v>
      </c>
      <c r="E2199" t="s">
        <v>132</v>
      </c>
      <c r="F2199" t="s">
        <v>43</v>
      </c>
      <c r="G2199">
        <v>88</v>
      </c>
      <c r="H2199" t="s">
        <v>141</v>
      </c>
      <c r="I2199" t="s">
        <v>45</v>
      </c>
      <c r="J2199" t="s">
        <v>129</v>
      </c>
      <c r="K2199" t="s">
        <v>54</v>
      </c>
      <c r="L2199">
        <v>3.7</v>
      </c>
      <c r="M2199" t="s">
        <v>152</v>
      </c>
      <c r="N2199" t="s">
        <v>46</v>
      </c>
      <c r="O2199" t="s">
        <v>72</v>
      </c>
      <c r="P2199" t="s">
        <v>152</v>
      </c>
      <c r="Q2199" t="s">
        <v>152</v>
      </c>
      <c r="R2199">
        <v>40</v>
      </c>
      <c r="S2199" t="s">
        <v>29</v>
      </c>
      <c r="T2199" t="str">
        <f t="shared" si="68"/>
        <v>Month</v>
      </c>
      <c r="U2199">
        <f>VLOOKUP(T2199,[1]tablescore!$B$3:$C$8, 2,FALSE)</f>
        <v>12</v>
      </c>
      <c r="V2199" t="str">
        <f t="shared" si="69"/>
        <v>Moderate</v>
      </c>
      <c r="W2199" t="s">
        <v>88</v>
      </c>
    </row>
    <row r="2200" spans="1:23" x14ac:dyDescent="0.25">
      <c r="A2200">
        <v>2199</v>
      </c>
      <c r="B2200">
        <v>57</v>
      </c>
      <c r="C2200" t="str" cm="1">
        <f t="array" ref="C2200">_xlfn.IFS(
  AND(B2200&gt;=18, B2200&lt;=24), "18-24",
  AND(B2200&gt;=25, B2200&lt;=34), "25-34",
  AND(B2200&gt;=35, B2200&lt;=44), "35-44",
  AND(B2200&gt;=45, B2200&lt;=54), "45-54",
  B2200&gt;=55, "55+"
)</f>
        <v>55+</v>
      </c>
      <c r="D2200" t="s">
        <v>19</v>
      </c>
      <c r="E2200" t="s">
        <v>119</v>
      </c>
      <c r="F2200" t="s">
        <v>69</v>
      </c>
      <c r="G2200">
        <v>80</v>
      </c>
      <c r="H2200" t="s">
        <v>85</v>
      </c>
      <c r="I2200" t="s">
        <v>23</v>
      </c>
      <c r="J2200" t="s">
        <v>49</v>
      </c>
      <c r="K2200" t="s">
        <v>54</v>
      </c>
      <c r="L2200">
        <v>3.5</v>
      </c>
      <c r="M2200" t="s">
        <v>152</v>
      </c>
      <c r="N2200" t="s">
        <v>35</v>
      </c>
      <c r="O2200" t="s">
        <v>40</v>
      </c>
      <c r="P2200" t="s">
        <v>152</v>
      </c>
      <c r="Q2200" t="s">
        <v>152</v>
      </c>
      <c r="R2200">
        <v>35</v>
      </c>
      <c r="S2200" t="s">
        <v>29</v>
      </c>
      <c r="T2200" t="str">
        <f t="shared" si="68"/>
        <v>Month</v>
      </c>
      <c r="U2200">
        <f>VLOOKUP(T2200,[1]tablescore!$B$3:$C$8, 2,FALSE)</f>
        <v>12</v>
      </c>
      <c r="V2200" t="str">
        <f t="shared" si="69"/>
        <v>Moderate</v>
      </c>
      <c r="W2200" t="s">
        <v>88</v>
      </c>
    </row>
    <row r="2201" spans="1:23" x14ac:dyDescent="0.25">
      <c r="A2201">
        <v>2200</v>
      </c>
      <c r="B2201">
        <v>39</v>
      </c>
      <c r="C2201" t="str" cm="1">
        <f t="array" ref="C2201">_xlfn.IFS(
  AND(B2201&gt;=18, B2201&lt;=24), "18-24",
  AND(B2201&gt;=25, B2201&lt;=34), "25-34",
  AND(B2201&gt;=35, B2201&lt;=44), "35-44",
  AND(B2201&gt;=45, B2201&lt;=54), "45-54",
  B2201&gt;=55, "55+"
)</f>
        <v>35-44</v>
      </c>
      <c r="D2201" t="s">
        <v>19</v>
      </c>
      <c r="E2201" t="s">
        <v>119</v>
      </c>
      <c r="F2201" t="s">
        <v>69</v>
      </c>
      <c r="G2201">
        <v>47</v>
      </c>
      <c r="H2201" t="s">
        <v>98</v>
      </c>
      <c r="I2201" t="s">
        <v>45</v>
      </c>
      <c r="J2201" t="s">
        <v>33</v>
      </c>
      <c r="K2201" t="s">
        <v>54</v>
      </c>
      <c r="L2201">
        <v>4.9000000000000004</v>
      </c>
      <c r="M2201" t="s">
        <v>152</v>
      </c>
      <c r="N2201" t="s">
        <v>34</v>
      </c>
      <c r="O2201" t="s">
        <v>76</v>
      </c>
      <c r="P2201" t="s">
        <v>152</v>
      </c>
      <c r="Q2201" t="s">
        <v>152</v>
      </c>
      <c r="R2201">
        <v>40</v>
      </c>
      <c r="S2201" t="s">
        <v>59</v>
      </c>
      <c r="T2201" t="str">
        <f t="shared" si="68"/>
        <v>Month</v>
      </c>
      <c r="U2201">
        <f>VLOOKUP(T2201,[1]tablescore!$B$3:$C$8, 2,FALSE)</f>
        <v>12</v>
      </c>
      <c r="V2201" t="str">
        <f t="shared" si="69"/>
        <v>Moderate</v>
      </c>
      <c r="W2201" t="s">
        <v>88</v>
      </c>
    </row>
    <row r="2202" spans="1:23" x14ac:dyDescent="0.25">
      <c r="A2202">
        <v>2201</v>
      </c>
      <c r="B2202">
        <v>60</v>
      </c>
      <c r="C2202" t="str" cm="1">
        <f t="array" ref="C2202">_xlfn.IFS(
  AND(B2202&gt;=18, B2202&lt;=24), "18-24",
  AND(B2202&gt;=25, B2202&lt;=34), "25-34",
  AND(B2202&gt;=35, B2202&lt;=44), "35-44",
  AND(B2202&gt;=45, B2202&lt;=54), "45-54",
  B2202&gt;=55, "55+"
)</f>
        <v>55+</v>
      </c>
      <c r="D2202" t="s">
        <v>19</v>
      </c>
      <c r="E2202" t="s">
        <v>127</v>
      </c>
      <c r="F2202" t="s">
        <v>69</v>
      </c>
      <c r="G2202">
        <v>51</v>
      </c>
      <c r="H2202" t="s">
        <v>52</v>
      </c>
      <c r="I2202" t="s">
        <v>23</v>
      </c>
      <c r="J2202" t="s">
        <v>63</v>
      </c>
      <c r="K2202" t="s">
        <v>54</v>
      </c>
      <c r="L2202">
        <v>4.7</v>
      </c>
      <c r="M2202" t="s">
        <v>152</v>
      </c>
      <c r="N2202" t="s">
        <v>46</v>
      </c>
      <c r="O2202" t="s">
        <v>47</v>
      </c>
      <c r="P2202" t="s">
        <v>152</v>
      </c>
      <c r="Q2202" t="s">
        <v>152</v>
      </c>
      <c r="R2202">
        <v>27</v>
      </c>
      <c r="S2202" t="s">
        <v>59</v>
      </c>
      <c r="T2202" t="str">
        <f t="shared" si="68"/>
        <v>Quarterly</v>
      </c>
      <c r="U2202">
        <f>VLOOKUP(T2202,[1]tablescore!$B$3:$C$8, 2,FALSE)</f>
        <v>4</v>
      </c>
      <c r="V2202" t="str">
        <f t="shared" si="69"/>
        <v>Low Loyalty</v>
      </c>
      <c r="W2202" t="s">
        <v>97</v>
      </c>
    </row>
    <row r="2203" spans="1:23" x14ac:dyDescent="0.25">
      <c r="A2203">
        <v>2202</v>
      </c>
      <c r="B2203">
        <v>39</v>
      </c>
      <c r="C2203" t="str" cm="1">
        <f t="array" ref="C2203">_xlfn.IFS(
  AND(B2203&gt;=18, B2203&lt;=24), "18-24",
  AND(B2203&gt;=25, B2203&lt;=34), "25-34",
  AND(B2203&gt;=35, B2203&lt;=44), "35-44",
  AND(B2203&gt;=45, B2203&lt;=54), "45-54",
  B2203&gt;=55, "55+"
)</f>
        <v>35-44</v>
      </c>
      <c r="D2203" t="s">
        <v>19</v>
      </c>
      <c r="E2203" t="s">
        <v>95</v>
      </c>
      <c r="F2203" t="s">
        <v>21</v>
      </c>
      <c r="G2203">
        <v>25</v>
      </c>
      <c r="H2203" t="s">
        <v>124</v>
      </c>
      <c r="I2203" t="s">
        <v>23</v>
      </c>
      <c r="J2203" t="s">
        <v>100</v>
      </c>
      <c r="K2203" t="s">
        <v>39</v>
      </c>
      <c r="L2203">
        <v>4.9000000000000004</v>
      </c>
      <c r="M2203" t="s">
        <v>152</v>
      </c>
      <c r="N2203" t="s">
        <v>34</v>
      </c>
      <c r="O2203" t="s">
        <v>72</v>
      </c>
      <c r="P2203" t="s">
        <v>152</v>
      </c>
      <c r="Q2203" t="s">
        <v>152</v>
      </c>
      <c r="R2203">
        <v>10</v>
      </c>
      <c r="S2203" t="s">
        <v>29</v>
      </c>
      <c r="T2203" t="str">
        <f t="shared" si="68"/>
        <v>Annually</v>
      </c>
      <c r="U2203">
        <f>VLOOKUP(T2203,[1]tablescore!$B$3:$C$8, 2,FALSE)</f>
        <v>1</v>
      </c>
      <c r="V2203" t="str">
        <f t="shared" si="69"/>
        <v>Low Loyalty</v>
      </c>
      <c r="W2203" t="s">
        <v>50</v>
      </c>
    </row>
    <row r="2204" spans="1:23" x14ac:dyDescent="0.25">
      <c r="A2204">
        <v>2203</v>
      </c>
      <c r="B2204">
        <v>42</v>
      </c>
      <c r="C2204" t="str" cm="1">
        <f t="array" ref="C2204">_xlfn.IFS(
  AND(B2204&gt;=18, B2204&lt;=24), "18-24",
  AND(B2204&gt;=25, B2204&lt;=34), "25-34",
  AND(B2204&gt;=35, B2204&lt;=44), "35-44",
  AND(B2204&gt;=45, B2204&lt;=54), "45-54",
  B2204&gt;=55, "55+"
)</f>
        <v>35-44</v>
      </c>
      <c r="D2204" t="s">
        <v>19</v>
      </c>
      <c r="E2204" t="s">
        <v>82</v>
      </c>
      <c r="F2204" t="s">
        <v>21</v>
      </c>
      <c r="G2204">
        <v>36</v>
      </c>
      <c r="H2204" t="s">
        <v>90</v>
      </c>
      <c r="I2204" t="s">
        <v>45</v>
      </c>
      <c r="J2204" t="s">
        <v>108</v>
      </c>
      <c r="K2204" t="s">
        <v>54</v>
      </c>
      <c r="L2204">
        <v>4.3</v>
      </c>
      <c r="M2204" t="s">
        <v>152</v>
      </c>
      <c r="N2204" t="s">
        <v>46</v>
      </c>
      <c r="O2204" t="s">
        <v>47</v>
      </c>
      <c r="P2204" t="s">
        <v>152</v>
      </c>
      <c r="Q2204" t="s">
        <v>152</v>
      </c>
      <c r="R2204">
        <v>23</v>
      </c>
      <c r="S2204" t="s">
        <v>27</v>
      </c>
      <c r="T2204" t="str">
        <f t="shared" si="68"/>
        <v>Daily</v>
      </c>
      <c r="U2204">
        <f>VLOOKUP(T2204,[1]tablescore!$B$3:$C$8, 2,FALSE)</f>
        <v>30</v>
      </c>
      <c r="V2204" t="str">
        <f t="shared" si="69"/>
        <v>Highly Loyal</v>
      </c>
      <c r="W2204" t="s">
        <v>41</v>
      </c>
    </row>
    <row r="2205" spans="1:23" x14ac:dyDescent="0.25">
      <c r="A2205">
        <v>2204</v>
      </c>
      <c r="B2205">
        <v>53</v>
      </c>
      <c r="C2205" t="str" cm="1">
        <f t="array" ref="C2205">_xlfn.IFS(
  AND(B2205&gt;=18, B2205&lt;=24), "18-24",
  AND(B2205&gt;=25, B2205&lt;=34), "25-34",
  AND(B2205&gt;=35, B2205&lt;=44), "35-44",
  AND(B2205&gt;=45, B2205&lt;=54), "45-54",
  B2205&gt;=55, "55+"
)</f>
        <v>45-54</v>
      </c>
      <c r="D2205" t="s">
        <v>19</v>
      </c>
      <c r="E2205" t="s">
        <v>82</v>
      </c>
      <c r="F2205" t="s">
        <v>21</v>
      </c>
      <c r="G2205">
        <v>79</v>
      </c>
      <c r="H2205" t="s">
        <v>44</v>
      </c>
      <c r="I2205" t="s">
        <v>45</v>
      </c>
      <c r="J2205" t="s">
        <v>129</v>
      </c>
      <c r="K2205" t="s">
        <v>25</v>
      </c>
      <c r="L2205">
        <v>3.1</v>
      </c>
      <c r="M2205" t="s">
        <v>152</v>
      </c>
      <c r="N2205" t="s">
        <v>29</v>
      </c>
      <c r="O2205" t="s">
        <v>40</v>
      </c>
      <c r="P2205" t="s">
        <v>152</v>
      </c>
      <c r="Q2205" t="s">
        <v>152</v>
      </c>
      <c r="R2205">
        <v>32</v>
      </c>
      <c r="S2205" t="s">
        <v>35</v>
      </c>
      <c r="T2205" t="str">
        <f t="shared" si="68"/>
        <v>Quarterly</v>
      </c>
      <c r="U2205">
        <f>VLOOKUP(T2205,[1]tablescore!$B$3:$C$8, 2,FALSE)</f>
        <v>4</v>
      </c>
      <c r="V2205" t="str">
        <f t="shared" si="69"/>
        <v>Low Loyalty</v>
      </c>
      <c r="W2205" t="s">
        <v>60</v>
      </c>
    </row>
    <row r="2206" spans="1:23" x14ac:dyDescent="0.25">
      <c r="A2206">
        <v>2205</v>
      </c>
      <c r="B2206">
        <v>20</v>
      </c>
      <c r="C2206" t="str" cm="1">
        <f t="array" ref="C2206">_xlfn.IFS(
  AND(B2206&gt;=18, B2206&lt;=24), "18-24",
  AND(B2206&gt;=25, B2206&lt;=34), "25-34",
  AND(B2206&gt;=35, B2206&lt;=44), "35-44",
  AND(B2206&gt;=45, B2206&lt;=54), "45-54",
  B2206&gt;=55, "55+"
)</f>
        <v>18-24</v>
      </c>
      <c r="D2206" t="s">
        <v>19</v>
      </c>
      <c r="E2206" t="s">
        <v>36</v>
      </c>
      <c r="F2206" t="s">
        <v>21</v>
      </c>
      <c r="G2206">
        <v>41</v>
      </c>
      <c r="H2206" t="s">
        <v>48</v>
      </c>
      <c r="I2206" t="s">
        <v>38</v>
      </c>
      <c r="J2206" t="s">
        <v>93</v>
      </c>
      <c r="K2206" t="s">
        <v>25</v>
      </c>
      <c r="L2206">
        <v>3.4</v>
      </c>
      <c r="M2206" t="s">
        <v>152</v>
      </c>
      <c r="N2206" t="s">
        <v>29</v>
      </c>
      <c r="O2206" t="s">
        <v>72</v>
      </c>
      <c r="P2206" t="s">
        <v>152</v>
      </c>
      <c r="Q2206" t="s">
        <v>152</v>
      </c>
      <c r="R2206">
        <v>6</v>
      </c>
      <c r="S2206" t="s">
        <v>59</v>
      </c>
      <c r="T2206" t="str">
        <f t="shared" si="68"/>
        <v>Month</v>
      </c>
      <c r="U2206">
        <f>VLOOKUP(T2206,[1]tablescore!$B$3:$C$8, 2,FALSE)</f>
        <v>12</v>
      </c>
      <c r="V2206" t="str">
        <f t="shared" si="69"/>
        <v>Moderate</v>
      </c>
      <c r="W2206" t="s">
        <v>88</v>
      </c>
    </row>
    <row r="2207" spans="1:23" x14ac:dyDescent="0.25">
      <c r="A2207">
        <v>2206</v>
      </c>
      <c r="B2207">
        <v>46</v>
      </c>
      <c r="C2207" t="str" cm="1">
        <f t="array" ref="C2207">_xlfn.IFS(
  AND(B2207&gt;=18, B2207&lt;=24), "18-24",
  AND(B2207&gt;=25, B2207&lt;=34), "25-34",
  AND(B2207&gt;=35, B2207&lt;=44), "35-44",
  AND(B2207&gt;=45, B2207&lt;=54), "45-54",
  B2207&gt;=55, "55+"
)</f>
        <v>45-54</v>
      </c>
      <c r="D2207" t="s">
        <v>19</v>
      </c>
      <c r="E2207" t="s">
        <v>31</v>
      </c>
      <c r="F2207" t="s">
        <v>21</v>
      </c>
      <c r="G2207">
        <v>68</v>
      </c>
      <c r="H2207" t="s">
        <v>114</v>
      </c>
      <c r="I2207" t="s">
        <v>92</v>
      </c>
      <c r="J2207" t="s">
        <v>108</v>
      </c>
      <c r="K2207" t="s">
        <v>58</v>
      </c>
      <c r="L2207">
        <v>2.7</v>
      </c>
      <c r="M2207" t="s">
        <v>152</v>
      </c>
      <c r="N2207" t="s">
        <v>46</v>
      </c>
      <c r="O2207" t="s">
        <v>28</v>
      </c>
      <c r="P2207" t="s">
        <v>152</v>
      </c>
      <c r="Q2207" t="s">
        <v>152</v>
      </c>
      <c r="R2207">
        <v>27</v>
      </c>
      <c r="S2207" t="s">
        <v>46</v>
      </c>
      <c r="T2207" t="str">
        <f t="shared" si="68"/>
        <v>Daily</v>
      </c>
      <c r="U2207">
        <f>VLOOKUP(T2207,[1]tablescore!$B$3:$C$8, 2,FALSE)</f>
        <v>30</v>
      </c>
      <c r="V2207" t="str">
        <f t="shared" si="69"/>
        <v>Highly Loyal</v>
      </c>
      <c r="W2207" t="s">
        <v>41</v>
      </c>
    </row>
    <row r="2208" spans="1:23" x14ac:dyDescent="0.25">
      <c r="A2208">
        <v>2207</v>
      </c>
      <c r="B2208">
        <v>46</v>
      </c>
      <c r="C2208" t="str" cm="1">
        <f t="array" ref="C2208">_xlfn.IFS(
  AND(B2208&gt;=18, B2208&lt;=24), "18-24",
  AND(B2208&gt;=25, B2208&lt;=34), "25-34",
  AND(B2208&gt;=35, B2208&lt;=44), "35-44",
  AND(B2208&gt;=45, B2208&lt;=54), "45-54",
  B2208&gt;=55, "55+"
)</f>
        <v>45-54</v>
      </c>
      <c r="D2208" t="s">
        <v>19</v>
      </c>
      <c r="E2208" t="s">
        <v>42</v>
      </c>
      <c r="F2208" t="s">
        <v>43</v>
      </c>
      <c r="G2208">
        <v>51</v>
      </c>
      <c r="H2208" t="s">
        <v>115</v>
      </c>
      <c r="I2208" t="s">
        <v>23</v>
      </c>
      <c r="J2208" t="s">
        <v>96</v>
      </c>
      <c r="K2208" t="s">
        <v>39</v>
      </c>
      <c r="L2208">
        <v>2.6</v>
      </c>
      <c r="M2208" t="s">
        <v>152</v>
      </c>
      <c r="N2208" t="s">
        <v>46</v>
      </c>
      <c r="O2208" t="s">
        <v>76</v>
      </c>
      <c r="P2208" t="s">
        <v>152</v>
      </c>
      <c r="Q2208" t="s">
        <v>152</v>
      </c>
      <c r="R2208">
        <v>25</v>
      </c>
      <c r="S2208" t="s">
        <v>34</v>
      </c>
      <c r="T2208" t="str">
        <f t="shared" si="68"/>
        <v>2-week</v>
      </c>
      <c r="U2208">
        <f>VLOOKUP(T2208,[1]tablescore!$B$3:$C$8, 2,FALSE)</f>
        <v>26</v>
      </c>
      <c r="V2208" t="str">
        <f t="shared" si="69"/>
        <v>Loyal</v>
      </c>
      <c r="W2208" t="s">
        <v>30</v>
      </c>
    </row>
    <row r="2209" spans="1:23" x14ac:dyDescent="0.25">
      <c r="A2209">
        <v>2208</v>
      </c>
      <c r="B2209">
        <v>69</v>
      </c>
      <c r="C2209" t="str" cm="1">
        <f t="array" ref="C2209">_xlfn.IFS(
  AND(B2209&gt;=18, B2209&lt;=24), "18-24",
  AND(B2209&gt;=25, B2209&lt;=34), "25-34",
  AND(B2209&gt;=35, B2209&lt;=44), "35-44",
  AND(B2209&gt;=45, B2209&lt;=54), "45-54",
  B2209&gt;=55, "55+"
)</f>
        <v>55+</v>
      </c>
      <c r="D2209" t="s">
        <v>19</v>
      </c>
      <c r="E2209" t="s">
        <v>68</v>
      </c>
      <c r="F2209" t="s">
        <v>69</v>
      </c>
      <c r="G2209">
        <v>38</v>
      </c>
      <c r="H2209" t="s">
        <v>123</v>
      </c>
      <c r="I2209" t="s">
        <v>45</v>
      </c>
      <c r="J2209" t="s">
        <v>24</v>
      </c>
      <c r="K2209" t="s">
        <v>58</v>
      </c>
      <c r="L2209">
        <v>2.9</v>
      </c>
      <c r="M2209" t="s">
        <v>152</v>
      </c>
      <c r="N2209" t="s">
        <v>59</v>
      </c>
      <c r="O2209" t="s">
        <v>47</v>
      </c>
      <c r="P2209" t="s">
        <v>152</v>
      </c>
      <c r="Q2209" t="s">
        <v>152</v>
      </c>
      <c r="R2209">
        <v>11</v>
      </c>
      <c r="S2209" t="s">
        <v>27</v>
      </c>
      <c r="T2209" t="str">
        <f t="shared" si="68"/>
        <v>Annually</v>
      </c>
      <c r="U2209">
        <f>VLOOKUP(T2209,[1]tablescore!$B$3:$C$8, 2,FALSE)</f>
        <v>1</v>
      </c>
      <c r="V2209" t="str">
        <f t="shared" si="69"/>
        <v>Low Loyalty</v>
      </c>
      <c r="W2209" t="s">
        <v>50</v>
      </c>
    </row>
    <row r="2210" spans="1:23" x14ac:dyDescent="0.25">
      <c r="A2210">
        <v>2209</v>
      </c>
      <c r="B2210">
        <v>28</v>
      </c>
      <c r="C2210" t="str" cm="1">
        <f t="array" ref="C2210">_xlfn.IFS(
  AND(B2210&gt;=18, B2210&lt;=24), "18-24",
  AND(B2210&gt;=25, B2210&lt;=34), "25-34",
  AND(B2210&gt;=35, B2210&lt;=44), "35-44",
  AND(B2210&gt;=45, B2210&lt;=54), "45-54",
  B2210&gt;=55, "55+"
)</f>
        <v>25-34</v>
      </c>
      <c r="D2210" t="s">
        <v>19</v>
      </c>
      <c r="E2210" t="s">
        <v>119</v>
      </c>
      <c r="F2210" t="s">
        <v>69</v>
      </c>
      <c r="G2210">
        <v>46</v>
      </c>
      <c r="H2210" t="s">
        <v>112</v>
      </c>
      <c r="I2210" t="s">
        <v>92</v>
      </c>
      <c r="J2210" t="s">
        <v>84</v>
      </c>
      <c r="K2210" t="s">
        <v>54</v>
      </c>
      <c r="L2210">
        <v>2.7</v>
      </c>
      <c r="M2210" t="s">
        <v>152</v>
      </c>
      <c r="N2210" t="s">
        <v>59</v>
      </c>
      <c r="O2210" t="s">
        <v>72</v>
      </c>
      <c r="P2210" t="s">
        <v>152</v>
      </c>
      <c r="Q2210" t="s">
        <v>152</v>
      </c>
      <c r="R2210">
        <v>23</v>
      </c>
      <c r="S2210" t="s">
        <v>46</v>
      </c>
      <c r="T2210" t="str">
        <f t="shared" si="68"/>
        <v>Month</v>
      </c>
      <c r="U2210">
        <f>VLOOKUP(T2210,[1]tablescore!$B$3:$C$8, 2,FALSE)</f>
        <v>12</v>
      </c>
      <c r="V2210" t="str">
        <f t="shared" si="69"/>
        <v>Moderate</v>
      </c>
      <c r="W2210" t="s">
        <v>88</v>
      </c>
    </row>
    <row r="2211" spans="1:23" x14ac:dyDescent="0.25">
      <c r="A2211">
        <v>2210</v>
      </c>
      <c r="B2211">
        <v>42</v>
      </c>
      <c r="C2211" t="str" cm="1">
        <f t="array" ref="C2211">_xlfn.IFS(
  AND(B2211&gt;=18, B2211&lt;=24), "18-24",
  AND(B2211&gt;=25, B2211&lt;=34), "25-34",
  AND(B2211&gt;=35, B2211&lt;=44), "35-44",
  AND(B2211&gt;=45, B2211&lt;=54), "45-54",
  B2211&gt;=55, "55+"
)</f>
        <v>35-44</v>
      </c>
      <c r="D2211" t="s">
        <v>19</v>
      </c>
      <c r="E2211" t="s">
        <v>42</v>
      </c>
      <c r="F2211" t="s">
        <v>43</v>
      </c>
      <c r="G2211">
        <v>20</v>
      </c>
      <c r="H2211" t="s">
        <v>149</v>
      </c>
      <c r="I2211" t="s">
        <v>92</v>
      </c>
      <c r="J2211" t="s">
        <v>118</v>
      </c>
      <c r="K2211" t="s">
        <v>54</v>
      </c>
      <c r="L2211">
        <v>4.5</v>
      </c>
      <c r="M2211" t="s">
        <v>152</v>
      </c>
      <c r="N2211" t="s">
        <v>27</v>
      </c>
      <c r="O2211" t="s">
        <v>72</v>
      </c>
      <c r="P2211" t="s">
        <v>152</v>
      </c>
      <c r="Q2211" t="s">
        <v>152</v>
      </c>
      <c r="R2211">
        <v>44</v>
      </c>
      <c r="S2211" t="s">
        <v>34</v>
      </c>
      <c r="T2211" t="str">
        <f t="shared" si="68"/>
        <v>Quarterly</v>
      </c>
      <c r="U2211">
        <f>VLOOKUP(T2211,[1]tablescore!$B$3:$C$8, 2,FALSE)</f>
        <v>4</v>
      </c>
      <c r="V2211" t="str">
        <f t="shared" si="69"/>
        <v>Low Loyalty</v>
      </c>
      <c r="W2211" t="s">
        <v>60</v>
      </c>
    </row>
    <row r="2212" spans="1:23" x14ac:dyDescent="0.25">
      <c r="A2212">
        <v>2211</v>
      </c>
      <c r="B2212">
        <v>30</v>
      </c>
      <c r="C2212" t="str" cm="1">
        <f t="array" ref="C2212">_xlfn.IFS(
  AND(B2212&gt;=18, B2212&lt;=24), "18-24",
  AND(B2212&gt;=25, B2212&lt;=34), "25-34",
  AND(B2212&gt;=35, B2212&lt;=44), "35-44",
  AND(B2212&gt;=45, B2212&lt;=54), "45-54",
  B2212&gt;=55, "55+"
)</f>
        <v>25-34</v>
      </c>
      <c r="D2212" t="s">
        <v>19</v>
      </c>
      <c r="E2212" t="s">
        <v>89</v>
      </c>
      <c r="F2212" t="s">
        <v>69</v>
      </c>
      <c r="G2212">
        <v>25</v>
      </c>
      <c r="H2212" t="s">
        <v>128</v>
      </c>
      <c r="I2212" t="s">
        <v>45</v>
      </c>
      <c r="J2212" t="s">
        <v>121</v>
      </c>
      <c r="K2212" t="s">
        <v>54</v>
      </c>
      <c r="L2212">
        <v>3.1</v>
      </c>
      <c r="M2212" t="s">
        <v>152</v>
      </c>
      <c r="N2212" t="s">
        <v>29</v>
      </c>
      <c r="O2212" t="s">
        <v>76</v>
      </c>
      <c r="P2212" t="s">
        <v>152</v>
      </c>
      <c r="Q2212" t="s">
        <v>152</v>
      </c>
      <c r="R2212">
        <v>35</v>
      </c>
      <c r="S2212" t="s">
        <v>46</v>
      </c>
      <c r="T2212" t="str">
        <f t="shared" si="68"/>
        <v>2-week</v>
      </c>
      <c r="U2212">
        <f>VLOOKUP(T2212,[1]tablescore!$B$3:$C$8, 2,FALSE)</f>
        <v>26</v>
      </c>
      <c r="V2212" t="str">
        <f t="shared" si="69"/>
        <v>Loyal</v>
      </c>
      <c r="W2212" t="s">
        <v>30</v>
      </c>
    </row>
    <row r="2213" spans="1:23" x14ac:dyDescent="0.25">
      <c r="A2213">
        <v>2212</v>
      </c>
      <c r="B2213">
        <v>50</v>
      </c>
      <c r="C2213" t="str" cm="1">
        <f t="array" ref="C2213">_xlfn.IFS(
  AND(B2213&gt;=18, B2213&lt;=24), "18-24",
  AND(B2213&gt;=25, B2213&lt;=34), "25-34",
  AND(B2213&gt;=35, B2213&lt;=44), "35-44",
  AND(B2213&gt;=45, B2213&lt;=54), "45-54",
  B2213&gt;=55, "55+"
)</f>
        <v>45-54</v>
      </c>
      <c r="D2213" t="s">
        <v>19</v>
      </c>
      <c r="E2213" t="s">
        <v>31</v>
      </c>
      <c r="F2213" t="s">
        <v>21</v>
      </c>
      <c r="G2213">
        <v>89</v>
      </c>
      <c r="H2213" t="s">
        <v>32</v>
      </c>
      <c r="I2213" t="s">
        <v>23</v>
      </c>
      <c r="J2213" t="s">
        <v>75</v>
      </c>
      <c r="K2213" t="s">
        <v>25</v>
      </c>
      <c r="L2213">
        <v>3.2</v>
      </c>
      <c r="M2213" t="s">
        <v>152</v>
      </c>
      <c r="N2213" t="s">
        <v>46</v>
      </c>
      <c r="O2213" t="s">
        <v>40</v>
      </c>
      <c r="P2213" t="s">
        <v>152</v>
      </c>
      <c r="Q2213" t="s">
        <v>152</v>
      </c>
      <c r="R2213">
        <v>45</v>
      </c>
      <c r="S2213" t="s">
        <v>59</v>
      </c>
      <c r="T2213" t="str">
        <f t="shared" si="68"/>
        <v>Quarterly</v>
      </c>
      <c r="U2213">
        <f>VLOOKUP(T2213,[1]tablescore!$B$3:$C$8, 2,FALSE)</f>
        <v>4</v>
      </c>
      <c r="V2213" t="str">
        <f t="shared" si="69"/>
        <v>Low Loyalty</v>
      </c>
      <c r="W2213" t="s">
        <v>97</v>
      </c>
    </row>
    <row r="2214" spans="1:23" x14ac:dyDescent="0.25">
      <c r="A2214">
        <v>2213</v>
      </c>
      <c r="B2214">
        <v>59</v>
      </c>
      <c r="C2214" t="str" cm="1">
        <f t="array" ref="C2214">_xlfn.IFS(
  AND(B2214&gt;=18, B2214&lt;=24), "18-24",
  AND(B2214&gt;=25, B2214&lt;=34), "25-34",
  AND(B2214&gt;=35, B2214&lt;=44), "35-44",
  AND(B2214&gt;=45, B2214&lt;=54), "45-54",
  B2214&gt;=55, "55+"
)</f>
        <v>55+</v>
      </c>
      <c r="D2214" t="s">
        <v>19</v>
      </c>
      <c r="E2214" t="s">
        <v>95</v>
      </c>
      <c r="F2214" t="s">
        <v>21</v>
      </c>
      <c r="G2214">
        <v>77</v>
      </c>
      <c r="H2214" t="s">
        <v>143</v>
      </c>
      <c r="I2214" t="s">
        <v>45</v>
      </c>
      <c r="J2214" t="s">
        <v>110</v>
      </c>
      <c r="K2214" t="s">
        <v>25</v>
      </c>
      <c r="L2214">
        <v>3.3</v>
      </c>
      <c r="M2214" t="s">
        <v>152</v>
      </c>
      <c r="N2214" t="s">
        <v>46</v>
      </c>
      <c r="O2214" t="s">
        <v>47</v>
      </c>
      <c r="P2214" t="s">
        <v>152</v>
      </c>
      <c r="Q2214" t="s">
        <v>152</v>
      </c>
      <c r="R2214">
        <v>22</v>
      </c>
      <c r="S2214" t="s">
        <v>34</v>
      </c>
      <c r="T2214" t="str">
        <f t="shared" si="68"/>
        <v>Quarterly</v>
      </c>
      <c r="U2214">
        <f>VLOOKUP(T2214,[1]tablescore!$B$3:$C$8, 2,FALSE)</f>
        <v>4</v>
      </c>
      <c r="V2214" t="str">
        <f t="shared" si="69"/>
        <v>Low Loyalty</v>
      </c>
      <c r="W2214" t="s">
        <v>60</v>
      </c>
    </row>
    <row r="2215" spans="1:23" x14ac:dyDescent="0.25">
      <c r="A2215">
        <v>2214</v>
      </c>
      <c r="B2215">
        <v>54</v>
      </c>
      <c r="C2215" t="str" cm="1">
        <f t="array" ref="C2215">_xlfn.IFS(
  AND(B2215&gt;=18, B2215&lt;=24), "18-24",
  AND(B2215&gt;=25, B2215&lt;=34), "25-34",
  AND(B2215&gt;=35, B2215&lt;=44), "35-44",
  AND(B2215&gt;=45, B2215&lt;=54), "45-54",
  B2215&gt;=55, "55+"
)</f>
        <v>45-54</v>
      </c>
      <c r="D2215" t="s">
        <v>19</v>
      </c>
      <c r="E2215" t="s">
        <v>125</v>
      </c>
      <c r="F2215" t="s">
        <v>69</v>
      </c>
      <c r="G2215">
        <v>94</v>
      </c>
      <c r="H2215" t="s">
        <v>78</v>
      </c>
      <c r="I2215" t="s">
        <v>45</v>
      </c>
      <c r="J2215" t="s">
        <v>33</v>
      </c>
      <c r="K2215" t="s">
        <v>58</v>
      </c>
      <c r="L2215">
        <v>2.9</v>
      </c>
      <c r="M2215" t="s">
        <v>152</v>
      </c>
      <c r="N2215" t="s">
        <v>27</v>
      </c>
      <c r="O2215" t="s">
        <v>28</v>
      </c>
      <c r="P2215" t="s">
        <v>152</v>
      </c>
      <c r="Q2215" t="s">
        <v>152</v>
      </c>
      <c r="R2215">
        <v>18</v>
      </c>
      <c r="S2215" t="s">
        <v>59</v>
      </c>
      <c r="T2215" t="str">
        <f t="shared" si="68"/>
        <v>Quarterly</v>
      </c>
      <c r="U2215">
        <f>VLOOKUP(T2215,[1]tablescore!$B$3:$C$8, 2,FALSE)</f>
        <v>4</v>
      </c>
      <c r="V2215" t="str">
        <f t="shared" si="69"/>
        <v>Low Loyalty</v>
      </c>
      <c r="W2215" t="s">
        <v>60</v>
      </c>
    </row>
    <row r="2216" spans="1:23" x14ac:dyDescent="0.25">
      <c r="A2216">
        <v>2215</v>
      </c>
      <c r="B2216">
        <v>50</v>
      </c>
      <c r="C2216" t="str" cm="1">
        <f t="array" ref="C2216">_xlfn.IFS(
  AND(B2216&gt;=18, B2216&lt;=24), "18-24",
  AND(B2216&gt;=25, B2216&lt;=34), "25-34",
  AND(B2216&gt;=35, B2216&lt;=44), "35-44",
  AND(B2216&gt;=45, B2216&lt;=54), "45-54",
  B2216&gt;=55, "55+"
)</f>
        <v>45-54</v>
      </c>
      <c r="D2216" t="s">
        <v>19</v>
      </c>
      <c r="E2216" t="s">
        <v>136</v>
      </c>
      <c r="F2216" t="s">
        <v>69</v>
      </c>
      <c r="G2216">
        <v>100</v>
      </c>
      <c r="H2216" t="s">
        <v>144</v>
      </c>
      <c r="I2216" t="s">
        <v>23</v>
      </c>
      <c r="J2216" t="s">
        <v>81</v>
      </c>
      <c r="K2216" t="s">
        <v>58</v>
      </c>
      <c r="L2216">
        <v>4.0999999999999996</v>
      </c>
      <c r="M2216" t="s">
        <v>152</v>
      </c>
      <c r="N2216" t="s">
        <v>35</v>
      </c>
      <c r="O2216" t="s">
        <v>55</v>
      </c>
      <c r="P2216" t="s">
        <v>152</v>
      </c>
      <c r="Q2216" t="s">
        <v>152</v>
      </c>
      <c r="R2216">
        <v>20</v>
      </c>
      <c r="S2216" t="s">
        <v>59</v>
      </c>
      <c r="T2216" t="str">
        <f t="shared" si="68"/>
        <v>Daily</v>
      </c>
      <c r="U2216">
        <f>VLOOKUP(T2216,[1]tablescore!$B$3:$C$8, 2,FALSE)</f>
        <v>30</v>
      </c>
      <c r="V2216" t="str">
        <f t="shared" si="69"/>
        <v>Highly Loyal</v>
      </c>
      <c r="W2216" t="s">
        <v>41</v>
      </c>
    </row>
    <row r="2217" spans="1:23" x14ac:dyDescent="0.25">
      <c r="A2217">
        <v>2216</v>
      </c>
      <c r="B2217">
        <v>25</v>
      </c>
      <c r="C2217" t="str" cm="1">
        <f t="array" ref="C2217">_xlfn.IFS(
  AND(B2217&gt;=18, B2217&lt;=24), "18-24",
  AND(B2217&gt;=25, B2217&lt;=34), "25-34",
  AND(B2217&gt;=35, B2217&lt;=44), "35-44",
  AND(B2217&gt;=45, B2217&lt;=54), "45-54",
  B2217&gt;=55, "55+"
)</f>
        <v>25-34</v>
      </c>
      <c r="D2217" t="s">
        <v>19</v>
      </c>
      <c r="E2217" t="s">
        <v>42</v>
      </c>
      <c r="F2217" t="s">
        <v>43</v>
      </c>
      <c r="G2217">
        <v>96</v>
      </c>
      <c r="H2217" t="s">
        <v>66</v>
      </c>
      <c r="I2217" t="s">
        <v>45</v>
      </c>
      <c r="J2217" t="s">
        <v>129</v>
      </c>
      <c r="K2217" t="s">
        <v>25</v>
      </c>
      <c r="L2217">
        <v>2.7</v>
      </c>
      <c r="M2217" t="s">
        <v>152</v>
      </c>
      <c r="N2217" t="s">
        <v>59</v>
      </c>
      <c r="O2217" t="s">
        <v>28</v>
      </c>
      <c r="P2217" t="s">
        <v>152</v>
      </c>
      <c r="Q2217" t="s">
        <v>152</v>
      </c>
      <c r="R2217">
        <v>28</v>
      </c>
      <c r="S2217" t="s">
        <v>27</v>
      </c>
      <c r="T2217" t="str">
        <f t="shared" si="68"/>
        <v>2-week</v>
      </c>
      <c r="U2217">
        <f>VLOOKUP(T2217,[1]tablescore!$B$3:$C$8, 2,FALSE)</f>
        <v>26</v>
      </c>
      <c r="V2217" t="str">
        <f t="shared" si="69"/>
        <v>Loyal</v>
      </c>
      <c r="W2217" t="s">
        <v>30</v>
      </c>
    </row>
    <row r="2218" spans="1:23" x14ac:dyDescent="0.25">
      <c r="A2218">
        <v>2217</v>
      </c>
      <c r="B2218">
        <v>41</v>
      </c>
      <c r="C2218" t="str" cm="1">
        <f t="array" ref="C2218">_xlfn.IFS(
  AND(B2218&gt;=18, B2218&lt;=24), "18-24",
  AND(B2218&gt;=25, B2218&lt;=34), "25-34",
  AND(B2218&gt;=35, B2218&lt;=44), "35-44",
  AND(B2218&gt;=45, B2218&lt;=54), "45-54",
  B2218&gt;=55, "55+"
)</f>
        <v>35-44</v>
      </c>
      <c r="D2218" t="s">
        <v>19</v>
      </c>
      <c r="E2218" t="s">
        <v>95</v>
      </c>
      <c r="F2218" t="s">
        <v>21</v>
      </c>
      <c r="G2218">
        <v>36</v>
      </c>
      <c r="H2218" t="s">
        <v>145</v>
      </c>
      <c r="I2218" t="s">
        <v>92</v>
      </c>
      <c r="J2218" t="s">
        <v>67</v>
      </c>
      <c r="K2218" t="s">
        <v>25</v>
      </c>
      <c r="L2218">
        <v>4</v>
      </c>
      <c r="M2218" t="s">
        <v>152</v>
      </c>
      <c r="N2218" t="s">
        <v>27</v>
      </c>
      <c r="O2218" t="s">
        <v>76</v>
      </c>
      <c r="P2218" t="s">
        <v>152</v>
      </c>
      <c r="Q2218" t="s">
        <v>152</v>
      </c>
      <c r="R2218">
        <v>15</v>
      </c>
      <c r="S2218" t="s">
        <v>29</v>
      </c>
      <c r="T2218" t="str">
        <f t="shared" si="68"/>
        <v>2-week</v>
      </c>
      <c r="U2218">
        <f>VLOOKUP(T2218,[1]tablescore!$B$3:$C$8, 2,FALSE)</f>
        <v>26</v>
      </c>
      <c r="V2218" t="str">
        <f t="shared" si="69"/>
        <v>Loyal</v>
      </c>
      <c r="W2218" t="s">
        <v>77</v>
      </c>
    </row>
    <row r="2219" spans="1:23" x14ac:dyDescent="0.25">
      <c r="A2219">
        <v>2218</v>
      </c>
      <c r="B2219">
        <v>35</v>
      </c>
      <c r="C2219" t="str" cm="1">
        <f t="array" ref="C2219">_xlfn.IFS(
  AND(B2219&gt;=18, B2219&lt;=24), "18-24",
  AND(B2219&gt;=25, B2219&lt;=34), "25-34",
  AND(B2219&gt;=35, B2219&lt;=44), "35-44",
  AND(B2219&gt;=45, B2219&lt;=54), "45-54",
  B2219&gt;=55, "55+"
)</f>
        <v>35-44</v>
      </c>
      <c r="D2219" t="s">
        <v>19</v>
      </c>
      <c r="E2219" t="s">
        <v>106</v>
      </c>
      <c r="F2219" t="s">
        <v>69</v>
      </c>
      <c r="G2219">
        <v>27</v>
      </c>
      <c r="H2219" t="s">
        <v>116</v>
      </c>
      <c r="I2219" t="s">
        <v>92</v>
      </c>
      <c r="J2219" t="s">
        <v>108</v>
      </c>
      <c r="K2219" t="s">
        <v>58</v>
      </c>
      <c r="L2219">
        <v>2.6</v>
      </c>
      <c r="M2219" t="s">
        <v>152</v>
      </c>
      <c r="N2219" t="s">
        <v>34</v>
      </c>
      <c r="O2219" t="s">
        <v>76</v>
      </c>
      <c r="P2219" t="s">
        <v>152</v>
      </c>
      <c r="Q2219" t="s">
        <v>152</v>
      </c>
      <c r="R2219">
        <v>42</v>
      </c>
      <c r="S2219" t="s">
        <v>34</v>
      </c>
      <c r="T2219" t="str">
        <f t="shared" si="68"/>
        <v>2-week</v>
      </c>
      <c r="U2219">
        <f>VLOOKUP(T2219,[1]tablescore!$B$3:$C$8, 2,FALSE)</f>
        <v>26</v>
      </c>
      <c r="V2219" t="str">
        <f t="shared" si="69"/>
        <v>Loyal</v>
      </c>
      <c r="W2219" t="s">
        <v>30</v>
      </c>
    </row>
    <row r="2220" spans="1:23" x14ac:dyDescent="0.25">
      <c r="A2220">
        <v>2219</v>
      </c>
      <c r="B2220">
        <v>67</v>
      </c>
      <c r="C2220" t="str" cm="1">
        <f t="array" ref="C2220">_xlfn.IFS(
  AND(B2220&gt;=18, B2220&lt;=24), "18-24",
  AND(B2220&gt;=25, B2220&lt;=34), "25-34",
  AND(B2220&gt;=35, B2220&lt;=44), "35-44",
  AND(B2220&gt;=45, B2220&lt;=54), "45-54",
  B2220&gt;=55, "55+"
)</f>
        <v>55+</v>
      </c>
      <c r="D2220" t="s">
        <v>19</v>
      </c>
      <c r="E2220" t="s">
        <v>89</v>
      </c>
      <c r="F2220" t="s">
        <v>69</v>
      </c>
      <c r="G2220">
        <v>67</v>
      </c>
      <c r="H2220" t="s">
        <v>144</v>
      </c>
      <c r="I2220" t="s">
        <v>45</v>
      </c>
      <c r="J2220" t="s">
        <v>147</v>
      </c>
      <c r="K2220" t="s">
        <v>25</v>
      </c>
      <c r="L2220">
        <v>3.5</v>
      </c>
      <c r="M2220" t="s">
        <v>152</v>
      </c>
      <c r="N2220" t="s">
        <v>35</v>
      </c>
      <c r="O2220" t="s">
        <v>76</v>
      </c>
      <c r="P2220" t="s">
        <v>152</v>
      </c>
      <c r="Q2220" t="s">
        <v>152</v>
      </c>
      <c r="R2220">
        <v>20</v>
      </c>
      <c r="S2220" t="s">
        <v>59</v>
      </c>
      <c r="T2220" t="str">
        <f t="shared" si="68"/>
        <v>Quarterly</v>
      </c>
      <c r="U2220">
        <f>VLOOKUP(T2220,[1]tablescore!$B$3:$C$8, 2,FALSE)</f>
        <v>4</v>
      </c>
      <c r="V2220" t="str">
        <f t="shared" si="69"/>
        <v>Low Loyalty</v>
      </c>
      <c r="W2220" t="s">
        <v>60</v>
      </c>
    </row>
    <row r="2221" spans="1:23" x14ac:dyDescent="0.25">
      <c r="A2221">
        <v>2220</v>
      </c>
      <c r="B2221">
        <v>33</v>
      </c>
      <c r="C2221" t="str" cm="1">
        <f t="array" ref="C2221">_xlfn.IFS(
  AND(B2221&gt;=18, B2221&lt;=24), "18-24",
  AND(B2221&gt;=25, B2221&lt;=34), "25-34",
  AND(B2221&gt;=35, B2221&lt;=44), "35-44",
  AND(B2221&gt;=45, B2221&lt;=54), "45-54",
  B2221&gt;=55, "55+"
)</f>
        <v>25-34</v>
      </c>
      <c r="D2221" t="s">
        <v>19</v>
      </c>
      <c r="E2221" t="s">
        <v>20</v>
      </c>
      <c r="F2221" t="s">
        <v>21</v>
      </c>
      <c r="G2221">
        <v>91</v>
      </c>
      <c r="H2221" t="s">
        <v>134</v>
      </c>
      <c r="I2221" t="s">
        <v>38</v>
      </c>
      <c r="J2221" t="s">
        <v>75</v>
      </c>
      <c r="K2221" t="s">
        <v>58</v>
      </c>
      <c r="L2221">
        <v>2.8</v>
      </c>
      <c r="M2221" t="s">
        <v>152</v>
      </c>
      <c r="N2221" t="s">
        <v>46</v>
      </c>
      <c r="O2221" t="s">
        <v>76</v>
      </c>
      <c r="P2221" t="s">
        <v>152</v>
      </c>
      <c r="Q2221" t="s">
        <v>152</v>
      </c>
      <c r="R2221">
        <v>16</v>
      </c>
      <c r="S2221" t="s">
        <v>34</v>
      </c>
      <c r="T2221" t="str">
        <f t="shared" si="68"/>
        <v>2-week</v>
      </c>
      <c r="U2221">
        <f>VLOOKUP(T2221,[1]tablescore!$B$3:$C$8, 2,FALSE)</f>
        <v>26</v>
      </c>
      <c r="V2221" t="str">
        <f t="shared" si="69"/>
        <v>Loyal</v>
      </c>
      <c r="W2221" t="s">
        <v>30</v>
      </c>
    </row>
    <row r="2222" spans="1:23" x14ac:dyDescent="0.25">
      <c r="A2222">
        <v>2221</v>
      </c>
      <c r="B2222">
        <v>19</v>
      </c>
      <c r="C2222" t="str" cm="1">
        <f t="array" ref="C2222">_xlfn.IFS(
  AND(B2222&gt;=18, B2222&lt;=24), "18-24",
  AND(B2222&gt;=25, B2222&lt;=34), "25-34",
  AND(B2222&gt;=35, B2222&lt;=44), "35-44",
  AND(B2222&gt;=45, B2222&lt;=54), "45-54",
  B2222&gt;=55, "55+"
)</f>
        <v>18-24</v>
      </c>
      <c r="D2222" t="s">
        <v>19</v>
      </c>
      <c r="E2222" t="s">
        <v>136</v>
      </c>
      <c r="F2222" t="s">
        <v>69</v>
      </c>
      <c r="G2222">
        <v>62</v>
      </c>
      <c r="H2222" t="s">
        <v>52</v>
      </c>
      <c r="I2222" t="s">
        <v>92</v>
      </c>
      <c r="J2222" t="s">
        <v>118</v>
      </c>
      <c r="K2222" t="s">
        <v>58</v>
      </c>
      <c r="L2222">
        <v>4.5</v>
      </c>
      <c r="M2222" t="s">
        <v>152</v>
      </c>
      <c r="N2222" t="s">
        <v>35</v>
      </c>
      <c r="O2222" t="s">
        <v>76</v>
      </c>
      <c r="P2222" t="s">
        <v>152</v>
      </c>
      <c r="Q2222" t="s">
        <v>152</v>
      </c>
      <c r="R2222">
        <v>47</v>
      </c>
      <c r="S2222" t="s">
        <v>35</v>
      </c>
      <c r="T2222" t="str">
        <f t="shared" si="68"/>
        <v>Annually</v>
      </c>
      <c r="U2222">
        <f>VLOOKUP(T2222,[1]tablescore!$B$3:$C$8, 2,FALSE)</f>
        <v>1</v>
      </c>
      <c r="V2222" t="str">
        <f t="shared" si="69"/>
        <v>Low Loyalty</v>
      </c>
      <c r="W2222" t="s">
        <v>50</v>
      </c>
    </row>
    <row r="2223" spans="1:23" x14ac:dyDescent="0.25">
      <c r="A2223">
        <v>2222</v>
      </c>
      <c r="B2223">
        <v>25</v>
      </c>
      <c r="C2223" t="str" cm="1">
        <f t="array" ref="C2223">_xlfn.IFS(
  AND(B2223&gt;=18, B2223&lt;=24), "18-24",
  AND(B2223&gt;=25, B2223&lt;=34), "25-34",
  AND(B2223&gt;=35, B2223&lt;=44), "35-44",
  AND(B2223&gt;=45, B2223&lt;=54), "45-54",
  B2223&gt;=55, "55+"
)</f>
        <v>25-34</v>
      </c>
      <c r="D2223" t="s">
        <v>19</v>
      </c>
      <c r="E2223" t="s">
        <v>61</v>
      </c>
      <c r="F2223" t="s">
        <v>21</v>
      </c>
      <c r="G2223">
        <v>88</v>
      </c>
      <c r="H2223" t="s">
        <v>111</v>
      </c>
      <c r="I2223" t="s">
        <v>92</v>
      </c>
      <c r="J2223" t="s">
        <v>53</v>
      </c>
      <c r="K2223" t="s">
        <v>58</v>
      </c>
      <c r="L2223">
        <v>3</v>
      </c>
      <c r="M2223" t="s">
        <v>152</v>
      </c>
      <c r="N2223" t="s">
        <v>59</v>
      </c>
      <c r="O2223" t="s">
        <v>40</v>
      </c>
      <c r="P2223" t="s">
        <v>152</v>
      </c>
      <c r="Q2223" t="s">
        <v>152</v>
      </c>
      <c r="R2223">
        <v>34</v>
      </c>
      <c r="S2223" t="s">
        <v>27</v>
      </c>
      <c r="T2223" t="str">
        <f t="shared" si="68"/>
        <v>Annually</v>
      </c>
      <c r="U2223">
        <f>VLOOKUP(T2223,[1]tablescore!$B$3:$C$8, 2,FALSE)</f>
        <v>1</v>
      </c>
      <c r="V2223" t="str">
        <f t="shared" si="69"/>
        <v>Low Loyalty</v>
      </c>
      <c r="W2223" t="s">
        <v>50</v>
      </c>
    </row>
    <row r="2224" spans="1:23" x14ac:dyDescent="0.25">
      <c r="A2224">
        <v>2223</v>
      </c>
      <c r="B2224">
        <v>32</v>
      </c>
      <c r="C2224" t="str" cm="1">
        <f t="array" ref="C2224">_xlfn.IFS(
  AND(B2224&gt;=18, B2224&lt;=24), "18-24",
  AND(B2224&gt;=25, B2224&lt;=34), "25-34",
  AND(B2224&gt;=35, B2224&lt;=44), "35-44",
  AND(B2224&gt;=45, B2224&lt;=54), "45-54",
  B2224&gt;=55, "55+"
)</f>
        <v>25-34</v>
      </c>
      <c r="D2224" t="s">
        <v>19</v>
      </c>
      <c r="E2224" t="s">
        <v>95</v>
      </c>
      <c r="F2224" t="s">
        <v>21</v>
      </c>
      <c r="G2224">
        <v>66</v>
      </c>
      <c r="H2224" t="s">
        <v>142</v>
      </c>
      <c r="I2224" t="s">
        <v>45</v>
      </c>
      <c r="J2224" t="s">
        <v>86</v>
      </c>
      <c r="K2224" t="s">
        <v>54</v>
      </c>
      <c r="L2224">
        <v>4.4000000000000004</v>
      </c>
      <c r="M2224" t="s">
        <v>152</v>
      </c>
      <c r="N2224" t="s">
        <v>46</v>
      </c>
      <c r="O2224" t="s">
        <v>76</v>
      </c>
      <c r="P2224" t="s">
        <v>152</v>
      </c>
      <c r="Q2224" t="s">
        <v>152</v>
      </c>
      <c r="R2224">
        <v>30</v>
      </c>
      <c r="S2224" t="s">
        <v>27</v>
      </c>
      <c r="T2224" t="str">
        <f t="shared" si="68"/>
        <v>Daily</v>
      </c>
      <c r="U2224">
        <f>VLOOKUP(T2224,[1]tablescore!$B$3:$C$8, 2,FALSE)</f>
        <v>30</v>
      </c>
      <c r="V2224" t="str">
        <f t="shared" si="69"/>
        <v>Highly Loyal</v>
      </c>
      <c r="W2224" t="s">
        <v>41</v>
      </c>
    </row>
    <row r="2225" spans="1:23" x14ac:dyDescent="0.25">
      <c r="A2225">
        <v>2224</v>
      </c>
      <c r="B2225">
        <v>30</v>
      </c>
      <c r="C2225" t="str" cm="1">
        <f t="array" ref="C2225">_xlfn.IFS(
  AND(B2225&gt;=18, B2225&lt;=24), "18-24",
  AND(B2225&gt;=25, B2225&lt;=34), "25-34",
  AND(B2225&gt;=35, B2225&lt;=44), "35-44",
  AND(B2225&gt;=45, B2225&lt;=54), "45-54",
  B2225&gt;=55, "55+"
)</f>
        <v>25-34</v>
      </c>
      <c r="D2225" t="s">
        <v>19</v>
      </c>
      <c r="E2225" t="s">
        <v>42</v>
      </c>
      <c r="F2225" t="s">
        <v>43</v>
      </c>
      <c r="G2225">
        <v>65</v>
      </c>
      <c r="H2225" t="s">
        <v>111</v>
      </c>
      <c r="I2225" t="s">
        <v>45</v>
      </c>
      <c r="J2225" t="s">
        <v>24</v>
      </c>
      <c r="K2225" t="s">
        <v>58</v>
      </c>
      <c r="L2225">
        <v>4.7</v>
      </c>
      <c r="M2225" t="s">
        <v>152</v>
      </c>
      <c r="N2225" t="s">
        <v>27</v>
      </c>
      <c r="O2225" t="s">
        <v>47</v>
      </c>
      <c r="P2225" t="s">
        <v>152</v>
      </c>
      <c r="Q2225" t="s">
        <v>152</v>
      </c>
      <c r="R2225">
        <v>5</v>
      </c>
      <c r="S2225" t="s">
        <v>46</v>
      </c>
      <c r="T2225" t="str">
        <f t="shared" si="68"/>
        <v>Quarterly</v>
      </c>
      <c r="U2225">
        <f>VLOOKUP(T2225,[1]tablescore!$B$3:$C$8, 2,FALSE)</f>
        <v>4</v>
      </c>
      <c r="V2225" t="str">
        <f t="shared" si="69"/>
        <v>Low Loyalty</v>
      </c>
      <c r="W2225" t="s">
        <v>60</v>
      </c>
    </row>
    <row r="2226" spans="1:23" x14ac:dyDescent="0.25">
      <c r="A2226">
        <v>2225</v>
      </c>
      <c r="B2226">
        <v>18</v>
      </c>
      <c r="C2226" t="str" cm="1">
        <f t="array" ref="C2226">_xlfn.IFS(
  AND(B2226&gt;=18, B2226&lt;=24), "18-24",
  AND(B2226&gt;=25, B2226&lt;=34), "25-34",
  AND(B2226&gt;=35, B2226&lt;=44), "35-44",
  AND(B2226&gt;=45, B2226&lt;=54), "45-54",
  B2226&gt;=55, "55+"
)</f>
        <v>18-24</v>
      </c>
      <c r="D2226" t="s">
        <v>19</v>
      </c>
      <c r="E2226" t="s">
        <v>127</v>
      </c>
      <c r="F2226" t="s">
        <v>69</v>
      </c>
      <c r="G2226">
        <v>25</v>
      </c>
      <c r="H2226" t="s">
        <v>143</v>
      </c>
      <c r="I2226" t="s">
        <v>23</v>
      </c>
      <c r="J2226" t="s">
        <v>63</v>
      </c>
      <c r="K2226" t="s">
        <v>25</v>
      </c>
      <c r="L2226">
        <v>4.3</v>
      </c>
      <c r="M2226" t="s">
        <v>152</v>
      </c>
      <c r="N2226" t="s">
        <v>27</v>
      </c>
      <c r="O2226" t="s">
        <v>55</v>
      </c>
      <c r="P2226" t="s">
        <v>152</v>
      </c>
      <c r="Q2226" t="s">
        <v>152</v>
      </c>
      <c r="R2226">
        <v>38</v>
      </c>
      <c r="S2226" t="s">
        <v>35</v>
      </c>
      <c r="T2226" t="str">
        <f t="shared" si="68"/>
        <v>Quarterly</v>
      </c>
      <c r="U2226">
        <f>VLOOKUP(T2226,[1]tablescore!$B$3:$C$8, 2,FALSE)</f>
        <v>4</v>
      </c>
      <c r="V2226" t="str">
        <f t="shared" si="69"/>
        <v>Low Loyalty</v>
      </c>
      <c r="W2226" t="s">
        <v>60</v>
      </c>
    </row>
    <row r="2227" spans="1:23" x14ac:dyDescent="0.25">
      <c r="A2227">
        <v>2226</v>
      </c>
      <c r="B2227">
        <v>38</v>
      </c>
      <c r="C2227" t="str" cm="1">
        <f t="array" ref="C2227">_xlfn.IFS(
  AND(B2227&gt;=18, B2227&lt;=24), "18-24",
  AND(B2227&gt;=25, B2227&lt;=34), "25-34",
  AND(B2227&gt;=35, B2227&lt;=44), "35-44",
  AND(B2227&gt;=45, B2227&lt;=54), "45-54",
  B2227&gt;=55, "55+"
)</f>
        <v>35-44</v>
      </c>
      <c r="D2227" t="s">
        <v>19</v>
      </c>
      <c r="E2227" t="s">
        <v>136</v>
      </c>
      <c r="F2227" t="s">
        <v>69</v>
      </c>
      <c r="G2227">
        <v>64</v>
      </c>
      <c r="H2227" t="s">
        <v>140</v>
      </c>
      <c r="I2227" t="s">
        <v>38</v>
      </c>
      <c r="J2227" t="s">
        <v>79</v>
      </c>
      <c r="K2227" t="s">
        <v>39</v>
      </c>
      <c r="L2227">
        <v>4.8</v>
      </c>
      <c r="M2227" t="s">
        <v>152</v>
      </c>
      <c r="N2227" t="s">
        <v>27</v>
      </c>
      <c r="O2227" t="s">
        <v>40</v>
      </c>
      <c r="P2227" t="s">
        <v>152</v>
      </c>
      <c r="Q2227" t="s">
        <v>152</v>
      </c>
      <c r="R2227">
        <v>18</v>
      </c>
      <c r="S2227" t="s">
        <v>27</v>
      </c>
      <c r="T2227" t="str">
        <f t="shared" si="68"/>
        <v>Annually</v>
      </c>
      <c r="U2227">
        <f>VLOOKUP(T2227,[1]tablescore!$B$3:$C$8, 2,FALSE)</f>
        <v>1</v>
      </c>
      <c r="V2227" t="str">
        <f t="shared" si="69"/>
        <v>Low Loyalty</v>
      </c>
      <c r="W2227" t="s">
        <v>50</v>
      </c>
    </row>
    <row r="2228" spans="1:23" x14ac:dyDescent="0.25">
      <c r="A2228">
        <v>2227</v>
      </c>
      <c r="B2228">
        <v>22</v>
      </c>
      <c r="C2228" t="str" cm="1">
        <f t="array" ref="C2228">_xlfn.IFS(
  AND(B2228&gt;=18, B2228&lt;=24), "18-24",
  AND(B2228&gt;=25, B2228&lt;=34), "25-34",
  AND(B2228&gt;=35, B2228&lt;=44), "35-44",
  AND(B2228&gt;=45, B2228&lt;=54), "45-54",
  B2228&gt;=55, "55+"
)</f>
        <v>18-24</v>
      </c>
      <c r="D2228" t="s">
        <v>19</v>
      </c>
      <c r="E2228" t="s">
        <v>56</v>
      </c>
      <c r="F2228" t="s">
        <v>21</v>
      </c>
      <c r="G2228">
        <v>72</v>
      </c>
      <c r="H2228" t="s">
        <v>70</v>
      </c>
      <c r="I2228" t="s">
        <v>23</v>
      </c>
      <c r="J2228" t="s">
        <v>138</v>
      </c>
      <c r="K2228" t="s">
        <v>39</v>
      </c>
      <c r="L2228">
        <v>4.8</v>
      </c>
      <c r="M2228" t="s">
        <v>152</v>
      </c>
      <c r="N2228" t="s">
        <v>27</v>
      </c>
      <c r="O2228" t="s">
        <v>76</v>
      </c>
      <c r="P2228" t="s">
        <v>152</v>
      </c>
      <c r="Q2228" t="s">
        <v>152</v>
      </c>
      <c r="R2228">
        <v>28</v>
      </c>
      <c r="S2228" t="s">
        <v>35</v>
      </c>
      <c r="T2228" t="str">
        <f t="shared" si="68"/>
        <v>Annually</v>
      </c>
      <c r="U2228">
        <f>VLOOKUP(T2228,[1]tablescore!$B$3:$C$8, 2,FALSE)</f>
        <v>1</v>
      </c>
      <c r="V2228" t="str">
        <f t="shared" si="69"/>
        <v>Low Loyalty</v>
      </c>
      <c r="W2228" t="s">
        <v>50</v>
      </c>
    </row>
    <row r="2229" spans="1:23" x14ac:dyDescent="0.25">
      <c r="A2229">
        <v>2228</v>
      </c>
      <c r="B2229">
        <v>40</v>
      </c>
      <c r="C2229" t="str" cm="1">
        <f t="array" ref="C2229">_xlfn.IFS(
  AND(B2229&gt;=18, B2229&lt;=24), "18-24",
  AND(B2229&gt;=25, B2229&lt;=34), "25-34",
  AND(B2229&gt;=35, B2229&lt;=44), "35-44",
  AND(B2229&gt;=45, B2229&lt;=54), "45-54",
  B2229&gt;=55, "55+"
)</f>
        <v>35-44</v>
      </c>
      <c r="D2229" t="s">
        <v>19</v>
      </c>
      <c r="E2229" t="s">
        <v>119</v>
      </c>
      <c r="F2229" t="s">
        <v>69</v>
      </c>
      <c r="G2229">
        <v>74</v>
      </c>
      <c r="H2229" t="s">
        <v>140</v>
      </c>
      <c r="I2229" t="s">
        <v>38</v>
      </c>
      <c r="J2229" t="s">
        <v>24</v>
      </c>
      <c r="K2229" t="s">
        <v>54</v>
      </c>
      <c r="L2229">
        <v>4.4000000000000004</v>
      </c>
      <c r="M2229" t="s">
        <v>152</v>
      </c>
      <c r="N2229" t="s">
        <v>29</v>
      </c>
      <c r="O2229" t="s">
        <v>47</v>
      </c>
      <c r="P2229" t="s">
        <v>152</v>
      </c>
      <c r="Q2229" t="s">
        <v>152</v>
      </c>
      <c r="R2229">
        <v>42</v>
      </c>
      <c r="S2229" t="s">
        <v>27</v>
      </c>
      <c r="T2229" t="str">
        <f t="shared" si="68"/>
        <v>2-week</v>
      </c>
      <c r="U2229">
        <f>VLOOKUP(T2229,[1]tablescore!$B$3:$C$8, 2,FALSE)</f>
        <v>26</v>
      </c>
      <c r="V2229" t="str">
        <f t="shared" si="69"/>
        <v>Loyal</v>
      </c>
      <c r="W2229" t="s">
        <v>30</v>
      </c>
    </row>
    <row r="2230" spans="1:23" x14ac:dyDescent="0.25">
      <c r="A2230">
        <v>2229</v>
      </c>
      <c r="B2230">
        <v>54</v>
      </c>
      <c r="C2230" t="str" cm="1">
        <f t="array" ref="C2230">_xlfn.IFS(
  AND(B2230&gt;=18, B2230&lt;=24), "18-24",
  AND(B2230&gt;=25, B2230&lt;=34), "25-34",
  AND(B2230&gt;=35, B2230&lt;=44), "35-44",
  AND(B2230&gt;=45, B2230&lt;=54), "45-54",
  B2230&gt;=55, "55+"
)</f>
        <v>45-54</v>
      </c>
      <c r="D2230" t="s">
        <v>19</v>
      </c>
      <c r="E2230" t="s">
        <v>127</v>
      </c>
      <c r="F2230" t="s">
        <v>69</v>
      </c>
      <c r="G2230">
        <v>50</v>
      </c>
      <c r="H2230" t="s">
        <v>111</v>
      </c>
      <c r="I2230" t="s">
        <v>45</v>
      </c>
      <c r="J2230" t="s">
        <v>96</v>
      </c>
      <c r="K2230" t="s">
        <v>58</v>
      </c>
      <c r="L2230">
        <v>3.7</v>
      </c>
      <c r="M2230" t="s">
        <v>152</v>
      </c>
      <c r="N2230" t="s">
        <v>59</v>
      </c>
      <c r="O2230" t="s">
        <v>40</v>
      </c>
      <c r="P2230" t="s">
        <v>152</v>
      </c>
      <c r="Q2230" t="s">
        <v>152</v>
      </c>
      <c r="R2230">
        <v>5</v>
      </c>
      <c r="S2230" t="s">
        <v>27</v>
      </c>
      <c r="T2230" t="str">
        <f t="shared" si="68"/>
        <v>Daily</v>
      </c>
      <c r="U2230">
        <f>VLOOKUP(T2230,[1]tablescore!$B$3:$C$8, 2,FALSE)</f>
        <v>30</v>
      </c>
      <c r="V2230" t="str">
        <f t="shared" si="69"/>
        <v>Highly Loyal</v>
      </c>
      <c r="W2230" t="s">
        <v>41</v>
      </c>
    </row>
    <row r="2231" spans="1:23" x14ac:dyDescent="0.25">
      <c r="A2231">
        <v>2230</v>
      </c>
      <c r="B2231">
        <v>70</v>
      </c>
      <c r="C2231" t="str" cm="1">
        <f t="array" ref="C2231">_xlfn.IFS(
  AND(B2231&gt;=18, B2231&lt;=24), "18-24",
  AND(B2231&gt;=25, B2231&lt;=34), "25-34",
  AND(B2231&gt;=35, B2231&lt;=44), "35-44",
  AND(B2231&gt;=45, B2231&lt;=54), "45-54",
  B2231&gt;=55, "55+"
)</f>
        <v>55+</v>
      </c>
      <c r="D2231" t="s">
        <v>19</v>
      </c>
      <c r="E2231" t="s">
        <v>95</v>
      </c>
      <c r="F2231" t="s">
        <v>21</v>
      </c>
      <c r="G2231">
        <v>97</v>
      </c>
      <c r="H2231" t="s">
        <v>134</v>
      </c>
      <c r="I2231" t="s">
        <v>45</v>
      </c>
      <c r="J2231" t="s">
        <v>67</v>
      </c>
      <c r="K2231" t="s">
        <v>58</v>
      </c>
      <c r="L2231">
        <v>3.9</v>
      </c>
      <c r="M2231" t="s">
        <v>152</v>
      </c>
      <c r="N2231" t="s">
        <v>34</v>
      </c>
      <c r="O2231" t="s">
        <v>28</v>
      </c>
      <c r="P2231" t="s">
        <v>152</v>
      </c>
      <c r="Q2231" t="s">
        <v>152</v>
      </c>
      <c r="R2231">
        <v>50</v>
      </c>
      <c r="S2231" t="s">
        <v>29</v>
      </c>
      <c r="T2231" t="str">
        <f t="shared" si="68"/>
        <v>Month</v>
      </c>
      <c r="U2231">
        <f>VLOOKUP(T2231,[1]tablescore!$B$3:$C$8, 2,FALSE)</f>
        <v>12</v>
      </c>
      <c r="V2231" t="str">
        <f t="shared" si="69"/>
        <v>Moderate</v>
      </c>
      <c r="W2231" t="s">
        <v>88</v>
      </c>
    </row>
    <row r="2232" spans="1:23" x14ac:dyDescent="0.25">
      <c r="A2232">
        <v>2231</v>
      </c>
      <c r="B2232">
        <v>52</v>
      </c>
      <c r="C2232" t="str" cm="1">
        <f t="array" ref="C2232">_xlfn.IFS(
  AND(B2232&gt;=18, B2232&lt;=24), "18-24",
  AND(B2232&gt;=25, B2232&lt;=34), "25-34",
  AND(B2232&gt;=35, B2232&lt;=44), "35-44",
  AND(B2232&gt;=45, B2232&lt;=54), "45-54",
  B2232&gt;=55, "55+"
)</f>
        <v>45-54</v>
      </c>
      <c r="D2232" t="s">
        <v>19</v>
      </c>
      <c r="E2232" t="s">
        <v>51</v>
      </c>
      <c r="F2232" t="s">
        <v>43</v>
      </c>
      <c r="G2232">
        <v>36</v>
      </c>
      <c r="H2232" t="s">
        <v>112</v>
      </c>
      <c r="I2232" t="s">
        <v>38</v>
      </c>
      <c r="J2232" t="s">
        <v>86</v>
      </c>
      <c r="K2232" t="s">
        <v>39</v>
      </c>
      <c r="L2232">
        <v>3.8</v>
      </c>
      <c r="M2232" t="s">
        <v>152</v>
      </c>
      <c r="N2232" t="s">
        <v>59</v>
      </c>
      <c r="O2232" t="s">
        <v>28</v>
      </c>
      <c r="P2232" t="s">
        <v>152</v>
      </c>
      <c r="Q2232" t="s">
        <v>152</v>
      </c>
      <c r="R2232">
        <v>33</v>
      </c>
      <c r="S2232" t="s">
        <v>29</v>
      </c>
      <c r="T2232" t="str">
        <f t="shared" si="68"/>
        <v>2-week</v>
      </c>
      <c r="U2232">
        <f>VLOOKUP(T2232,[1]tablescore!$B$3:$C$8, 2,FALSE)</f>
        <v>26</v>
      </c>
      <c r="V2232" t="str">
        <f t="shared" si="69"/>
        <v>Loyal</v>
      </c>
      <c r="W2232" t="s">
        <v>30</v>
      </c>
    </row>
    <row r="2233" spans="1:23" x14ac:dyDescent="0.25">
      <c r="A2233">
        <v>2232</v>
      </c>
      <c r="B2233">
        <v>34</v>
      </c>
      <c r="C2233" t="str" cm="1">
        <f t="array" ref="C2233">_xlfn.IFS(
  AND(B2233&gt;=18, B2233&lt;=24), "18-24",
  AND(B2233&gt;=25, B2233&lt;=34), "25-34",
  AND(B2233&gt;=35, B2233&lt;=44), "35-44",
  AND(B2233&gt;=45, B2233&lt;=54), "45-54",
  B2233&gt;=55, "55+"
)</f>
        <v>25-34</v>
      </c>
      <c r="D2233" t="s">
        <v>19</v>
      </c>
      <c r="E2233" t="s">
        <v>102</v>
      </c>
      <c r="F2233" t="s">
        <v>65</v>
      </c>
      <c r="G2233">
        <v>49</v>
      </c>
      <c r="H2233" t="s">
        <v>149</v>
      </c>
      <c r="I2233" t="s">
        <v>45</v>
      </c>
      <c r="J2233" t="s">
        <v>118</v>
      </c>
      <c r="K2233" t="s">
        <v>58</v>
      </c>
      <c r="L2233">
        <v>4.0999999999999996</v>
      </c>
      <c r="M2233" t="s">
        <v>152</v>
      </c>
      <c r="N2233" t="s">
        <v>35</v>
      </c>
      <c r="O2233" t="s">
        <v>76</v>
      </c>
      <c r="P2233" t="s">
        <v>152</v>
      </c>
      <c r="Q2233" t="s">
        <v>152</v>
      </c>
      <c r="R2233">
        <v>1</v>
      </c>
      <c r="S2233" t="s">
        <v>27</v>
      </c>
      <c r="T2233" t="str">
        <f t="shared" si="68"/>
        <v>Daily</v>
      </c>
      <c r="U2233">
        <f>VLOOKUP(T2233,[1]tablescore!$B$3:$C$8, 2,FALSE)</f>
        <v>30</v>
      </c>
      <c r="V2233" t="str">
        <f t="shared" si="69"/>
        <v>Highly Loyal</v>
      </c>
      <c r="W2233" t="s">
        <v>41</v>
      </c>
    </row>
    <row r="2234" spans="1:23" x14ac:dyDescent="0.25">
      <c r="A2234">
        <v>2233</v>
      </c>
      <c r="B2234">
        <v>65</v>
      </c>
      <c r="C2234" t="str" cm="1">
        <f t="array" ref="C2234">_xlfn.IFS(
  AND(B2234&gt;=18, B2234&lt;=24), "18-24",
  AND(B2234&gt;=25, B2234&lt;=34), "25-34",
  AND(B2234&gt;=35, B2234&lt;=44), "35-44",
  AND(B2234&gt;=45, B2234&lt;=54), "45-54",
  B2234&gt;=55, "55+"
)</f>
        <v>55+</v>
      </c>
      <c r="D2234" t="s">
        <v>19</v>
      </c>
      <c r="E2234" t="s">
        <v>73</v>
      </c>
      <c r="F2234" t="s">
        <v>43</v>
      </c>
      <c r="G2234">
        <v>64</v>
      </c>
      <c r="H2234" t="s">
        <v>98</v>
      </c>
      <c r="I2234" t="s">
        <v>23</v>
      </c>
      <c r="J2234" t="s">
        <v>93</v>
      </c>
      <c r="K2234" t="s">
        <v>39</v>
      </c>
      <c r="L2234">
        <v>4</v>
      </c>
      <c r="M2234" t="s">
        <v>152</v>
      </c>
      <c r="N2234" t="s">
        <v>34</v>
      </c>
      <c r="O2234" t="s">
        <v>76</v>
      </c>
      <c r="P2234" t="s">
        <v>152</v>
      </c>
      <c r="Q2234" t="s">
        <v>152</v>
      </c>
      <c r="R2234">
        <v>14</v>
      </c>
      <c r="S2234" t="s">
        <v>35</v>
      </c>
      <c r="T2234" t="str">
        <f t="shared" si="68"/>
        <v>2-week</v>
      </c>
      <c r="U2234">
        <f>VLOOKUP(T2234,[1]tablescore!$B$3:$C$8, 2,FALSE)</f>
        <v>26</v>
      </c>
      <c r="V2234" t="str">
        <f t="shared" si="69"/>
        <v>Loyal</v>
      </c>
      <c r="W2234" t="s">
        <v>30</v>
      </c>
    </row>
    <row r="2235" spans="1:23" x14ac:dyDescent="0.25">
      <c r="A2235">
        <v>2234</v>
      </c>
      <c r="B2235">
        <v>38</v>
      </c>
      <c r="C2235" t="str" cm="1">
        <f t="array" ref="C2235">_xlfn.IFS(
  AND(B2235&gt;=18, B2235&lt;=24), "18-24",
  AND(B2235&gt;=25, B2235&lt;=34), "25-34",
  AND(B2235&gt;=35, B2235&lt;=44), "35-44",
  AND(B2235&gt;=45, B2235&lt;=54), "45-54",
  B2235&gt;=55, "55+"
)</f>
        <v>35-44</v>
      </c>
      <c r="D2235" t="s">
        <v>19</v>
      </c>
      <c r="E2235" t="s">
        <v>20</v>
      </c>
      <c r="F2235" t="s">
        <v>21</v>
      </c>
      <c r="G2235">
        <v>31</v>
      </c>
      <c r="H2235" t="s">
        <v>103</v>
      </c>
      <c r="I2235" t="s">
        <v>92</v>
      </c>
      <c r="J2235" t="s">
        <v>24</v>
      </c>
      <c r="K2235" t="s">
        <v>54</v>
      </c>
      <c r="L2235">
        <v>4.5</v>
      </c>
      <c r="M2235" t="s">
        <v>152</v>
      </c>
      <c r="N2235" t="s">
        <v>27</v>
      </c>
      <c r="O2235" t="s">
        <v>28</v>
      </c>
      <c r="P2235" t="s">
        <v>152</v>
      </c>
      <c r="Q2235" t="s">
        <v>152</v>
      </c>
      <c r="R2235">
        <v>48</v>
      </c>
      <c r="S2235" t="s">
        <v>27</v>
      </c>
      <c r="T2235" t="str">
        <f t="shared" si="68"/>
        <v>Month</v>
      </c>
      <c r="U2235">
        <f>VLOOKUP(T2235,[1]tablescore!$B$3:$C$8, 2,FALSE)</f>
        <v>12</v>
      </c>
      <c r="V2235" t="str">
        <f t="shared" si="69"/>
        <v>Moderate</v>
      </c>
      <c r="W2235" t="s">
        <v>88</v>
      </c>
    </row>
    <row r="2236" spans="1:23" x14ac:dyDescent="0.25">
      <c r="A2236">
        <v>2235</v>
      </c>
      <c r="B2236">
        <v>35</v>
      </c>
      <c r="C2236" t="str" cm="1">
        <f t="array" ref="C2236">_xlfn.IFS(
  AND(B2236&gt;=18, B2236&lt;=24), "18-24",
  AND(B2236&gt;=25, B2236&lt;=34), "25-34",
  AND(B2236&gt;=35, B2236&lt;=44), "35-44",
  AND(B2236&gt;=45, B2236&lt;=54), "45-54",
  B2236&gt;=55, "55+"
)</f>
        <v>35-44</v>
      </c>
      <c r="D2236" t="s">
        <v>19</v>
      </c>
      <c r="E2236" t="s">
        <v>132</v>
      </c>
      <c r="F2236" t="s">
        <v>43</v>
      </c>
      <c r="G2236">
        <v>66</v>
      </c>
      <c r="H2236" t="s">
        <v>83</v>
      </c>
      <c r="I2236" t="s">
        <v>38</v>
      </c>
      <c r="J2236" t="s">
        <v>139</v>
      </c>
      <c r="K2236" t="s">
        <v>25</v>
      </c>
      <c r="L2236">
        <v>4</v>
      </c>
      <c r="M2236" t="s">
        <v>152</v>
      </c>
      <c r="N2236" t="s">
        <v>35</v>
      </c>
      <c r="O2236" t="s">
        <v>28</v>
      </c>
      <c r="P2236" t="s">
        <v>152</v>
      </c>
      <c r="Q2236" t="s">
        <v>152</v>
      </c>
      <c r="R2236">
        <v>26</v>
      </c>
      <c r="S2236" t="s">
        <v>35</v>
      </c>
      <c r="T2236" t="str">
        <f t="shared" si="68"/>
        <v>Daily</v>
      </c>
      <c r="U2236">
        <f>VLOOKUP(T2236,[1]tablescore!$B$3:$C$8, 2,FALSE)</f>
        <v>30</v>
      </c>
      <c r="V2236" t="str">
        <f t="shared" si="69"/>
        <v>Highly Loyal</v>
      </c>
      <c r="W2236" t="s">
        <v>41</v>
      </c>
    </row>
    <row r="2237" spans="1:23" x14ac:dyDescent="0.25">
      <c r="A2237">
        <v>2236</v>
      </c>
      <c r="B2237">
        <v>40</v>
      </c>
      <c r="C2237" t="str" cm="1">
        <f t="array" ref="C2237">_xlfn.IFS(
  AND(B2237&gt;=18, B2237&lt;=24), "18-24",
  AND(B2237&gt;=25, B2237&lt;=34), "25-34",
  AND(B2237&gt;=35, B2237&lt;=44), "35-44",
  AND(B2237&gt;=45, B2237&lt;=54), "45-54",
  B2237&gt;=55, "55+"
)</f>
        <v>35-44</v>
      </c>
      <c r="D2237" t="s">
        <v>19</v>
      </c>
      <c r="E2237" t="s">
        <v>131</v>
      </c>
      <c r="F2237" t="s">
        <v>21</v>
      </c>
      <c r="G2237">
        <v>82</v>
      </c>
      <c r="H2237" t="s">
        <v>115</v>
      </c>
      <c r="I2237" t="s">
        <v>45</v>
      </c>
      <c r="J2237" t="s">
        <v>24</v>
      </c>
      <c r="K2237" t="s">
        <v>39</v>
      </c>
      <c r="L2237">
        <v>4.5</v>
      </c>
      <c r="M2237" t="s">
        <v>152</v>
      </c>
      <c r="N2237" t="s">
        <v>27</v>
      </c>
      <c r="O2237" t="s">
        <v>72</v>
      </c>
      <c r="P2237" t="s">
        <v>152</v>
      </c>
      <c r="Q2237" t="s">
        <v>152</v>
      </c>
      <c r="R2237">
        <v>44</v>
      </c>
      <c r="S2237" t="s">
        <v>27</v>
      </c>
      <c r="T2237" t="str">
        <f t="shared" si="68"/>
        <v>Annually</v>
      </c>
      <c r="U2237">
        <f>VLOOKUP(T2237,[1]tablescore!$B$3:$C$8, 2,FALSE)</f>
        <v>1</v>
      </c>
      <c r="V2237" t="str">
        <f t="shared" si="69"/>
        <v>Low Loyalty</v>
      </c>
      <c r="W2237" t="s">
        <v>50</v>
      </c>
    </row>
    <row r="2238" spans="1:23" x14ac:dyDescent="0.25">
      <c r="A2238">
        <v>2237</v>
      </c>
      <c r="B2238">
        <v>23</v>
      </c>
      <c r="C2238" t="str" cm="1">
        <f t="array" ref="C2238">_xlfn.IFS(
  AND(B2238&gt;=18, B2238&lt;=24), "18-24",
  AND(B2238&gt;=25, B2238&lt;=34), "25-34",
  AND(B2238&gt;=35, B2238&lt;=44), "35-44",
  AND(B2238&gt;=45, B2238&lt;=54), "45-54",
  B2238&gt;=55, "55+"
)</f>
        <v>18-24</v>
      </c>
      <c r="D2238" t="s">
        <v>19</v>
      </c>
      <c r="E2238" t="s">
        <v>113</v>
      </c>
      <c r="F2238" t="s">
        <v>21</v>
      </c>
      <c r="G2238">
        <v>88</v>
      </c>
      <c r="H2238" t="s">
        <v>62</v>
      </c>
      <c r="I2238" t="s">
        <v>45</v>
      </c>
      <c r="J2238" t="s">
        <v>139</v>
      </c>
      <c r="K2238" t="s">
        <v>25</v>
      </c>
      <c r="L2238">
        <v>2.7</v>
      </c>
      <c r="M2238" t="s">
        <v>152</v>
      </c>
      <c r="N2238" t="s">
        <v>29</v>
      </c>
      <c r="O2238" t="s">
        <v>55</v>
      </c>
      <c r="P2238" t="s">
        <v>152</v>
      </c>
      <c r="Q2238" t="s">
        <v>152</v>
      </c>
      <c r="R2238">
        <v>18</v>
      </c>
      <c r="S2238" t="s">
        <v>59</v>
      </c>
      <c r="T2238" t="str">
        <f t="shared" si="68"/>
        <v>2-week</v>
      </c>
      <c r="U2238">
        <f>VLOOKUP(T2238,[1]tablescore!$B$3:$C$8, 2,FALSE)</f>
        <v>26</v>
      </c>
      <c r="V2238" t="str">
        <f t="shared" si="69"/>
        <v>Loyal</v>
      </c>
      <c r="W2238" t="s">
        <v>30</v>
      </c>
    </row>
    <row r="2239" spans="1:23" x14ac:dyDescent="0.25">
      <c r="A2239">
        <v>2238</v>
      </c>
      <c r="B2239">
        <v>45</v>
      </c>
      <c r="C2239" t="str" cm="1">
        <f t="array" ref="C2239">_xlfn.IFS(
  AND(B2239&gt;=18, B2239&lt;=24), "18-24",
  AND(B2239&gt;=25, B2239&lt;=34), "25-34",
  AND(B2239&gt;=35, B2239&lt;=44), "35-44",
  AND(B2239&gt;=45, B2239&lt;=54), "45-54",
  B2239&gt;=55, "55+"
)</f>
        <v>45-54</v>
      </c>
      <c r="D2239" t="s">
        <v>19</v>
      </c>
      <c r="E2239" t="s">
        <v>42</v>
      </c>
      <c r="F2239" t="s">
        <v>43</v>
      </c>
      <c r="G2239">
        <v>34</v>
      </c>
      <c r="H2239" t="s">
        <v>90</v>
      </c>
      <c r="I2239" t="s">
        <v>38</v>
      </c>
      <c r="J2239" t="s">
        <v>94</v>
      </c>
      <c r="K2239" t="s">
        <v>54</v>
      </c>
      <c r="L2239">
        <v>3.8</v>
      </c>
      <c r="M2239" t="s">
        <v>152</v>
      </c>
      <c r="N2239" t="s">
        <v>34</v>
      </c>
      <c r="O2239" t="s">
        <v>47</v>
      </c>
      <c r="P2239" t="s">
        <v>152</v>
      </c>
      <c r="Q2239" t="s">
        <v>152</v>
      </c>
      <c r="R2239">
        <v>31</v>
      </c>
      <c r="S2239" t="s">
        <v>29</v>
      </c>
      <c r="T2239" t="str">
        <f t="shared" si="68"/>
        <v>Quarterly</v>
      </c>
      <c r="U2239">
        <f>VLOOKUP(T2239,[1]tablescore!$B$3:$C$8, 2,FALSE)</f>
        <v>4</v>
      </c>
      <c r="V2239" t="str">
        <f t="shared" si="69"/>
        <v>Low Loyalty</v>
      </c>
      <c r="W2239" t="s">
        <v>97</v>
      </c>
    </row>
    <row r="2240" spans="1:23" x14ac:dyDescent="0.25">
      <c r="A2240">
        <v>2239</v>
      </c>
      <c r="B2240">
        <v>40</v>
      </c>
      <c r="C2240" t="str" cm="1">
        <f t="array" ref="C2240">_xlfn.IFS(
  AND(B2240&gt;=18, B2240&lt;=24), "18-24",
  AND(B2240&gt;=25, B2240&lt;=34), "25-34",
  AND(B2240&gt;=35, B2240&lt;=44), "35-44",
  AND(B2240&gt;=45, B2240&lt;=54), "45-54",
  B2240&gt;=55, "55+"
)</f>
        <v>35-44</v>
      </c>
      <c r="D2240" t="s">
        <v>19</v>
      </c>
      <c r="E2240" t="s">
        <v>51</v>
      </c>
      <c r="F2240" t="s">
        <v>43</v>
      </c>
      <c r="G2240">
        <v>84</v>
      </c>
      <c r="H2240" t="s">
        <v>103</v>
      </c>
      <c r="I2240" t="s">
        <v>23</v>
      </c>
      <c r="J2240" t="s">
        <v>118</v>
      </c>
      <c r="K2240" t="s">
        <v>25</v>
      </c>
      <c r="L2240">
        <v>3.8</v>
      </c>
      <c r="M2240" t="s">
        <v>152</v>
      </c>
      <c r="N2240" t="s">
        <v>27</v>
      </c>
      <c r="O2240" t="s">
        <v>55</v>
      </c>
      <c r="P2240" t="s">
        <v>152</v>
      </c>
      <c r="Q2240" t="s">
        <v>152</v>
      </c>
      <c r="R2240">
        <v>18</v>
      </c>
      <c r="S2240" t="s">
        <v>59</v>
      </c>
      <c r="T2240" t="str">
        <f t="shared" si="68"/>
        <v>Daily</v>
      </c>
      <c r="U2240">
        <f>VLOOKUP(T2240,[1]tablescore!$B$3:$C$8, 2,FALSE)</f>
        <v>30</v>
      </c>
      <c r="V2240" t="str">
        <f t="shared" si="69"/>
        <v>Highly Loyal</v>
      </c>
      <c r="W2240" t="s">
        <v>41</v>
      </c>
    </row>
    <row r="2241" spans="1:23" x14ac:dyDescent="0.25">
      <c r="A2241">
        <v>2240</v>
      </c>
      <c r="B2241">
        <v>42</v>
      </c>
      <c r="C2241" t="str" cm="1">
        <f t="array" ref="C2241">_xlfn.IFS(
  AND(B2241&gt;=18, B2241&lt;=24), "18-24",
  AND(B2241&gt;=25, B2241&lt;=34), "25-34",
  AND(B2241&gt;=35, B2241&lt;=44), "35-44",
  AND(B2241&gt;=45, B2241&lt;=54), "45-54",
  B2241&gt;=55, "55+"
)</f>
        <v>35-44</v>
      </c>
      <c r="D2241" t="s">
        <v>19</v>
      </c>
      <c r="E2241" t="s">
        <v>106</v>
      </c>
      <c r="F2241" t="s">
        <v>69</v>
      </c>
      <c r="G2241">
        <v>96</v>
      </c>
      <c r="H2241" t="s">
        <v>90</v>
      </c>
      <c r="I2241" t="s">
        <v>23</v>
      </c>
      <c r="J2241" t="s">
        <v>129</v>
      </c>
      <c r="K2241" t="s">
        <v>54</v>
      </c>
      <c r="L2241">
        <v>3.8</v>
      </c>
      <c r="M2241" t="s">
        <v>152</v>
      </c>
      <c r="N2241" t="s">
        <v>34</v>
      </c>
      <c r="O2241" t="s">
        <v>72</v>
      </c>
      <c r="P2241" t="s">
        <v>152</v>
      </c>
      <c r="Q2241" t="s">
        <v>152</v>
      </c>
      <c r="R2241">
        <v>41</v>
      </c>
      <c r="S2241" t="s">
        <v>27</v>
      </c>
      <c r="T2241" t="str">
        <f t="shared" si="68"/>
        <v>Quarterly</v>
      </c>
      <c r="U2241">
        <f>VLOOKUP(T2241,[1]tablescore!$B$3:$C$8, 2,FALSE)</f>
        <v>4</v>
      </c>
      <c r="V2241" t="str">
        <f t="shared" si="69"/>
        <v>Low Loyalty</v>
      </c>
      <c r="W2241" t="s">
        <v>97</v>
      </c>
    </row>
    <row r="2242" spans="1:23" x14ac:dyDescent="0.25">
      <c r="A2242">
        <v>2241</v>
      </c>
      <c r="B2242">
        <v>57</v>
      </c>
      <c r="C2242" t="str" cm="1">
        <f t="array" ref="C2242">_xlfn.IFS(
  AND(B2242&gt;=18, B2242&lt;=24), "18-24",
  AND(B2242&gt;=25, B2242&lt;=34), "25-34",
  AND(B2242&gt;=35, B2242&lt;=44), "35-44",
  AND(B2242&gt;=45, B2242&lt;=54), "45-54",
  B2242&gt;=55, "55+"
)</f>
        <v>55+</v>
      </c>
      <c r="D2242" t="s">
        <v>19</v>
      </c>
      <c r="E2242" t="s">
        <v>42</v>
      </c>
      <c r="F2242" t="s">
        <v>43</v>
      </c>
      <c r="G2242">
        <v>71</v>
      </c>
      <c r="H2242" t="s">
        <v>99</v>
      </c>
      <c r="I2242" t="s">
        <v>23</v>
      </c>
      <c r="J2242" t="s">
        <v>96</v>
      </c>
      <c r="K2242" t="s">
        <v>25</v>
      </c>
      <c r="L2242">
        <v>4.3</v>
      </c>
      <c r="M2242" t="s">
        <v>152</v>
      </c>
      <c r="N2242" t="s">
        <v>27</v>
      </c>
      <c r="O2242" t="s">
        <v>47</v>
      </c>
      <c r="P2242" t="s">
        <v>152</v>
      </c>
      <c r="Q2242" t="s">
        <v>152</v>
      </c>
      <c r="R2242">
        <v>18</v>
      </c>
      <c r="S2242" t="s">
        <v>59</v>
      </c>
      <c r="T2242" t="str">
        <f t="shared" si="68"/>
        <v>Quarterly</v>
      </c>
      <c r="U2242">
        <f>VLOOKUP(T2242,[1]tablescore!$B$3:$C$8, 2,FALSE)</f>
        <v>4</v>
      </c>
      <c r="V2242" t="str">
        <f t="shared" si="69"/>
        <v>Low Loyalty</v>
      </c>
      <c r="W2242" t="s">
        <v>97</v>
      </c>
    </row>
    <row r="2243" spans="1:23" x14ac:dyDescent="0.25">
      <c r="A2243">
        <v>2242</v>
      </c>
      <c r="B2243">
        <v>18</v>
      </c>
      <c r="C2243" t="str" cm="1">
        <f t="array" ref="C2243">_xlfn.IFS(
  AND(B2243&gt;=18, B2243&lt;=24), "18-24",
  AND(B2243&gt;=25, B2243&lt;=34), "25-34",
  AND(B2243&gt;=35, B2243&lt;=44), "35-44",
  AND(B2243&gt;=45, B2243&lt;=54), "45-54",
  B2243&gt;=55, "55+"
)</f>
        <v>18-24</v>
      </c>
      <c r="D2243" t="s">
        <v>19</v>
      </c>
      <c r="E2243" t="s">
        <v>102</v>
      </c>
      <c r="F2243" t="s">
        <v>65</v>
      </c>
      <c r="G2243">
        <v>77</v>
      </c>
      <c r="H2243" t="s">
        <v>135</v>
      </c>
      <c r="I2243" t="s">
        <v>45</v>
      </c>
      <c r="J2243" t="s">
        <v>75</v>
      </c>
      <c r="K2243" t="s">
        <v>54</v>
      </c>
      <c r="L2243">
        <v>3.5</v>
      </c>
      <c r="M2243" t="s">
        <v>152</v>
      </c>
      <c r="N2243" t="s">
        <v>34</v>
      </c>
      <c r="O2243" t="s">
        <v>40</v>
      </c>
      <c r="P2243" t="s">
        <v>152</v>
      </c>
      <c r="Q2243" t="s">
        <v>152</v>
      </c>
      <c r="R2243">
        <v>3</v>
      </c>
      <c r="S2243" t="s">
        <v>34</v>
      </c>
      <c r="T2243" t="str">
        <f t="shared" ref="T2243:T2306" si="70">IF(TRIM(W2243)="Every 3 months","Quarterly",IF(TRIM(W2243)="Fortnightly","2-week",IF(TRIM(W2243)="Bi-Weekly","2-week",IF(TRIM(W2243)="Weekly","Daily",IF(TRIM(W2243)="Monthly","Month",TRIM(W2243))))))</f>
        <v>2-week</v>
      </c>
      <c r="U2243">
        <f>VLOOKUP(T2243,[1]tablescore!$B$3:$C$8, 2,FALSE)</f>
        <v>26</v>
      </c>
      <c r="V2243" t="str">
        <f t="shared" ref="V2243:V2306" si="71">_xlfn.IFS(U2243&gt;=30, "Highly Loyal", U2243&gt;=26, "Loyal", U2243&gt;=12, "Moderate", U2243&lt;5, "Low Loyalty")</f>
        <v>Loyal</v>
      </c>
      <c r="W2243" t="s">
        <v>77</v>
      </c>
    </row>
    <row r="2244" spans="1:23" x14ac:dyDescent="0.25">
      <c r="A2244">
        <v>2243</v>
      </c>
      <c r="B2244">
        <v>18</v>
      </c>
      <c r="C2244" t="str" cm="1">
        <f t="array" ref="C2244">_xlfn.IFS(
  AND(B2244&gt;=18, B2244&lt;=24), "18-24",
  AND(B2244&gt;=25, B2244&lt;=34), "25-34",
  AND(B2244&gt;=35, B2244&lt;=44), "35-44",
  AND(B2244&gt;=45, B2244&lt;=54), "45-54",
  B2244&gt;=55, "55+"
)</f>
        <v>18-24</v>
      </c>
      <c r="D2244" t="s">
        <v>19</v>
      </c>
      <c r="E2244" t="s">
        <v>87</v>
      </c>
      <c r="F2244" t="s">
        <v>21</v>
      </c>
      <c r="G2244">
        <v>66</v>
      </c>
      <c r="H2244" t="s">
        <v>107</v>
      </c>
      <c r="I2244" t="s">
        <v>45</v>
      </c>
      <c r="J2244" t="s">
        <v>121</v>
      </c>
      <c r="K2244" t="s">
        <v>39</v>
      </c>
      <c r="L2244">
        <v>3.8</v>
      </c>
      <c r="M2244" t="s">
        <v>152</v>
      </c>
      <c r="N2244" t="s">
        <v>46</v>
      </c>
      <c r="O2244" t="s">
        <v>47</v>
      </c>
      <c r="P2244" t="s">
        <v>152</v>
      </c>
      <c r="Q2244" t="s">
        <v>152</v>
      </c>
      <c r="R2244">
        <v>5</v>
      </c>
      <c r="S2244" t="s">
        <v>27</v>
      </c>
      <c r="T2244" t="str">
        <f t="shared" si="70"/>
        <v>2-week</v>
      </c>
      <c r="U2244">
        <f>VLOOKUP(T2244,[1]tablescore!$B$3:$C$8, 2,FALSE)</f>
        <v>26</v>
      </c>
      <c r="V2244" t="str">
        <f t="shared" si="71"/>
        <v>Loyal</v>
      </c>
      <c r="W2244" t="s">
        <v>77</v>
      </c>
    </row>
    <row r="2245" spans="1:23" x14ac:dyDescent="0.25">
      <c r="A2245">
        <v>2244</v>
      </c>
      <c r="B2245">
        <v>56</v>
      </c>
      <c r="C2245" t="str" cm="1">
        <f t="array" ref="C2245">_xlfn.IFS(
  AND(B2245&gt;=18, B2245&lt;=24), "18-24",
  AND(B2245&gt;=25, B2245&lt;=34), "25-34",
  AND(B2245&gt;=35, B2245&lt;=44), "35-44",
  AND(B2245&gt;=45, B2245&lt;=54), "45-54",
  B2245&gt;=55, "55+"
)</f>
        <v>55+</v>
      </c>
      <c r="D2245" t="s">
        <v>19</v>
      </c>
      <c r="E2245" t="s">
        <v>56</v>
      </c>
      <c r="F2245" t="s">
        <v>21</v>
      </c>
      <c r="G2245">
        <v>21</v>
      </c>
      <c r="H2245" t="s">
        <v>37</v>
      </c>
      <c r="I2245" t="s">
        <v>45</v>
      </c>
      <c r="J2245" t="s">
        <v>86</v>
      </c>
      <c r="K2245" t="s">
        <v>25</v>
      </c>
      <c r="L2245">
        <v>3.7</v>
      </c>
      <c r="M2245" t="s">
        <v>152</v>
      </c>
      <c r="N2245" t="s">
        <v>35</v>
      </c>
      <c r="O2245" t="s">
        <v>72</v>
      </c>
      <c r="P2245" t="s">
        <v>152</v>
      </c>
      <c r="Q2245" t="s">
        <v>152</v>
      </c>
      <c r="R2245">
        <v>13</v>
      </c>
      <c r="S2245" t="s">
        <v>59</v>
      </c>
      <c r="T2245" t="str">
        <f t="shared" si="70"/>
        <v>Annually</v>
      </c>
      <c r="U2245">
        <f>VLOOKUP(T2245,[1]tablescore!$B$3:$C$8, 2,FALSE)</f>
        <v>1</v>
      </c>
      <c r="V2245" t="str">
        <f t="shared" si="71"/>
        <v>Low Loyalty</v>
      </c>
      <c r="W2245" t="s">
        <v>50</v>
      </c>
    </row>
    <row r="2246" spans="1:23" x14ac:dyDescent="0.25">
      <c r="A2246">
        <v>2245</v>
      </c>
      <c r="B2246">
        <v>35</v>
      </c>
      <c r="C2246" t="str" cm="1">
        <f t="array" ref="C2246">_xlfn.IFS(
  AND(B2246&gt;=18, B2246&lt;=24), "18-24",
  AND(B2246&gt;=25, B2246&lt;=34), "25-34",
  AND(B2246&gt;=35, B2246&lt;=44), "35-44",
  AND(B2246&gt;=45, B2246&lt;=54), "45-54",
  B2246&gt;=55, "55+"
)</f>
        <v>35-44</v>
      </c>
      <c r="D2246" t="s">
        <v>19</v>
      </c>
      <c r="E2246" t="s">
        <v>61</v>
      </c>
      <c r="F2246" t="s">
        <v>21</v>
      </c>
      <c r="G2246">
        <v>37</v>
      </c>
      <c r="H2246" t="s">
        <v>126</v>
      </c>
      <c r="I2246" t="s">
        <v>45</v>
      </c>
      <c r="J2246" t="s">
        <v>81</v>
      </c>
      <c r="K2246" t="s">
        <v>54</v>
      </c>
      <c r="L2246">
        <v>4.8</v>
      </c>
      <c r="M2246" t="s">
        <v>152</v>
      </c>
      <c r="N2246" t="s">
        <v>27</v>
      </c>
      <c r="O2246" t="s">
        <v>72</v>
      </c>
      <c r="P2246" t="s">
        <v>152</v>
      </c>
      <c r="Q2246" t="s">
        <v>152</v>
      </c>
      <c r="R2246">
        <v>22</v>
      </c>
      <c r="S2246" t="s">
        <v>46</v>
      </c>
      <c r="T2246" t="str">
        <f t="shared" si="70"/>
        <v>Annually</v>
      </c>
      <c r="U2246">
        <f>VLOOKUP(T2246,[1]tablescore!$B$3:$C$8, 2,FALSE)</f>
        <v>1</v>
      </c>
      <c r="V2246" t="str">
        <f t="shared" si="71"/>
        <v>Low Loyalty</v>
      </c>
      <c r="W2246" t="s">
        <v>50</v>
      </c>
    </row>
    <row r="2247" spans="1:23" x14ac:dyDescent="0.25">
      <c r="A2247">
        <v>2246</v>
      </c>
      <c r="B2247">
        <v>49</v>
      </c>
      <c r="C2247" t="str" cm="1">
        <f t="array" ref="C2247">_xlfn.IFS(
  AND(B2247&gt;=18, B2247&lt;=24), "18-24",
  AND(B2247&gt;=25, B2247&lt;=34), "25-34",
  AND(B2247&gt;=35, B2247&lt;=44), "35-44",
  AND(B2247&gt;=45, B2247&lt;=54), "45-54",
  B2247&gt;=55, "55+"
)</f>
        <v>45-54</v>
      </c>
      <c r="D2247" t="s">
        <v>19</v>
      </c>
      <c r="E2247" t="s">
        <v>131</v>
      </c>
      <c r="F2247" t="s">
        <v>21</v>
      </c>
      <c r="G2247">
        <v>90</v>
      </c>
      <c r="H2247" t="s">
        <v>80</v>
      </c>
      <c r="I2247" t="s">
        <v>23</v>
      </c>
      <c r="J2247" t="s">
        <v>24</v>
      </c>
      <c r="K2247" t="s">
        <v>58</v>
      </c>
      <c r="L2247">
        <v>4.9000000000000004</v>
      </c>
      <c r="M2247" t="s">
        <v>152</v>
      </c>
      <c r="N2247" t="s">
        <v>29</v>
      </c>
      <c r="O2247" t="s">
        <v>40</v>
      </c>
      <c r="P2247" t="s">
        <v>152</v>
      </c>
      <c r="Q2247" t="s">
        <v>152</v>
      </c>
      <c r="R2247">
        <v>45</v>
      </c>
      <c r="S2247" t="s">
        <v>46</v>
      </c>
      <c r="T2247" t="str">
        <f t="shared" si="70"/>
        <v>2-week</v>
      </c>
      <c r="U2247">
        <f>VLOOKUP(T2247,[1]tablescore!$B$3:$C$8, 2,FALSE)</f>
        <v>26</v>
      </c>
      <c r="V2247" t="str">
        <f t="shared" si="71"/>
        <v>Loyal</v>
      </c>
      <c r="W2247" t="s">
        <v>30</v>
      </c>
    </row>
    <row r="2248" spans="1:23" x14ac:dyDescent="0.25">
      <c r="A2248">
        <v>2247</v>
      </c>
      <c r="B2248">
        <v>49</v>
      </c>
      <c r="C2248" t="str" cm="1">
        <f t="array" ref="C2248">_xlfn.IFS(
  AND(B2248&gt;=18, B2248&lt;=24), "18-24",
  AND(B2248&gt;=25, B2248&lt;=34), "25-34",
  AND(B2248&gt;=35, B2248&lt;=44), "35-44",
  AND(B2248&gt;=45, B2248&lt;=54), "45-54",
  B2248&gt;=55, "55+"
)</f>
        <v>45-54</v>
      </c>
      <c r="D2248" t="s">
        <v>19</v>
      </c>
      <c r="E2248" t="s">
        <v>102</v>
      </c>
      <c r="F2248" t="s">
        <v>65</v>
      </c>
      <c r="G2248">
        <v>96</v>
      </c>
      <c r="H2248" t="s">
        <v>78</v>
      </c>
      <c r="I2248" t="s">
        <v>45</v>
      </c>
      <c r="J2248" t="s">
        <v>109</v>
      </c>
      <c r="K2248" t="s">
        <v>58</v>
      </c>
      <c r="L2248">
        <v>4.3</v>
      </c>
      <c r="M2248" t="s">
        <v>152</v>
      </c>
      <c r="N2248" t="s">
        <v>35</v>
      </c>
      <c r="O2248" t="s">
        <v>76</v>
      </c>
      <c r="P2248" t="s">
        <v>152</v>
      </c>
      <c r="Q2248" t="s">
        <v>152</v>
      </c>
      <c r="R2248">
        <v>39</v>
      </c>
      <c r="S2248" t="s">
        <v>46</v>
      </c>
      <c r="T2248" t="str">
        <f t="shared" si="70"/>
        <v>Quarterly</v>
      </c>
      <c r="U2248">
        <f>VLOOKUP(T2248,[1]tablescore!$B$3:$C$8, 2,FALSE)</f>
        <v>4</v>
      </c>
      <c r="V2248" t="str">
        <f t="shared" si="71"/>
        <v>Low Loyalty</v>
      </c>
      <c r="W2248" t="s">
        <v>97</v>
      </c>
    </row>
    <row r="2249" spans="1:23" x14ac:dyDescent="0.25">
      <c r="A2249">
        <v>2248</v>
      </c>
      <c r="B2249">
        <v>34</v>
      </c>
      <c r="C2249" t="str" cm="1">
        <f t="array" ref="C2249">_xlfn.IFS(
  AND(B2249&gt;=18, B2249&lt;=24), "18-24",
  AND(B2249&gt;=25, B2249&lt;=34), "25-34",
  AND(B2249&gt;=35, B2249&lt;=44), "35-44",
  AND(B2249&gt;=45, B2249&lt;=54), "45-54",
  B2249&gt;=55, "55+"
)</f>
        <v>25-34</v>
      </c>
      <c r="D2249" t="s">
        <v>19</v>
      </c>
      <c r="E2249" t="s">
        <v>106</v>
      </c>
      <c r="F2249" t="s">
        <v>69</v>
      </c>
      <c r="G2249">
        <v>37</v>
      </c>
      <c r="H2249" t="s">
        <v>103</v>
      </c>
      <c r="I2249" t="s">
        <v>23</v>
      </c>
      <c r="J2249" t="s">
        <v>86</v>
      </c>
      <c r="K2249" t="s">
        <v>54</v>
      </c>
      <c r="L2249">
        <v>4.4000000000000004</v>
      </c>
      <c r="M2249" t="s">
        <v>152</v>
      </c>
      <c r="N2249" t="s">
        <v>46</v>
      </c>
      <c r="O2249" t="s">
        <v>47</v>
      </c>
      <c r="P2249" t="s">
        <v>152</v>
      </c>
      <c r="Q2249" t="s">
        <v>152</v>
      </c>
      <c r="R2249">
        <v>18</v>
      </c>
      <c r="S2249" t="s">
        <v>29</v>
      </c>
      <c r="T2249" t="str">
        <f t="shared" si="70"/>
        <v>Annually</v>
      </c>
      <c r="U2249">
        <f>VLOOKUP(T2249,[1]tablescore!$B$3:$C$8, 2,FALSE)</f>
        <v>1</v>
      </c>
      <c r="V2249" t="str">
        <f t="shared" si="71"/>
        <v>Low Loyalty</v>
      </c>
      <c r="W2249" t="s">
        <v>50</v>
      </c>
    </row>
    <row r="2250" spans="1:23" x14ac:dyDescent="0.25">
      <c r="A2250">
        <v>2249</v>
      </c>
      <c r="B2250">
        <v>63</v>
      </c>
      <c r="C2250" t="str" cm="1">
        <f t="array" ref="C2250">_xlfn.IFS(
  AND(B2250&gt;=18, B2250&lt;=24), "18-24",
  AND(B2250&gt;=25, B2250&lt;=34), "25-34",
  AND(B2250&gt;=35, B2250&lt;=44), "35-44",
  AND(B2250&gt;=45, B2250&lt;=54), "45-54",
  B2250&gt;=55, "55+"
)</f>
        <v>55+</v>
      </c>
      <c r="D2250" t="s">
        <v>19</v>
      </c>
      <c r="E2250" t="s">
        <v>113</v>
      </c>
      <c r="F2250" t="s">
        <v>21</v>
      </c>
      <c r="G2250">
        <v>66</v>
      </c>
      <c r="H2250" t="s">
        <v>44</v>
      </c>
      <c r="I2250" t="s">
        <v>45</v>
      </c>
      <c r="J2250" t="s">
        <v>84</v>
      </c>
      <c r="K2250" t="s">
        <v>25</v>
      </c>
      <c r="L2250">
        <v>3.4</v>
      </c>
      <c r="M2250" t="s">
        <v>152</v>
      </c>
      <c r="N2250" t="s">
        <v>35</v>
      </c>
      <c r="O2250" t="s">
        <v>40</v>
      </c>
      <c r="P2250" t="s">
        <v>152</v>
      </c>
      <c r="Q2250" t="s">
        <v>152</v>
      </c>
      <c r="R2250">
        <v>19</v>
      </c>
      <c r="S2250" t="s">
        <v>46</v>
      </c>
      <c r="T2250" t="str">
        <f t="shared" si="70"/>
        <v>2-week</v>
      </c>
      <c r="U2250">
        <f>VLOOKUP(T2250,[1]tablescore!$B$3:$C$8, 2,FALSE)</f>
        <v>26</v>
      </c>
      <c r="V2250" t="str">
        <f t="shared" si="71"/>
        <v>Loyal</v>
      </c>
      <c r="W2250" t="s">
        <v>30</v>
      </c>
    </row>
    <row r="2251" spans="1:23" x14ac:dyDescent="0.25">
      <c r="A2251">
        <v>2250</v>
      </c>
      <c r="B2251">
        <v>42</v>
      </c>
      <c r="C2251" t="str" cm="1">
        <f t="array" ref="C2251">_xlfn.IFS(
  AND(B2251&gt;=18, B2251&lt;=24), "18-24",
  AND(B2251&gt;=25, B2251&lt;=34), "25-34",
  AND(B2251&gt;=35, B2251&lt;=44), "35-44",
  AND(B2251&gt;=45, B2251&lt;=54), "45-54",
  B2251&gt;=55, "55+"
)</f>
        <v>35-44</v>
      </c>
      <c r="D2251" t="s">
        <v>19</v>
      </c>
      <c r="E2251" t="s">
        <v>127</v>
      </c>
      <c r="F2251" t="s">
        <v>69</v>
      </c>
      <c r="G2251">
        <v>45</v>
      </c>
      <c r="H2251" t="s">
        <v>52</v>
      </c>
      <c r="I2251" t="s">
        <v>92</v>
      </c>
      <c r="J2251" t="s">
        <v>129</v>
      </c>
      <c r="K2251" t="s">
        <v>39</v>
      </c>
      <c r="L2251">
        <v>4.3</v>
      </c>
      <c r="M2251" t="s">
        <v>152</v>
      </c>
      <c r="N2251" t="s">
        <v>34</v>
      </c>
      <c r="O2251" t="s">
        <v>47</v>
      </c>
      <c r="P2251" t="s">
        <v>152</v>
      </c>
      <c r="Q2251" t="s">
        <v>152</v>
      </c>
      <c r="R2251">
        <v>29</v>
      </c>
      <c r="S2251" t="s">
        <v>59</v>
      </c>
      <c r="T2251" t="str">
        <f t="shared" si="70"/>
        <v>Daily</v>
      </c>
      <c r="U2251">
        <f>VLOOKUP(T2251,[1]tablescore!$B$3:$C$8, 2,FALSE)</f>
        <v>30</v>
      </c>
      <c r="V2251" t="str">
        <f t="shared" si="71"/>
        <v>Highly Loyal</v>
      </c>
      <c r="W2251" t="s">
        <v>41</v>
      </c>
    </row>
    <row r="2252" spans="1:23" x14ac:dyDescent="0.25">
      <c r="A2252">
        <v>2251</v>
      </c>
      <c r="B2252">
        <v>41</v>
      </c>
      <c r="C2252" t="str" cm="1">
        <f t="array" ref="C2252">_xlfn.IFS(
  AND(B2252&gt;=18, B2252&lt;=24), "18-24",
  AND(B2252&gt;=25, B2252&lt;=34), "25-34",
  AND(B2252&gt;=35, B2252&lt;=44), "35-44",
  AND(B2252&gt;=45, B2252&lt;=54), "45-54",
  B2252&gt;=55, "55+"
)</f>
        <v>35-44</v>
      </c>
      <c r="D2252" t="s">
        <v>19</v>
      </c>
      <c r="E2252" t="s">
        <v>73</v>
      </c>
      <c r="F2252" t="s">
        <v>43</v>
      </c>
      <c r="G2252">
        <v>89</v>
      </c>
      <c r="H2252" t="s">
        <v>112</v>
      </c>
      <c r="I2252" t="s">
        <v>23</v>
      </c>
      <c r="J2252" t="s">
        <v>71</v>
      </c>
      <c r="K2252" t="s">
        <v>54</v>
      </c>
      <c r="L2252">
        <v>4.5999999999999996</v>
      </c>
      <c r="M2252" t="s">
        <v>152</v>
      </c>
      <c r="N2252" t="s">
        <v>29</v>
      </c>
      <c r="O2252" t="s">
        <v>76</v>
      </c>
      <c r="P2252" t="s">
        <v>152</v>
      </c>
      <c r="Q2252" t="s">
        <v>152</v>
      </c>
      <c r="R2252">
        <v>19</v>
      </c>
      <c r="S2252" t="s">
        <v>27</v>
      </c>
      <c r="T2252" t="str">
        <f t="shared" si="70"/>
        <v>Daily</v>
      </c>
      <c r="U2252">
        <f>VLOOKUP(T2252,[1]tablescore!$B$3:$C$8, 2,FALSE)</f>
        <v>30</v>
      </c>
      <c r="V2252" t="str">
        <f t="shared" si="71"/>
        <v>Highly Loyal</v>
      </c>
      <c r="W2252" t="s">
        <v>41</v>
      </c>
    </row>
    <row r="2253" spans="1:23" x14ac:dyDescent="0.25">
      <c r="A2253">
        <v>2252</v>
      </c>
      <c r="B2253">
        <v>26</v>
      </c>
      <c r="C2253" t="str" cm="1">
        <f t="array" ref="C2253">_xlfn.IFS(
  AND(B2253&gt;=18, B2253&lt;=24), "18-24",
  AND(B2253&gt;=25, B2253&lt;=34), "25-34",
  AND(B2253&gt;=35, B2253&lt;=44), "35-44",
  AND(B2253&gt;=45, B2253&lt;=54), "45-54",
  B2253&gt;=55, "55+"
)</f>
        <v>25-34</v>
      </c>
      <c r="D2253" t="s">
        <v>19</v>
      </c>
      <c r="E2253" t="s">
        <v>73</v>
      </c>
      <c r="F2253" t="s">
        <v>43</v>
      </c>
      <c r="G2253">
        <v>94</v>
      </c>
      <c r="H2253" t="s">
        <v>128</v>
      </c>
      <c r="I2253" t="s">
        <v>23</v>
      </c>
      <c r="J2253" t="s">
        <v>81</v>
      </c>
      <c r="K2253" t="s">
        <v>58</v>
      </c>
      <c r="L2253">
        <v>3.8</v>
      </c>
      <c r="M2253" t="s">
        <v>152</v>
      </c>
      <c r="N2253" t="s">
        <v>46</v>
      </c>
      <c r="O2253" t="s">
        <v>40</v>
      </c>
      <c r="P2253" t="s">
        <v>152</v>
      </c>
      <c r="Q2253" t="s">
        <v>152</v>
      </c>
      <c r="R2253">
        <v>22</v>
      </c>
      <c r="S2253" t="s">
        <v>59</v>
      </c>
      <c r="T2253" t="str">
        <f t="shared" si="70"/>
        <v>Month</v>
      </c>
      <c r="U2253">
        <f>VLOOKUP(T2253,[1]tablescore!$B$3:$C$8, 2,FALSE)</f>
        <v>12</v>
      </c>
      <c r="V2253" t="str">
        <f t="shared" si="71"/>
        <v>Moderate</v>
      </c>
      <c r="W2253" t="s">
        <v>88</v>
      </c>
    </row>
    <row r="2254" spans="1:23" x14ac:dyDescent="0.25">
      <c r="A2254">
        <v>2253</v>
      </c>
      <c r="B2254">
        <v>48</v>
      </c>
      <c r="C2254" t="str" cm="1">
        <f t="array" ref="C2254">_xlfn.IFS(
  AND(B2254&gt;=18, B2254&lt;=24), "18-24",
  AND(B2254&gt;=25, B2254&lt;=34), "25-34",
  AND(B2254&gt;=35, B2254&lt;=44), "35-44",
  AND(B2254&gt;=45, B2254&lt;=54), "45-54",
  B2254&gt;=55, "55+"
)</f>
        <v>45-54</v>
      </c>
      <c r="D2254" t="s">
        <v>19</v>
      </c>
      <c r="E2254" t="s">
        <v>73</v>
      </c>
      <c r="F2254" t="s">
        <v>43</v>
      </c>
      <c r="G2254">
        <v>96</v>
      </c>
      <c r="H2254" t="s">
        <v>143</v>
      </c>
      <c r="I2254" t="s">
        <v>38</v>
      </c>
      <c r="J2254" t="s">
        <v>33</v>
      </c>
      <c r="K2254" t="s">
        <v>54</v>
      </c>
      <c r="L2254">
        <v>3.9</v>
      </c>
      <c r="M2254" t="s">
        <v>152</v>
      </c>
      <c r="N2254" t="s">
        <v>29</v>
      </c>
      <c r="O2254" t="s">
        <v>28</v>
      </c>
      <c r="P2254" t="s">
        <v>152</v>
      </c>
      <c r="Q2254" t="s">
        <v>152</v>
      </c>
      <c r="R2254">
        <v>21</v>
      </c>
      <c r="S2254" t="s">
        <v>34</v>
      </c>
      <c r="T2254" t="str">
        <f t="shared" si="70"/>
        <v>Annually</v>
      </c>
      <c r="U2254">
        <f>VLOOKUP(T2254,[1]tablescore!$B$3:$C$8, 2,FALSE)</f>
        <v>1</v>
      </c>
      <c r="V2254" t="str">
        <f t="shared" si="71"/>
        <v>Low Loyalty</v>
      </c>
      <c r="W2254" t="s">
        <v>50</v>
      </c>
    </row>
    <row r="2255" spans="1:23" x14ac:dyDescent="0.25">
      <c r="A2255">
        <v>2254</v>
      </c>
      <c r="B2255">
        <v>62</v>
      </c>
      <c r="C2255" t="str" cm="1">
        <f t="array" ref="C2255">_xlfn.IFS(
  AND(B2255&gt;=18, B2255&lt;=24), "18-24",
  AND(B2255&gt;=25, B2255&lt;=34), "25-34",
  AND(B2255&gt;=35, B2255&lt;=44), "35-44",
  AND(B2255&gt;=45, B2255&lt;=54), "45-54",
  B2255&gt;=55, "55+"
)</f>
        <v>55+</v>
      </c>
      <c r="D2255" t="s">
        <v>19</v>
      </c>
      <c r="E2255" t="s">
        <v>104</v>
      </c>
      <c r="F2255" t="s">
        <v>21</v>
      </c>
      <c r="G2255">
        <v>31</v>
      </c>
      <c r="H2255" t="s">
        <v>101</v>
      </c>
      <c r="I2255" t="s">
        <v>45</v>
      </c>
      <c r="J2255" t="s">
        <v>110</v>
      </c>
      <c r="K2255" t="s">
        <v>39</v>
      </c>
      <c r="L2255">
        <v>2.6</v>
      </c>
      <c r="M2255" t="s">
        <v>152</v>
      </c>
      <c r="N2255" t="s">
        <v>27</v>
      </c>
      <c r="O2255" t="s">
        <v>76</v>
      </c>
      <c r="P2255" t="s">
        <v>152</v>
      </c>
      <c r="Q2255" t="s">
        <v>152</v>
      </c>
      <c r="R2255">
        <v>22</v>
      </c>
      <c r="S2255" t="s">
        <v>46</v>
      </c>
      <c r="T2255" t="str">
        <f t="shared" si="70"/>
        <v>Month</v>
      </c>
      <c r="U2255">
        <f>VLOOKUP(T2255,[1]tablescore!$B$3:$C$8, 2,FALSE)</f>
        <v>12</v>
      </c>
      <c r="V2255" t="str">
        <f t="shared" si="71"/>
        <v>Moderate</v>
      </c>
      <c r="W2255" t="s">
        <v>88</v>
      </c>
    </row>
    <row r="2256" spans="1:23" x14ac:dyDescent="0.25">
      <c r="A2256">
        <v>2255</v>
      </c>
      <c r="B2256">
        <v>24</v>
      </c>
      <c r="C2256" t="str" cm="1">
        <f t="array" ref="C2256">_xlfn.IFS(
  AND(B2256&gt;=18, B2256&lt;=24), "18-24",
  AND(B2256&gt;=25, B2256&lt;=34), "25-34",
  AND(B2256&gt;=35, B2256&lt;=44), "35-44",
  AND(B2256&gt;=45, B2256&lt;=54), "45-54",
  B2256&gt;=55, "55+"
)</f>
        <v>18-24</v>
      </c>
      <c r="D2256" t="s">
        <v>19</v>
      </c>
      <c r="E2256" t="s">
        <v>136</v>
      </c>
      <c r="F2256" t="s">
        <v>69</v>
      </c>
      <c r="G2256">
        <v>79</v>
      </c>
      <c r="H2256" t="s">
        <v>114</v>
      </c>
      <c r="I2256" t="s">
        <v>45</v>
      </c>
      <c r="J2256" t="s">
        <v>81</v>
      </c>
      <c r="K2256" t="s">
        <v>25</v>
      </c>
      <c r="L2256">
        <v>4.2</v>
      </c>
      <c r="M2256" t="s">
        <v>152</v>
      </c>
      <c r="N2256" t="s">
        <v>29</v>
      </c>
      <c r="O2256" t="s">
        <v>76</v>
      </c>
      <c r="P2256" t="s">
        <v>152</v>
      </c>
      <c r="Q2256" t="s">
        <v>152</v>
      </c>
      <c r="R2256">
        <v>44</v>
      </c>
      <c r="S2256" t="s">
        <v>46</v>
      </c>
      <c r="T2256" t="str">
        <f t="shared" si="70"/>
        <v>Quarterly</v>
      </c>
      <c r="U2256">
        <f>VLOOKUP(T2256,[1]tablescore!$B$3:$C$8, 2,FALSE)</f>
        <v>4</v>
      </c>
      <c r="V2256" t="str">
        <f t="shared" si="71"/>
        <v>Low Loyalty</v>
      </c>
      <c r="W2256" t="s">
        <v>97</v>
      </c>
    </row>
    <row r="2257" spans="1:23" x14ac:dyDescent="0.25">
      <c r="A2257">
        <v>2256</v>
      </c>
      <c r="B2257">
        <v>48</v>
      </c>
      <c r="C2257" t="str" cm="1">
        <f t="array" ref="C2257">_xlfn.IFS(
  AND(B2257&gt;=18, B2257&lt;=24), "18-24",
  AND(B2257&gt;=25, B2257&lt;=34), "25-34",
  AND(B2257&gt;=35, B2257&lt;=44), "35-44",
  AND(B2257&gt;=45, B2257&lt;=54), "45-54",
  B2257&gt;=55, "55+"
)</f>
        <v>45-54</v>
      </c>
      <c r="D2257" t="s">
        <v>19</v>
      </c>
      <c r="E2257" t="s">
        <v>64</v>
      </c>
      <c r="F2257" t="s">
        <v>65</v>
      </c>
      <c r="G2257">
        <v>39</v>
      </c>
      <c r="H2257" t="s">
        <v>151</v>
      </c>
      <c r="I2257" t="s">
        <v>23</v>
      </c>
      <c r="J2257" t="s">
        <v>86</v>
      </c>
      <c r="K2257" t="s">
        <v>39</v>
      </c>
      <c r="L2257">
        <v>4.5999999999999996</v>
      </c>
      <c r="M2257" t="s">
        <v>152</v>
      </c>
      <c r="N2257" t="s">
        <v>29</v>
      </c>
      <c r="O2257" t="s">
        <v>76</v>
      </c>
      <c r="P2257" t="s">
        <v>152</v>
      </c>
      <c r="Q2257" t="s">
        <v>152</v>
      </c>
      <c r="R2257">
        <v>42</v>
      </c>
      <c r="S2257" t="s">
        <v>34</v>
      </c>
      <c r="T2257" t="str">
        <f t="shared" si="70"/>
        <v>Quarterly</v>
      </c>
      <c r="U2257">
        <f>VLOOKUP(T2257,[1]tablescore!$B$3:$C$8, 2,FALSE)</f>
        <v>4</v>
      </c>
      <c r="V2257" t="str">
        <f t="shared" si="71"/>
        <v>Low Loyalty</v>
      </c>
      <c r="W2257" t="s">
        <v>60</v>
      </c>
    </row>
    <row r="2258" spans="1:23" x14ac:dyDescent="0.25">
      <c r="A2258">
        <v>2257</v>
      </c>
      <c r="B2258">
        <v>31</v>
      </c>
      <c r="C2258" t="str" cm="1">
        <f t="array" ref="C2258">_xlfn.IFS(
  AND(B2258&gt;=18, B2258&lt;=24), "18-24",
  AND(B2258&gt;=25, B2258&lt;=34), "25-34",
  AND(B2258&gt;=35, B2258&lt;=44), "35-44",
  AND(B2258&gt;=45, B2258&lt;=54), "45-54",
  B2258&gt;=55, "55+"
)</f>
        <v>25-34</v>
      </c>
      <c r="D2258" t="s">
        <v>19</v>
      </c>
      <c r="E2258" t="s">
        <v>20</v>
      </c>
      <c r="F2258" t="s">
        <v>21</v>
      </c>
      <c r="G2258">
        <v>22</v>
      </c>
      <c r="H2258" t="s">
        <v>99</v>
      </c>
      <c r="I2258" t="s">
        <v>45</v>
      </c>
      <c r="J2258" t="s">
        <v>49</v>
      </c>
      <c r="K2258" t="s">
        <v>58</v>
      </c>
      <c r="L2258">
        <v>5</v>
      </c>
      <c r="M2258" t="s">
        <v>152</v>
      </c>
      <c r="N2258" t="s">
        <v>59</v>
      </c>
      <c r="O2258" t="s">
        <v>55</v>
      </c>
      <c r="P2258" t="s">
        <v>152</v>
      </c>
      <c r="Q2258" t="s">
        <v>152</v>
      </c>
      <c r="R2258">
        <v>33</v>
      </c>
      <c r="S2258" t="s">
        <v>27</v>
      </c>
      <c r="T2258" t="str">
        <f t="shared" si="70"/>
        <v>Quarterly</v>
      </c>
      <c r="U2258">
        <f>VLOOKUP(T2258,[1]tablescore!$B$3:$C$8, 2,FALSE)</f>
        <v>4</v>
      </c>
      <c r="V2258" t="str">
        <f t="shared" si="71"/>
        <v>Low Loyalty</v>
      </c>
      <c r="W2258" t="s">
        <v>60</v>
      </c>
    </row>
    <row r="2259" spans="1:23" x14ac:dyDescent="0.25">
      <c r="A2259">
        <v>2258</v>
      </c>
      <c r="B2259">
        <v>41</v>
      </c>
      <c r="C2259" t="str" cm="1">
        <f t="array" ref="C2259">_xlfn.IFS(
  AND(B2259&gt;=18, B2259&lt;=24), "18-24",
  AND(B2259&gt;=25, B2259&lt;=34), "25-34",
  AND(B2259&gt;=35, B2259&lt;=44), "35-44",
  AND(B2259&gt;=45, B2259&lt;=54), "45-54",
  B2259&gt;=55, "55+"
)</f>
        <v>35-44</v>
      </c>
      <c r="D2259" t="s">
        <v>19</v>
      </c>
      <c r="E2259" t="s">
        <v>87</v>
      </c>
      <c r="F2259" t="s">
        <v>21</v>
      </c>
      <c r="G2259">
        <v>32</v>
      </c>
      <c r="H2259" t="s">
        <v>122</v>
      </c>
      <c r="I2259" t="s">
        <v>23</v>
      </c>
      <c r="J2259" t="s">
        <v>79</v>
      </c>
      <c r="K2259" t="s">
        <v>58</v>
      </c>
      <c r="L2259">
        <v>4.2</v>
      </c>
      <c r="M2259" t="s">
        <v>152</v>
      </c>
      <c r="N2259" t="s">
        <v>46</v>
      </c>
      <c r="O2259" t="s">
        <v>55</v>
      </c>
      <c r="P2259" t="s">
        <v>152</v>
      </c>
      <c r="Q2259" t="s">
        <v>152</v>
      </c>
      <c r="R2259">
        <v>6</v>
      </c>
      <c r="S2259" t="s">
        <v>34</v>
      </c>
      <c r="T2259" t="str">
        <f t="shared" si="70"/>
        <v>Annually</v>
      </c>
      <c r="U2259">
        <f>VLOOKUP(T2259,[1]tablescore!$B$3:$C$8, 2,FALSE)</f>
        <v>1</v>
      </c>
      <c r="V2259" t="str">
        <f t="shared" si="71"/>
        <v>Low Loyalty</v>
      </c>
      <c r="W2259" t="s">
        <v>50</v>
      </c>
    </row>
    <row r="2260" spans="1:23" x14ac:dyDescent="0.25">
      <c r="A2260">
        <v>2259</v>
      </c>
      <c r="B2260">
        <v>24</v>
      </c>
      <c r="C2260" t="str" cm="1">
        <f t="array" ref="C2260">_xlfn.IFS(
  AND(B2260&gt;=18, B2260&lt;=24), "18-24",
  AND(B2260&gt;=25, B2260&lt;=34), "25-34",
  AND(B2260&gt;=35, B2260&lt;=44), "35-44",
  AND(B2260&gt;=45, B2260&lt;=54), "45-54",
  B2260&gt;=55, "55+"
)</f>
        <v>18-24</v>
      </c>
      <c r="D2260" t="s">
        <v>19</v>
      </c>
      <c r="E2260" t="s">
        <v>113</v>
      </c>
      <c r="F2260" t="s">
        <v>21</v>
      </c>
      <c r="G2260">
        <v>71</v>
      </c>
      <c r="H2260" t="s">
        <v>124</v>
      </c>
      <c r="I2260" t="s">
        <v>23</v>
      </c>
      <c r="J2260" t="s">
        <v>109</v>
      </c>
      <c r="K2260" t="s">
        <v>25</v>
      </c>
      <c r="L2260">
        <v>4.3</v>
      </c>
      <c r="M2260" t="s">
        <v>152</v>
      </c>
      <c r="N2260" t="s">
        <v>34</v>
      </c>
      <c r="O2260" t="s">
        <v>76</v>
      </c>
      <c r="P2260" t="s">
        <v>152</v>
      </c>
      <c r="Q2260" t="s">
        <v>152</v>
      </c>
      <c r="R2260">
        <v>44</v>
      </c>
      <c r="S2260" t="s">
        <v>27</v>
      </c>
      <c r="T2260" t="str">
        <f t="shared" si="70"/>
        <v>Quarterly</v>
      </c>
      <c r="U2260">
        <f>VLOOKUP(T2260,[1]tablescore!$B$3:$C$8, 2,FALSE)</f>
        <v>4</v>
      </c>
      <c r="V2260" t="str">
        <f t="shared" si="71"/>
        <v>Low Loyalty</v>
      </c>
      <c r="W2260" t="s">
        <v>97</v>
      </c>
    </row>
    <row r="2261" spans="1:23" x14ac:dyDescent="0.25">
      <c r="A2261">
        <v>2260</v>
      </c>
      <c r="B2261">
        <v>60</v>
      </c>
      <c r="C2261" t="str" cm="1">
        <f t="array" ref="C2261">_xlfn.IFS(
  AND(B2261&gt;=18, B2261&lt;=24), "18-24",
  AND(B2261&gt;=25, B2261&lt;=34), "25-34",
  AND(B2261&gt;=35, B2261&lt;=44), "35-44",
  AND(B2261&gt;=45, B2261&lt;=54), "45-54",
  B2261&gt;=55, "55+"
)</f>
        <v>55+</v>
      </c>
      <c r="D2261" t="s">
        <v>19</v>
      </c>
      <c r="E2261" t="s">
        <v>36</v>
      </c>
      <c r="F2261" t="s">
        <v>21</v>
      </c>
      <c r="G2261">
        <v>96</v>
      </c>
      <c r="H2261" t="s">
        <v>103</v>
      </c>
      <c r="I2261" t="s">
        <v>92</v>
      </c>
      <c r="J2261" t="s">
        <v>118</v>
      </c>
      <c r="K2261" t="s">
        <v>39</v>
      </c>
      <c r="L2261">
        <v>3.3</v>
      </c>
      <c r="M2261" t="s">
        <v>152</v>
      </c>
      <c r="N2261" t="s">
        <v>29</v>
      </c>
      <c r="O2261" t="s">
        <v>40</v>
      </c>
      <c r="P2261" t="s">
        <v>152</v>
      </c>
      <c r="Q2261" t="s">
        <v>152</v>
      </c>
      <c r="R2261">
        <v>24</v>
      </c>
      <c r="S2261" t="s">
        <v>35</v>
      </c>
      <c r="T2261" t="str">
        <f t="shared" si="70"/>
        <v>Annually</v>
      </c>
      <c r="U2261">
        <f>VLOOKUP(T2261,[1]tablescore!$B$3:$C$8, 2,FALSE)</f>
        <v>1</v>
      </c>
      <c r="V2261" t="str">
        <f t="shared" si="71"/>
        <v>Low Loyalty</v>
      </c>
      <c r="W2261" t="s">
        <v>50</v>
      </c>
    </row>
    <row r="2262" spans="1:23" x14ac:dyDescent="0.25">
      <c r="A2262">
        <v>2261</v>
      </c>
      <c r="B2262">
        <v>38</v>
      </c>
      <c r="C2262" t="str" cm="1">
        <f t="array" ref="C2262">_xlfn.IFS(
  AND(B2262&gt;=18, B2262&lt;=24), "18-24",
  AND(B2262&gt;=25, B2262&lt;=34), "25-34",
  AND(B2262&gt;=35, B2262&lt;=44), "35-44",
  AND(B2262&gt;=45, B2262&lt;=54), "45-54",
  B2262&gt;=55, "55+"
)</f>
        <v>35-44</v>
      </c>
      <c r="D2262" t="s">
        <v>19</v>
      </c>
      <c r="E2262" t="s">
        <v>119</v>
      </c>
      <c r="F2262" t="s">
        <v>69</v>
      </c>
      <c r="G2262">
        <v>82</v>
      </c>
      <c r="H2262" t="s">
        <v>70</v>
      </c>
      <c r="I2262" t="s">
        <v>45</v>
      </c>
      <c r="J2262" t="s">
        <v>138</v>
      </c>
      <c r="K2262" t="s">
        <v>58</v>
      </c>
      <c r="L2262">
        <v>4.9000000000000004</v>
      </c>
      <c r="M2262" t="s">
        <v>152</v>
      </c>
      <c r="N2262" t="s">
        <v>29</v>
      </c>
      <c r="O2262" t="s">
        <v>28</v>
      </c>
      <c r="P2262" t="s">
        <v>152</v>
      </c>
      <c r="Q2262" t="s">
        <v>152</v>
      </c>
      <c r="R2262">
        <v>16</v>
      </c>
      <c r="S2262" t="s">
        <v>46</v>
      </c>
      <c r="T2262" t="str">
        <f t="shared" si="70"/>
        <v>Quarterly</v>
      </c>
      <c r="U2262">
        <f>VLOOKUP(T2262,[1]tablescore!$B$3:$C$8, 2,FALSE)</f>
        <v>4</v>
      </c>
      <c r="V2262" t="str">
        <f t="shared" si="71"/>
        <v>Low Loyalty</v>
      </c>
      <c r="W2262" t="s">
        <v>60</v>
      </c>
    </row>
    <row r="2263" spans="1:23" x14ac:dyDescent="0.25">
      <c r="A2263">
        <v>2262</v>
      </c>
      <c r="B2263">
        <v>58</v>
      </c>
      <c r="C2263" t="str" cm="1">
        <f t="array" ref="C2263">_xlfn.IFS(
  AND(B2263&gt;=18, B2263&lt;=24), "18-24",
  AND(B2263&gt;=25, B2263&lt;=34), "25-34",
  AND(B2263&gt;=35, B2263&lt;=44), "35-44",
  AND(B2263&gt;=45, B2263&lt;=54), "45-54",
  B2263&gt;=55, "55+"
)</f>
        <v>55+</v>
      </c>
      <c r="D2263" t="s">
        <v>19</v>
      </c>
      <c r="E2263" t="s">
        <v>133</v>
      </c>
      <c r="F2263" t="s">
        <v>69</v>
      </c>
      <c r="G2263">
        <v>76</v>
      </c>
      <c r="H2263" t="s">
        <v>126</v>
      </c>
      <c r="I2263" t="s">
        <v>23</v>
      </c>
      <c r="J2263" t="s">
        <v>81</v>
      </c>
      <c r="K2263" t="s">
        <v>39</v>
      </c>
      <c r="L2263">
        <v>4.4000000000000004</v>
      </c>
      <c r="M2263" t="s">
        <v>152</v>
      </c>
      <c r="N2263" t="s">
        <v>35</v>
      </c>
      <c r="O2263" t="s">
        <v>55</v>
      </c>
      <c r="P2263" t="s">
        <v>152</v>
      </c>
      <c r="Q2263" t="s">
        <v>152</v>
      </c>
      <c r="R2263">
        <v>12</v>
      </c>
      <c r="S2263" t="s">
        <v>34</v>
      </c>
      <c r="T2263" t="str">
        <f t="shared" si="70"/>
        <v>2-week</v>
      </c>
      <c r="U2263">
        <f>VLOOKUP(T2263,[1]tablescore!$B$3:$C$8, 2,FALSE)</f>
        <v>26</v>
      </c>
      <c r="V2263" t="str">
        <f t="shared" si="71"/>
        <v>Loyal</v>
      </c>
      <c r="W2263" t="s">
        <v>30</v>
      </c>
    </row>
    <row r="2264" spans="1:23" x14ac:dyDescent="0.25">
      <c r="A2264">
        <v>2263</v>
      </c>
      <c r="B2264">
        <v>53</v>
      </c>
      <c r="C2264" t="str" cm="1">
        <f t="array" ref="C2264">_xlfn.IFS(
  AND(B2264&gt;=18, B2264&lt;=24), "18-24",
  AND(B2264&gt;=25, B2264&lt;=34), "25-34",
  AND(B2264&gt;=35, B2264&lt;=44), "35-44",
  AND(B2264&gt;=45, B2264&lt;=54), "45-54",
  B2264&gt;=55, "55+"
)</f>
        <v>45-54</v>
      </c>
      <c r="D2264" t="s">
        <v>19</v>
      </c>
      <c r="E2264" t="s">
        <v>133</v>
      </c>
      <c r="F2264" t="s">
        <v>69</v>
      </c>
      <c r="G2264">
        <v>22</v>
      </c>
      <c r="H2264" t="s">
        <v>117</v>
      </c>
      <c r="I2264" t="s">
        <v>45</v>
      </c>
      <c r="J2264" t="s">
        <v>96</v>
      </c>
      <c r="K2264" t="s">
        <v>25</v>
      </c>
      <c r="L2264">
        <v>3.1</v>
      </c>
      <c r="M2264" t="s">
        <v>152</v>
      </c>
      <c r="N2264" t="s">
        <v>29</v>
      </c>
      <c r="O2264" t="s">
        <v>72</v>
      </c>
      <c r="P2264" t="s">
        <v>152</v>
      </c>
      <c r="Q2264" t="s">
        <v>152</v>
      </c>
      <c r="R2264">
        <v>50</v>
      </c>
      <c r="S2264" t="s">
        <v>46</v>
      </c>
      <c r="T2264" t="str">
        <f t="shared" si="70"/>
        <v>Month</v>
      </c>
      <c r="U2264">
        <f>VLOOKUP(T2264,[1]tablescore!$B$3:$C$8, 2,FALSE)</f>
        <v>12</v>
      </c>
      <c r="V2264" t="str">
        <f t="shared" si="71"/>
        <v>Moderate</v>
      </c>
      <c r="W2264" t="s">
        <v>88</v>
      </c>
    </row>
    <row r="2265" spans="1:23" x14ac:dyDescent="0.25">
      <c r="A2265">
        <v>2264</v>
      </c>
      <c r="B2265">
        <v>44</v>
      </c>
      <c r="C2265" t="str" cm="1">
        <f t="array" ref="C2265">_xlfn.IFS(
  AND(B2265&gt;=18, B2265&lt;=24), "18-24",
  AND(B2265&gt;=25, B2265&lt;=34), "25-34",
  AND(B2265&gt;=35, B2265&lt;=44), "35-44",
  AND(B2265&gt;=45, B2265&lt;=54), "45-54",
  B2265&gt;=55, "55+"
)</f>
        <v>35-44</v>
      </c>
      <c r="D2265" t="s">
        <v>19</v>
      </c>
      <c r="E2265" t="s">
        <v>119</v>
      </c>
      <c r="F2265" t="s">
        <v>69</v>
      </c>
      <c r="G2265">
        <v>40</v>
      </c>
      <c r="H2265" t="s">
        <v>116</v>
      </c>
      <c r="I2265" t="s">
        <v>92</v>
      </c>
      <c r="J2265" t="s">
        <v>96</v>
      </c>
      <c r="K2265" t="s">
        <v>25</v>
      </c>
      <c r="L2265">
        <v>3.5</v>
      </c>
      <c r="M2265" t="s">
        <v>152</v>
      </c>
      <c r="N2265" t="s">
        <v>46</v>
      </c>
      <c r="O2265" t="s">
        <v>76</v>
      </c>
      <c r="P2265" t="s">
        <v>152</v>
      </c>
      <c r="Q2265" t="s">
        <v>152</v>
      </c>
      <c r="R2265">
        <v>42</v>
      </c>
      <c r="S2265" t="s">
        <v>35</v>
      </c>
      <c r="T2265" t="str">
        <f t="shared" si="70"/>
        <v>Quarterly</v>
      </c>
      <c r="U2265">
        <f>VLOOKUP(T2265,[1]tablescore!$B$3:$C$8, 2,FALSE)</f>
        <v>4</v>
      </c>
      <c r="V2265" t="str">
        <f t="shared" si="71"/>
        <v>Low Loyalty</v>
      </c>
      <c r="W2265" t="s">
        <v>60</v>
      </c>
    </row>
    <row r="2266" spans="1:23" x14ac:dyDescent="0.25">
      <c r="A2266">
        <v>2265</v>
      </c>
      <c r="B2266">
        <v>51</v>
      </c>
      <c r="C2266" t="str" cm="1">
        <f t="array" ref="C2266">_xlfn.IFS(
  AND(B2266&gt;=18, B2266&lt;=24), "18-24",
  AND(B2266&gt;=25, B2266&lt;=34), "25-34",
  AND(B2266&gt;=35, B2266&lt;=44), "35-44",
  AND(B2266&gt;=45, B2266&lt;=54), "45-54",
  B2266&gt;=55, "55+"
)</f>
        <v>45-54</v>
      </c>
      <c r="D2266" t="s">
        <v>19</v>
      </c>
      <c r="E2266" t="s">
        <v>125</v>
      </c>
      <c r="F2266" t="s">
        <v>69</v>
      </c>
      <c r="G2266">
        <v>92</v>
      </c>
      <c r="H2266" t="s">
        <v>114</v>
      </c>
      <c r="I2266" t="s">
        <v>45</v>
      </c>
      <c r="J2266" t="s">
        <v>49</v>
      </c>
      <c r="K2266" t="s">
        <v>54</v>
      </c>
      <c r="L2266">
        <v>3.9</v>
      </c>
      <c r="M2266" t="s">
        <v>152</v>
      </c>
      <c r="N2266" t="s">
        <v>34</v>
      </c>
      <c r="O2266" t="s">
        <v>72</v>
      </c>
      <c r="P2266" t="s">
        <v>152</v>
      </c>
      <c r="Q2266" t="s">
        <v>152</v>
      </c>
      <c r="R2266">
        <v>50</v>
      </c>
      <c r="S2266" t="s">
        <v>46</v>
      </c>
      <c r="T2266" t="str">
        <f t="shared" si="70"/>
        <v>Month</v>
      </c>
      <c r="U2266">
        <f>VLOOKUP(T2266,[1]tablescore!$B$3:$C$8, 2,FALSE)</f>
        <v>12</v>
      </c>
      <c r="V2266" t="str">
        <f t="shared" si="71"/>
        <v>Moderate</v>
      </c>
      <c r="W2266" t="s">
        <v>88</v>
      </c>
    </row>
    <row r="2267" spans="1:23" x14ac:dyDescent="0.25">
      <c r="A2267">
        <v>2266</v>
      </c>
      <c r="B2267">
        <v>36</v>
      </c>
      <c r="C2267" t="str" cm="1">
        <f t="array" ref="C2267">_xlfn.IFS(
  AND(B2267&gt;=18, B2267&lt;=24), "18-24",
  AND(B2267&gt;=25, B2267&lt;=34), "25-34",
  AND(B2267&gt;=35, B2267&lt;=44), "35-44",
  AND(B2267&gt;=45, B2267&lt;=54), "45-54",
  B2267&gt;=55, "55+"
)</f>
        <v>35-44</v>
      </c>
      <c r="D2267" t="s">
        <v>19</v>
      </c>
      <c r="E2267" t="s">
        <v>64</v>
      </c>
      <c r="F2267" t="s">
        <v>65</v>
      </c>
      <c r="G2267">
        <v>94</v>
      </c>
      <c r="H2267" t="s">
        <v>57</v>
      </c>
      <c r="I2267" t="s">
        <v>92</v>
      </c>
      <c r="J2267" t="s">
        <v>139</v>
      </c>
      <c r="K2267" t="s">
        <v>58</v>
      </c>
      <c r="L2267">
        <v>3.9</v>
      </c>
      <c r="M2267" t="s">
        <v>152</v>
      </c>
      <c r="N2267" t="s">
        <v>34</v>
      </c>
      <c r="O2267" t="s">
        <v>76</v>
      </c>
      <c r="P2267" t="s">
        <v>152</v>
      </c>
      <c r="Q2267" t="s">
        <v>152</v>
      </c>
      <c r="R2267">
        <v>10</v>
      </c>
      <c r="S2267" t="s">
        <v>46</v>
      </c>
      <c r="T2267" t="str">
        <f t="shared" si="70"/>
        <v>Quarterly</v>
      </c>
      <c r="U2267">
        <f>VLOOKUP(T2267,[1]tablescore!$B$3:$C$8, 2,FALSE)</f>
        <v>4</v>
      </c>
      <c r="V2267" t="str">
        <f t="shared" si="71"/>
        <v>Low Loyalty</v>
      </c>
      <c r="W2267" t="s">
        <v>60</v>
      </c>
    </row>
    <row r="2268" spans="1:23" x14ac:dyDescent="0.25">
      <c r="A2268">
        <v>2267</v>
      </c>
      <c r="B2268">
        <v>20</v>
      </c>
      <c r="C2268" t="str" cm="1">
        <f t="array" ref="C2268">_xlfn.IFS(
  AND(B2268&gt;=18, B2268&lt;=24), "18-24",
  AND(B2268&gt;=25, B2268&lt;=34), "25-34",
  AND(B2268&gt;=35, B2268&lt;=44), "35-44",
  AND(B2268&gt;=45, B2268&lt;=54), "45-54",
  B2268&gt;=55, "55+"
)</f>
        <v>18-24</v>
      </c>
      <c r="D2268" t="s">
        <v>19</v>
      </c>
      <c r="E2268" t="s">
        <v>82</v>
      </c>
      <c r="F2268" t="s">
        <v>21</v>
      </c>
      <c r="G2268">
        <v>44</v>
      </c>
      <c r="H2268" t="s">
        <v>70</v>
      </c>
      <c r="I2268" t="s">
        <v>45</v>
      </c>
      <c r="J2268" t="s">
        <v>139</v>
      </c>
      <c r="K2268" t="s">
        <v>58</v>
      </c>
      <c r="L2268">
        <v>4.3</v>
      </c>
      <c r="M2268" t="s">
        <v>152</v>
      </c>
      <c r="N2268" t="s">
        <v>34</v>
      </c>
      <c r="O2268" t="s">
        <v>76</v>
      </c>
      <c r="P2268" t="s">
        <v>152</v>
      </c>
      <c r="Q2268" t="s">
        <v>152</v>
      </c>
      <c r="R2268">
        <v>32</v>
      </c>
      <c r="S2268" t="s">
        <v>59</v>
      </c>
      <c r="T2268" t="str">
        <f t="shared" si="70"/>
        <v>Daily</v>
      </c>
      <c r="U2268">
        <f>VLOOKUP(T2268,[1]tablescore!$B$3:$C$8, 2,FALSE)</f>
        <v>30</v>
      </c>
      <c r="V2268" t="str">
        <f t="shared" si="71"/>
        <v>Highly Loyal</v>
      </c>
      <c r="W2268" t="s">
        <v>41</v>
      </c>
    </row>
    <row r="2269" spans="1:23" x14ac:dyDescent="0.25">
      <c r="A2269">
        <v>2268</v>
      </c>
      <c r="B2269">
        <v>32</v>
      </c>
      <c r="C2269" t="str" cm="1">
        <f t="array" ref="C2269">_xlfn.IFS(
  AND(B2269&gt;=18, B2269&lt;=24), "18-24",
  AND(B2269&gt;=25, B2269&lt;=34), "25-34",
  AND(B2269&gt;=35, B2269&lt;=44), "35-44",
  AND(B2269&gt;=45, B2269&lt;=54), "45-54",
  B2269&gt;=55, "55+"
)</f>
        <v>25-34</v>
      </c>
      <c r="D2269" t="s">
        <v>19</v>
      </c>
      <c r="E2269" t="s">
        <v>127</v>
      </c>
      <c r="F2269" t="s">
        <v>69</v>
      </c>
      <c r="G2269">
        <v>49</v>
      </c>
      <c r="H2269" t="s">
        <v>22</v>
      </c>
      <c r="I2269" t="s">
        <v>38</v>
      </c>
      <c r="J2269" t="s">
        <v>138</v>
      </c>
      <c r="K2269" t="s">
        <v>39</v>
      </c>
      <c r="L2269">
        <v>3.8</v>
      </c>
      <c r="M2269" t="s">
        <v>152</v>
      </c>
      <c r="N2269" t="s">
        <v>29</v>
      </c>
      <c r="O2269" t="s">
        <v>28</v>
      </c>
      <c r="P2269" t="s">
        <v>152</v>
      </c>
      <c r="Q2269" t="s">
        <v>152</v>
      </c>
      <c r="R2269">
        <v>37</v>
      </c>
      <c r="S2269" t="s">
        <v>29</v>
      </c>
      <c r="T2269" t="str">
        <f t="shared" si="70"/>
        <v>Daily</v>
      </c>
      <c r="U2269">
        <f>VLOOKUP(T2269,[1]tablescore!$B$3:$C$8, 2,FALSE)</f>
        <v>30</v>
      </c>
      <c r="V2269" t="str">
        <f t="shared" si="71"/>
        <v>Highly Loyal</v>
      </c>
      <c r="W2269" t="s">
        <v>41</v>
      </c>
    </row>
    <row r="2270" spans="1:23" x14ac:dyDescent="0.25">
      <c r="A2270">
        <v>2269</v>
      </c>
      <c r="B2270">
        <v>66</v>
      </c>
      <c r="C2270" t="str" cm="1">
        <f t="array" ref="C2270">_xlfn.IFS(
  AND(B2270&gt;=18, B2270&lt;=24), "18-24",
  AND(B2270&gt;=25, B2270&lt;=34), "25-34",
  AND(B2270&gt;=35, B2270&lt;=44), "35-44",
  AND(B2270&gt;=45, B2270&lt;=54), "45-54",
  B2270&gt;=55, "55+"
)</f>
        <v>55+</v>
      </c>
      <c r="D2270" t="s">
        <v>19</v>
      </c>
      <c r="E2270" t="s">
        <v>31</v>
      </c>
      <c r="F2270" t="s">
        <v>21</v>
      </c>
      <c r="G2270">
        <v>26</v>
      </c>
      <c r="H2270" t="s">
        <v>142</v>
      </c>
      <c r="I2270" t="s">
        <v>23</v>
      </c>
      <c r="J2270" t="s">
        <v>63</v>
      </c>
      <c r="K2270" t="s">
        <v>39</v>
      </c>
      <c r="L2270">
        <v>2.7</v>
      </c>
      <c r="M2270" t="s">
        <v>152</v>
      </c>
      <c r="N2270" t="s">
        <v>27</v>
      </c>
      <c r="O2270" t="s">
        <v>72</v>
      </c>
      <c r="P2270" t="s">
        <v>152</v>
      </c>
      <c r="Q2270" t="s">
        <v>152</v>
      </c>
      <c r="R2270">
        <v>15</v>
      </c>
      <c r="S2270" t="s">
        <v>34</v>
      </c>
      <c r="T2270" t="str">
        <f t="shared" si="70"/>
        <v>Month</v>
      </c>
      <c r="U2270">
        <f>VLOOKUP(T2270,[1]tablescore!$B$3:$C$8, 2,FALSE)</f>
        <v>12</v>
      </c>
      <c r="V2270" t="str">
        <f t="shared" si="71"/>
        <v>Moderate</v>
      </c>
      <c r="W2270" t="s">
        <v>88</v>
      </c>
    </row>
    <row r="2271" spans="1:23" x14ac:dyDescent="0.25">
      <c r="A2271">
        <v>2270</v>
      </c>
      <c r="B2271">
        <v>49</v>
      </c>
      <c r="C2271" t="str" cm="1">
        <f t="array" ref="C2271">_xlfn.IFS(
  AND(B2271&gt;=18, B2271&lt;=24), "18-24",
  AND(B2271&gt;=25, B2271&lt;=34), "25-34",
  AND(B2271&gt;=35, B2271&lt;=44), "35-44",
  AND(B2271&gt;=45, B2271&lt;=54), "45-54",
  B2271&gt;=55, "55+"
)</f>
        <v>45-54</v>
      </c>
      <c r="D2271" t="s">
        <v>19</v>
      </c>
      <c r="E2271" t="s">
        <v>87</v>
      </c>
      <c r="F2271" t="s">
        <v>21</v>
      </c>
      <c r="G2271">
        <v>38</v>
      </c>
      <c r="H2271" t="s">
        <v>22</v>
      </c>
      <c r="I2271" t="s">
        <v>45</v>
      </c>
      <c r="J2271" t="s">
        <v>139</v>
      </c>
      <c r="K2271" t="s">
        <v>58</v>
      </c>
      <c r="L2271">
        <v>4.4000000000000004</v>
      </c>
      <c r="M2271" t="s">
        <v>152</v>
      </c>
      <c r="N2271" t="s">
        <v>27</v>
      </c>
      <c r="O2271" t="s">
        <v>76</v>
      </c>
      <c r="P2271" t="s">
        <v>152</v>
      </c>
      <c r="Q2271" t="s">
        <v>152</v>
      </c>
      <c r="R2271">
        <v>27</v>
      </c>
      <c r="S2271" t="s">
        <v>27</v>
      </c>
      <c r="T2271" t="str">
        <f t="shared" si="70"/>
        <v>Annually</v>
      </c>
      <c r="U2271">
        <f>VLOOKUP(T2271,[1]tablescore!$B$3:$C$8, 2,FALSE)</f>
        <v>1</v>
      </c>
      <c r="V2271" t="str">
        <f t="shared" si="71"/>
        <v>Low Loyalty</v>
      </c>
      <c r="W2271" t="s">
        <v>50</v>
      </c>
    </row>
    <row r="2272" spans="1:23" x14ac:dyDescent="0.25">
      <c r="A2272">
        <v>2271</v>
      </c>
      <c r="B2272">
        <v>27</v>
      </c>
      <c r="C2272" t="str" cm="1">
        <f t="array" ref="C2272">_xlfn.IFS(
  AND(B2272&gt;=18, B2272&lt;=24), "18-24",
  AND(B2272&gt;=25, B2272&lt;=34), "25-34",
  AND(B2272&gt;=35, B2272&lt;=44), "35-44",
  AND(B2272&gt;=45, B2272&lt;=54), "45-54",
  B2272&gt;=55, "55+"
)</f>
        <v>25-34</v>
      </c>
      <c r="D2272" t="s">
        <v>19</v>
      </c>
      <c r="E2272" t="s">
        <v>20</v>
      </c>
      <c r="F2272" t="s">
        <v>21</v>
      </c>
      <c r="G2272">
        <v>72</v>
      </c>
      <c r="H2272" t="s">
        <v>142</v>
      </c>
      <c r="I2272" t="s">
        <v>23</v>
      </c>
      <c r="J2272" t="s">
        <v>75</v>
      </c>
      <c r="K2272" t="s">
        <v>39</v>
      </c>
      <c r="L2272">
        <v>3.5</v>
      </c>
      <c r="M2272" t="s">
        <v>152</v>
      </c>
      <c r="N2272" t="s">
        <v>59</v>
      </c>
      <c r="O2272" t="s">
        <v>28</v>
      </c>
      <c r="P2272" t="s">
        <v>152</v>
      </c>
      <c r="Q2272" t="s">
        <v>152</v>
      </c>
      <c r="R2272">
        <v>7</v>
      </c>
      <c r="S2272" t="s">
        <v>29</v>
      </c>
      <c r="T2272" t="str">
        <f t="shared" si="70"/>
        <v>Daily</v>
      </c>
      <c r="U2272">
        <f>VLOOKUP(T2272,[1]tablescore!$B$3:$C$8, 2,FALSE)</f>
        <v>30</v>
      </c>
      <c r="V2272" t="str">
        <f t="shared" si="71"/>
        <v>Highly Loyal</v>
      </c>
      <c r="W2272" t="s">
        <v>41</v>
      </c>
    </row>
    <row r="2273" spans="1:23" x14ac:dyDescent="0.25">
      <c r="A2273">
        <v>2272</v>
      </c>
      <c r="B2273">
        <v>29</v>
      </c>
      <c r="C2273" t="str" cm="1">
        <f t="array" ref="C2273">_xlfn.IFS(
  AND(B2273&gt;=18, B2273&lt;=24), "18-24",
  AND(B2273&gt;=25, B2273&lt;=34), "25-34",
  AND(B2273&gt;=35, B2273&lt;=44), "35-44",
  AND(B2273&gt;=45, B2273&lt;=54), "45-54",
  B2273&gt;=55, "55+"
)</f>
        <v>25-34</v>
      </c>
      <c r="D2273" t="s">
        <v>19</v>
      </c>
      <c r="E2273" t="s">
        <v>82</v>
      </c>
      <c r="F2273" t="s">
        <v>21</v>
      </c>
      <c r="G2273">
        <v>99</v>
      </c>
      <c r="H2273" t="s">
        <v>120</v>
      </c>
      <c r="I2273" t="s">
        <v>45</v>
      </c>
      <c r="J2273" t="s">
        <v>96</v>
      </c>
      <c r="K2273" t="s">
        <v>54</v>
      </c>
      <c r="L2273">
        <v>3.4</v>
      </c>
      <c r="M2273" t="s">
        <v>152</v>
      </c>
      <c r="N2273" t="s">
        <v>35</v>
      </c>
      <c r="O2273" t="s">
        <v>40</v>
      </c>
      <c r="P2273" t="s">
        <v>152</v>
      </c>
      <c r="Q2273" t="s">
        <v>152</v>
      </c>
      <c r="R2273">
        <v>49</v>
      </c>
      <c r="S2273" t="s">
        <v>46</v>
      </c>
      <c r="T2273" t="str">
        <f t="shared" si="70"/>
        <v>Quarterly</v>
      </c>
      <c r="U2273">
        <f>VLOOKUP(T2273,[1]tablescore!$B$3:$C$8, 2,FALSE)</f>
        <v>4</v>
      </c>
      <c r="V2273" t="str">
        <f t="shared" si="71"/>
        <v>Low Loyalty</v>
      </c>
      <c r="W2273" t="s">
        <v>60</v>
      </c>
    </row>
    <row r="2274" spans="1:23" x14ac:dyDescent="0.25">
      <c r="A2274">
        <v>2273</v>
      </c>
      <c r="B2274">
        <v>29</v>
      </c>
      <c r="C2274" t="str" cm="1">
        <f t="array" ref="C2274">_xlfn.IFS(
  AND(B2274&gt;=18, B2274&lt;=24), "18-24",
  AND(B2274&gt;=25, B2274&lt;=34), "25-34",
  AND(B2274&gt;=35, B2274&lt;=44), "35-44",
  AND(B2274&gt;=45, B2274&lt;=54), "45-54",
  B2274&gt;=55, "55+"
)</f>
        <v>25-34</v>
      </c>
      <c r="D2274" t="s">
        <v>19</v>
      </c>
      <c r="E2274" t="s">
        <v>102</v>
      </c>
      <c r="F2274" t="s">
        <v>65</v>
      </c>
      <c r="G2274">
        <v>38</v>
      </c>
      <c r="H2274" t="s">
        <v>32</v>
      </c>
      <c r="I2274" t="s">
        <v>23</v>
      </c>
      <c r="J2274" t="s">
        <v>63</v>
      </c>
      <c r="K2274" t="s">
        <v>39</v>
      </c>
      <c r="L2274">
        <v>4</v>
      </c>
      <c r="M2274" t="s">
        <v>152</v>
      </c>
      <c r="N2274" t="s">
        <v>29</v>
      </c>
      <c r="O2274" t="s">
        <v>55</v>
      </c>
      <c r="P2274" t="s">
        <v>152</v>
      </c>
      <c r="Q2274" t="s">
        <v>152</v>
      </c>
      <c r="R2274">
        <v>44</v>
      </c>
      <c r="S2274" t="s">
        <v>46</v>
      </c>
      <c r="T2274" t="str">
        <f t="shared" si="70"/>
        <v>Month</v>
      </c>
      <c r="U2274">
        <f>VLOOKUP(T2274,[1]tablescore!$B$3:$C$8, 2,FALSE)</f>
        <v>12</v>
      </c>
      <c r="V2274" t="str">
        <f t="shared" si="71"/>
        <v>Moderate</v>
      </c>
      <c r="W2274" t="s">
        <v>88</v>
      </c>
    </row>
    <row r="2275" spans="1:23" x14ac:dyDescent="0.25">
      <c r="A2275">
        <v>2274</v>
      </c>
      <c r="B2275">
        <v>55</v>
      </c>
      <c r="C2275" t="str" cm="1">
        <f t="array" ref="C2275">_xlfn.IFS(
  AND(B2275&gt;=18, B2275&lt;=24), "18-24",
  AND(B2275&gt;=25, B2275&lt;=34), "25-34",
  AND(B2275&gt;=35, B2275&lt;=44), "35-44",
  AND(B2275&gt;=45, B2275&lt;=54), "45-54",
  B2275&gt;=55, "55+"
)</f>
        <v>55+</v>
      </c>
      <c r="D2275" t="s">
        <v>19</v>
      </c>
      <c r="E2275" t="s">
        <v>64</v>
      </c>
      <c r="F2275" t="s">
        <v>65</v>
      </c>
      <c r="G2275">
        <v>96</v>
      </c>
      <c r="H2275" t="s">
        <v>123</v>
      </c>
      <c r="I2275" t="s">
        <v>23</v>
      </c>
      <c r="J2275" t="s">
        <v>67</v>
      </c>
      <c r="K2275" t="s">
        <v>25</v>
      </c>
      <c r="L2275">
        <v>4.8</v>
      </c>
      <c r="M2275" t="s">
        <v>152</v>
      </c>
      <c r="N2275" t="s">
        <v>27</v>
      </c>
      <c r="O2275" t="s">
        <v>28</v>
      </c>
      <c r="P2275" t="s">
        <v>152</v>
      </c>
      <c r="Q2275" t="s">
        <v>152</v>
      </c>
      <c r="R2275">
        <v>13</v>
      </c>
      <c r="S2275" t="s">
        <v>46</v>
      </c>
      <c r="T2275" t="str">
        <f t="shared" si="70"/>
        <v>2-week</v>
      </c>
      <c r="U2275">
        <f>VLOOKUP(T2275,[1]tablescore!$B$3:$C$8, 2,FALSE)</f>
        <v>26</v>
      </c>
      <c r="V2275" t="str">
        <f t="shared" si="71"/>
        <v>Loyal</v>
      </c>
      <c r="W2275" t="s">
        <v>77</v>
      </c>
    </row>
    <row r="2276" spans="1:23" x14ac:dyDescent="0.25">
      <c r="A2276">
        <v>2275</v>
      </c>
      <c r="B2276">
        <v>57</v>
      </c>
      <c r="C2276" t="str" cm="1">
        <f t="array" ref="C2276">_xlfn.IFS(
  AND(B2276&gt;=18, B2276&lt;=24), "18-24",
  AND(B2276&gt;=25, B2276&lt;=34), "25-34",
  AND(B2276&gt;=35, B2276&lt;=44), "35-44",
  AND(B2276&gt;=45, B2276&lt;=54), "45-54",
  B2276&gt;=55, "55+"
)</f>
        <v>55+</v>
      </c>
      <c r="D2276" t="s">
        <v>19</v>
      </c>
      <c r="E2276" t="s">
        <v>82</v>
      </c>
      <c r="F2276" t="s">
        <v>21</v>
      </c>
      <c r="G2276">
        <v>27</v>
      </c>
      <c r="H2276" t="s">
        <v>85</v>
      </c>
      <c r="I2276" t="s">
        <v>23</v>
      </c>
      <c r="J2276" t="s">
        <v>49</v>
      </c>
      <c r="K2276" t="s">
        <v>39</v>
      </c>
      <c r="L2276">
        <v>4.5</v>
      </c>
      <c r="M2276" t="s">
        <v>152</v>
      </c>
      <c r="N2276" t="s">
        <v>35</v>
      </c>
      <c r="O2276" t="s">
        <v>47</v>
      </c>
      <c r="P2276" t="s">
        <v>152</v>
      </c>
      <c r="Q2276" t="s">
        <v>152</v>
      </c>
      <c r="R2276">
        <v>38</v>
      </c>
      <c r="S2276" t="s">
        <v>46</v>
      </c>
      <c r="T2276" t="str">
        <f t="shared" si="70"/>
        <v>2-week</v>
      </c>
      <c r="U2276">
        <f>VLOOKUP(T2276,[1]tablescore!$B$3:$C$8, 2,FALSE)</f>
        <v>26</v>
      </c>
      <c r="V2276" t="str">
        <f t="shared" si="71"/>
        <v>Loyal</v>
      </c>
      <c r="W2276" t="s">
        <v>30</v>
      </c>
    </row>
    <row r="2277" spans="1:23" x14ac:dyDescent="0.25">
      <c r="A2277">
        <v>2276</v>
      </c>
      <c r="B2277">
        <v>29</v>
      </c>
      <c r="C2277" t="str" cm="1">
        <f t="array" ref="C2277">_xlfn.IFS(
  AND(B2277&gt;=18, B2277&lt;=24), "18-24",
  AND(B2277&gt;=25, B2277&lt;=34), "25-34",
  AND(B2277&gt;=35, B2277&lt;=44), "35-44",
  AND(B2277&gt;=45, B2277&lt;=54), "45-54",
  B2277&gt;=55, "55+"
)</f>
        <v>25-34</v>
      </c>
      <c r="D2277" t="s">
        <v>19</v>
      </c>
      <c r="E2277" t="s">
        <v>61</v>
      </c>
      <c r="F2277" t="s">
        <v>21</v>
      </c>
      <c r="G2277">
        <v>24</v>
      </c>
      <c r="H2277" t="s">
        <v>101</v>
      </c>
      <c r="I2277" t="s">
        <v>45</v>
      </c>
      <c r="J2277" t="s">
        <v>24</v>
      </c>
      <c r="K2277" t="s">
        <v>25</v>
      </c>
      <c r="L2277">
        <v>4.4000000000000004</v>
      </c>
      <c r="M2277" t="s">
        <v>152</v>
      </c>
      <c r="N2277" t="s">
        <v>46</v>
      </c>
      <c r="O2277" t="s">
        <v>55</v>
      </c>
      <c r="P2277" t="s">
        <v>152</v>
      </c>
      <c r="Q2277" t="s">
        <v>152</v>
      </c>
      <c r="R2277">
        <v>10</v>
      </c>
      <c r="S2277" t="s">
        <v>59</v>
      </c>
      <c r="T2277" t="str">
        <f t="shared" si="70"/>
        <v>Daily</v>
      </c>
      <c r="U2277">
        <f>VLOOKUP(T2277,[1]tablescore!$B$3:$C$8, 2,FALSE)</f>
        <v>30</v>
      </c>
      <c r="V2277" t="str">
        <f t="shared" si="71"/>
        <v>Highly Loyal</v>
      </c>
      <c r="W2277" t="s">
        <v>41</v>
      </c>
    </row>
    <row r="2278" spans="1:23" x14ac:dyDescent="0.25">
      <c r="A2278">
        <v>2277</v>
      </c>
      <c r="B2278">
        <v>31</v>
      </c>
      <c r="C2278" t="str" cm="1">
        <f t="array" ref="C2278">_xlfn.IFS(
  AND(B2278&gt;=18, B2278&lt;=24), "18-24",
  AND(B2278&gt;=25, B2278&lt;=34), "25-34",
  AND(B2278&gt;=35, B2278&lt;=44), "35-44",
  AND(B2278&gt;=45, B2278&lt;=54), "45-54",
  B2278&gt;=55, "55+"
)</f>
        <v>25-34</v>
      </c>
      <c r="D2278" t="s">
        <v>19</v>
      </c>
      <c r="E2278" t="s">
        <v>36</v>
      </c>
      <c r="F2278" t="s">
        <v>21</v>
      </c>
      <c r="G2278">
        <v>82</v>
      </c>
      <c r="H2278" t="s">
        <v>52</v>
      </c>
      <c r="I2278" t="s">
        <v>23</v>
      </c>
      <c r="J2278" t="s">
        <v>108</v>
      </c>
      <c r="K2278" t="s">
        <v>54</v>
      </c>
      <c r="L2278">
        <v>4.0999999999999996</v>
      </c>
      <c r="M2278" t="s">
        <v>152</v>
      </c>
      <c r="N2278" t="s">
        <v>34</v>
      </c>
      <c r="O2278" t="s">
        <v>72</v>
      </c>
      <c r="P2278" t="s">
        <v>152</v>
      </c>
      <c r="Q2278" t="s">
        <v>152</v>
      </c>
      <c r="R2278">
        <v>25</v>
      </c>
      <c r="S2278" t="s">
        <v>59</v>
      </c>
      <c r="T2278" t="str">
        <f t="shared" si="70"/>
        <v>Daily</v>
      </c>
      <c r="U2278">
        <f>VLOOKUP(T2278,[1]tablescore!$B$3:$C$8, 2,FALSE)</f>
        <v>30</v>
      </c>
      <c r="V2278" t="str">
        <f t="shared" si="71"/>
        <v>Highly Loyal</v>
      </c>
      <c r="W2278" t="s">
        <v>41</v>
      </c>
    </row>
    <row r="2279" spans="1:23" x14ac:dyDescent="0.25">
      <c r="A2279">
        <v>2278</v>
      </c>
      <c r="B2279">
        <v>25</v>
      </c>
      <c r="C2279" t="str" cm="1">
        <f t="array" ref="C2279">_xlfn.IFS(
  AND(B2279&gt;=18, B2279&lt;=24), "18-24",
  AND(B2279&gt;=25, B2279&lt;=34), "25-34",
  AND(B2279&gt;=35, B2279&lt;=44), "35-44",
  AND(B2279&gt;=45, B2279&lt;=54), "45-54",
  B2279&gt;=55, "55+"
)</f>
        <v>25-34</v>
      </c>
      <c r="D2279" t="s">
        <v>19</v>
      </c>
      <c r="E2279" t="s">
        <v>125</v>
      </c>
      <c r="F2279" t="s">
        <v>69</v>
      </c>
      <c r="G2279">
        <v>56</v>
      </c>
      <c r="H2279" t="s">
        <v>90</v>
      </c>
      <c r="I2279" t="s">
        <v>45</v>
      </c>
      <c r="J2279" t="s">
        <v>118</v>
      </c>
      <c r="K2279" t="s">
        <v>54</v>
      </c>
      <c r="L2279">
        <v>4.5999999999999996</v>
      </c>
      <c r="M2279" t="s">
        <v>152</v>
      </c>
      <c r="N2279" t="s">
        <v>34</v>
      </c>
      <c r="O2279" t="s">
        <v>47</v>
      </c>
      <c r="P2279" t="s">
        <v>152</v>
      </c>
      <c r="Q2279" t="s">
        <v>152</v>
      </c>
      <c r="R2279">
        <v>18</v>
      </c>
      <c r="S2279" t="s">
        <v>27</v>
      </c>
      <c r="T2279" t="str">
        <f t="shared" si="70"/>
        <v>Quarterly</v>
      </c>
      <c r="U2279">
        <f>VLOOKUP(T2279,[1]tablescore!$B$3:$C$8, 2,FALSE)</f>
        <v>4</v>
      </c>
      <c r="V2279" t="str">
        <f t="shared" si="71"/>
        <v>Low Loyalty</v>
      </c>
      <c r="W2279" t="s">
        <v>60</v>
      </c>
    </row>
    <row r="2280" spans="1:23" x14ac:dyDescent="0.25">
      <c r="A2280">
        <v>2279</v>
      </c>
      <c r="B2280">
        <v>61</v>
      </c>
      <c r="C2280" t="str" cm="1">
        <f t="array" ref="C2280">_xlfn.IFS(
  AND(B2280&gt;=18, B2280&lt;=24), "18-24",
  AND(B2280&gt;=25, B2280&lt;=34), "25-34",
  AND(B2280&gt;=35, B2280&lt;=44), "35-44",
  AND(B2280&gt;=45, B2280&lt;=54), "45-54",
  B2280&gt;=55, "55+"
)</f>
        <v>55+</v>
      </c>
      <c r="D2280" t="s">
        <v>19</v>
      </c>
      <c r="E2280" t="s">
        <v>127</v>
      </c>
      <c r="F2280" t="s">
        <v>69</v>
      </c>
      <c r="G2280">
        <v>25</v>
      </c>
      <c r="H2280" t="s">
        <v>135</v>
      </c>
      <c r="I2280" t="s">
        <v>45</v>
      </c>
      <c r="J2280" t="s">
        <v>33</v>
      </c>
      <c r="K2280" t="s">
        <v>58</v>
      </c>
      <c r="L2280">
        <v>3.8</v>
      </c>
      <c r="M2280" t="s">
        <v>152</v>
      </c>
      <c r="N2280" t="s">
        <v>35</v>
      </c>
      <c r="O2280" t="s">
        <v>76</v>
      </c>
      <c r="P2280" t="s">
        <v>152</v>
      </c>
      <c r="Q2280" t="s">
        <v>152</v>
      </c>
      <c r="R2280">
        <v>6</v>
      </c>
      <c r="S2280" t="s">
        <v>35</v>
      </c>
      <c r="T2280" t="str">
        <f t="shared" si="70"/>
        <v>Quarterly</v>
      </c>
      <c r="U2280">
        <f>VLOOKUP(T2280,[1]tablescore!$B$3:$C$8, 2,FALSE)</f>
        <v>4</v>
      </c>
      <c r="V2280" t="str">
        <f t="shared" si="71"/>
        <v>Low Loyalty</v>
      </c>
      <c r="W2280" t="s">
        <v>97</v>
      </c>
    </row>
    <row r="2281" spans="1:23" x14ac:dyDescent="0.25">
      <c r="A2281">
        <v>2280</v>
      </c>
      <c r="B2281">
        <v>53</v>
      </c>
      <c r="C2281" t="str" cm="1">
        <f t="array" ref="C2281">_xlfn.IFS(
  AND(B2281&gt;=18, B2281&lt;=24), "18-24",
  AND(B2281&gt;=25, B2281&lt;=34), "25-34",
  AND(B2281&gt;=35, B2281&lt;=44), "35-44",
  AND(B2281&gt;=45, B2281&lt;=54), "45-54",
  B2281&gt;=55, "55+"
)</f>
        <v>45-54</v>
      </c>
      <c r="D2281" t="s">
        <v>19</v>
      </c>
      <c r="E2281" t="s">
        <v>51</v>
      </c>
      <c r="F2281" t="s">
        <v>43</v>
      </c>
      <c r="G2281">
        <v>67</v>
      </c>
      <c r="H2281" t="s">
        <v>66</v>
      </c>
      <c r="I2281" t="s">
        <v>23</v>
      </c>
      <c r="J2281" t="s">
        <v>129</v>
      </c>
      <c r="K2281" t="s">
        <v>39</v>
      </c>
      <c r="L2281">
        <v>2.9</v>
      </c>
      <c r="M2281" t="s">
        <v>152</v>
      </c>
      <c r="N2281" t="s">
        <v>34</v>
      </c>
      <c r="O2281" t="s">
        <v>40</v>
      </c>
      <c r="P2281" t="s">
        <v>152</v>
      </c>
      <c r="Q2281" t="s">
        <v>152</v>
      </c>
      <c r="R2281">
        <v>35</v>
      </c>
      <c r="S2281" t="s">
        <v>34</v>
      </c>
      <c r="T2281" t="str">
        <f t="shared" si="70"/>
        <v>Quarterly</v>
      </c>
      <c r="U2281">
        <f>VLOOKUP(T2281,[1]tablescore!$B$3:$C$8, 2,FALSE)</f>
        <v>4</v>
      </c>
      <c r="V2281" t="str">
        <f t="shared" si="71"/>
        <v>Low Loyalty</v>
      </c>
      <c r="W2281" t="s">
        <v>60</v>
      </c>
    </row>
    <row r="2282" spans="1:23" x14ac:dyDescent="0.25">
      <c r="A2282">
        <v>2281</v>
      </c>
      <c r="B2282">
        <v>22</v>
      </c>
      <c r="C2282" t="str" cm="1">
        <f t="array" ref="C2282">_xlfn.IFS(
  AND(B2282&gt;=18, B2282&lt;=24), "18-24",
  AND(B2282&gt;=25, B2282&lt;=34), "25-34",
  AND(B2282&gt;=35, B2282&lt;=44), "35-44",
  AND(B2282&gt;=45, B2282&lt;=54), "45-54",
  B2282&gt;=55, "55+"
)</f>
        <v>18-24</v>
      </c>
      <c r="D2282" t="s">
        <v>19</v>
      </c>
      <c r="E2282" t="s">
        <v>73</v>
      </c>
      <c r="F2282" t="s">
        <v>43</v>
      </c>
      <c r="G2282">
        <v>21</v>
      </c>
      <c r="H2282" t="s">
        <v>22</v>
      </c>
      <c r="I2282" t="s">
        <v>45</v>
      </c>
      <c r="J2282" t="s">
        <v>108</v>
      </c>
      <c r="K2282" t="s">
        <v>54</v>
      </c>
      <c r="L2282">
        <v>2.8</v>
      </c>
      <c r="M2282" t="s">
        <v>152</v>
      </c>
      <c r="N2282" t="s">
        <v>34</v>
      </c>
      <c r="O2282" t="s">
        <v>55</v>
      </c>
      <c r="P2282" t="s">
        <v>152</v>
      </c>
      <c r="Q2282" t="s">
        <v>152</v>
      </c>
      <c r="R2282">
        <v>31</v>
      </c>
      <c r="S2282" t="s">
        <v>27</v>
      </c>
      <c r="T2282" t="str">
        <f t="shared" si="70"/>
        <v>2-week</v>
      </c>
      <c r="U2282">
        <f>VLOOKUP(T2282,[1]tablescore!$B$3:$C$8, 2,FALSE)</f>
        <v>26</v>
      </c>
      <c r="V2282" t="str">
        <f t="shared" si="71"/>
        <v>Loyal</v>
      </c>
      <c r="W2282" t="s">
        <v>30</v>
      </c>
    </row>
    <row r="2283" spans="1:23" x14ac:dyDescent="0.25">
      <c r="A2283">
        <v>2282</v>
      </c>
      <c r="B2283">
        <v>28</v>
      </c>
      <c r="C2283" t="str" cm="1">
        <f t="array" ref="C2283">_xlfn.IFS(
  AND(B2283&gt;=18, B2283&lt;=24), "18-24",
  AND(B2283&gt;=25, B2283&lt;=34), "25-34",
  AND(B2283&gt;=35, B2283&lt;=44), "35-44",
  AND(B2283&gt;=45, B2283&lt;=54), "45-54",
  B2283&gt;=55, "55+"
)</f>
        <v>25-34</v>
      </c>
      <c r="D2283" t="s">
        <v>19</v>
      </c>
      <c r="E2283" t="s">
        <v>104</v>
      </c>
      <c r="F2283" t="s">
        <v>21</v>
      </c>
      <c r="G2283">
        <v>27</v>
      </c>
      <c r="H2283" t="s">
        <v>111</v>
      </c>
      <c r="I2283" t="s">
        <v>92</v>
      </c>
      <c r="J2283" t="s">
        <v>33</v>
      </c>
      <c r="K2283" t="s">
        <v>54</v>
      </c>
      <c r="L2283">
        <v>3</v>
      </c>
      <c r="M2283" t="s">
        <v>152</v>
      </c>
      <c r="N2283" t="s">
        <v>34</v>
      </c>
      <c r="O2283" t="s">
        <v>76</v>
      </c>
      <c r="P2283" t="s">
        <v>152</v>
      </c>
      <c r="Q2283" t="s">
        <v>152</v>
      </c>
      <c r="R2283">
        <v>41</v>
      </c>
      <c r="S2283" t="s">
        <v>34</v>
      </c>
      <c r="T2283" t="str">
        <f t="shared" si="70"/>
        <v>Annually</v>
      </c>
      <c r="U2283">
        <f>VLOOKUP(T2283,[1]tablescore!$B$3:$C$8, 2,FALSE)</f>
        <v>1</v>
      </c>
      <c r="V2283" t="str">
        <f t="shared" si="71"/>
        <v>Low Loyalty</v>
      </c>
      <c r="W2283" t="s">
        <v>50</v>
      </c>
    </row>
    <row r="2284" spans="1:23" x14ac:dyDescent="0.25">
      <c r="A2284">
        <v>2283</v>
      </c>
      <c r="B2284">
        <v>18</v>
      </c>
      <c r="C2284" t="str" cm="1">
        <f t="array" ref="C2284">_xlfn.IFS(
  AND(B2284&gt;=18, B2284&lt;=24), "18-24",
  AND(B2284&gt;=25, B2284&lt;=34), "25-34",
  AND(B2284&gt;=35, B2284&lt;=44), "35-44",
  AND(B2284&gt;=45, B2284&lt;=54), "45-54",
  B2284&gt;=55, "55+"
)</f>
        <v>18-24</v>
      </c>
      <c r="D2284" t="s">
        <v>19</v>
      </c>
      <c r="E2284" t="s">
        <v>51</v>
      </c>
      <c r="F2284" t="s">
        <v>43</v>
      </c>
      <c r="G2284">
        <v>97</v>
      </c>
      <c r="H2284" t="s">
        <v>144</v>
      </c>
      <c r="I2284" t="s">
        <v>38</v>
      </c>
      <c r="J2284" t="s">
        <v>108</v>
      </c>
      <c r="K2284" t="s">
        <v>58</v>
      </c>
      <c r="L2284">
        <v>4.2</v>
      </c>
      <c r="M2284" t="s">
        <v>152</v>
      </c>
      <c r="N2284" t="s">
        <v>59</v>
      </c>
      <c r="O2284" t="s">
        <v>72</v>
      </c>
      <c r="P2284" t="s">
        <v>152</v>
      </c>
      <c r="Q2284" t="s">
        <v>152</v>
      </c>
      <c r="R2284">
        <v>8</v>
      </c>
      <c r="S2284" t="s">
        <v>27</v>
      </c>
      <c r="T2284" t="str">
        <f t="shared" si="70"/>
        <v>Annually</v>
      </c>
      <c r="U2284">
        <f>VLOOKUP(T2284,[1]tablescore!$B$3:$C$8, 2,FALSE)</f>
        <v>1</v>
      </c>
      <c r="V2284" t="str">
        <f t="shared" si="71"/>
        <v>Low Loyalty</v>
      </c>
      <c r="W2284" t="s">
        <v>50</v>
      </c>
    </row>
    <row r="2285" spans="1:23" x14ac:dyDescent="0.25">
      <c r="A2285">
        <v>2284</v>
      </c>
      <c r="B2285">
        <v>44</v>
      </c>
      <c r="C2285" t="str" cm="1">
        <f t="array" ref="C2285">_xlfn.IFS(
  AND(B2285&gt;=18, B2285&lt;=24), "18-24",
  AND(B2285&gt;=25, B2285&lt;=34), "25-34",
  AND(B2285&gt;=35, B2285&lt;=44), "35-44",
  AND(B2285&gt;=45, B2285&lt;=54), "45-54",
  B2285&gt;=55, "55+"
)</f>
        <v>35-44</v>
      </c>
      <c r="D2285" t="s">
        <v>19</v>
      </c>
      <c r="E2285" t="s">
        <v>68</v>
      </c>
      <c r="F2285" t="s">
        <v>69</v>
      </c>
      <c r="G2285">
        <v>45</v>
      </c>
      <c r="H2285" t="s">
        <v>124</v>
      </c>
      <c r="I2285" t="s">
        <v>38</v>
      </c>
      <c r="J2285" t="s">
        <v>94</v>
      </c>
      <c r="K2285" t="s">
        <v>25</v>
      </c>
      <c r="L2285">
        <v>4.0999999999999996</v>
      </c>
      <c r="M2285" t="s">
        <v>152</v>
      </c>
      <c r="N2285" t="s">
        <v>35</v>
      </c>
      <c r="O2285" t="s">
        <v>40</v>
      </c>
      <c r="P2285" t="s">
        <v>152</v>
      </c>
      <c r="Q2285" t="s">
        <v>152</v>
      </c>
      <c r="R2285">
        <v>34</v>
      </c>
      <c r="S2285" t="s">
        <v>27</v>
      </c>
      <c r="T2285" t="str">
        <f t="shared" si="70"/>
        <v>2-week</v>
      </c>
      <c r="U2285">
        <f>VLOOKUP(T2285,[1]tablescore!$B$3:$C$8, 2,FALSE)</f>
        <v>26</v>
      </c>
      <c r="V2285" t="str">
        <f t="shared" si="71"/>
        <v>Loyal</v>
      </c>
      <c r="W2285" t="s">
        <v>30</v>
      </c>
    </row>
    <row r="2286" spans="1:23" x14ac:dyDescent="0.25">
      <c r="A2286">
        <v>2285</v>
      </c>
      <c r="B2286">
        <v>32</v>
      </c>
      <c r="C2286" t="str" cm="1">
        <f t="array" ref="C2286">_xlfn.IFS(
  AND(B2286&gt;=18, B2286&lt;=24), "18-24",
  AND(B2286&gt;=25, B2286&lt;=34), "25-34",
  AND(B2286&gt;=35, B2286&lt;=44), "35-44",
  AND(B2286&gt;=45, B2286&lt;=54), "45-54",
  B2286&gt;=55, "55+"
)</f>
        <v>25-34</v>
      </c>
      <c r="D2286" t="s">
        <v>19</v>
      </c>
      <c r="E2286" t="s">
        <v>20</v>
      </c>
      <c r="F2286" t="s">
        <v>21</v>
      </c>
      <c r="G2286">
        <v>63</v>
      </c>
      <c r="H2286" t="s">
        <v>150</v>
      </c>
      <c r="I2286" t="s">
        <v>92</v>
      </c>
      <c r="J2286" t="s">
        <v>94</v>
      </c>
      <c r="K2286" t="s">
        <v>58</v>
      </c>
      <c r="L2286">
        <v>4.0999999999999996</v>
      </c>
      <c r="M2286" t="s">
        <v>152</v>
      </c>
      <c r="N2286" t="s">
        <v>35</v>
      </c>
      <c r="O2286" t="s">
        <v>28</v>
      </c>
      <c r="P2286" t="s">
        <v>152</v>
      </c>
      <c r="Q2286" t="s">
        <v>152</v>
      </c>
      <c r="R2286">
        <v>20</v>
      </c>
      <c r="S2286" t="s">
        <v>29</v>
      </c>
      <c r="T2286" t="str">
        <f t="shared" si="70"/>
        <v>Annually</v>
      </c>
      <c r="U2286">
        <f>VLOOKUP(T2286,[1]tablescore!$B$3:$C$8, 2,FALSE)</f>
        <v>1</v>
      </c>
      <c r="V2286" t="str">
        <f t="shared" si="71"/>
        <v>Low Loyalty</v>
      </c>
      <c r="W2286" t="s">
        <v>50</v>
      </c>
    </row>
    <row r="2287" spans="1:23" x14ac:dyDescent="0.25">
      <c r="A2287">
        <v>2286</v>
      </c>
      <c r="B2287">
        <v>34</v>
      </c>
      <c r="C2287" t="str" cm="1">
        <f t="array" ref="C2287">_xlfn.IFS(
  AND(B2287&gt;=18, B2287&lt;=24), "18-24",
  AND(B2287&gt;=25, B2287&lt;=34), "25-34",
  AND(B2287&gt;=35, B2287&lt;=44), "35-44",
  AND(B2287&gt;=45, B2287&lt;=54), "45-54",
  B2287&gt;=55, "55+"
)</f>
        <v>25-34</v>
      </c>
      <c r="D2287" t="s">
        <v>19</v>
      </c>
      <c r="E2287" t="s">
        <v>136</v>
      </c>
      <c r="F2287" t="s">
        <v>69</v>
      </c>
      <c r="G2287">
        <v>100</v>
      </c>
      <c r="H2287" t="s">
        <v>151</v>
      </c>
      <c r="I2287" t="s">
        <v>23</v>
      </c>
      <c r="J2287" t="s">
        <v>71</v>
      </c>
      <c r="K2287" t="s">
        <v>54</v>
      </c>
      <c r="L2287">
        <v>4.5999999999999996</v>
      </c>
      <c r="M2287" t="s">
        <v>152</v>
      </c>
      <c r="N2287" t="s">
        <v>35</v>
      </c>
      <c r="O2287" t="s">
        <v>72</v>
      </c>
      <c r="P2287" t="s">
        <v>152</v>
      </c>
      <c r="Q2287" t="s">
        <v>152</v>
      </c>
      <c r="R2287">
        <v>38</v>
      </c>
      <c r="S2287" t="s">
        <v>46</v>
      </c>
      <c r="T2287" t="str">
        <f t="shared" si="70"/>
        <v>Quarterly</v>
      </c>
      <c r="U2287">
        <f>VLOOKUP(T2287,[1]tablescore!$B$3:$C$8, 2,FALSE)</f>
        <v>4</v>
      </c>
      <c r="V2287" t="str">
        <f t="shared" si="71"/>
        <v>Low Loyalty</v>
      </c>
      <c r="W2287" t="s">
        <v>97</v>
      </c>
    </row>
    <row r="2288" spans="1:23" x14ac:dyDescent="0.25">
      <c r="A2288">
        <v>2287</v>
      </c>
      <c r="B2288">
        <v>67</v>
      </c>
      <c r="C2288" t="str" cm="1">
        <f t="array" ref="C2288">_xlfn.IFS(
  AND(B2288&gt;=18, B2288&lt;=24), "18-24",
  AND(B2288&gt;=25, B2288&lt;=34), "25-34",
  AND(B2288&gt;=35, B2288&lt;=44), "35-44",
  AND(B2288&gt;=45, B2288&lt;=54), "45-54",
  B2288&gt;=55, "55+"
)</f>
        <v>55+</v>
      </c>
      <c r="D2288" t="s">
        <v>19</v>
      </c>
      <c r="E2288" t="s">
        <v>131</v>
      </c>
      <c r="F2288" t="s">
        <v>21</v>
      </c>
      <c r="G2288">
        <v>38</v>
      </c>
      <c r="H2288" t="s">
        <v>130</v>
      </c>
      <c r="I2288" t="s">
        <v>23</v>
      </c>
      <c r="J2288" t="s">
        <v>138</v>
      </c>
      <c r="K2288" t="s">
        <v>39</v>
      </c>
      <c r="L2288">
        <v>2.5</v>
      </c>
      <c r="M2288" t="s">
        <v>152</v>
      </c>
      <c r="N2288" t="s">
        <v>46</v>
      </c>
      <c r="O2288" t="s">
        <v>76</v>
      </c>
      <c r="P2288" t="s">
        <v>152</v>
      </c>
      <c r="Q2288" t="s">
        <v>152</v>
      </c>
      <c r="R2288">
        <v>35</v>
      </c>
      <c r="S2288" t="s">
        <v>29</v>
      </c>
      <c r="T2288" t="str">
        <f t="shared" si="70"/>
        <v>Quarterly</v>
      </c>
      <c r="U2288">
        <f>VLOOKUP(T2288,[1]tablescore!$B$3:$C$8, 2,FALSE)</f>
        <v>4</v>
      </c>
      <c r="V2288" t="str">
        <f t="shared" si="71"/>
        <v>Low Loyalty</v>
      </c>
      <c r="W2288" t="s">
        <v>60</v>
      </c>
    </row>
    <row r="2289" spans="1:23" x14ac:dyDescent="0.25">
      <c r="A2289">
        <v>2288</v>
      </c>
      <c r="B2289">
        <v>66</v>
      </c>
      <c r="C2289" t="str" cm="1">
        <f t="array" ref="C2289">_xlfn.IFS(
  AND(B2289&gt;=18, B2289&lt;=24), "18-24",
  AND(B2289&gt;=25, B2289&lt;=34), "25-34",
  AND(B2289&gt;=35, B2289&lt;=44), "35-44",
  AND(B2289&gt;=45, B2289&lt;=54), "45-54",
  B2289&gt;=55, "55+"
)</f>
        <v>55+</v>
      </c>
      <c r="D2289" t="s">
        <v>19</v>
      </c>
      <c r="E2289" t="s">
        <v>20</v>
      </c>
      <c r="F2289" t="s">
        <v>21</v>
      </c>
      <c r="G2289">
        <v>45</v>
      </c>
      <c r="H2289" t="s">
        <v>143</v>
      </c>
      <c r="I2289" t="s">
        <v>23</v>
      </c>
      <c r="J2289" t="s">
        <v>96</v>
      </c>
      <c r="K2289" t="s">
        <v>54</v>
      </c>
      <c r="L2289">
        <v>3</v>
      </c>
      <c r="M2289" t="s">
        <v>152</v>
      </c>
      <c r="N2289" t="s">
        <v>46</v>
      </c>
      <c r="O2289" t="s">
        <v>76</v>
      </c>
      <c r="P2289" t="s">
        <v>152</v>
      </c>
      <c r="Q2289" t="s">
        <v>152</v>
      </c>
      <c r="R2289">
        <v>6</v>
      </c>
      <c r="S2289" t="s">
        <v>59</v>
      </c>
      <c r="T2289" t="str">
        <f t="shared" si="70"/>
        <v>Annually</v>
      </c>
      <c r="U2289">
        <f>VLOOKUP(T2289,[1]tablescore!$B$3:$C$8, 2,FALSE)</f>
        <v>1</v>
      </c>
      <c r="V2289" t="str">
        <f t="shared" si="71"/>
        <v>Low Loyalty</v>
      </c>
      <c r="W2289" t="s">
        <v>50</v>
      </c>
    </row>
    <row r="2290" spans="1:23" x14ac:dyDescent="0.25">
      <c r="A2290">
        <v>2289</v>
      </c>
      <c r="B2290">
        <v>28</v>
      </c>
      <c r="C2290" t="str" cm="1">
        <f t="array" ref="C2290">_xlfn.IFS(
  AND(B2290&gt;=18, B2290&lt;=24), "18-24",
  AND(B2290&gt;=25, B2290&lt;=34), "25-34",
  AND(B2290&gt;=35, B2290&lt;=44), "35-44",
  AND(B2290&gt;=45, B2290&lt;=54), "45-54",
  B2290&gt;=55, "55+"
)</f>
        <v>25-34</v>
      </c>
      <c r="D2290" t="s">
        <v>19</v>
      </c>
      <c r="E2290" t="s">
        <v>106</v>
      </c>
      <c r="F2290" t="s">
        <v>69</v>
      </c>
      <c r="G2290">
        <v>91</v>
      </c>
      <c r="H2290" t="s">
        <v>99</v>
      </c>
      <c r="I2290" t="s">
        <v>45</v>
      </c>
      <c r="J2290" t="s">
        <v>121</v>
      </c>
      <c r="K2290" t="s">
        <v>58</v>
      </c>
      <c r="L2290">
        <v>3.8</v>
      </c>
      <c r="M2290" t="s">
        <v>152</v>
      </c>
      <c r="N2290" t="s">
        <v>27</v>
      </c>
      <c r="O2290" t="s">
        <v>47</v>
      </c>
      <c r="P2290" t="s">
        <v>152</v>
      </c>
      <c r="Q2290" t="s">
        <v>152</v>
      </c>
      <c r="R2290">
        <v>50</v>
      </c>
      <c r="S2290" t="s">
        <v>46</v>
      </c>
      <c r="T2290" t="str">
        <f t="shared" si="70"/>
        <v>Daily</v>
      </c>
      <c r="U2290">
        <f>VLOOKUP(T2290,[1]tablescore!$B$3:$C$8, 2,FALSE)</f>
        <v>30</v>
      </c>
      <c r="V2290" t="str">
        <f t="shared" si="71"/>
        <v>Highly Loyal</v>
      </c>
      <c r="W2290" t="s">
        <v>41</v>
      </c>
    </row>
    <row r="2291" spans="1:23" x14ac:dyDescent="0.25">
      <c r="A2291">
        <v>2290</v>
      </c>
      <c r="B2291">
        <v>70</v>
      </c>
      <c r="C2291" t="str" cm="1">
        <f t="array" ref="C2291">_xlfn.IFS(
  AND(B2291&gt;=18, B2291&lt;=24), "18-24",
  AND(B2291&gt;=25, B2291&lt;=34), "25-34",
  AND(B2291&gt;=35, B2291&lt;=44), "35-44",
  AND(B2291&gt;=45, B2291&lt;=54), "45-54",
  B2291&gt;=55, "55+"
)</f>
        <v>55+</v>
      </c>
      <c r="D2291" t="s">
        <v>19</v>
      </c>
      <c r="E2291" t="s">
        <v>61</v>
      </c>
      <c r="F2291" t="s">
        <v>21</v>
      </c>
      <c r="G2291">
        <v>82</v>
      </c>
      <c r="H2291" t="s">
        <v>107</v>
      </c>
      <c r="I2291" t="s">
        <v>45</v>
      </c>
      <c r="J2291" t="s">
        <v>121</v>
      </c>
      <c r="K2291" t="s">
        <v>58</v>
      </c>
      <c r="L2291">
        <v>4.0999999999999996</v>
      </c>
      <c r="M2291" t="s">
        <v>152</v>
      </c>
      <c r="N2291" t="s">
        <v>46</v>
      </c>
      <c r="O2291" t="s">
        <v>40</v>
      </c>
      <c r="P2291" t="s">
        <v>152</v>
      </c>
      <c r="Q2291" t="s">
        <v>152</v>
      </c>
      <c r="R2291">
        <v>47</v>
      </c>
      <c r="S2291" t="s">
        <v>29</v>
      </c>
      <c r="T2291" t="str">
        <f t="shared" si="70"/>
        <v>Daily</v>
      </c>
      <c r="U2291">
        <f>VLOOKUP(T2291,[1]tablescore!$B$3:$C$8, 2,FALSE)</f>
        <v>30</v>
      </c>
      <c r="V2291" t="str">
        <f t="shared" si="71"/>
        <v>Highly Loyal</v>
      </c>
      <c r="W2291" t="s">
        <v>41</v>
      </c>
    </row>
    <row r="2292" spans="1:23" x14ac:dyDescent="0.25">
      <c r="A2292">
        <v>2291</v>
      </c>
      <c r="B2292">
        <v>37</v>
      </c>
      <c r="C2292" t="str" cm="1">
        <f t="array" ref="C2292">_xlfn.IFS(
  AND(B2292&gt;=18, B2292&lt;=24), "18-24",
  AND(B2292&gt;=25, B2292&lt;=34), "25-34",
  AND(B2292&gt;=35, B2292&lt;=44), "35-44",
  AND(B2292&gt;=45, B2292&lt;=54), "45-54",
  B2292&gt;=55, "55+"
)</f>
        <v>35-44</v>
      </c>
      <c r="D2292" t="s">
        <v>19</v>
      </c>
      <c r="E2292" t="s">
        <v>132</v>
      </c>
      <c r="F2292" t="s">
        <v>43</v>
      </c>
      <c r="G2292">
        <v>48</v>
      </c>
      <c r="H2292" t="s">
        <v>111</v>
      </c>
      <c r="I2292" t="s">
        <v>23</v>
      </c>
      <c r="J2292" t="s">
        <v>147</v>
      </c>
      <c r="K2292" t="s">
        <v>25</v>
      </c>
      <c r="L2292">
        <v>3.3</v>
      </c>
      <c r="M2292" t="s">
        <v>152</v>
      </c>
      <c r="N2292" t="s">
        <v>29</v>
      </c>
      <c r="O2292" t="s">
        <v>55</v>
      </c>
      <c r="P2292" t="s">
        <v>152</v>
      </c>
      <c r="Q2292" t="s">
        <v>152</v>
      </c>
      <c r="R2292">
        <v>23</v>
      </c>
      <c r="S2292" t="s">
        <v>46</v>
      </c>
      <c r="T2292" t="str">
        <f t="shared" si="70"/>
        <v>Quarterly</v>
      </c>
      <c r="U2292">
        <f>VLOOKUP(T2292,[1]tablescore!$B$3:$C$8, 2,FALSE)</f>
        <v>4</v>
      </c>
      <c r="V2292" t="str">
        <f t="shared" si="71"/>
        <v>Low Loyalty</v>
      </c>
      <c r="W2292" t="s">
        <v>60</v>
      </c>
    </row>
    <row r="2293" spans="1:23" x14ac:dyDescent="0.25">
      <c r="A2293">
        <v>2292</v>
      </c>
      <c r="B2293">
        <v>28</v>
      </c>
      <c r="C2293" t="str" cm="1">
        <f t="array" ref="C2293">_xlfn.IFS(
  AND(B2293&gt;=18, B2293&lt;=24), "18-24",
  AND(B2293&gt;=25, B2293&lt;=34), "25-34",
  AND(B2293&gt;=35, B2293&lt;=44), "35-44",
  AND(B2293&gt;=45, B2293&lt;=54), "45-54",
  B2293&gt;=55, "55+"
)</f>
        <v>25-34</v>
      </c>
      <c r="D2293" t="s">
        <v>19</v>
      </c>
      <c r="E2293" t="s">
        <v>64</v>
      </c>
      <c r="F2293" t="s">
        <v>65</v>
      </c>
      <c r="G2293">
        <v>30</v>
      </c>
      <c r="H2293" t="s">
        <v>124</v>
      </c>
      <c r="I2293" t="s">
        <v>45</v>
      </c>
      <c r="J2293" t="s">
        <v>129</v>
      </c>
      <c r="K2293" t="s">
        <v>39</v>
      </c>
      <c r="L2293">
        <v>5</v>
      </c>
      <c r="M2293" t="s">
        <v>152</v>
      </c>
      <c r="N2293" t="s">
        <v>46</v>
      </c>
      <c r="O2293" t="s">
        <v>72</v>
      </c>
      <c r="P2293" t="s">
        <v>152</v>
      </c>
      <c r="Q2293" t="s">
        <v>152</v>
      </c>
      <c r="R2293">
        <v>13</v>
      </c>
      <c r="S2293" t="s">
        <v>27</v>
      </c>
      <c r="T2293" t="str">
        <f t="shared" si="70"/>
        <v>Quarterly</v>
      </c>
      <c r="U2293">
        <f>VLOOKUP(T2293,[1]tablescore!$B$3:$C$8, 2,FALSE)</f>
        <v>4</v>
      </c>
      <c r="V2293" t="str">
        <f t="shared" si="71"/>
        <v>Low Loyalty</v>
      </c>
      <c r="W2293" t="s">
        <v>60</v>
      </c>
    </row>
    <row r="2294" spans="1:23" x14ac:dyDescent="0.25">
      <c r="A2294">
        <v>2293</v>
      </c>
      <c r="B2294">
        <v>43</v>
      </c>
      <c r="C2294" t="str" cm="1">
        <f t="array" ref="C2294">_xlfn.IFS(
  AND(B2294&gt;=18, B2294&lt;=24), "18-24",
  AND(B2294&gt;=25, B2294&lt;=34), "25-34",
  AND(B2294&gt;=35, B2294&lt;=44), "35-44",
  AND(B2294&gt;=45, B2294&lt;=54), "45-54",
  B2294&gt;=55, "55+"
)</f>
        <v>35-44</v>
      </c>
      <c r="D2294" t="s">
        <v>19</v>
      </c>
      <c r="E2294" t="s">
        <v>113</v>
      </c>
      <c r="F2294" t="s">
        <v>21</v>
      </c>
      <c r="G2294">
        <v>34</v>
      </c>
      <c r="H2294" t="s">
        <v>145</v>
      </c>
      <c r="I2294" t="s">
        <v>38</v>
      </c>
      <c r="J2294" t="s">
        <v>118</v>
      </c>
      <c r="K2294" t="s">
        <v>39</v>
      </c>
      <c r="L2294">
        <v>3.8</v>
      </c>
      <c r="M2294" t="s">
        <v>152</v>
      </c>
      <c r="N2294" t="s">
        <v>59</v>
      </c>
      <c r="O2294" t="s">
        <v>47</v>
      </c>
      <c r="P2294" t="s">
        <v>152</v>
      </c>
      <c r="Q2294" t="s">
        <v>152</v>
      </c>
      <c r="R2294">
        <v>31</v>
      </c>
      <c r="S2294" t="s">
        <v>59</v>
      </c>
      <c r="T2294" t="str">
        <f t="shared" si="70"/>
        <v>Month</v>
      </c>
      <c r="U2294">
        <f>VLOOKUP(T2294,[1]tablescore!$B$3:$C$8, 2,FALSE)</f>
        <v>12</v>
      </c>
      <c r="V2294" t="str">
        <f t="shared" si="71"/>
        <v>Moderate</v>
      </c>
      <c r="W2294" t="s">
        <v>88</v>
      </c>
    </row>
    <row r="2295" spans="1:23" x14ac:dyDescent="0.25">
      <c r="A2295">
        <v>2294</v>
      </c>
      <c r="B2295">
        <v>37</v>
      </c>
      <c r="C2295" t="str" cm="1">
        <f t="array" ref="C2295">_xlfn.IFS(
  AND(B2295&gt;=18, B2295&lt;=24), "18-24",
  AND(B2295&gt;=25, B2295&lt;=34), "25-34",
  AND(B2295&gt;=35, B2295&lt;=44), "35-44",
  AND(B2295&gt;=45, B2295&lt;=54), "45-54",
  B2295&gt;=55, "55+"
)</f>
        <v>35-44</v>
      </c>
      <c r="D2295" t="s">
        <v>19</v>
      </c>
      <c r="E2295" t="s">
        <v>31</v>
      </c>
      <c r="F2295" t="s">
        <v>21</v>
      </c>
      <c r="G2295">
        <v>68</v>
      </c>
      <c r="H2295" t="s">
        <v>142</v>
      </c>
      <c r="I2295" t="s">
        <v>23</v>
      </c>
      <c r="J2295" t="s">
        <v>96</v>
      </c>
      <c r="K2295" t="s">
        <v>58</v>
      </c>
      <c r="L2295">
        <v>3.3</v>
      </c>
      <c r="M2295" t="s">
        <v>152</v>
      </c>
      <c r="N2295" t="s">
        <v>46</v>
      </c>
      <c r="O2295" t="s">
        <v>28</v>
      </c>
      <c r="P2295" t="s">
        <v>152</v>
      </c>
      <c r="Q2295" t="s">
        <v>152</v>
      </c>
      <c r="R2295">
        <v>16</v>
      </c>
      <c r="S2295" t="s">
        <v>59</v>
      </c>
      <c r="T2295" t="str">
        <f t="shared" si="70"/>
        <v>Quarterly</v>
      </c>
      <c r="U2295">
        <f>VLOOKUP(T2295,[1]tablescore!$B$3:$C$8, 2,FALSE)</f>
        <v>4</v>
      </c>
      <c r="V2295" t="str">
        <f t="shared" si="71"/>
        <v>Low Loyalty</v>
      </c>
      <c r="W2295" t="s">
        <v>97</v>
      </c>
    </row>
    <row r="2296" spans="1:23" x14ac:dyDescent="0.25">
      <c r="A2296">
        <v>2295</v>
      </c>
      <c r="B2296">
        <v>54</v>
      </c>
      <c r="C2296" t="str" cm="1">
        <f t="array" ref="C2296">_xlfn.IFS(
  AND(B2296&gt;=18, B2296&lt;=24), "18-24",
  AND(B2296&gt;=25, B2296&lt;=34), "25-34",
  AND(B2296&gt;=35, B2296&lt;=44), "35-44",
  AND(B2296&gt;=45, B2296&lt;=54), "45-54",
  B2296&gt;=55, "55+"
)</f>
        <v>45-54</v>
      </c>
      <c r="D2296" t="s">
        <v>19</v>
      </c>
      <c r="E2296" t="s">
        <v>89</v>
      </c>
      <c r="F2296" t="s">
        <v>69</v>
      </c>
      <c r="G2296">
        <v>95</v>
      </c>
      <c r="H2296" t="s">
        <v>135</v>
      </c>
      <c r="I2296" t="s">
        <v>45</v>
      </c>
      <c r="J2296" t="s">
        <v>108</v>
      </c>
      <c r="K2296" t="s">
        <v>25</v>
      </c>
      <c r="L2296">
        <v>5</v>
      </c>
      <c r="M2296" t="s">
        <v>152</v>
      </c>
      <c r="N2296" t="s">
        <v>29</v>
      </c>
      <c r="O2296" t="s">
        <v>28</v>
      </c>
      <c r="P2296" t="s">
        <v>152</v>
      </c>
      <c r="Q2296" t="s">
        <v>152</v>
      </c>
      <c r="R2296">
        <v>40</v>
      </c>
      <c r="S2296" t="s">
        <v>59</v>
      </c>
      <c r="T2296" t="str">
        <f t="shared" si="70"/>
        <v>Annually</v>
      </c>
      <c r="U2296">
        <f>VLOOKUP(T2296,[1]tablescore!$B$3:$C$8, 2,FALSE)</f>
        <v>1</v>
      </c>
      <c r="V2296" t="str">
        <f t="shared" si="71"/>
        <v>Low Loyalty</v>
      </c>
      <c r="W2296" t="s">
        <v>50</v>
      </c>
    </row>
    <row r="2297" spans="1:23" x14ac:dyDescent="0.25">
      <c r="A2297">
        <v>2296</v>
      </c>
      <c r="B2297">
        <v>50</v>
      </c>
      <c r="C2297" t="str" cm="1">
        <f t="array" ref="C2297">_xlfn.IFS(
  AND(B2297&gt;=18, B2297&lt;=24), "18-24",
  AND(B2297&gt;=25, B2297&lt;=34), "25-34",
  AND(B2297&gt;=35, B2297&lt;=44), "35-44",
  AND(B2297&gt;=45, B2297&lt;=54), "45-54",
  B2297&gt;=55, "55+"
)</f>
        <v>45-54</v>
      </c>
      <c r="D2297" t="s">
        <v>19</v>
      </c>
      <c r="E2297" t="s">
        <v>125</v>
      </c>
      <c r="F2297" t="s">
        <v>69</v>
      </c>
      <c r="G2297">
        <v>22</v>
      </c>
      <c r="H2297" t="s">
        <v>146</v>
      </c>
      <c r="I2297" t="s">
        <v>23</v>
      </c>
      <c r="J2297" t="s">
        <v>118</v>
      </c>
      <c r="K2297" t="s">
        <v>39</v>
      </c>
      <c r="L2297">
        <v>2.9</v>
      </c>
      <c r="M2297" t="s">
        <v>152</v>
      </c>
      <c r="N2297" t="s">
        <v>27</v>
      </c>
      <c r="O2297" t="s">
        <v>72</v>
      </c>
      <c r="P2297" t="s">
        <v>152</v>
      </c>
      <c r="Q2297" t="s">
        <v>152</v>
      </c>
      <c r="R2297">
        <v>45</v>
      </c>
      <c r="S2297" t="s">
        <v>46</v>
      </c>
      <c r="T2297" t="str">
        <f t="shared" si="70"/>
        <v>Quarterly</v>
      </c>
      <c r="U2297">
        <f>VLOOKUP(T2297,[1]tablescore!$B$3:$C$8, 2,FALSE)</f>
        <v>4</v>
      </c>
      <c r="V2297" t="str">
        <f t="shared" si="71"/>
        <v>Low Loyalty</v>
      </c>
      <c r="W2297" t="s">
        <v>60</v>
      </c>
    </row>
    <row r="2298" spans="1:23" x14ac:dyDescent="0.25">
      <c r="A2298">
        <v>2297</v>
      </c>
      <c r="B2298">
        <v>46</v>
      </c>
      <c r="C2298" t="str" cm="1">
        <f t="array" ref="C2298">_xlfn.IFS(
  AND(B2298&gt;=18, B2298&lt;=24), "18-24",
  AND(B2298&gt;=25, B2298&lt;=34), "25-34",
  AND(B2298&gt;=35, B2298&lt;=44), "35-44",
  AND(B2298&gt;=45, B2298&lt;=54), "45-54",
  B2298&gt;=55, "55+"
)</f>
        <v>45-54</v>
      </c>
      <c r="D2298" t="s">
        <v>19</v>
      </c>
      <c r="E2298" t="s">
        <v>127</v>
      </c>
      <c r="F2298" t="s">
        <v>69</v>
      </c>
      <c r="G2298">
        <v>88</v>
      </c>
      <c r="H2298" t="s">
        <v>140</v>
      </c>
      <c r="I2298" t="s">
        <v>45</v>
      </c>
      <c r="J2298" t="s">
        <v>96</v>
      </c>
      <c r="K2298" t="s">
        <v>58</v>
      </c>
      <c r="L2298">
        <v>2.5</v>
      </c>
      <c r="M2298" t="s">
        <v>152</v>
      </c>
      <c r="N2298" t="s">
        <v>46</v>
      </c>
      <c r="O2298" t="s">
        <v>47</v>
      </c>
      <c r="P2298" t="s">
        <v>152</v>
      </c>
      <c r="Q2298" t="s">
        <v>152</v>
      </c>
      <c r="R2298">
        <v>50</v>
      </c>
      <c r="S2298" t="s">
        <v>29</v>
      </c>
      <c r="T2298" t="str">
        <f t="shared" si="70"/>
        <v>Quarterly</v>
      </c>
      <c r="U2298">
        <f>VLOOKUP(T2298,[1]tablescore!$B$3:$C$8, 2,FALSE)</f>
        <v>4</v>
      </c>
      <c r="V2298" t="str">
        <f t="shared" si="71"/>
        <v>Low Loyalty</v>
      </c>
      <c r="W2298" t="s">
        <v>97</v>
      </c>
    </row>
    <row r="2299" spans="1:23" x14ac:dyDescent="0.25">
      <c r="A2299">
        <v>2298</v>
      </c>
      <c r="B2299">
        <v>60</v>
      </c>
      <c r="C2299" t="str" cm="1">
        <f t="array" ref="C2299">_xlfn.IFS(
  AND(B2299&gt;=18, B2299&lt;=24), "18-24",
  AND(B2299&gt;=25, B2299&lt;=34), "25-34",
  AND(B2299&gt;=35, B2299&lt;=44), "35-44",
  AND(B2299&gt;=45, B2299&lt;=54), "45-54",
  B2299&gt;=55, "55+"
)</f>
        <v>55+</v>
      </c>
      <c r="D2299" t="s">
        <v>19</v>
      </c>
      <c r="E2299" t="s">
        <v>131</v>
      </c>
      <c r="F2299" t="s">
        <v>21</v>
      </c>
      <c r="G2299">
        <v>83</v>
      </c>
      <c r="H2299" t="s">
        <v>99</v>
      </c>
      <c r="I2299" t="s">
        <v>45</v>
      </c>
      <c r="J2299" t="s">
        <v>121</v>
      </c>
      <c r="K2299" t="s">
        <v>54</v>
      </c>
      <c r="L2299">
        <v>4.7</v>
      </c>
      <c r="M2299" t="s">
        <v>152</v>
      </c>
      <c r="N2299" t="s">
        <v>46</v>
      </c>
      <c r="O2299" t="s">
        <v>55</v>
      </c>
      <c r="P2299" t="s">
        <v>152</v>
      </c>
      <c r="Q2299" t="s">
        <v>152</v>
      </c>
      <c r="R2299">
        <v>1</v>
      </c>
      <c r="S2299" t="s">
        <v>34</v>
      </c>
      <c r="T2299" t="str">
        <f t="shared" si="70"/>
        <v>Quarterly</v>
      </c>
      <c r="U2299">
        <f>VLOOKUP(T2299,[1]tablescore!$B$3:$C$8, 2,FALSE)</f>
        <v>4</v>
      </c>
      <c r="V2299" t="str">
        <f t="shared" si="71"/>
        <v>Low Loyalty</v>
      </c>
      <c r="W2299" t="s">
        <v>60</v>
      </c>
    </row>
    <row r="2300" spans="1:23" x14ac:dyDescent="0.25">
      <c r="A2300">
        <v>2299</v>
      </c>
      <c r="B2300">
        <v>40</v>
      </c>
      <c r="C2300" t="str" cm="1">
        <f t="array" ref="C2300">_xlfn.IFS(
  AND(B2300&gt;=18, B2300&lt;=24), "18-24",
  AND(B2300&gt;=25, B2300&lt;=34), "25-34",
  AND(B2300&gt;=35, B2300&lt;=44), "35-44",
  AND(B2300&gt;=45, B2300&lt;=54), "45-54",
  B2300&gt;=55, "55+"
)</f>
        <v>35-44</v>
      </c>
      <c r="D2300" t="s">
        <v>19</v>
      </c>
      <c r="E2300" t="s">
        <v>68</v>
      </c>
      <c r="F2300" t="s">
        <v>69</v>
      </c>
      <c r="G2300">
        <v>87</v>
      </c>
      <c r="H2300" t="s">
        <v>57</v>
      </c>
      <c r="I2300" t="s">
        <v>23</v>
      </c>
      <c r="J2300" t="s">
        <v>109</v>
      </c>
      <c r="K2300" t="s">
        <v>39</v>
      </c>
      <c r="L2300">
        <v>2.9</v>
      </c>
      <c r="M2300" t="s">
        <v>152</v>
      </c>
      <c r="N2300" t="s">
        <v>46</v>
      </c>
      <c r="O2300" t="s">
        <v>72</v>
      </c>
      <c r="P2300" t="s">
        <v>152</v>
      </c>
      <c r="Q2300" t="s">
        <v>152</v>
      </c>
      <c r="R2300">
        <v>10</v>
      </c>
      <c r="S2300" t="s">
        <v>35</v>
      </c>
      <c r="T2300" t="str">
        <f t="shared" si="70"/>
        <v>Quarterly</v>
      </c>
      <c r="U2300">
        <f>VLOOKUP(T2300,[1]tablescore!$B$3:$C$8, 2,FALSE)</f>
        <v>4</v>
      </c>
      <c r="V2300" t="str">
        <f t="shared" si="71"/>
        <v>Low Loyalty</v>
      </c>
      <c r="W2300" t="s">
        <v>97</v>
      </c>
    </row>
    <row r="2301" spans="1:23" x14ac:dyDescent="0.25">
      <c r="A2301">
        <v>2300</v>
      </c>
      <c r="B2301">
        <v>64</v>
      </c>
      <c r="C2301" t="str" cm="1">
        <f t="array" ref="C2301">_xlfn.IFS(
  AND(B2301&gt;=18, B2301&lt;=24), "18-24",
  AND(B2301&gt;=25, B2301&lt;=34), "25-34",
  AND(B2301&gt;=35, B2301&lt;=44), "35-44",
  AND(B2301&gt;=45, B2301&lt;=54), "45-54",
  B2301&gt;=55, "55+"
)</f>
        <v>55+</v>
      </c>
      <c r="D2301" t="s">
        <v>19</v>
      </c>
      <c r="E2301" t="s">
        <v>64</v>
      </c>
      <c r="F2301" t="s">
        <v>65</v>
      </c>
      <c r="G2301">
        <v>57</v>
      </c>
      <c r="H2301" t="s">
        <v>144</v>
      </c>
      <c r="I2301" t="s">
        <v>45</v>
      </c>
      <c r="J2301" t="s">
        <v>84</v>
      </c>
      <c r="K2301" t="s">
        <v>54</v>
      </c>
      <c r="L2301">
        <v>3.7</v>
      </c>
      <c r="M2301" t="s">
        <v>152</v>
      </c>
      <c r="N2301" t="s">
        <v>59</v>
      </c>
      <c r="O2301" t="s">
        <v>76</v>
      </c>
      <c r="P2301" t="s">
        <v>152</v>
      </c>
      <c r="Q2301" t="s">
        <v>152</v>
      </c>
      <c r="R2301">
        <v>48</v>
      </c>
      <c r="S2301" t="s">
        <v>27</v>
      </c>
      <c r="T2301" t="str">
        <f t="shared" si="70"/>
        <v>Quarterly</v>
      </c>
      <c r="U2301">
        <f>VLOOKUP(T2301,[1]tablescore!$B$3:$C$8, 2,FALSE)</f>
        <v>4</v>
      </c>
      <c r="V2301" t="str">
        <f t="shared" si="71"/>
        <v>Low Loyalty</v>
      </c>
      <c r="W2301" t="s">
        <v>97</v>
      </c>
    </row>
    <row r="2302" spans="1:23" x14ac:dyDescent="0.25">
      <c r="A2302">
        <v>2301</v>
      </c>
      <c r="B2302">
        <v>18</v>
      </c>
      <c r="C2302" t="str" cm="1">
        <f t="array" ref="C2302">_xlfn.IFS(
  AND(B2302&gt;=18, B2302&lt;=24), "18-24",
  AND(B2302&gt;=25, B2302&lt;=34), "25-34",
  AND(B2302&gt;=35, B2302&lt;=44), "35-44",
  AND(B2302&gt;=45, B2302&lt;=54), "45-54",
  B2302&gt;=55, "55+"
)</f>
        <v>18-24</v>
      </c>
      <c r="D2302" t="s">
        <v>19</v>
      </c>
      <c r="E2302" t="s">
        <v>64</v>
      </c>
      <c r="F2302" t="s">
        <v>65</v>
      </c>
      <c r="G2302">
        <v>88</v>
      </c>
      <c r="H2302" t="s">
        <v>141</v>
      </c>
      <c r="I2302" t="s">
        <v>92</v>
      </c>
      <c r="J2302" t="s">
        <v>93</v>
      </c>
      <c r="K2302" t="s">
        <v>54</v>
      </c>
      <c r="L2302">
        <v>4.4000000000000004</v>
      </c>
      <c r="M2302" t="s">
        <v>152</v>
      </c>
      <c r="N2302" t="s">
        <v>29</v>
      </c>
      <c r="O2302" t="s">
        <v>72</v>
      </c>
      <c r="P2302" t="s">
        <v>152</v>
      </c>
      <c r="Q2302" t="s">
        <v>152</v>
      </c>
      <c r="R2302">
        <v>38</v>
      </c>
      <c r="S2302" t="s">
        <v>27</v>
      </c>
      <c r="T2302" t="str">
        <f t="shared" si="70"/>
        <v>Month</v>
      </c>
      <c r="U2302">
        <f>VLOOKUP(T2302,[1]tablescore!$B$3:$C$8, 2,FALSE)</f>
        <v>12</v>
      </c>
      <c r="V2302" t="str">
        <f t="shared" si="71"/>
        <v>Moderate</v>
      </c>
      <c r="W2302" t="s">
        <v>88</v>
      </c>
    </row>
    <row r="2303" spans="1:23" x14ac:dyDescent="0.25">
      <c r="A2303">
        <v>2302</v>
      </c>
      <c r="B2303">
        <v>37</v>
      </c>
      <c r="C2303" t="str" cm="1">
        <f t="array" ref="C2303">_xlfn.IFS(
  AND(B2303&gt;=18, B2303&lt;=24), "18-24",
  AND(B2303&gt;=25, B2303&lt;=34), "25-34",
  AND(B2303&gt;=35, B2303&lt;=44), "35-44",
  AND(B2303&gt;=45, B2303&lt;=54), "45-54",
  B2303&gt;=55, "55+"
)</f>
        <v>35-44</v>
      </c>
      <c r="D2303" t="s">
        <v>19</v>
      </c>
      <c r="E2303" t="s">
        <v>95</v>
      </c>
      <c r="F2303" t="s">
        <v>21</v>
      </c>
      <c r="G2303">
        <v>20</v>
      </c>
      <c r="H2303" t="s">
        <v>32</v>
      </c>
      <c r="I2303" t="s">
        <v>23</v>
      </c>
      <c r="J2303" t="s">
        <v>49</v>
      </c>
      <c r="K2303" t="s">
        <v>25</v>
      </c>
      <c r="L2303">
        <v>2.9</v>
      </c>
      <c r="M2303" t="s">
        <v>152</v>
      </c>
      <c r="N2303" t="s">
        <v>59</v>
      </c>
      <c r="O2303" t="s">
        <v>47</v>
      </c>
      <c r="P2303" t="s">
        <v>152</v>
      </c>
      <c r="Q2303" t="s">
        <v>152</v>
      </c>
      <c r="R2303">
        <v>21</v>
      </c>
      <c r="S2303" t="s">
        <v>59</v>
      </c>
      <c r="T2303" t="str">
        <f t="shared" si="70"/>
        <v>Annually</v>
      </c>
      <c r="U2303">
        <f>VLOOKUP(T2303,[1]tablescore!$B$3:$C$8, 2,FALSE)</f>
        <v>1</v>
      </c>
      <c r="V2303" t="str">
        <f t="shared" si="71"/>
        <v>Low Loyalty</v>
      </c>
      <c r="W2303" t="s">
        <v>50</v>
      </c>
    </row>
    <row r="2304" spans="1:23" x14ac:dyDescent="0.25">
      <c r="A2304">
        <v>2303</v>
      </c>
      <c r="B2304">
        <v>36</v>
      </c>
      <c r="C2304" t="str" cm="1">
        <f t="array" ref="C2304">_xlfn.IFS(
  AND(B2304&gt;=18, B2304&lt;=24), "18-24",
  AND(B2304&gt;=25, B2304&lt;=34), "25-34",
  AND(B2304&gt;=35, B2304&lt;=44), "35-44",
  AND(B2304&gt;=45, B2304&lt;=54), "45-54",
  B2304&gt;=55, "55+"
)</f>
        <v>35-44</v>
      </c>
      <c r="D2304" t="s">
        <v>19</v>
      </c>
      <c r="E2304" t="s">
        <v>136</v>
      </c>
      <c r="F2304" t="s">
        <v>69</v>
      </c>
      <c r="G2304">
        <v>39</v>
      </c>
      <c r="H2304" t="s">
        <v>57</v>
      </c>
      <c r="I2304" t="s">
        <v>23</v>
      </c>
      <c r="J2304" t="s">
        <v>71</v>
      </c>
      <c r="K2304" t="s">
        <v>54</v>
      </c>
      <c r="L2304">
        <v>3.6</v>
      </c>
      <c r="M2304" t="s">
        <v>152</v>
      </c>
      <c r="N2304" t="s">
        <v>35</v>
      </c>
      <c r="O2304" t="s">
        <v>76</v>
      </c>
      <c r="P2304" t="s">
        <v>152</v>
      </c>
      <c r="Q2304" t="s">
        <v>152</v>
      </c>
      <c r="R2304">
        <v>38</v>
      </c>
      <c r="S2304" t="s">
        <v>29</v>
      </c>
      <c r="T2304" t="str">
        <f t="shared" si="70"/>
        <v>Month</v>
      </c>
      <c r="U2304">
        <f>VLOOKUP(T2304,[1]tablescore!$B$3:$C$8, 2,FALSE)</f>
        <v>12</v>
      </c>
      <c r="V2304" t="str">
        <f t="shared" si="71"/>
        <v>Moderate</v>
      </c>
      <c r="W2304" t="s">
        <v>88</v>
      </c>
    </row>
    <row r="2305" spans="1:23" x14ac:dyDescent="0.25">
      <c r="A2305">
        <v>2304</v>
      </c>
      <c r="B2305">
        <v>51</v>
      </c>
      <c r="C2305" t="str" cm="1">
        <f t="array" ref="C2305">_xlfn.IFS(
  AND(B2305&gt;=18, B2305&lt;=24), "18-24",
  AND(B2305&gt;=25, B2305&lt;=34), "25-34",
  AND(B2305&gt;=35, B2305&lt;=44), "35-44",
  AND(B2305&gt;=45, B2305&lt;=54), "45-54",
  B2305&gt;=55, "55+"
)</f>
        <v>45-54</v>
      </c>
      <c r="D2305" t="s">
        <v>19</v>
      </c>
      <c r="E2305" t="s">
        <v>89</v>
      </c>
      <c r="F2305" t="s">
        <v>69</v>
      </c>
      <c r="G2305">
        <v>71</v>
      </c>
      <c r="H2305" t="s">
        <v>137</v>
      </c>
      <c r="I2305" t="s">
        <v>38</v>
      </c>
      <c r="J2305" t="s">
        <v>118</v>
      </c>
      <c r="K2305" t="s">
        <v>39</v>
      </c>
      <c r="L2305">
        <v>4.8</v>
      </c>
      <c r="M2305" t="s">
        <v>152</v>
      </c>
      <c r="N2305" t="s">
        <v>34</v>
      </c>
      <c r="O2305" t="s">
        <v>72</v>
      </c>
      <c r="P2305" t="s">
        <v>152</v>
      </c>
      <c r="Q2305" t="s">
        <v>152</v>
      </c>
      <c r="R2305">
        <v>31</v>
      </c>
      <c r="S2305" t="s">
        <v>27</v>
      </c>
      <c r="T2305" t="str">
        <f t="shared" si="70"/>
        <v>2-week</v>
      </c>
      <c r="U2305">
        <f>VLOOKUP(T2305,[1]tablescore!$B$3:$C$8, 2,FALSE)</f>
        <v>26</v>
      </c>
      <c r="V2305" t="str">
        <f t="shared" si="71"/>
        <v>Loyal</v>
      </c>
      <c r="W2305" t="s">
        <v>30</v>
      </c>
    </row>
    <row r="2306" spans="1:23" x14ac:dyDescent="0.25">
      <c r="A2306">
        <v>2305</v>
      </c>
      <c r="B2306">
        <v>26</v>
      </c>
      <c r="C2306" t="str" cm="1">
        <f t="array" ref="C2306">_xlfn.IFS(
  AND(B2306&gt;=18, B2306&lt;=24), "18-24",
  AND(B2306&gt;=25, B2306&lt;=34), "25-34",
  AND(B2306&gt;=35, B2306&lt;=44), "35-44",
  AND(B2306&gt;=45, B2306&lt;=54), "45-54",
  B2306&gt;=55, "55+"
)</f>
        <v>25-34</v>
      </c>
      <c r="D2306" t="s">
        <v>19</v>
      </c>
      <c r="E2306" t="s">
        <v>104</v>
      </c>
      <c r="F2306" t="s">
        <v>21</v>
      </c>
      <c r="G2306">
        <v>73</v>
      </c>
      <c r="H2306" t="s">
        <v>62</v>
      </c>
      <c r="I2306" t="s">
        <v>23</v>
      </c>
      <c r="J2306" t="s">
        <v>67</v>
      </c>
      <c r="K2306" t="s">
        <v>25</v>
      </c>
      <c r="L2306">
        <v>4.7</v>
      </c>
      <c r="M2306" t="s">
        <v>152</v>
      </c>
      <c r="N2306" t="s">
        <v>34</v>
      </c>
      <c r="O2306" t="s">
        <v>40</v>
      </c>
      <c r="P2306" t="s">
        <v>152</v>
      </c>
      <c r="Q2306" t="s">
        <v>152</v>
      </c>
      <c r="R2306">
        <v>9</v>
      </c>
      <c r="S2306" t="s">
        <v>59</v>
      </c>
      <c r="T2306" t="str">
        <f t="shared" si="70"/>
        <v>2-week</v>
      </c>
      <c r="U2306">
        <f>VLOOKUP(T2306,[1]tablescore!$B$3:$C$8, 2,FALSE)</f>
        <v>26</v>
      </c>
      <c r="V2306" t="str">
        <f t="shared" si="71"/>
        <v>Loyal</v>
      </c>
      <c r="W2306" t="s">
        <v>30</v>
      </c>
    </row>
    <row r="2307" spans="1:23" x14ac:dyDescent="0.25">
      <c r="A2307">
        <v>2306</v>
      </c>
      <c r="B2307">
        <v>68</v>
      </c>
      <c r="C2307" t="str" cm="1">
        <f t="array" ref="C2307">_xlfn.IFS(
  AND(B2307&gt;=18, B2307&lt;=24), "18-24",
  AND(B2307&gt;=25, B2307&lt;=34), "25-34",
  AND(B2307&gt;=35, B2307&lt;=44), "35-44",
  AND(B2307&gt;=45, B2307&lt;=54), "45-54",
  B2307&gt;=55, "55+"
)</f>
        <v>55+</v>
      </c>
      <c r="D2307" t="s">
        <v>19</v>
      </c>
      <c r="E2307" t="s">
        <v>68</v>
      </c>
      <c r="F2307" t="s">
        <v>69</v>
      </c>
      <c r="G2307">
        <v>63</v>
      </c>
      <c r="H2307" t="s">
        <v>32</v>
      </c>
      <c r="I2307" t="s">
        <v>45</v>
      </c>
      <c r="J2307" t="s">
        <v>81</v>
      </c>
      <c r="K2307" t="s">
        <v>54</v>
      </c>
      <c r="L2307">
        <v>2.6</v>
      </c>
      <c r="M2307" t="s">
        <v>152</v>
      </c>
      <c r="N2307" t="s">
        <v>35</v>
      </c>
      <c r="O2307" t="s">
        <v>40</v>
      </c>
      <c r="P2307" t="s">
        <v>152</v>
      </c>
      <c r="Q2307" t="s">
        <v>152</v>
      </c>
      <c r="R2307">
        <v>47</v>
      </c>
      <c r="S2307" t="s">
        <v>35</v>
      </c>
      <c r="T2307" t="str">
        <f t="shared" ref="T2307:T2370" si="72">IF(TRIM(W2307)="Every 3 months","Quarterly",IF(TRIM(W2307)="Fortnightly","2-week",IF(TRIM(W2307)="Bi-Weekly","2-week",IF(TRIM(W2307)="Weekly","Daily",IF(TRIM(W2307)="Monthly","Month",TRIM(W2307))))))</f>
        <v>Daily</v>
      </c>
      <c r="U2307">
        <f>VLOOKUP(T2307,[1]tablescore!$B$3:$C$8, 2,FALSE)</f>
        <v>30</v>
      </c>
      <c r="V2307" t="str">
        <f t="shared" ref="V2307:V2370" si="73">_xlfn.IFS(U2307&gt;=30, "Highly Loyal", U2307&gt;=26, "Loyal", U2307&gt;=12, "Moderate", U2307&lt;5, "Low Loyalty")</f>
        <v>Highly Loyal</v>
      </c>
      <c r="W2307" t="s">
        <v>41</v>
      </c>
    </row>
    <row r="2308" spans="1:23" x14ac:dyDescent="0.25">
      <c r="A2308">
        <v>2307</v>
      </c>
      <c r="B2308">
        <v>27</v>
      </c>
      <c r="C2308" t="str" cm="1">
        <f t="array" ref="C2308">_xlfn.IFS(
  AND(B2308&gt;=18, B2308&lt;=24), "18-24",
  AND(B2308&gt;=25, B2308&lt;=34), "25-34",
  AND(B2308&gt;=35, B2308&lt;=44), "35-44",
  AND(B2308&gt;=45, B2308&lt;=54), "45-54",
  B2308&gt;=55, "55+"
)</f>
        <v>25-34</v>
      </c>
      <c r="D2308" t="s">
        <v>19</v>
      </c>
      <c r="E2308" t="s">
        <v>127</v>
      </c>
      <c r="F2308" t="s">
        <v>69</v>
      </c>
      <c r="G2308">
        <v>78</v>
      </c>
      <c r="H2308" t="s">
        <v>103</v>
      </c>
      <c r="I2308" t="s">
        <v>23</v>
      </c>
      <c r="J2308" t="s">
        <v>67</v>
      </c>
      <c r="K2308" t="s">
        <v>25</v>
      </c>
      <c r="L2308">
        <v>3.4</v>
      </c>
      <c r="M2308" t="s">
        <v>152</v>
      </c>
      <c r="N2308" t="s">
        <v>35</v>
      </c>
      <c r="O2308" t="s">
        <v>55</v>
      </c>
      <c r="P2308" t="s">
        <v>152</v>
      </c>
      <c r="Q2308" t="s">
        <v>152</v>
      </c>
      <c r="R2308">
        <v>8</v>
      </c>
      <c r="S2308" t="s">
        <v>35</v>
      </c>
      <c r="T2308" t="str">
        <f t="shared" si="72"/>
        <v>2-week</v>
      </c>
      <c r="U2308">
        <f>VLOOKUP(T2308,[1]tablescore!$B$3:$C$8, 2,FALSE)</f>
        <v>26</v>
      </c>
      <c r="V2308" t="str">
        <f t="shared" si="73"/>
        <v>Loyal</v>
      </c>
      <c r="W2308" t="s">
        <v>77</v>
      </c>
    </row>
    <row r="2309" spans="1:23" x14ac:dyDescent="0.25">
      <c r="A2309">
        <v>2308</v>
      </c>
      <c r="B2309">
        <v>28</v>
      </c>
      <c r="C2309" t="str" cm="1">
        <f t="array" ref="C2309">_xlfn.IFS(
  AND(B2309&gt;=18, B2309&lt;=24), "18-24",
  AND(B2309&gt;=25, B2309&lt;=34), "25-34",
  AND(B2309&gt;=35, B2309&lt;=44), "35-44",
  AND(B2309&gt;=45, B2309&lt;=54), "45-54",
  B2309&gt;=55, "55+"
)</f>
        <v>25-34</v>
      </c>
      <c r="D2309" t="s">
        <v>19</v>
      </c>
      <c r="E2309" t="s">
        <v>87</v>
      </c>
      <c r="F2309" t="s">
        <v>21</v>
      </c>
      <c r="G2309">
        <v>96</v>
      </c>
      <c r="H2309" t="s">
        <v>70</v>
      </c>
      <c r="I2309" t="s">
        <v>23</v>
      </c>
      <c r="J2309" t="s">
        <v>96</v>
      </c>
      <c r="K2309" t="s">
        <v>58</v>
      </c>
      <c r="L2309">
        <v>3.5</v>
      </c>
      <c r="M2309" t="s">
        <v>152</v>
      </c>
      <c r="N2309" t="s">
        <v>34</v>
      </c>
      <c r="O2309" t="s">
        <v>47</v>
      </c>
      <c r="P2309" t="s">
        <v>152</v>
      </c>
      <c r="Q2309" t="s">
        <v>152</v>
      </c>
      <c r="R2309">
        <v>30</v>
      </c>
      <c r="S2309" t="s">
        <v>59</v>
      </c>
      <c r="T2309" t="str">
        <f t="shared" si="72"/>
        <v>Annually</v>
      </c>
      <c r="U2309">
        <f>VLOOKUP(T2309,[1]tablescore!$B$3:$C$8, 2,FALSE)</f>
        <v>1</v>
      </c>
      <c r="V2309" t="str">
        <f t="shared" si="73"/>
        <v>Low Loyalty</v>
      </c>
      <c r="W2309" t="s">
        <v>50</v>
      </c>
    </row>
    <row r="2310" spans="1:23" x14ac:dyDescent="0.25">
      <c r="A2310">
        <v>2309</v>
      </c>
      <c r="B2310">
        <v>49</v>
      </c>
      <c r="C2310" t="str" cm="1">
        <f t="array" ref="C2310">_xlfn.IFS(
  AND(B2310&gt;=18, B2310&lt;=24), "18-24",
  AND(B2310&gt;=25, B2310&lt;=34), "25-34",
  AND(B2310&gt;=35, B2310&lt;=44), "35-44",
  AND(B2310&gt;=45, B2310&lt;=54), "45-54",
  B2310&gt;=55, "55+"
)</f>
        <v>45-54</v>
      </c>
      <c r="D2310" t="s">
        <v>19</v>
      </c>
      <c r="E2310" t="s">
        <v>89</v>
      </c>
      <c r="F2310" t="s">
        <v>69</v>
      </c>
      <c r="G2310">
        <v>81</v>
      </c>
      <c r="H2310" t="s">
        <v>114</v>
      </c>
      <c r="I2310" t="s">
        <v>45</v>
      </c>
      <c r="J2310" t="s">
        <v>86</v>
      </c>
      <c r="K2310" t="s">
        <v>25</v>
      </c>
      <c r="L2310">
        <v>3.4</v>
      </c>
      <c r="M2310" t="s">
        <v>152</v>
      </c>
      <c r="N2310" t="s">
        <v>34</v>
      </c>
      <c r="O2310" t="s">
        <v>72</v>
      </c>
      <c r="P2310" t="s">
        <v>152</v>
      </c>
      <c r="Q2310" t="s">
        <v>152</v>
      </c>
      <c r="R2310">
        <v>22</v>
      </c>
      <c r="S2310" t="s">
        <v>34</v>
      </c>
      <c r="T2310" t="str">
        <f t="shared" si="72"/>
        <v>Quarterly</v>
      </c>
      <c r="U2310">
        <f>VLOOKUP(T2310,[1]tablescore!$B$3:$C$8, 2,FALSE)</f>
        <v>4</v>
      </c>
      <c r="V2310" t="str">
        <f t="shared" si="73"/>
        <v>Low Loyalty</v>
      </c>
      <c r="W2310" t="s">
        <v>60</v>
      </c>
    </row>
    <row r="2311" spans="1:23" x14ac:dyDescent="0.25">
      <c r="A2311">
        <v>2310</v>
      </c>
      <c r="B2311">
        <v>70</v>
      </c>
      <c r="C2311" t="str" cm="1">
        <f t="array" ref="C2311">_xlfn.IFS(
  AND(B2311&gt;=18, B2311&lt;=24), "18-24",
  AND(B2311&gt;=25, B2311&lt;=34), "25-34",
  AND(B2311&gt;=35, B2311&lt;=44), "35-44",
  AND(B2311&gt;=45, B2311&lt;=54), "45-54",
  B2311&gt;=55, "55+"
)</f>
        <v>55+</v>
      </c>
      <c r="D2311" t="s">
        <v>19</v>
      </c>
      <c r="E2311" t="s">
        <v>82</v>
      </c>
      <c r="F2311" t="s">
        <v>21</v>
      </c>
      <c r="G2311">
        <v>95</v>
      </c>
      <c r="H2311" t="s">
        <v>146</v>
      </c>
      <c r="I2311" t="s">
        <v>38</v>
      </c>
      <c r="J2311" t="s">
        <v>81</v>
      </c>
      <c r="K2311" t="s">
        <v>58</v>
      </c>
      <c r="L2311">
        <v>5</v>
      </c>
      <c r="M2311" t="s">
        <v>152</v>
      </c>
      <c r="N2311" t="s">
        <v>35</v>
      </c>
      <c r="O2311" t="s">
        <v>72</v>
      </c>
      <c r="P2311" t="s">
        <v>152</v>
      </c>
      <c r="Q2311" t="s">
        <v>152</v>
      </c>
      <c r="R2311">
        <v>3</v>
      </c>
      <c r="S2311" t="s">
        <v>34</v>
      </c>
      <c r="T2311" t="str">
        <f t="shared" si="72"/>
        <v>Quarterly</v>
      </c>
      <c r="U2311">
        <f>VLOOKUP(T2311,[1]tablescore!$B$3:$C$8, 2,FALSE)</f>
        <v>4</v>
      </c>
      <c r="V2311" t="str">
        <f t="shared" si="73"/>
        <v>Low Loyalty</v>
      </c>
      <c r="W2311" t="s">
        <v>60</v>
      </c>
    </row>
    <row r="2312" spans="1:23" x14ac:dyDescent="0.25">
      <c r="A2312">
        <v>2311</v>
      </c>
      <c r="B2312">
        <v>30</v>
      </c>
      <c r="C2312" t="str" cm="1">
        <f t="array" ref="C2312">_xlfn.IFS(
  AND(B2312&gt;=18, B2312&lt;=24), "18-24",
  AND(B2312&gt;=25, B2312&lt;=34), "25-34",
  AND(B2312&gt;=35, B2312&lt;=44), "35-44",
  AND(B2312&gt;=45, B2312&lt;=54), "45-54",
  B2312&gt;=55, "55+"
)</f>
        <v>25-34</v>
      </c>
      <c r="D2312" t="s">
        <v>19</v>
      </c>
      <c r="E2312" t="s">
        <v>127</v>
      </c>
      <c r="F2312" t="s">
        <v>69</v>
      </c>
      <c r="G2312">
        <v>68</v>
      </c>
      <c r="H2312" t="s">
        <v>128</v>
      </c>
      <c r="I2312" t="s">
        <v>45</v>
      </c>
      <c r="J2312" t="s">
        <v>109</v>
      </c>
      <c r="K2312" t="s">
        <v>39</v>
      </c>
      <c r="L2312">
        <v>4.5999999999999996</v>
      </c>
      <c r="M2312" t="s">
        <v>152</v>
      </c>
      <c r="N2312" t="s">
        <v>27</v>
      </c>
      <c r="O2312" t="s">
        <v>55</v>
      </c>
      <c r="P2312" t="s">
        <v>152</v>
      </c>
      <c r="Q2312" t="s">
        <v>152</v>
      </c>
      <c r="R2312">
        <v>15</v>
      </c>
      <c r="S2312" t="s">
        <v>46</v>
      </c>
      <c r="T2312" t="str">
        <f t="shared" si="72"/>
        <v>Month</v>
      </c>
      <c r="U2312">
        <f>VLOOKUP(T2312,[1]tablescore!$B$3:$C$8, 2,FALSE)</f>
        <v>12</v>
      </c>
      <c r="V2312" t="str">
        <f t="shared" si="73"/>
        <v>Moderate</v>
      </c>
      <c r="W2312" t="s">
        <v>88</v>
      </c>
    </row>
    <row r="2313" spans="1:23" x14ac:dyDescent="0.25">
      <c r="A2313">
        <v>2312</v>
      </c>
      <c r="B2313">
        <v>27</v>
      </c>
      <c r="C2313" t="str" cm="1">
        <f t="array" ref="C2313">_xlfn.IFS(
  AND(B2313&gt;=18, B2313&lt;=24), "18-24",
  AND(B2313&gt;=25, B2313&lt;=34), "25-34",
  AND(B2313&gt;=35, B2313&lt;=44), "35-44",
  AND(B2313&gt;=45, B2313&lt;=54), "45-54",
  B2313&gt;=55, "55+"
)</f>
        <v>25-34</v>
      </c>
      <c r="D2313" t="s">
        <v>19</v>
      </c>
      <c r="E2313" t="s">
        <v>51</v>
      </c>
      <c r="F2313" t="s">
        <v>43</v>
      </c>
      <c r="G2313">
        <v>28</v>
      </c>
      <c r="H2313" t="s">
        <v>57</v>
      </c>
      <c r="I2313" t="s">
        <v>23</v>
      </c>
      <c r="J2313" t="s">
        <v>81</v>
      </c>
      <c r="K2313" t="s">
        <v>39</v>
      </c>
      <c r="L2313">
        <v>4.8</v>
      </c>
      <c r="M2313" t="s">
        <v>152</v>
      </c>
      <c r="N2313" t="s">
        <v>46</v>
      </c>
      <c r="O2313" t="s">
        <v>72</v>
      </c>
      <c r="P2313" t="s">
        <v>152</v>
      </c>
      <c r="Q2313" t="s">
        <v>152</v>
      </c>
      <c r="R2313">
        <v>10</v>
      </c>
      <c r="S2313" t="s">
        <v>34</v>
      </c>
      <c r="T2313" t="str">
        <f t="shared" si="72"/>
        <v>Quarterly</v>
      </c>
      <c r="U2313">
        <f>VLOOKUP(T2313,[1]tablescore!$B$3:$C$8, 2,FALSE)</f>
        <v>4</v>
      </c>
      <c r="V2313" t="str">
        <f t="shared" si="73"/>
        <v>Low Loyalty</v>
      </c>
      <c r="W2313" t="s">
        <v>97</v>
      </c>
    </row>
    <row r="2314" spans="1:23" x14ac:dyDescent="0.25">
      <c r="A2314">
        <v>2313</v>
      </c>
      <c r="B2314">
        <v>19</v>
      </c>
      <c r="C2314" t="str" cm="1">
        <f t="array" ref="C2314">_xlfn.IFS(
  AND(B2314&gt;=18, B2314&lt;=24), "18-24",
  AND(B2314&gt;=25, B2314&lt;=34), "25-34",
  AND(B2314&gt;=35, B2314&lt;=44), "35-44",
  AND(B2314&gt;=45, B2314&lt;=54), "45-54",
  B2314&gt;=55, "55+"
)</f>
        <v>18-24</v>
      </c>
      <c r="D2314" t="s">
        <v>19</v>
      </c>
      <c r="E2314" t="s">
        <v>113</v>
      </c>
      <c r="F2314" t="s">
        <v>21</v>
      </c>
      <c r="G2314">
        <v>30</v>
      </c>
      <c r="H2314" t="s">
        <v>145</v>
      </c>
      <c r="I2314" t="s">
        <v>23</v>
      </c>
      <c r="J2314" t="s">
        <v>84</v>
      </c>
      <c r="K2314" t="s">
        <v>54</v>
      </c>
      <c r="L2314">
        <v>3.7</v>
      </c>
      <c r="M2314" t="s">
        <v>152</v>
      </c>
      <c r="N2314" t="s">
        <v>46</v>
      </c>
      <c r="O2314" t="s">
        <v>40</v>
      </c>
      <c r="P2314" t="s">
        <v>152</v>
      </c>
      <c r="Q2314" t="s">
        <v>152</v>
      </c>
      <c r="R2314">
        <v>19</v>
      </c>
      <c r="S2314" t="s">
        <v>35</v>
      </c>
      <c r="T2314" t="str">
        <f t="shared" si="72"/>
        <v>Quarterly</v>
      </c>
      <c r="U2314">
        <f>VLOOKUP(T2314,[1]tablescore!$B$3:$C$8, 2,FALSE)</f>
        <v>4</v>
      </c>
      <c r="V2314" t="str">
        <f t="shared" si="73"/>
        <v>Low Loyalty</v>
      </c>
      <c r="W2314" t="s">
        <v>97</v>
      </c>
    </row>
    <row r="2315" spans="1:23" x14ac:dyDescent="0.25">
      <c r="A2315">
        <v>2314</v>
      </c>
      <c r="B2315">
        <v>64</v>
      </c>
      <c r="C2315" t="str" cm="1">
        <f t="array" ref="C2315">_xlfn.IFS(
  AND(B2315&gt;=18, B2315&lt;=24), "18-24",
  AND(B2315&gt;=25, B2315&lt;=34), "25-34",
  AND(B2315&gt;=35, B2315&lt;=44), "35-44",
  AND(B2315&gt;=45, B2315&lt;=54), "45-54",
  B2315&gt;=55, "55+"
)</f>
        <v>55+</v>
      </c>
      <c r="D2315" t="s">
        <v>19</v>
      </c>
      <c r="E2315" t="s">
        <v>82</v>
      </c>
      <c r="F2315" t="s">
        <v>21</v>
      </c>
      <c r="G2315">
        <v>31</v>
      </c>
      <c r="H2315" t="s">
        <v>142</v>
      </c>
      <c r="I2315" t="s">
        <v>45</v>
      </c>
      <c r="J2315" t="s">
        <v>94</v>
      </c>
      <c r="K2315" t="s">
        <v>54</v>
      </c>
      <c r="L2315">
        <v>4.7</v>
      </c>
      <c r="M2315" t="s">
        <v>152</v>
      </c>
      <c r="N2315" t="s">
        <v>29</v>
      </c>
      <c r="O2315" t="s">
        <v>47</v>
      </c>
      <c r="P2315" t="s">
        <v>152</v>
      </c>
      <c r="Q2315" t="s">
        <v>152</v>
      </c>
      <c r="R2315">
        <v>36</v>
      </c>
      <c r="S2315" t="s">
        <v>34</v>
      </c>
      <c r="T2315" t="str">
        <f t="shared" si="72"/>
        <v>2-week</v>
      </c>
      <c r="U2315">
        <f>VLOOKUP(T2315,[1]tablescore!$B$3:$C$8, 2,FALSE)</f>
        <v>26</v>
      </c>
      <c r="V2315" t="str">
        <f t="shared" si="73"/>
        <v>Loyal</v>
      </c>
      <c r="W2315" t="s">
        <v>30</v>
      </c>
    </row>
    <row r="2316" spans="1:23" x14ac:dyDescent="0.25">
      <c r="A2316">
        <v>2315</v>
      </c>
      <c r="B2316">
        <v>42</v>
      </c>
      <c r="C2316" t="str" cm="1">
        <f t="array" ref="C2316">_xlfn.IFS(
  AND(B2316&gt;=18, B2316&lt;=24), "18-24",
  AND(B2316&gt;=25, B2316&lt;=34), "25-34",
  AND(B2316&gt;=35, B2316&lt;=44), "35-44",
  AND(B2316&gt;=45, B2316&lt;=54), "45-54",
  B2316&gt;=55, "55+"
)</f>
        <v>35-44</v>
      </c>
      <c r="D2316" t="s">
        <v>19</v>
      </c>
      <c r="E2316" t="s">
        <v>68</v>
      </c>
      <c r="F2316" t="s">
        <v>69</v>
      </c>
      <c r="G2316">
        <v>95</v>
      </c>
      <c r="H2316" t="s">
        <v>128</v>
      </c>
      <c r="I2316" t="s">
        <v>92</v>
      </c>
      <c r="J2316" t="s">
        <v>110</v>
      </c>
      <c r="K2316" t="s">
        <v>25</v>
      </c>
      <c r="L2316">
        <v>4.4000000000000004</v>
      </c>
      <c r="M2316" t="s">
        <v>152</v>
      </c>
      <c r="N2316" t="s">
        <v>29</v>
      </c>
      <c r="O2316" t="s">
        <v>28</v>
      </c>
      <c r="P2316" t="s">
        <v>152</v>
      </c>
      <c r="Q2316" t="s">
        <v>152</v>
      </c>
      <c r="R2316">
        <v>12</v>
      </c>
      <c r="S2316" t="s">
        <v>34</v>
      </c>
      <c r="T2316" t="str">
        <f t="shared" si="72"/>
        <v>Quarterly</v>
      </c>
      <c r="U2316">
        <f>VLOOKUP(T2316,[1]tablescore!$B$3:$C$8, 2,FALSE)</f>
        <v>4</v>
      </c>
      <c r="V2316" t="str">
        <f t="shared" si="73"/>
        <v>Low Loyalty</v>
      </c>
      <c r="W2316" t="s">
        <v>97</v>
      </c>
    </row>
    <row r="2317" spans="1:23" x14ac:dyDescent="0.25">
      <c r="A2317">
        <v>2316</v>
      </c>
      <c r="B2317">
        <v>69</v>
      </c>
      <c r="C2317" t="str" cm="1">
        <f t="array" ref="C2317">_xlfn.IFS(
  AND(B2317&gt;=18, B2317&lt;=24), "18-24",
  AND(B2317&gt;=25, B2317&lt;=34), "25-34",
  AND(B2317&gt;=35, B2317&lt;=44), "35-44",
  AND(B2317&gt;=45, B2317&lt;=54), "45-54",
  B2317&gt;=55, "55+"
)</f>
        <v>55+</v>
      </c>
      <c r="D2317" t="s">
        <v>19</v>
      </c>
      <c r="E2317" t="s">
        <v>131</v>
      </c>
      <c r="F2317" t="s">
        <v>21</v>
      </c>
      <c r="G2317">
        <v>79</v>
      </c>
      <c r="H2317" t="s">
        <v>145</v>
      </c>
      <c r="I2317" t="s">
        <v>45</v>
      </c>
      <c r="J2317" t="s">
        <v>129</v>
      </c>
      <c r="K2317" t="s">
        <v>25</v>
      </c>
      <c r="L2317">
        <v>3.5</v>
      </c>
      <c r="M2317" t="s">
        <v>152</v>
      </c>
      <c r="N2317" t="s">
        <v>35</v>
      </c>
      <c r="O2317" t="s">
        <v>72</v>
      </c>
      <c r="P2317" t="s">
        <v>152</v>
      </c>
      <c r="Q2317" t="s">
        <v>152</v>
      </c>
      <c r="R2317">
        <v>49</v>
      </c>
      <c r="S2317" t="s">
        <v>59</v>
      </c>
      <c r="T2317" t="str">
        <f t="shared" si="72"/>
        <v>Quarterly</v>
      </c>
      <c r="U2317">
        <f>VLOOKUP(T2317,[1]tablescore!$B$3:$C$8, 2,FALSE)</f>
        <v>4</v>
      </c>
      <c r="V2317" t="str">
        <f t="shared" si="73"/>
        <v>Low Loyalty</v>
      </c>
      <c r="W2317" t="s">
        <v>60</v>
      </c>
    </row>
    <row r="2318" spans="1:23" x14ac:dyDescent="0.25">
      <c r="A2318">
        <v>2317</v>
      </c>
      <c r="B2318">
        <v>28</v>
      </c>
      <c r="C2318" t="str" cm="1">
        <f t="array" ref="C2318">_xlfn.IFS(
  AND(B2318&gt;=18, B2318&lt;=24), "18-24",
  AND(B2318&gt;=25, B2318&lt;=34), "25-34",
  AND(B2318&gt;=35, B2318&lt;=44), "35-44",
  AND(B2318&gt;=45, B2318&lt;=54), "45-54",
  B2318&gt;=55, "55+"
)</f>
        <v>25-34</v>
      </c>
      <c r="D2318" t="s">
        <v>19</v>
      </c>
      <c r="E2318" t="s">
        <v>51</v>
      </c>
      <c r="F2318" t="s">
        <v>43</v>
      </c>
      <c r="G2318">
        <v>39</v>
      </c>
      <c r="H2318" t="s">
        <v>57</v>
      </c>
      <c r="I2318" t="s">
        <v>23</v>
      </c>
      <c r="J2318" t="s">
        <v>139</v>
      </c>
      <c r="K2318" t="s">
        <v>25</v>
      </c>
      <c r="L2318">
        <v>3.8</v>
      </c>
      <c r="M2318" t="s">
        <v>152</v>
      </c>
      <c r="N2318" t="s">
        <v>27</v>
      </c>
      <c r="O2318" t="s">
        <v>55</v>
      </c>
      <c r="P2318" t="s">
        <v>152</v>
      </c>
      <c r="Q2318" t="s">
        <v>152</v>
      </c>
      <c r="R2318">
        <v>7</v>
      </c>
      <c r="S2318" t="s">
        <v>59</v>
      </c>
      <c r="T2318" t="str">
        <f t="shared" si="72"/>
        <v>Annually</v>
      </c>
      <c r="U2318">
        <f>VLOOKUP(T2318,[1]tablescore!$B$3:$C$8, 2,FALSE)</f>
        <v>1</v>
      </c>
      <c r="V2318" t="str">
        <f t="shared" si="73"/>
        <v>Low Loyalty</v>
      </c>
      <c r="W2318" t="s">
        <v>50</v>
      </c>
    </row>
    <row r="2319" spans="1:23" x14ac:dyDescent="0.25">
      <c r="A2319">
        <v>2318</v>
      </c>
      <c r="B2319">
        <v>47</v>
      </c>
      <c r="C2319" t="str" cm="1">
        <f t="array" ref="C2319">_xlfn.IFS(
  AND(B2319&gt;=18, B2319&lt;=24), "18-24",
  AND(B2319&gt;=25, B2319&lt;=34), "25-34",
  AND(B2319&gt;=35, B2319&lt;=44), "35-44",
  AND(B2319&gt;=45, B2319&lt;=54), "45-54",
  B2319&gt;=55, "55+"
)</f>
        <v>45-54</v>
      </c>
      <c r="D2319" t="s">
        <v>19</v>
      </c>
      <c r="E2319" t="s">
        <v>102</v>
      </c>
      <c r="F2319" t="s">
        <v>65</v>
      </c>
      <c r="G2319">
        <v>34</v>
      </c>
      <c r="H2319" t="s">
        <v>137</v>
      </c>
      <c r="I2319" t="s">
        <v>45</v>
      </c>
      <c r="J2319" t="s">
        <v>75</v>
      </c>
      <c r="K2319" t="s">
        <v>54</v>
      </c>
      <c r="L2319">
        <v>4.7</v>
      </c>
      <c r="M2319" t="s">
        <v>152</v>
      </c>
      <c r="N2319" t="s">
        <v>59</v>
      </c>
      <c r="O2319" t="s">
        <v>47</v>
      </c>
      <c r="P2319" t="s">
        <v>152</v>
      </c>
      <c r="Q2319" t="s">
        <v>152</v>
      </c>
      <c r="R2319">
        <v>28</v>
      </c>
      <c r="S2319" t="s">
        <v>34</v>
      </c>
      <c r="T2319" t="str">
        <f t="shared" si="72"/>
        <v>Month</v>
      </c>
      <c r="U2319">
        <f>VLOOKUP(T2319,[1]tablescore!$B$3:$C$8, 2,FALSE)</f>
        <v>12</v>
      </c>
      <c r="V2319" t="str">
        <f t="shared" si="73"/>
        <v>Moderate</v>
      </c>
      <c r="W2319" t="s">
        <v>88</v>
      </c>
    </row>
    <row r="2320" spans="1:23" x14ac:dyDescent="0.25">
      <c r="A2320">
        <v>2319</v>
      </c>
      <c r="B2320">
        <v>69</v>
      </c>
      <c r="C2320" t="str" cm="1">
        <f t="array" ref="C2320">_xlfn.IFS(
  AND(B2320&gt;=18, B2320&lt;=24), "18-24",
  AND(B2320&gt;=25, B2320&lt;=34), "25-34",
  AND(B2320&gt;=35, B2320&lt;=44), "35-44",
  AND(B2320&gt;=45, B2320&lt;=54), "45-54",
  B2320&gt;=55, "55+"
)</f>
        <v>55+</v>
      </c>
      <c r="D2320" t="s">
        <v>19</v>
      </c>
      <c r="E2320" t="s">
        <v>104</v>
      </c>
      <c r="F2320" t="s">
        <v>21</v>
      </c>
      <c r="G2320">
        <v>28</v>
      </c>
      <c r="H2320" t="s">
        <v>52</v>
      </c>
      <c r="I2320" t="s">
        <v>23</v>
      </c>
      <c r="J2320" t="s">
        <v>53</v>
      </c>
      <c r="K2320" t="s">
        <v>39</v>
      </c>
      <c r="L2320">
        <v>3.1</v>
      </c>
      <c r="M2320" t="s">
        <v>152</v>
      </c>
      <c r="N2320" t="s">
        <v>46</v>
      </c>
      <c r="O2320" t="s">
        <v>76</v>
      </c>
      <c r="P2320" t="s">
        <v>152</v>
      </c>
      <c r="Q2320" t="s">
        <v>152</v>
      </c>
      <c r="R2320">
        <v>30</v>
      </c>
      <c r="S2320" t="s">
        <v>27</v>
      </c>
      <c r="T2320" t="str">
        <f t="shared" si="72"/>
        <v>Annually</v>
      </c>
      <c r="U2320">
        <f>VLOOKUP(T2320,[1]tablescore!$B$3:$C$8, 2,FALSE)</f>
        <v>1</v>
      </c>
      <c r="V2320" t="str">
        <f t="shared" si="73"/>
        <v>Low Loyalty</v>
      </c>
      <c r="W2320" t="s">
        <v>50</v>
      </c>
    </row>
    <row r="2321" spans="1:23" x14ac:dyDescent="0.25">
      <c r="A2321">
        <v>2320</v>
      </c>
      <c r="B2321">
        <v>56</v>
      </c>
      <c r="C2321" t="str" cm="1">
        <f t="array" ref="C2321">_xlfn.IFS(
  AND(B2321&gt;=18, B2321&lt;=24), "18-24",
  AND(B2321&gt;=25, B2321&lt;=34), "25-34",
  AND(B2321&gt;=35, B2321&lt;=44), "35-44",
  AND(B2321&gt;=45, B2321&lt;=54), "45-54",
  B2321&gt;=55, "55+"
)</f>
        <v>55+</v>
      </c>
      <c r="D2321" t="s">
        <v>19</v>
      </c>
      <c r="E2321" t="s">
        <v>42</v>
      </c>
      <c r="F2321" t="s">
        <v>43</v>
      </c>
      <c r="G2321">
        <v>38</v>
      </c>
      <c r="H2321" t="s">
        <v>32</v>
      </c>
      <c r="I2321" t="s">
        <v>92</v>
      </c>
      <c r="J2321" t="s">
        <v>49</v>
      </c>
      <c r="K2321" t="s">
        <v>25</v>
      </c>
      <c r="L2321">
        <v>5</v>
      </c>
      <c r="M2321" t="s">
        <v>152</v>
      </c>
      <c r="N2321" t="s">
        <v>59</v>
      </c>
      <c r="O2321" t="s">
        <v>40</v>
      </c>
      <c r="P2321" t="s">
        <v>152</v>
      </c>
      <c r="Q2321" t="s">
        <v>152</v>
      </c>
      <c r="R2321">
        <v>29</v>
      </c>
      <c r="S2321" t="s">
        <v>46</v>
      </c>
      <c r="T2321" t="str">
        <f t="shared" si="72"/>
        <v>Month</v>
      </c>
      <c r="U2321">
        <f>VLOOKUP(T2321,[1]tablescore!$B$3:$C$8, 2,FALSE)</f>
        <v>12</v>
      </c>
      <c r="V2321" t="str">
        <f t="shared" si="73"/>
        <v>Moderate</v>
      </c>
      <c r="W2321" t="s">
        <v>88</v>
      </c>
    </row>
    <row r="2322" spans="1:23" x14ac:dyDescent="0.25">
      <c r="A2322">
        <v>2321</v>
      </c>
      <c r="B2322">
        <v>28</v>
      </c>
      <c r="C2322" t="str" cm="1">
        <f t="array" ref="C2322">_xlfn.IFS(
  AND(B2322&gt;=18, B2322&lt;=24), "18-24",
  AND(B2322&gt;=25, B2322&lt;=34), "25-34",
  AND(B2322&gt;=35, B2322&lt;=44), "35-44",
  AND(B2322&gt;=45, B2322&lt;=54), "45-54",
  B2322&gt;=55, "55+"
)</f>
        <v>25-34</v>
      </c>
      <c r="D2322" t="s">
        <v>19</v>
      </c>
      <c r="E2322" t="s">
        <v>73</v>
      </c>
      <c r="F2322" t="s">
        <v>43</v>
      </c>
      <c r="G2322">
        <v>55</v>
      </c>
      <c r="H2322" t="s">
        <v>123</v>
      </c>
      <c r="I2322" t="s">
        <v>45</v>
      </c>
      <c r="J2322" t="s">
        <v>79</v>
      </c>
      <c r="K2322" t="s">
        <v>39</v>
      </c>
      <c r="L2322">
        <v>3.7</v>
      </c>
      <c r="M2322" t="s">
        <v>152</v>
      </c>
      <c r="N2322" t="s">
        <v>27</v>
      </c>
      <c r="O2322" t="s">
        <v>40</v>
      </c>
      <c r="P2322" t="s">
        <v>152</v>
      </c>
      <c r="Q2322" t="s">
        <v>152</v>
      </c>
      <c r="R2322">
        <v>9</v>
      </c>
      <c r="S2322" t="s">
        <v>59</v>
      </c>
      <c r="T2322" t="str">
        <f t="shared" si="72"/>
        <v>Quarterly</v>
      </c>
      <c r="U2322">
        <f>VLOOKUP(T2322,[1]tablescore!$B$3:$C$8, 2,FALSE)</f>
        <v>4</v>
      </c>
      <c r="V2322" t="str">
        <f t="shared" si="73"/>
        <v>Low Loyalty</v>
      </c>
      <c r="W2322" t="s">
        <v>97</v>
      </c>
    </row>
    <row r="2323" spans="1:23" x14ac:dyDescent="0.25">
      <c r="A2323">
        <v>2322</v>
      </c>
      <c r="B2323">
        <v>50</v>
      </c>
      <c r="C2323" t="str" cm="1">
        <f t="array" ref="C2323">_xlfn.IFS(
  AND(B2323&gt;=18, B2323&lt;=24), "18-24",
  AND(B2323&gt;=25, B2323&lt;=34), "25-34",
  AND(B2323&gt;=35, B2323&lt;=44), "35-44",
  AND(B2323&gt;=45, B2323&lt;=54), "45-54",
  B2323&gt;=55, "55+"
)</f>
        <v>45-54</v>
      </c>
      <c r="D2323" t="s">
        <v>19</v>
      </c>
      <c r="E2323" t="s">
        <v>42</v>
      </c>
      <c r="F2323" t="s">
        <v>43</v>
      </c>
      <c r="G2323">
        <v>31</v>
      </c>
      <c r="H2323" t="s">
        <v>112</v>
      </c>
      <c r="I2323" t="s">
        <v>45</v>
      </c>
      <c r="J2323" t="s">
        <v>118</v>
      </c>
      <c r="K2323" t="s">
        <v>25</v>
      </c>
      <c r="L2323">
        <v>3</v>
      </c>
      <c r="M2323" t="s">
        <v>152</v>
      </c>
      <c r="N2323" t="s">
        <v>46</v>
      </c>
      <c r="O2323" t="s">
        <v>47</v>
      </c>
      <c r="P2323" t="s">
        <v>152</v>
      </c>
      <c r="Q2323" t="s">
        <v>152</v>
      </c>
      <c r="R2323">
        <v>27</v>
      </c>
      <c r="S2323" t="s">
        <v>59</v>
      </c>
      <c r="T2323" t="str">
        <f t="shared" si="72"/>
        <v>2-week</v>
      </c>
      <c r="U2323">
        <f>VLOOKUP(T2323,[1]tablescore!$B$3:$C$8, 2,FALSE)</f>
        <v>26</v>
      </c>
      <c r="V2323" t="str">
        <f t="shared" si="73"/>
        <v>Loyal</v>
      </c>
      <c r="W2323" t="s">
        <v>30</v>
      </c>
    </row>
    <row r="2324" spans="1:23" x14ac:dyDescent="0.25">
      <c r="A2324">
        <v>2323</v>
      </c>
      <c r="B2324">
        <v>39</v>
      </c>
      <c r="C2324" t="str" cm="1">
        <f t="array" ref="C2324">_xlfn.IFS(
  AND(B2324&gt;=18, B2324&lt;=24), "18-24",
  AND(B2324&gt;=25, B2324&lt;=34), "25-34",
  AND(B2324&gt;=35, B2324&lt;=44), "35-44",
  AND(B2324&gt;=45, B2324&lt;=54), "45-54",
  B2324&gt;=55, "55+"
)</f>
        <v>35-44</v>
      </c>
      <c r="D2324" t="s">
        <v>19</v>
      </c>
      <c r="E2324" t="s">
        <v>64</v>
      </c>
      <c r="F2324" t="s">
        <v>65</v>
      </c>
      <c r="G2324">
        <v>84</v>
      </c>
      <c r="H2324" t="s">
        <v>146</v>
      </c>
      <c r="I2324" t="s">
        <v>38</v>
      </c>
      <c r="J2324" t="s">
        <v>93</v>
      </c>
      <c r="K2324" t="s">
        <v>39</v>
      </c>
      <c r="L2324">
        <v>4.5</v>
      </c>
      <c r="M2324" t="s">
        <v>152</v>
      </c>
      <c r="N2324" t="s">
        <v>35</v>
      </c>
      <c r="O2324" t="s">
        <v>76</v>
      </c>
      <c r="P2324" t="s">
        <v>152</v>
      </c>
      <c r="Q2324" t="s">
        <v>152</v>
      </c>
      <c r="R2324">
        <v>21</v>
      </c>
      <c r="S2324" t="s">
        <v>29</v>
      </c>
      <c r="T2324" t="str">
        <f t="shared" si="72"/>
        <v>2-week</v>
      </c>
      <c r="U2324">
        <f>VLOOKUP(T2324,[1]tablescore!$B$3:$C$8, 2,FALSE)</f>
        <v>26</v>
      </c>
      <c r="V2324" t="str">
        <f t="shared" si="73"/>
        <v>Loyal</v>
      </c>
      <c r="W2324" t="s">
        <v>30</v>
      </c>
    </row>
    <row r="2325" spans="1:23" x14ac:dyDescent="0.25">
      <c r="A2325">
        <v>2324</v>
      </c>
      <c r="B2325">
        <v>35</v>
      </c>
      <c r="C2325" t="str" cm="1">
        <f t="array" ref="C2325">_xlfn.IFS(
  AND(B2325&gt;=18, B2325&lt;=24), "18-24",
  AND(B2325&gt;=25, B2325&lt;=34), "25-34",
  AND(B2325&gt;=35, B2325&lt;=44), "35-44",
  AND(B2325&gt;=45, B2325&lt;=54), "45-54",
  B2325&gt;=55, "55+"
)</f>
        <v>35-44</v>
      </c>
      <c r="D2325" t="s">
        <v>19</v>
      </c>
      <c r="E2325" t="s">
        <v>127</v>
      </c>
      <c r="F2325" t="s">
        <v>69</v>
      </c>
      <c r="G2325">
        <v>93</v>
      </c>
      <c r="H2325" t="s">
        <v>135</v>
      </c>
      <c r="I2325" t="s">
        <v>23</v>
      </c>
      <c r="J2325" t="s">
        <v>53</v>
      </c>
      <c r="K2325" t="s">
        <v>25</v>
      </c>
      <c r="L2325">
        <v>4.7</v>
      </c>
      <c r="M2325" t="s">
        <v>152</v>
      </c>
      <c r="N2325" t="s">
        <v>34</v>
      </c>
      <c r="O2325" t="s">
        <v>28</v>
      </c>
      <c r="P2325" t="s">
        <v>152</v>
      </c>
      <c r="Q2325" t="s">
        <v>152</v>
      </c>
      <c r="R2325">
        <v>36</v>
      </c>
      <c r="S2325" t="s">
        <v>27</v>
      </c>
      <c r="T2325" t="str">
        <f t="shared" si="72"/>
        <v>Month</v>
      </c>
      <c r="U2325">
        <f>VLOOKUP(T2325,[1]tablescore!$B$3:$C$8, 2,FALSE)</f>
        <v>12</v>
      </c>
      <c r="V2325" t="str">
        <f t="shared" si="73"/>
        <v>Moderate</v>
      </c>
      <c r="W2325" t="s">
        <v>88</v>
      </c>
    </row>
    <row r="2326" spans="1:23" x14ac:dyDescent="0.25">
      <c r="A2326">
        <v>2325</v>
      </c>
      <c r="B2326">
        <v>59</v>
      </c>
      <c r="C2326" t="str" cm="1">
        <f t="array" ref="C2326">_xlfn.IFS(
  AND(B2326&gt;=18, B2326&lt;=24), "18-24",
  AND(B2326&gt;=25, B2326&lt;=34), "25-34",
  AND(B2326&gt;=35, B2326&lt;=44), "35-44",
  AND(B2326&gt;=45, B2326&lt;=54), "45-54",
  B2326&gt;=55, "55+"
)</f>
        <v>55+</v>
      </c>
      <c r="D2326" t="s">
        <v>19</v>
      </c>
      <c r="E2326" t="s">
        <v>64</v>
      </c>
      <c r="F2326" t="s">
        <v>65</v>
      </c>
      <c r="G2326">
        <v>28</v>
      </c>
      <c r="H2326" t="s">
        <v>48</v>
      </c>
      <c r="I2326" t="s">
        <v>23</v>
      </c>
      <c r="J2326" t="s">
        <v>110</v>
      </c>
      <c r="K2326" t="s">
        <v>25</v>
      </c>
      <c r="L2326">
        <v>3.5</v>
      </c>
      <c r="M2326" t="s">
        <v>152</v>
      </c>
      <c r="N2326" t="s">
        <v>59</v>
      </c>
      <c r="O2326" t="s">
        <v>40</v>
      </c>
      <c r="P2326" t="s">
        <v>152</v>
      </c>
      <c r="Q2326" t="s">
        <v>152</v>
      </c>
      <c r="R2326">
        <v>19</v>
      </c>
      <c r="S2326" t="s">
        <v>59</v>
      </c>
      <c r="T2326" t="str">
        <f t="shared" si="72"/>
        <v>Annually</v>
      </c>
      <c r="U2326">
        <f>VLOOKUP(T2326,[1]tablescore!$B$3:$C$8, 2,FALSE)</f>
        <v>1</v>
      </c>
      <c r="V2326" t="str">
        <f t="shared" si="73"/>
        <v>Low Loyalty</v>
      </c>
      <c r="W2326" t="s">
        <v>50</v>
      </c>
    </row>
    <row r="2327" spans="1:23" x14ac:dyDescent="0.25">
      <c r="A2327">
        <v>2326</v>
      </c>
      <c r="B2327">
        <v>44</v>
      </c>
      <c r="C2327" t="str" cm="1">
        <f t="array" ref="C2327">_xlfn.IFS(
  AND(B2327&gt;=18, B2327&lt;=24), "18-24",
  AND(B2327&gt;=25, B2327&lt;=34), "25-34",
  AND(B2327&gt;=35, B2327&lt;=44), "35-44",
  AND(B2327&gt;=45, B2327&lt;=54), "45-54",
  B2327&gt;=55, "55+"
)</f>
        <v>35-44</v>
      </c>
      <c r="D2327" t="s">
        <v>19</v>
      </c>
      <c r="E2327" t="s">
        <v>132</v>
      </c>
      <c r="F2327" t="s">
        <v>43</v>
      </c>
      <c r="G2327">
        <v>55</v>
      </c>
      <c r="H2327" t="s">
        <v>85</v>
      </c>
      <c r="I2327" t="s">
        <v>45</v>
      </c>
      <c r="J2327" t="s">
        <v>63</v>
      </c>
      <c r="K2327" t="s">
        <v>54</v>
      </c>
      <c r="L2327">
        <v>4.4000000000000004</v>
      </c>
      <c r="M2327" t="s">
        <v>152</v>
      </c>
      <c r="N2327" t="s">
        <v>59</v>
      </c>
      <c r="O2327" t="s">
        <v>72</v>
      </c>
      <c r="P2327" t="s">
        <v>152</v>
      </c>
      <c r="Q2327" t="s">
        <v>152</v>
      </c>
      <c r="R2327">
        <v>47</v>
      </c>
      <c r="S2327" t="s">
        <v>35</v>
      </c>
      <c r="T2327" t="str">
        <f t="shared" si="72"/>
        <v>Daily</v>
      </c>
      <c r="U2327">
        <f>VLOOKUP(T2327,[1]tablescore!$B$3:$C$8, 2,FALSE)</f>
        <v>30</v>
      </c>
      <c r="V2327" t="str">
        <f t="shared" si="73"/>
        <v>Highly Loyal</v>
      </c>
      <c r="W2327" t="s">
        <v>41</v>
      </c>
    </row>
    <row r="2328" spans="1:23" x14ac:dyDescent="0.25">
      <c r="A2328">
        <v>2327</v>
      </c>
      <c r="B2328">
        <v>66</v>
      </c>
      <c r="C2328" t="str" cm="1">
        <f t="array" ref="C2328">_xlfn.IFS(
  AND(B2328&gt;=18, B2328&lt;=24), "18-24",
  AND(B2328&gt;=25, B2328&lt;=34), "25-34",
  AND(B2328&gt;=35, B2328&lt;=44), "35-44",
  AND(B2328&gt;=45, B2328&lt;=54), "45-54",
  B2328&gt;=55, "55+"
)</f>
        <v>55+</v>
      </c>
      <c r="D2328" t="s">
        <v>19</v>
      </c>
      <c r="E2328" t="s">
        <v>87</v>
      </c>
      <c r="F2328" t="s">
        <v>21</v>
      </c>
      <c r="G2328">
        <v>63</v>
      </c>
      <c r="H2328" t="s">
        <v>101</v>
      </c>
      <c r="I2328" t="s">
        <v>23</v>
      </c>
      <c r="J2328" t="s">
        <v>33</v>
      </c>
      <c r="K2328" t="s">
        <v>25</v>
      </c>
      <c r="L2328">
        <v>2.6</v>
      </c>
      <c r="M2328" t="s">
        <v>152</v>
      </c>
      <c r="N2328" t="s">
        <v>35</v>
      </c>
      <c r="O2328" t="s">
        <v>55</v>
      </c>
      <c r="P2328" t="s">
        <v>152</v>
      </c>
      <c r="Q2328" t="s">
        <v>152</v>
      </c>
      <c r="R2328">
        <v>38</v>
      </c>
      <c r="S2328" t="s">
        <v>34</v>
      </c>
      <c r="T2328" t="str">
        <f t="shared" si="72"/>
        <v>Annually</v>
      </c>
      <c r="U2328">
        <f>VLOOKUP(T2328,[1]tablescore!$B$3:$C$8, 2,FALSE)</f>
        <v>1</v>
      </c>
      <c r="V2328" t="str">
        <f t="shared" si="73"/>
        <v>Low Loyalty</v>
      </c>
      <c r="W2328" t="s">
        <v>50</v>
      </c>
    </row>
    <row r="2329" spans="1:23" x14ac:dyDescent="0.25">
      <c r="A2329">
        <v>2328</v>
      </c>
      <c r="B2329">
        <v>20</v>
      </c>
      <c r="C2329" t="str" cm="1">
        <f t="array" ref="C2329">_xlfn.IFS(
  AND(B2329&gt;=18, B2329&lt;=24), "18-24",
  AND(B2329&gt;=25, B2329&lt;=34), "25-34",
  AND(B2329&gt;=35, B2329&lt;=44), "35-44",
  AND(B2329&gt;=45, B2329&lt;=54), "45-54",
  B2329&gt;=55, "55+"
)</f>
        <v>18-24</v>
      </c>
      <c r="D2329" t="s">
        <v>19</v>
      </c>
      <c r="E2329" t="s">
        <v>87</v>
      </c>
      <c r="F2329" t="s">
        <v>21</v>
      </c>
      <c r="G2329">
        <v>94</v>
      </c>
      <c r="H2329" t="s">
        <v>90</v>
      </c>
      <c r="I2329" t="s">
        <v>45</v>
      </c>
      <c r="J2329" t="s">
        <v>108</v>
      </c>
      <c r="K2329" t="s">
        <v>25</v>
      </c>
      <c r="L2329">
        <v>4.2</v>
      </c>
      <c r="M2329" t="s">
        <v>152</v>
      </c>
      <c r="N2329" t="s">
        <v>27</v>
      </c>
      <c r="O2329" t="s">
        <v>72</v>
      </c>
      <c r="P2329" t="s">
        <v>152</v>
      </c>
      <c r="Q2329" t="s">
        <v>152</v>
      </c>
      <c r="R2329">
        <v>22</v>
      </c>
      <c r="S2329" t="s">
        <v>29</v>
      </c>
      <c r="T2329" t="str">
        <f t="shared" si="72"/>
        <v>2-week</v>
      </c>
      <c r="U2329">
        <f>VLOOKUP(T2329,[1]tablescore!$B$3:$C$8, 2,FALSE)</f>
        <v>26</v>
      </c>
      <c r="V2329" t="str">
        <f t="shared" si="73"/>
        <v>Loyal</v>
      </c>
      <c r="W2329" t="s">
        <v>77</v>
      </c>
    </row>
    <row r="2330" spans="1:23" x14ac:dyDescent="0.25">
      <c r="A2330">
        <v>2329</v>
      </c>
      <c r="B2330">
        <v>45</v>
      </c>
      <c r="C2330" t="str" cm="1">
        <f t="array" ref="C2330">_xlfn.IFS(
  AND(B2330&gt;=18, B2330&lt;=24), "18-24",
  AND(B2330&gt;=25, B2330&lt;=34), "25-34",
  AND(B2330&gt;=35, B2330&lt;=44), "35-44",
  AND(B2330&gt;=45, B2330&lt;=54), "45-54",
  B2330&gt;=55, "55+"
)</f>
        <v>45-54</v>
      </c>
      <c r="D2330" t="s">
        <v>19</v>
      </c>
      <c r="E2330" t="s">
        <v>95</v>
      </c>
      <c r="F2330" t="s">
        <v>21</v>
      </c>
      <c r="G2330">
        <v>36</v>
      </c>
      <c r="H2330" t="s">
        <v>114</v>
      </c>
      <c r="I2330" t="s">
        <v>45</v>
      </c>
      <c r="J2330" t="s">
        <v>33</v>
      </c>
      <c r="K2330" t="s">
        <v>58</v>
      </c>
      <c r="L2330">
        <v>2.6</v>
      </c>
      <c r="M2330" t="s">
        <v>152</v>
      </c>
      <c r="N2330" t="s">
        <v>27</v>
      </c>
      <c r="O2330" t="s">
        <v>28</v>
      </c>
      <c r="P2330" t="s">
        <v>152</v>
      </c>
      <c r="Q2330" t="s">
        <v>152</v>
      </c>
      <c r="R2330">
        <v>29</v>
      </c>
      <c r="S2330" t="s">
        <v>29</v>
      </c>
      <c r="T2330" t="str">
        <f t="shared" si="72"/>
        <v>2-week</v>
      </c>
      <c r="U2330">
        <f>VLOOKUP(T2330,[1]tablescore!$B$3:$C$8, 2,FALSE)</f>
        <v>26</v>
      </c>
      <c r="V2330" t="str">
        <f t="shared" si="73"/>
        <v>Loyal</v>
      </c>
      <c r="W2330" t="s">
        <v>77</v>
      </c>
    </row>
    <row r="2331" spans="1:23" x14ac:dyDescent="0.25">
      <c r="A2331">
        <v>2330</v>
      </c>
      <c r="B2331">
        <v>49</v>
      </c>
      <c r="C2331" t="str" cm="1">
        <f t="array" ref="C2331">_xlfn.IFS(
  AND(B2331&gt;=18, B2331&lt;=24), "18-24",
  AND(B2331&gt;=25, B2331&lt;=34), "25-34",
  AND(B2331&gt;=35, B2331&lt;=44), "35-44",
  AND(B2331&gt;=45, B2331&lt;=54), "45-54",
  B2331&gt;=55, "55+"
)</f>
        <v>45-54</v>
      </c>
      <c r="D2331" t="s">
        <v>19</v>
      </c>
      <c r="E2331" t="s">
        <v>125</v>
      </c>
      <c r="F2331" t="s">
        <v>69</v>
      </c>
      <c r="G2331">
        <v>97</v>
      </c>
      <c r="H2331" t="s">
        <v>143</v>
      </c>
      <c r="I2331" t="s">
        <v>38</v>
      </c>
      <c r="J2331" t="s">
        <v>86</v>
      </c>
      <c r="K2331" t="s">
        <v>39</v>
      </c>
      <c r="L2331">
        <v>4.8</v>
      </c>
      <c r="M2331" t="s">
        <v>152</v>
      </c>
      <c r="N2331" t="s">
        <v>29</v>
      </c>
      <c r="O2331" t="s">
        <v>40</v>
      </c>
      <c r="P2331" t="s">
        <v>152</v>
      </c>
      <c r="Q2331" t="s">
        <v>152</v>
      </c>
      <c r="R2331">
        <v>42</v>
      </c>
      <c r="S2331" t="s">
        <v>34</v>
      </c>
      <c r="T2331" t="str">
        <f t="shared" si="72"/>
        <v>Annually</v>
      </c>
      <c r="U2331">
        <f>VLOOKUP(T2331,[1]tablescore!$B$3:$C$8, 2,FALSE)</f>
        <v>1</v>
      </c>
      <c r="V2331" t="str">
        <f t="shared" si="73"/>
        <v>Low Loyalty</v>
      </c>
      <c r="W2331" t="s">
        <v>50</v>
      </c>
    </row>
    <row r="2332" spans="1:23" x14ac:dyDescent="0.25">
      <c r="A2332">
        <v>2331</v>
      </c>
      <c r="B2332">
        <v>60</v>
      </c>
      <c r="C2332" t="str" cm="1">
        <f t="array" ref="C2332">_xlfn.IFS(
  AND(B2332&gt;=18, B2332&lt;=24), "18-24",
  AND(B2332&gt;=25, B2332&lt;=34), "25-34",
  AND(B2332&gt;=35, B2332&lt;=44), "35-44",
  AND(B2332&gt;=45, B2332&lt;=54), "45-54",
  B2332&gt;=55, "55+"
)</f>
        <v>55+</v>
      </c>
      <c r="D2332" t="s">
        <v>19</v>
      </c>
      <c r="E2332" t="s">
        <v>133</v>
      </c>
      <c r="F2332" t="s">
        <v>69</v>
      </c>
      <c r="G2332">
        <v>63</v>
      </c>
      <c r="H2332" t="s">
        <v>117</v>
      </c>
      <c r="I2332" t="s">
        <v>23</v>
      </c>
      <c r="J2332" t="s">
        <v>121</v>
      </c>
      <c r="K2332" t="s">
        <v>54</v>
      </c>
      <c r="L2332">
        <v>2.9</v>
      </c>
      <c r="M2332" t="s">
        <v>152</v>
      </c>
      <c r="N2332" t="s">
        <v>29</v>
      </c>
      <c r="O2332" t="s">
        <v>76</v>
      </c>
      <c r="P2332" t="s">
        <v>152</v>
      </c>
      <c r="Q2332" t="s">
        <v>152</v>
      </c>
      <c r="R2332">
        <v>47</v>
      </c>
      <c r="S2332" t="s">
        <v>46</v>
      </c>
      <c r="T2332" t="str">
        <f t="shared" si="72"/>
        <v>Quarterly</v>
      </c>
      <c r="U2332">
        <f>VLOOKUP(T2332,[1]tablescore!$B$3:$C$8, 2,FALSE)</f>
        <v>4</v>
      </c>
      <c r="V2332" t="str">
        <f t="shared" si="73"/>
        <v>Low Loyalty</v>
      </c>
      <c r="W2332" t="s">
        <v>97</v>
      </c>
    </row>
    <row r="2333" spans="1:23" x14ac:dyDescent="0.25">
      <c r="A2333">
        <v>2332</v>
      </c>
      <c r="B2333">
        <v>61</v>
      </c>
      <c r="C2333" t="str" cm="1">
        <f t="array" ref="C2333">_xlfn.IFS(
  AND(B2333&gt;=18, B2333&lt;=24), "18-24",
  AND(B2333&gt;=25, B2333&lt;=34), "25-34",
  AND(B2333&gt;=35, B2333&lt;=44), "35-44",
  AND(B2333&gt;=45, B2333&lt;=54), "45-54",
  B2333&gt;=55, "55+"
)</f>
        <v>55+</v>
      </c>
      <c r="D2333" t="s">
        <v>19</v>
      </c>
      <c r="E2333" t="s">
        <v>119</v>
      </c>
      <c r="F2333" t="s">
        <v>69</v>
      </c>
      <c r="G2333">
        <v>77</v>
      </c>
      <c r="H2333" t="s">
        <v>115</v>
      </c>
      <c r="I2333" t="s">
        <v>38</v>
      </c>
      <c r="J2333" t="s">
        <v>79</v>
      </c>
      <c r="K2333" t="s">
        <v>39</v>
      </c>
      <c r="L2333">
        <v>4.3</v>
      </c>
      <c r="M2333" t="s">
        <v>152</v>
      </c>
      <c r="N2333" t="s">
        <v>27</v>
      </c>
      <c r="O2333" t="s">
        <v>72</v>
      </c>
      <c r="P2333" t="s">
        <v>152</v>
      </c>
      <c r="Q2333" t="s">
        <v>152</v>
      </c>
      <c r="R2333">
        <v>10</v>
      </c>
      <c r="S2333" t="s">
        <v>27</v>
      </c>
      <c r="T2333" t="str">
        <f t="shared" si="72"/>
        <v>2-week</v>
      </c>
      <c r="U2333">
        <f>VLOOKUP(T2333,[1]tablescore!$B$3:$C$8, 2,FALSE)</f>
        <v>26</v>
      </c>
      <c r="V2333" t="str">
        <f t="shared" si="73"/>
        <v>Loyal</v>
      </c>
      <c r="W2333" t="s">
        <v>77</v>
      </c>
    </row>
    <row r="2334" spans="1:23" x14ac:dyDescent="0.25">
      <c r="A2334">
        <v>2333</v>
      </c>
      <c r="B2334">
        <v>36</v>
      </c>
      <c r="C2334" t="str" cm="1">
        <f t="array" ref="C2334">_xlfn.IFS(
  AND(B2334&gt;=18, B2334&lt;=24), "18-24",
  AND(B2334&gt;=25, B2334&lt;=34), "25-34",
  AND(B2334&gt;=35, B2334&lt;=44), "35-44",
  AND(B2334&gt;=45, B2334&lt;=54), "45-54",
  B2334&gt;=55, "55+"
)</f>
        <v>35-44</v>
      </c>
      <c r="D2334" t="s">
        <v>19</v>
      </c>
      <c r="E2334" t="s">
        <v>119</v>
      </c>
      <c r="F2334" t="s">
        <v>69</v>
      </c>
      <c r="G2334">
        <v>53</v>
      </c>
      <c r="H2334" t="s">
        <v>126</v>
      </c>
      <c r="I2334" t="s">
        <v>92</v>
      </c>
      <c r="J2334" t="s">
        <v>79</v>
      </c>
      <c r="K2334" t="s">
        <v>58</v>
      </c>
      <c r="L2334">
        <v>2.6</v>
      </c>
      <c r="M2334" t="s">
        <v>152</v>
      </c>
      <c r="N2334" t="s">
        <v>27</v>
      </c>
      <c r="O2334" t="s">
        <v>76</v>
      </c>
      <c r="P2334" t="s">
        <v>152</v>
      </c>
      <c r="Q2334" t="s">
        <v>152</v>
      </c>
      <c r="R2334">
        <v>10</v>
      </c>
      <c r="S2334" t="s">
        <v>29</v>
      </c>
      <c r="T2334" t="str">
        <f t="shared" si="72"/>
        <v>Month</v>
      </c>
      <c r="U2334">
        <f>VLOOKUP(T2334,[1]tablescore!$B$3:$C$8, 2,FALSE)</f>
        <v>12</v>
      </c>
      <c r="V2334" t="str">
        <f t="shared" si="73"/>
        <v>Moderate</v>
      </c>
      <c r="W2334" t="s">
        <v>88</v>
      </c>
    </row>
    <row r="2335" spans="1:23" x14ac:dyDescent="0.25">
      <c r="A2335">
        <v>2334</v>
      </c>
      <c r="B2335">
        <v>33</v>
      </c>
      <c r="C2335" t="str" cm="1">
        <f t="array" ref="C2335">_xlfn.IFS(
  AND(B2335&gt;=18, B2335&lt;=24), "18-24",
  AND(B2335&gt;=25, B2335&lt;=34), "25-34",
  AND(B2335&gt;=35, B2335&lt;=44), "35-44",
  AND(B2335&gt;=45, B2335&lt;=54), "45-54",
  B2335&gt;=55, "55+"
)</f>
        <v>25-34</v>
      </c>
      <c r="D2335" t="s">
        <v>19</v>
      </c>
      <c r="E2335" t="s">
        <v>56</v>
      </c>
      <c r="F2335" t="s">
        <v>21</v>
      </c>
      <c r="G2335">
        <v>77</v>
      </c>
      <c r="H2335" t="s">
        <v>111</v>
      </c>
      <c r="I2335" t="s">
        <v>45</v>
      </c>
      <c r="J2335" t="s">
        <v>118</v>
      </c>
      <c r="K2335" t="s">
        <v>39</v>
      </c>
      <c r="L2335">
        <v>3.8</v>
      </c>
      <c r="M2335" t="s">
        <v>152</v>
      </c>
      <c r="N2335" t="s">
        <v>35</v>
      </c>
      <c r="O2335" t="s">
        <v>47</v>
      </c>
      <c r="P2335" t="s">
        <v>152</v>
      </c>
      <c r="Q2335" t="s">
        <v>152</v>
      </c>
      <c r="R2335">
        <v>1</v>
      </c>
      <c r="S2335" t="s">
        <v>46</v>
      </c>
      <c r="T2335" t="str">
        <f t="shared" si="72"/>
        <v>Quarterly</v>
      </c>
      <c r="U2335">
        <f>VLOOKUP(T2335,[1]tablescore!$B$3:$C$8, 2,FALSE)</f>
        <v>4</v>
      </c>
      <c r="V2335" t="str">
        <f t="shared" si="73"/>
        <v>Low Loyalty</v>
      </c>
      <c r="W2335" t="s">
        <v>97</v>
      </c>
    </row>
    <row r="2336" spans="1:23" x14ac:dyDescent="0.25">
      <c r="A2336">
        <v>2335</v>
      </c>
      <c r="B2336">
        <v>49</v>
      </c>
      <c r="C2336" t="str" cm="1">
        <f t="array" ref="C2336">_xlfn.IFS(
  AND(B2336&gt;=18, B2336&lt;=24), "18-24",
  AND(B2336&gt;=25, B2336&lt;=34), "25-34",
  AND(B2336&gt;=35, B2336&lt;=44), "35-44",
  AND(B2336&gt;=45, B2336&lt;=54), "45-54",
  B2336&gt;=55, "55+"
)</f>
        <v>45-54</v>
      </c>
      <c r="D2336" t="s">
        <v>19</v>
      </c>
      <c r="E2336" t="s">
        <v>132</v>
      </c>
      <c r="F2336" t="s">
        <v>43</v>
      </c>
      <c r="G2336">
        <v>79</v>
      </c>
      <c r="H2336" t="s">
        <v>111</v>
      </c>
      <c r="I2336" t="s">
        <v>23</v>
      </c>
      <c r="J2336" t="s">
        <v>96</v>
      </c>
      <c r="K2336" t="s">
        <v>54</v>
      </c>
      <c r="L2336">
        <v>4.2</v>
      </c>
      <c r="M2336" t="s">
        <v>152</v>
      </c>
      <c r="N2336" t="s">
        <v>27</v>
      </c>
      <c r="O2336" t="s">
        <v>55</v>
      </c>
      <c r="P2336" t="s">
        <v>152</v>
      </c>
      <c r="Q2336" t="s">
        <v>152</v>
      </c>
      <c r="R2336">
        <v>7</v>
      </c>
      <c r="S2336" t="s">
        <v>27</v>
      </c>
      <c r="T2336" t="str">
        <f t="shared" si="72"/>
        <v>Month</v>
      </c>
      <c r="U2336">
        <f>VLOOKUP(T2336,[1]tablescore!$B$3:$C$8, 2,FALSE)</f>
        <v>12</v>
      </c>
      <c r="V2336" t="str">
        <f t="shared" si="73"/>
        <v>Moderate</v>
      </c>
      <c r="W2336" t="s">
        <v>88</v>
      </c>
    </row>
    <row r="2337" spans="1:23" x14ac:dyDescent="0.25">
      <c r="A2337">
        <v>2336</v>
      </c>
      <c r="B2337">
        <v>31</v>
      </c>
      <c r="C2337" t="str" cm="1">
        <f t="array" ref="C2337">_xlfn.IFS(
  AND(B2337&gt;=18, B2337&lt;=24), "18-24",
  AND(B2337&gt;=25, B2337&lt;=34), "25-34",
  AND(B2337&gt;=35, B2337&lt;=44), "35-44",
  AND(B2337&gt;=45, B2337&lt;=54), "45-54",
  B2337&gt;=55, "55+"
)</f>
        <v>25-34</v>
      </c>
      <c r="D2337" t="s">
        <v>19</v>
      </c>
      <c r="E2337" t="s">
        <v>64</v>
      </c>
      <c r="F2337" t="s">
        <v>65</v>
      </c>
      <c r="G2337">
        <v>37</v>
      </c>
      <c r="H2337" t="s">
        <v>144</v>
      </c>
      <c r="I2337" t="s">
        <v>45</v>
      </c>
      <c r="J2337" t="s">
        <v>94</v>
      </c>
      <c r="K2337" t="s">
        <v>54</v>
      </c>
      <c r="L2337">
        <v>3.9</v>
      </c>
      <c r="M2337" t="s">
        <v>152</v>
      </c>
      <c r="N2337" t="s">
        <v>29</v>
      </c>
      <c r="O2337" t="s">
        <v>76</v>
      </c>
      <c r="P2337" t="s">
        <v>152</v>
      </c>
      <c r="Q2337" t="s">
        <v>152</v>
      </c>
      <c r="R2337">
        <v>10</v>
      </c>
      <c r="S2337" t="s">
        <v>29</v>
      </c>
      <c r="T2337" t="str">
        <f t="shared" si="72"/>
        <v>2-week</v>
      </c>
      <c r="U2337">
        <f>VLOOKUP(T2337,[1]tablescore!$B$3:$C$8, 2,FALSE)</f>
        <v>26</v>
      </c>
      <c r="V2337" t="str">
        <f t="shared" si="73"/>
        <v>Loyal</v>
      </c>
      <c r="W2337" t="s">
        <v>30</v>
      </c>
    </row>
    <row r="2338" spans="1:23" x14ac:dyDescent="0.25">
      <c r="A2338">
        <v>2337</v>
      </c>
      <c r="B2338">
        <v>19</v>
      </c>
      <c r="C2338" t="str" cm="1">
        <f t="array" ref="C2338">_xlfn.IFS(
  AND(B2338&gt;=18, B2338&lt;=24), "18-24",
  AND(B2338&gt;=25, B2338&lt;=34), "25-34",
  AND(B2338&gt;=35, B2338&lt;=44), "35-44",
  AND(B2338&gt;=45, B2338&lt;=54), "45-54",
  B2338&gt;=55, "55+"
)</f>
        <v>18-24</v>
      </c>
      <c r="D2338" t="s">
        <v>19</v>
      </c>
      <c r="E2338" t="s">
        <v>136</v>
      </c>
      <c r="F2338" t="s">
        <v>69</v>
      </c>
      <c r="G2338">
        <v>94</v>
      </c>
      <c r="H2338" t="s">
        <v>99</v>
      </c>
      <c r="I2338" t="s">
        <v>45</v>
      </c>
      <c r="J2338" t="s">
        <v>96</v>
      </c>
      <c r="K2338" t="s">
        <v>25</v>
      </c>
      <c r="L2338">
        <v>3.1</v>
      </c>
      <c r="M2338" t="s">
        <v>152</v>
      </c>
      <c r="N2338" t="s">
        <v>35</v>
      </c>
      <c r="O2338" t="s">
        <v>40</v>
      </c>
      <c r="P2338" t="s">
        <v>152</v>
      </c>
      <c r="Q2338" t="s">
        <v>152</v>
      </c>
      <c r="R2338">
        <v>11</v>
      </c>
      <c r="S2338" t="s">
        <v>27</v>
      </c>
      <c r="T2338" t="str">
        <f t="shared" si="72"/>
        <v>Daily</v>
      </c>
      <c r="U2338">
        <f>VLOOKUP(T2338,[1]tablescore!$B$3:$C$8, 2,FALSE)</f>
        <v>30</v>
      </c>
      <c r="V2338" t="str">
        <f t="shared" si="73"/>
        <v>Highly Loyal</v>
      </c>
      <c r="W2338" t="s">
        <v>41</v>
      </c>
    </row>
    <row r="2339" spans="1:23" x14ac:dyDescent="0.25">
      <c r="A2339">
        <v>2338</v>
      </c>
      <c r="B2339">
        <v>39</v>
      </c>
      <c r="C2339" t="str" cm="1">
        <f t="array" ref="C2339">_xlfn.IFS(
  AND(B2339&gt;=18, B2339&lt;=24), "18-24",
  AND(B2339&gt;=25, B2339&lt;=34), "25-34",
  AND(B2339&gt;=35, B2339&lt;=44), "35-44",
  AND(B2339&gt;=45, B2339&lt;=54), "45-54",
  B2339&gt;=55, "55+"
)</f>
        <v>35-44</v>
      </c>
      <c r="D2339" t="s">
        <v>19</v>
      </c>
      <c r="E2339" t="s">
        <v>132</v>
      </c>
      <c r="F2339" t="s">
        <v>43</v>
      </c>
      <c r="G2339">
        <v>76</v>
      </c>
      <c r="H2339" t="s">
        <v>114</v>
      </c>
      <c r="I2339" t="s">
        <v>38</v>
      </c>
      <c r="J2339" t="s">
        <v>84</v>
      </c>
      <c r="K2339" t="s">
        <v>58</v>
      </c>
      <c r="L2339">
        <v>3.6</v>
      </c>
      <c r="M2339" t="s">
        <v>152</v>
      </c>
      <c r="N2339" t="s">
        <v>46</v>
      </c>
      <c r="O2339" t="s">
        <v>76</v>
      </c>
      <c r="P2339" t="s">
        <v>152</v>
      </c>
      <c r="Q2339" t="s">
        <v>152</v>
      </c>
      <c r="R2339">
        <v>5</v>
      </c>
      <c r="S2339" t="s">
        <v>35</v>
      </c>
      <c r="T2339" t="str">
        <f t="shared" si="72"/>
        <v>Annually</v>
      </c>
      <c r="U2339">
        <f>VLOOKUP(T2339,[1]tablescore!$B$3:$C$8, 2,FALSE)</f>
        <v>1</v>
      </c>
      <c r="V2339" t="str">
        <f t="shared" si="73"/>
        <v>Low Loyalty</v>
      </c>
      <c r="W2339" t="s">
        <v>50</v>
      </c>
    </row>
    <row r="2340" spans="1:23" x14ac:dyDescent="0.25">
      <c r="A2340">
        <v>2339</v>
      </c>
      <c r="B2340">
        <v>66</v>
      </c>
      <c r="C2340" t="str" cm="1">
        <f t="array" ref="C2340">_xlfn.IFS(
  AND(B2340&gt;=18, B2340&lt;=24), "18-24",
  AND(B2340&gt;=25, B2340&lt;=34), "25-34",
  AND(B2340&gt;=35, B2340&lt;=44), "35-44",
  AND(B2340&gt;=45, B2340&lt;=54), "45-54",
  B2340&gt;=55, "55+"
)</f>
        <v>55+</v>
      </c>
      <c r="D2340" t="s">
        <v>19</v>
      </c>
      <c r="E2340" t="s">
        <v>51</v>
      </c>
      <c r="F2340" t="s">
        <v>43</v>
      </c>
      <c r="G2340">
        <v>68</v>
      </c>
      <c r="H2340" t="s">
        <v>142</v>
      </c>
      <c r="I2340" t="s">
        <v>38</v>
      </c>
      <c r="J2340" t="s">
        <v>67</v>
      </c>
      <c r="K2340" t="s">
        <v>58</v>
      </c>
      <c r="L2340">
        <v>4</v>
      </c>
      <c r="M2340" t="s">
        <v>152</v>
      </c>
      <c r="N2340" t="s">
        <v>46</v>
      </c>
      <c r="O2340" t="s">
        <v>28</v>
      </c>
      <c r="P2340" t="s">
        <v>152</v>
      </c>
      <c r="Q2340" t="s">
        <v>152</v>
      </c>
      <c r="R2340">
        <v>21</v>
      </c>
      <c r="S2340" t="s">
        <v>46</v>
      </c>
      <c r="T2340" t="str">
        <f t="shared" si="72"/>
        <v>Quarterly</v>
      </c>
      <c r="U2340">
        <f>VLOOKUP(T2340,[1]tablescore!$B$3:$C$8, 2,FALSE)</f>
        <v>4</v>
      </c>
      <c r="V2340" t="str">
        <f t="shared" si="73"/>
        <v>Low Loyalty</v>
      </c>
      <c r="W2340" t="s">
        <v>60</v>
      </c>
    </row>
    <row r="2341" spans="1:23" x14ac:dyDescent="0.25">
      <c r="A2341">
        <v>2340</v>
      </c>
      <c r="B2341">
        <v>25</v>
      </c>
      <c r="C2341" t="str" cm="1">
        <f t="array" ref="C2341">_xlfn.IFS(
  AND(B2341&gt;=18, B2341&lt;=24), "18-24",
  AND(B2341&gt;=25, B2341&lt;=34), "25-34",
  AND(B2341&gt;=35, B2341&lt;=44), "35-44",
  AND(B2341&gt;=45, B2341&lt;=54), "45-54",
  B2341&gt;=55, "55+"
)</f>
        <v>25-34</v>
      </c>
      <c r="D2341" t="s">
        <v>19</v>
      </c>
      <c r="E2341" t="s">
        <v>56</v>
      </c>
      <c r="F2341" t="s">
        <v>21</v>
      </c>
      <c r="G2341">
        <v>65</v>
      </c>
      <c r="H2341" t="s">
        <v>115</v>
      </c>
      <c r="I2341" t="s">
        <v>23</v>
      </c>
      <c r="J2341" t="s">
        <v>33</v>
      </c>
      <c r="K2341" t="s">
        <v>39</v>
      </c>
      <c r="L2341">
        <v>3.4</v>
      </c>
      <c r="M2341" t="s">
        <v>152</v>
      </c>
      <c r="N2341" t="s">
        <v>35</v>
      </c>
      <c r="O2341" t="s">
        <v>47</v>
      </c>
      <c r="P2341" t="s">
        <v>152</v>
      </c>
      <c r="Q2341" t="s">
        <v>152</v>
      </c>
      <c r="R2341">
        <v>24</v>
      </c>
      <c r="S2341" t="s">
        <v>34</v>
      </c>
      <c r="T2341" t="str">
        <f t="shared" si="72"/>
        <v>Quarterly</v>
      </c>
      <c r="U2341">
        <f>VLOOKUP(T2341,[1]tablescore!$B$3:$C$8, 2,FALSE)</f>
        <v>4</v>
      </c>
      <c r="V2341" t="str">
        <f t="shared" si="73"/>
        <v>Low Loyalty</v>
      </c>
      <c r="W2341" t="s">
        <v>60</v>
      </c>
    </row>
    <row r="2342" spans="1:23" x14ac:dyDescent="0.25">
      <c r="A2342">
        <v>2341</v>
      </c>
      <c r="B2342">
        <v>63</v>
      </c>
      <c r="C2342" t="str" cm="1">
        <f t="array" ref="C2342">_xlfn.IFS(
  AND(B2342&gt;=18, B2342&lt;=24), "18-24",
  AND(B2342&gt;=25, B2342&lt;=34), "25-34",
  AND(B2342&gt;=35, B2342&lt;=44), "35-44",
  AND(B2342&gt;=45, B2342&lt;=54), "45-54",
  B2342&gt;=55, "55+"
)</f>
        <v>55+</v>
      </c>
      <c r="D2342" t="s">
        <v>19</v>
      </c>
      <c r="E2342" t="s">
        <v>20</v>
      </c>
      <c r="F2342" t="s">
        <v>21</v>
      </c>
      <c r="G2342">
        <v>24</v>
      </c>
      <c r="H2342" t="s">
        <v>80</v>
      </c>
      <c r="I2342" t="s">
        <v>45</v>
      </c>
      <c r="J2342" t="s">
        <v>109</v>
      </c>
      <c r="K2342" t="s">
        <v>54</v>
      </c>
      <c r="L2342">
        <v>2.6</v>
      </c>
      <c r="M2342" t="s">
        <v>152</v>
      </c>
      <c r="N2342" t="s">
        <v>29</v>
      </c>
      <c r="O2342" t="s">
        <v>55</v>
      </c>
      <c r="P2342" t="s">
        <v>152</v>
      </c>
      <c r="Q2342" t="s">
        <v>152</v>
      </c>
      <c r="R2342">
        <v>37</v>
      </c>
      <c r="S2342" t="s">
        <v>27</v>
      </c>
      <c r="T2342" t="str">
        <f t="shared" si="72"/>
        <v>2-week</v>
      </c>
      <c r="U2342">
        <f>VLOOKUP(T2342,[1]tablescore!$B$3:$C$8, 2,FALSE)</f>
        <v>26</v>
      </c>
      <c r="V2342" t="str">
        <f t="shared" si="73"/>
        <v>Loyal</v>
      </c>
      <c r="W2342" t="s">
        <v>30</v>
      </c>
    </row>
    <row r="2343" spans="1:23" x14ac:dyDescent="0.25">
      <c r="A2343">
        <v>2342</v>
      </c>
      <c r="B2343">
        <v>56</v>
      </c>
      <c r="C2343" t="str" cm="1">
        <f t="array" ref="C2343">_xlfn.IFS(
  AND(B2343&gt;=18, B2343&lt;=24), "18-24",
  AND(B2343&gt;=25, B2343&lt;=34), "25-34",
  AND(B2343&gt;=35, B2343&lt;=44), "35-44",
  AND(B2343&gt;=45, B2343&lt;=54), "45-54",
  B2343&gt;=55, "55+"
)</f>
        <v>55+</v>
      </c>
      <c r="D2343" t="s">
        <v>19</v>
      </c>
      <c r="E2343" t="s">
        <v>102</v>
      </c>
      <c r="F2343" t="s">
        <v>65</v>
      </c>
      <c r="G2343">
        <v>31</v>
      </c>
      <c r="H2343" t="s">
        <v>146</v>
      </c>
      <c r="I2343" t="s">
        <v>23</v>
      </c>
      <c r="J2343" t="s">
        <v>86</v>
      </c>
      <c r="K2343" t="s">
        <v>54</v>
      </c>
      <c r="L2343">
        <v>4.5</v>
      </c>
      <c r="M2343" t="s">
        <v>152</v>
      </c>
      <c r="N2343" t="s">
        <v>35</v>
      </c>
      <c r="O2343" t="s">
        <v>28</v>
      </c>
      <c r="P2343" t="s">
        <v>152</v>
      </c>
      <c r="Q2343" t="s">
        <v>152</v>
      </c>
      <c r="R2343">
        <v>22</v>
      </c>
      <c r="S2343" t="s">
        <v>29</v>
      </c>
      <c r="T2343" t="str">
        <f t="shared" si="72"/>
        <v>Quarterly</v>
      </c>
      <c r="U2343">
        <f>VLOOKUP(T2343,[1]tablescore!$B$3:$C$8, 2,FALSE)</f>
        <v>4</v>
      </c>
      <c r="V2343" t="str">
        <f t="shared" si="73"/>
        <v>Low Loyalty</v>
      </c>
      <c r="W2343" t="s">
        <v>97</v>
      </c>
    </row>
    <row r="2344" spans="1:23" x14ac:dyDescent="0.25">
      <c r="A2344">
        <v>2343</v>
      </c>
      <c r="B2344">
        <v>20</v>
      </c>
      <c r="C2344" t="str" cm="1">
        <f t="array" ref="C2344">_xlfn.IFS(
  AND(B2344&gt;=18, B2344&lt;=24), "18-24",
  AND(B2344&gt;=25, B2344&lt;=34), "25-34",
  AND(B2344&gt;=35, B2344&lt;=44), "35-44",
  AND(B2344&gt;=45, B2344&lt;=54), "45-54",
  B2344&gt;=55, "55+"
)</f>
        <v>18-24</v>
      </c>
      <c r="D2344" t="s">
        <v>19</v>
      </c>
      <c r="E2344" t="s">
        <v>87</v>
      </c>
      <c r="F2344" t="s">
        <v>21</v>
      </c>
      <c r="G2344">
        <v>89</v>
      </c>
      <c r="H2344" t="s">
        <v>122</v>
      </c>
      <c r="I2344" t="s">
        <v>45</v>
      </c>
      <c r="J2344" t="s">
        <v>79</v>
      </c>
      <c r="K2344" t="s">
        <v>58</v>
      </c>
      <c r="L2344">
        <v>4.9000000000000004</v>
      </c>
      <c r="M2344" t="s">
        <v>152</v>
      </c>
      <c r="N2344" t="s">
        <v>27</v>
      </c>
      <c r="O2344" t="s">
        <v>55</v>
      </c>
      <c r="P2344" t="s">
        <v>152</v>
      </c>
      <c r="Q2344" t="s">
        <v>152</v>
      </c>
      <c r="R2344">
        <v>16</v>
      </c>
      <c r="S2344" t="s">
        <v>59</v>
      </c>
      <c r="T2344" t="str">
        <f t="shared" si="72"/>
        <v>2-week</v>
      </c>
      <c r="U2344">
        <f>VLOOKUP(T2344,[1]tablescore!$B$3:$C$8, 2,FALSE)</f>
        <v>26</v>
      </c>
      <c r="V2344" t="str">
        <f t="shared" si="73"/>
        <v>Loyal</v>
      </c>
      <c r="W2344" t="s">
        <v>30</v>
      </c>
    </row>
    <row r="2345" spans="1:23" x14ac:dyDescent="0.25">
      <c r="A2345">
        <v>2344</v>
      </c>
      <c r="B2345">
        <v>58</v>
      </c>
      <c r="C2345" t="str" cm="1">
        <f t="array" ref="C2345">_xlfn.IFS(
  AND(B2345&gt;=18, B2345&lt;=24), "18-24",
  AND(B2345&gt;=25, B2345&lt;=34), "25-34",
  AND(B2345&gt;=35, B2345&lt;=44), "35-44",
  AND(B2345&gt;=45, B2345&lt;=54), "45-54",
  B2345&gt;=55, "55+"
)</f>
        <v>55+</v>
      </c>
      <c r="D2345" t="s">
        <v>19</v>
      </c>
      <c r="E2345" t="s">
        <v>131</v>
      </c>
      <c r="F2345" t="s">
        <v>21</v>
      </c>
      <c r="G2345">
        <v>49</v>
      </c>
      <c r="H2345" t="s">
        <v>135</v>
      </c>
      <c r="I2345" t="s">
        <v>45</v>
      </c>
      <c r="J2345" t="s">
        <v>108</v>
      </c>
      <c r="K2345" t="s">
        <v>54</v>
      </c>
      <c r="L2345">
        <v>4.4000000000000004</v>
      </c>
      <c r="M2345" t="s">
        <v>152</v>
      </c>
      <c r="N2345" t="s">
        <v>29</v>
      </c>
      <c r="O2345" t="s">
        <v>72</v>
      </c>
      <c r="P2345" t="s">
        <v>152</v>
      </c>
      <c r="Q2345" t="s">
        <v>152</v>
      </c>
      <c r="R2345">
        <v>44</v>
      </c>
      <c r="S2345" t="s">
        <v>46</v>
      </c>
      <c r="T2345" t="str">
        <f t="shared" si="72"/>
        <v>Month</v>
      </c>
      <c r="U2345">
        <f>VLOOKUP(T2345,[1]tablescore!$B$3:$C$8, 2,FALSE)</f>
        <v>12</v>
      </c>
      <c r="V2345" t="str">
        <f t="shared" si="73"/>
        <v>Moderate</v>
      </c>
      <c r="W2345" t="s">
        <v>88</v>
      </c>
    </row>
    <row r="2346" spans="1:23" x14ac:dyDescent="0.25">
      <c r="A2346">
        <v>2345</v>
      </c>
      <c r="B2346">
        <v>34</v>
      </c>
      <c r="C2346" t="str" cm="1">
        <f t="array" ref="C2346">_xlfn.IFS(
  AND(B2346&gt;=18, B2346&lt;=24), "18-24",
  AND(B2346&gt;=25, B2346&lt;=34), "25-34",
  AND(B2346&gt;=35, B2346&lt;=44), "35-44",
  AND(B2346&gt;=45, B2346&lt;=54), "45-54",
  B2346&gt;=55, "55+"
)</f>
        <v>25-34</v>
      </c>
      <c r="D2346" t="s">
        <v>19</v>
      </c>
      <c r="E2346" t="s">
        <v>42</v>
      </c>
      <c r="F2346" t="s">
        <v>43</v>
      </c>
      <c r="G2346">
        <v>92</v>
      </c>
      <c r="H2346" t="s">
        <v>44</v>
      </c>
      <c r="I2346" t="s">
        <v>92</v>
      </c>
      <c r="J2346" t="s">
        <v>93</v>
      </c>
      <c r="K2346" t="s">
        <v>58</v>
      </c>
      <c r="L2346">
        <v>3.5</v>
      </c>
      <c r="M2346" t="s">
        <v>152</v>
      </c>
      <c r="N2346" t="s">
        <v>27</v>
      </c>
      <c r="O2346" t="s">
        <v>28</v>
      </c>
      <c r="P2346" t="s">
        <v>152</v>
      </c>
      <c r="Q2346" t="s">
        <v>152</v>
      </c>
      <c r="R2346">
        <v>14</v>
      </c>
      <c r="S2346" t="s">
        <v>29</v>
      </c>
      <c r="T2346" t="str">
        <f t="shared" si="72"/>
        <v>2-week</v>
      </c>
      <c r="U2346">
        <f>VLOOKUP(T2346,[1]tablescore!$B$3:$C$8, 2,FALSE)</f>
        <v>26</v>
      </c>
      <c r="V2346" t="str">
        <f t="shared" si="73"/>
        <v>Loyal</v>
      </c>
      <c r="W2346" t="s">
        <v>77</v>
      </c>
    </row>
    <row r="2347" spans="1:23" x14ac:dyDescent="0.25">
      <c r="A2347">
        <v>2346</v>
      </c>
      <c r="B2347">
        <v>28</v>
      </c>
      <c r="C2347" t="str" cm="1">
        <f t="array" ref="C2347">_xlfn.IFS(
  AND(B2347&gt;=18, B2347&lt;=24), "18-24",
  AND(B2347&gt;=25, B2347&lt;=34), "25-34",
  AND(B2347&gt;=35, B2347&lt;=44), "35-44",
  AND(B2347&gt;=45, B2347&lt;=54), "45-54",
  B2347&gt;=55, "55+"
)</f>
        <v>25-34</v>
      </c>
      <c r="D2347" t="s">
        <v>19</v>
      </c>
      <c r="E2347" t="s">
        <v>113</v>
      </c>
      <c r="F2347" t="s">
        <v>21</v>
      </c>
      <c r="G2347">
        <v>32</v>
      </c>
      <c r="H2347" t="s">
        <v>85</v>
      </c>
      <c r="I2347" t="s">
        <v>38</v>
      </c>
      <c r="J2347" t="s">
        <v>121</v>
      </c>
      <c r="K2347" t="s">
        <v>25</v>
      </c>
      <c r="L2347">
        <v>3.3</v>
      </c>
      <c r="M2347" t="s">
        <v>152</v>
      </c>
      <c r="N2347" t="s">
        <v>34</v>
      </c>
      <c r="O2347" t="s">
        <v>28</v>
      </c>
      <c r="P2347" t="s">
        <v>152</v>
      </c>
      <c r="Q2347" t="s">
        <v>152</v>
      </c>
      <c r="R2347">
        <v>23</v>
      </c>
      <c r="S2347" t="s">
        <v>34</v>
      </c>
      <c r="T2347" t="str">
        <f t="shared" si="72"/>
        <v>Quarterly</v>
      </c>
      <c r="U2347">
        <f>VLOOKUP(T2347,[1]tablescore!$B$3:$C$8, 2,FALSE)</f>
        <v>4</v>
      </c>
      <c r="V2347" t="str">
        <f t="shared" si="73"/>
        <v>Low Loyalty</v>
      </c>
      <c r="W2347" t="s">
        <v>97</v>
      </c>
    </row>
    <row r="2348" spans="1:23" x14ac:dyDescent="0.25">
      <c r="A2348">
        <v>2347</v>
      </c>
      <c r="B2348">
        <v>22</v>
      </c>
      <c r="C2348" t="str" cm="1">
        <f t="array" ref="C2348">_xlfn.IFS(
  AND(B2348&gt;=18, B2348&lt;=24), "18-24",
  AND(B2348&gt;=25, B2348&lt;=34), "25-34",
  AND(B2348&gt;=35, B2348&lt;=44), "35-44",
  AND(B2348&gt;=45, B2348&lt;=54), "45-54",
  B2348&gt;=55, "55+"
)</f>
        <v>18-24</v>
      </c>
      <c r="D2348" t="s">
        <v>19</v>
      </c>
      <c r="E2348" t="s">
        <v>102</v>
      </c>
      <c r="F2348" t="s">
        <v>65</v>
      </c>
      <c r="G2348">
        <v>67</v>
      </c>
      <c r="H2348" t="s">
        <v>123</v>
      </c>
      <c r="I2348" t="s">
        <v>23</v>
      </c>
      <c r="J2348" t="s">
        <v>110</v>
      </c>
      <c r="K2348" t="s">
        <v>25</v>
      </c>
      <c r="L2348">
        <v>3.1</v>
      </c>
      <c r="M2348" t="s">
        <v>152</v>
      </c>
      <c r="N2348" t="s">
        <v>34</v>
      </c>
      <c r="O2348" t="s">
        <v>55</v>
      </c>
      <c r="P2348" t="s">
        <v>152</v>
      </c>
      <c r="Q2348" t="s">
        <v>152</v>
      </c>
      <c r="R2348">
        <v>46</v>
      </c>
      <c r="S2348" t="s">
        <v>59</v>
      </c>
      <c r="T2348" t="str">
        <f t="shared" si="72"/>
        <v>2-week</v>
      </c>
      <c r="U2348">
        <f>VLOOKUP(T2348,[1]tablescore!$B$3:$C$8, 2,FALSE)</f>
        <v>26</v>
      </c>
      <c r="V2348" t="str">
        <f t="shared" si="73"/>
        <v>Loyal</v>
      </c>
      <c r="W2348" t="s">
        <v>30</v>
      </c>
    </row>
    <row r="2349" spans="1:23" x14ac:dyDescent="0.25">
      <c r="A2349">
        <v>2348</v>
      </c>
      <c r="B2349">
        <v>37</v>
      </c>
      <c r="C2349" t="str" cm="1">
        <f t="array" ref="C2349">_xlfn.IFS(
  AND(B2349&gt;=18, B2349&lt;=24), "18-24",
  AND(B2349&gt;=25, B2349&lt;=34), "25-34",
  AND(B2349&gt;=35, B2349&lt;=44), "35-44",
  AND(B2349&gt;=45, B2349&lt;=54), "45-54",
  B2349&gt;=55, "55+"
)</f>
        <v>35-44</v>
      </c>
      <c r="D2349" t="s">
        <v>19</v>
      </c>
      <c r="E2349" t="s">
        <v>136</v>
      </c>
      <c r="F2349" t="s">
        <v>69</v>
      </c>
      <c r="G2349">
        <v>64</v>
      </c>
      <c r="H2349" t="s">
        <v>99</v>
      </c>
      <c r="I2349" t="s">
        <v>38</v>
      </c>
      <c r="J2349" t="s">
        <v>24</v>
      </c>
      <c r="K2349" t="s">
        <v>58</v>
      </c>
      <c r="L2349">
        <v>4.2</v>
      </c>
      <c r="M2349" t="s">
        <v>152</v>
      </c>
      <c r="N2349" t="s">
        <v>27</v>
      </c>
      <c r="O2349" t="s">
        <v>28</v>
      </c>
      <c r="P2349" t="s">
        <v>152</v>
      </c>
      <c r="Q2349" t="s">
        <v>152</v>
      </c>
      <c r="R2349">
        <v>46</v>
      </c>
      <c r="S2349" t="s">
        <v>35</v>
      </c>
      <c r="T2349" t="str">
        <f t="shared" si="72"/>
        <v>Quarterly</v>
      </c>
      <c r="U2349">
        <f>VLOOKUP(T2349,[1]tablescore!$B$3:$C$8, 2,FALSE)</f>
        <v>4</v>
      </c>
      <c r="V2349" t="str">
        <f t="shared" si="73"/>
        <v>Low Loyalty</v>
      </c>
      <c r="W2349" t="s">
        <v>97</v>
      </c>
    </row>
    <row r="2350" spans="1:23" x14ac:dyDescent="0.25">
      <c r="A2350">
        <v>2349</v>
      </c>
      <c r="B2350">
        <v>54</v>
      </c>
      <c r="C2350" t="str" cm="1">
        <f t="array" ref="C2350">_xlfn.IFS(
  AND(B2350&gt;=18, B2350&lt;=24), "18-24",
  AND(B2350&gt;=25, B2350&lt;=34), "25-34",
  AND(B2350&gt;=35, B2350&lt;=44), "35-44",
  AND(B2350&gt;=45, B2350&lt;=54), "45-54",
  B2350&gt;=55, "55+"
)</f>
        <v>45-54</v>
      </c>
      <c r="D2350" t="s">
        <v>19</v>
      </c>
      <c r="E2350" t="s">
        <v>73</v>
      </c>
      <c r="F2350" t="s">
        <v>43</v>
      </c>
      <c r="G2350">
        <v>84</v>
      </c>
      <c r="H2350" t="s">
        <v>32</v>
      </c>
      <c r="I2350" t="s">
        <v>45</v>
      </c>
      <c r="J2350" t="s">
        <v>121</v>
      </c>
      <c r="K2350" t="s">
        <v>39</v>
      </c>
      <c r="L2350">
        <v>4.9000000000000004</v>
      </c>
      <c r="M2350" t="s">
        <v>152</v>
      </c>
      <c r="N2350" t="s">
        <v>46</v>
      </c>
      <c r="O2350" t="s">
        <v>47</v>
      </c>
      <c r="P2350" t="s">
        <v>152</v>
      </c>
      <c r="Q2350" t="s">
        <v>152</v>
      </c>
      <c r="R2350">
        <v>16</v>
      </c>
      <c r="S2350" t="s">
        <v>46</v>
      </c>
      <c r="T2350" t="str">
        <f t="shared" si="72"/>
        <v>Quarterly</v>
      </c>
      <c r="U2350">
        <f>VLOOKUP(T2350,[1]tablescore!$B$3:$C$8, 2,FALSE)</f>
        <v>4</v>
      </c>
      <c r="V2350" t="str">
        <f t="shared" si="73"/>
        <v>Low Loyalty</v>
      </c>
      <c r="W2350" t="s">
        <v>97</v>
      </c>
    </row>
    <row r="2351" spans="1:23" x14ac:dyDescent="0.25">
      <c r="A2351">
        <v>2350</v>
      </c>
      <c r="B2351">
        <v>65</v>
      </c>
      <c r="C2351" t="str" cm="1">
        <f t="array" ref="C2351">_xlfn.IFS(
  AND(B2351&gt;=18, B2351&lt;=24), "18-24",
  AND(B2351&gt;=25, B2351&lt;=34), "25-34",
  AND(B2351&gt;=35, B2351&lt;=44), "35-44",
  AND(B2351&gt;=45, B2351&lt;=54), "45-54",
  B2351&gt;=55, "55+"
)</f>
        <v>55+</v>
      </c>
      <c r="D2351" t="s">
        <v>19</v>
      </c>
      <c r="E2351" t="s">
        <v>20</v>
      </c>
      <c r="F2351" t="s">
        <v>21</v>
      </c>
      <c r="G2351">
        <v>34</v>
      </c>
      <c r="H2351" t="s">
        <v>85</v>
      </c>
      <c r="I2351" t="s">
        <v>45</v>
      </c>
      <c r="J2351" t="s">
        <v>121</v>
      </c>
      <c r="K2351" t="s">
        <v>58</v>
      </c>
      <c r="L2351">
        <v>3.9</v>
      </c>
      <c r="M2351" t="s">
        <v>152</v>
      </c>
      <c r="N2351" t="s">
        <v>29</v>
      </c>
      <c r="O2351" t="s">
        <v>55</v>
      </c>
      <c r="P2351" t="s">
        <v>152</v>
      </c>
      <c r="Q2351" t="s">
        <v>152</v>
      </c>
      <c r="R2351">
        <v>40</v>
      </c>
      <c r="S2351" t="s">
        <v>27</v>
      </c>
      <c r="T2351" t="str">
        <f t="shared" si="72"/>
        <v>Quarterly</v>
      </c>
      <c r="U2351">
        <f>VLOOKUP(T2351,[1]tablescore!$B$3:$C$8, 2,FALSE)</f>
        <v>4</v>
      </c>
      <c r="V2351" t="str">
        <f t="shared" si="73"/>
        <v>Low Loyalty</v>
      </c>
      <c r="W2351" t="s">
        <v>97</v>
      </c>
    </row>
    <row r="2352" spans="1:23" x14ac:dyDescent="0.25">
      <c r="A2352">
        <v>2351</v>
      </c>
      <c r="B2352">
        <v>57</v>
      </c>
      <c r="C2352" t="str" cm="1">
        <f t="array" ref="C2352">_xlfn.IFS(
  AND(B2352&gt;=18, B2352&lt;=24), "18-24",
  AND(B2352&gt;=25, B2352&lt;=34), "25-34",
  AND(B2352&gt;=35, B2352&lt;=44), "35-44",
  AND(B2352&gt;=45, B2352&lt;=54), "45-54",
  B2352&gt;=55, "55+"
)</f>
        <v>55+</v>
      </c>
      <c r="D2352" t="s">
        <v>19</v>
      </c>
      <c r="E2352" t="s">
        <v>73</v>
      </c>
      <c r="F2352" t="s">
        <v>43</v>
      </c>
      <c r="G2352">
        <v>26</v>
      </c>
      <c r="H2352" t="s">
        <v>78</v>
      </c>
      <c r="I2352" t="s">
        <v>45</v>
      </c>
      <c r="J2352" t="s">
        <v>49</v>
      </c>
      <c r="K2352" t="s">
        <v>25</v>
      </c>
      <c r="L2352">
        <v>4.2</v>
      </c>
      <c r="M2352" t="s">
        <v>152</v>
      </c>
      <c r="N2352" t="s">
        <v>34</v>
      </c>
      <c r="O2352" t="s">
        <v>40</v>
      </c>
      <c r="P2352" t="s">
        <v>152</v>
      </c>
      <c r="Q2352" t="s">
        <v>152</v>
      </c>
      <c r="R2352">
        <v>21</v>
      </c>
      <c r="S2352" t="s">
        <v>35</v>
      </c>
      <c r="T2352" t="str">
        <f t="shared" si="72"/>
        <v>Annually</v>
      </c>
      <c r="U2352">
        <f>VLOOKUP(T2352,[1]tablescore!$B$3:$C$8, 2,FALSE)</f>
        <v>1</v>
      </c>
      <c r="V2352" t="str">
        <f t="shared" si="73"/>
        <v>Low Loyalty</v>
      </c>
      <c r="W2352" t="s">
        <v>50</v>
      </c>
    </row>
    <row r="2353" spans="1:23" x14ac:dyDescent="0.25">
      <c r="A2353">
        <v>2352</v>
      </c>
      <c r="B2353">
        <v>38</v>
      </c>
      <c r="C2353" t="str" cm="1">
        <f t="array" ref="C2353">_xlfn.IFS(
  AND(B2353&gt;=18, B2353&lt;=24), "18-24",
  AND(B2353&gt;=25, B2353&lt;=34), "25-34",
  AND(B2353&gt;=35, B2353&lt;=44), "35-44",
  AND(B2353&gt;=45, B2353&lt;=54), "45-54",
  B2353&gt;=55, "55+"
)</f>
        <v>35-44</v>
      </c>
      <c r="D2353" t="s">
        <v>19</v>
      </c>
      <c r="E2353" t="s">
        <v>31</v>
      </c>
      <c r="F2353" t="s">
        <v>21</v>
      </c>
      <c r="G2353">
        <v>50</v>
      </c>
      <c r="H2353" t="s">
        <v>83</v>
      </c>
      <c r="I2353" t="s">
        <v>38</v>
      </c>
      <c r="J2353" t="s">
        <v>109</v>
      </c>
      <c r="K2353" t="s">
        <v>58</v>
      </c>
      <c r="L2353">
        <v>4.9000000000000004</v>
      </c>
      <c r="M2353" t="s">
        <v>152</v>
      </c>
      <c r="N2353" t="s">
        <v>27</v>
      </c>
      <c r="O2353" t="s">
        <v>76</v>
      </c>
      <c r="P2353" t="s">
        <v>152</v>
      </c>
      <c r="Q2353" t="s">
        <v>152</v>
      </c>
      <c r="R2353">
        <v>25</v>
      </c>
      <c r="S2353" t="s">
        <v>46</v>
      </c>
      <c r="T2353" t="str">
        <f t="shared" si="72"/>
        <v>2-week</v>
      </c>
      <c r="U2353">
        <f>VLOOKUP(T2353,[1]tablescore!$B$3:$C$8, 2,FALSE)</f>
        <v>26</v>
      </c>
      <c r="V2353" t="str">
        <f t="shared" si="73"/>
        <v>Loyal</v>
      </c>
      <c r="W2353" t="s">
        <v>77</v>
      </c>
    </row>
    <row r="2354" spans="1:23" x14ac:dyDescent="0.25">
      <c r="A2354">
        <v>2353</v>
      </c>
      <c r="B2354">
        <v>70</v>
      </c>
      <c r="C2354" t="str" cm="1">
        <f t="array" ref="C2354">_xlfn.IFS(
  AND(B2354&gt;=18, B2354&lt;=24), "18-24",
  AND(B2354&gt;=25, B2354&lt;=34), "25-34",
  AND(B2354&gt;=35, B2354&lt;=44), "35-44",
  AND(B2354&gt;=45, B2354&lt;=54), "45-54",
  B2354&gt;=55, "55+"
)</f>
        <v>55+</v>
      </c>
      <c r="D2354" t="s">
        <v>19</v>
      </c>
      <c r="E2354" t="s">
        <v>132</v>
      </c>
      <c r="F2354" t="s">
        <v>43</v>
      </c>
      <c r="G2354">
        <v>46</v>
      </c>
      <c r="H2354" t="s">
        <v>143</v>
      </c>
      <c r="I2354" t="s">
        <v>45</v>
      </c>
      <c r="J2354" t="s">
        <v>139</v>
      </c>
      <c r="K2354" t="s">
        <v>58</v>
      </c>
      <c r="L2354">
        <v>2.8</v>
      </c>
      <c r="M2354" t="s">
        <v>152</v>
      </c>
      <c r="N2354" t="s">
        <v>27</v>
      </c>
      <c r="O2354" t="s">
        <v>76</v>
      </c>
      <c r="P2354" t="s">
        <v>152</v>
      </c>
      <c r="Q2354" t="s">
        <v>152</v>
      </c>
      <c r="R2354">
        <v>25</v>
      </c>
      <c r="S2354" t="s">
        <v>34</v>
      </c>
      <c r="T2354" t="str">
        <f t="shared" si="72"/>
        <v>Quarterly</v>
      </c>
      <c r="U2354">
        <f>VLOOKUP(T2354,[1]tablescore!$B$3:$C$8, 2,FALSE)</f>
        <v>4</v>
      </c>
      <c r="V2354" t="str">
        <f t="shared" si="73"/>
        <v>Low Loyalty</v>
      </c>
      <c r="W2354" t="s">
        <v>60</v>
      </c>
    </row>
    <row r="2355" spans="1:23" x14ac:dyDescent="0.25">
      <c r="A2355">
        <v>2354</v>
      </c>
      <c r="B2355">
        <v>56</v>
      </c>
      <c r="C2355" t="str" cm="1">
        <f t="array" ref="C2355">_xlfn.IFS(
  AND(B2355&gt;=18, B2355&lt;=24), "18-24",
  AND(B2355&gt;=25, B2355&lt;=34), "25-34",
  AND(B2355&gt;=35, B2355&lt;=44), "35-44",
  AND(B2355&gt;=45, B2355&lt;=54), "45-54",
  B2355&gt;=55, "55+"
)</f>
        <v>55+</v>
      </c>
      <c r="D2355" t="s">
        <v>19</v>
      </c>
      <c r="E2355" t="s">
        <v>68</v>
      </c>
      <c r="F2355" t="s">
        <v>69</v>
      </c>
      <c r="G2355">
        <v>71</v>
      </c>
      <c r="H2355" t="s">
        <v>57</v>
      </c>
      <c r="I2355" t="s">
        <v>45</v>
      </c>
      <c r="J2355" t="s">
        <v>53</v>
      </c>
      <c r="K2355" t="s">
        <v>58</v>
      </c>
      <c r="L2355">
        <v>4.0999999999999996</v>
      </c>
      <c r="M2355" t="s">
        <v>152</v>
      </c>
      <c r="N2355" t="s">
        <v>27</v>
      </c>
      <c r="O2355" t="s">
        <v>55</v>
      </c>
      <c r="P2355" t="s">
        <v>152</v>
      </c>
      <c r="Q2355" t="s">
        <v>152</v>
      </c>
      <c r="R2355">
        <v>25</v>
      </c>
      <c r="S2355" t="s">
        <v>59</v>
      </c>
      <c r="T2355" t="str">
        <f t="shared" si="72"/>
        <v>Quarterly</v>
      </c>
      <c r="U2355">
        <f>VLOOKUP(T2355,[1]tablescore!$B$3:$C$8, 2,FALSE)</f>
        <v>4</v>
      </c>
      <c r="V2355" t="str">
        <f t="shared" si="73"/>
        <v>Low Loyalty</v>
      </c>
      <c r="W2355" t="s">
        <v>97</v>
      </c>
    </row>
    <row r="2356" spans="1:23" x14ac:dyDescent="0.25">
      <c r="A2356">
        <v>2355</v>
      </c>
      <c r="B2356">
        <v>56</v>
      </c>
      <c r="C2356" t="str" cm="1">
        <f t="array" ref="C2356">_xlfn.IFS(
  AND(B2356&gt;=18, B2356&lt;=24), "18-24",
  AND(B2356&gt;=25, B2356&lt;=34), "25-34",
  AND(B2356&gt;=35, B2356&lt;=44), "35-44",
  AND(B2356&gt;=45, B2356&lt;=54), "45-54",
  B2356&gt;=55, "55+"
)</f>
        <v>55+</v>
      </c>
      <c r="D2356" t="s">
        <v>19</v>
      </c>
      <c r="E2356" t="s">
        <v>20</v>
      </c>
      <c r="F2356" t="s">
        <v>21</v>
      </c>
      <c r="G2356">
        <v>78</v>
      </c>
      <c r="H2356" t="s">
        <v>148</v>
      </c>
      <c r="I2356" t="s">
        <v>45</v>
      </c>
      <c r="J2356" t="s">
        <v>138</v>
      </c>
      <c r="K2356" t="s">
        <v>54</v>
      </c>
      <c r="L2356">
        <v>4.8</v>
      </c>
      <c r="M2356" t="s">
        <v>152</v>
      </c>
      <c r="N2356" t="s">
        <v>35</v>
      </c>
      <c r="O2356" t="s">
        <v>47</v>
      </c>
      <c r="P2356" t="s">
        <v>152</v>
      </c>
      <c r="Q2356" t="s">
        <v>152</v>
      </c>
      <c r="R2356">
        <v>27</v>
      </c>
      <c r="S2356" t="s">
        <v>29</v>
      </c>
      <c r="T2356" t="str">
        <f t="shared" si="72"/>
        <v>Month</v>
      </c>
      <c r="U2356">
        <f>VLOOKUP(T2356,[1]tablescore!$B$3:$C$8, 2,FALSE)</f>
        <v>12</v>
      </c>
      <c r="V2356" t="str">
        <f t="shared" si="73"/>
        <v>Moderate</v>
      </c>
      <c r="W2356" t="s">
        <v>88</v>
      </c>
    </row>
    <row r="2357" spans="1:23" x14ac:dyDescent="0.25">
      <c r="A2357">
        <v>2356</v>
      </c>
      <c r="B2357">
        <v>22</v>
      </c>
      <c r="C2357" t="str" cm="1">
        <f t="array" ref="C2357">_xlfn.IFS(
  AND(B2357&gt;=18, B2357&lt;=24), "18-24",
  AND(B2357&gt;=25, B2357&lt;=34), "25-34",
  AND(B2357&gt;=35, B2357&lt;=44), "35-44",
  AND(B2357&gt;=45, B2357&lt;=54), "45-54",
  B2357&gt;=55, "55+"
)</f>
        <v>18-24</v>
      </c>
      <c r="D2357" t="s">
        <v>19</v>
      </c>
      <c r="E2357" t="s">
        <v>87</v>
      </c>
      <c r="F2357" t="s">
        <v>21</v>
      </c>
      <c r="G2357">
        <v>35</v>
      </c>
      <c r="H2357" t="s">
        <v>122</v>
      </c>
      <c r="I2357" t="s">
        <v>38</v>
      </c>
      <c r="J2357" t="s">
        <v>75</v>
      </c>
      <c r="K2357" t="s">
        <v>25</v>
      </c>
      <c r="L2357">
        <v>4.0999999999999996</v>
      </c>
      <c r="M2357" t="s">
        <v>152</v>
      </c>
      <c r="N2357" t="s">
        <v>46</v>
      </c>
      <c r="O2357" t="s">
        <v>47</v>
      </c>
      <c r="P2357" t="s">
        <v>152</v>
      </c>
      <c r="Q2357" t="s">
        <v>152</v>
      </c>
      <c r="R2357">
        <v>12</v>
      </c>
      <c r="S2357" t="s">
        <v>35</v>
      </c>
      <c r="T2357" t="str">
        <f t="shared" si="72"/>
        <v>Month</v>
      </c>
      <c r="U2357">
        <f>VLOOKUP(T2357,[1]tablescore!$B$3:$C$8, 2,FALSE)</f>
        <v>12</v>
      </c>
      <c r="V2357" t="str">
        <f t="shared" si="73"/>
        <v>Moderate</v>
      </c>
      <c r="W2357" t="s">
        <v>88</v>
      </c>
    </row>
    <row r="2358" spans="1:23" x14ac:dyDescent="0.25">
      <c r="A2358">
        <v>2357</v>
      </c>
      <c r="B2358">
        <v>57</v>
      </c>
      <c r="C2358" t="str" cm="1">
        <f t="array" ref="C2358">_xlfn.IFS(
  AND(B2358&gt;=18, B2358&lt;=24), "18-24",
  AND(B2358&gt;=25, B2358&lt;=34), "25-34",
  AND(B2358&gt;=35, B2358&lt;=44), "35-44",
  AND(B2358&gt;=45, B2358&lt;=54), "45-54",
  B2358&gt;=55, "55+"
)</f>
        <v>55+</v>
      </c>
      <c r="D2358" t="s">
        <v>19</v>
      </c>
      <c r="E2358" t="s">
        <v>133</v>
      </c>
      <c r="F2358" t="s">
        <v>69</v>
      </c>
      <c r="G2358">
        <v>58</v>
      </c>
      <c r="H2358" t="s">
        <v>57</v>
      </c>
      <c r="I2358" t="s">
        <v>45</v>
      </c>
      <c r="J2358" t="s">
        <v>24</v>
      </c>
      <c r="K2358" t="s">
        <v>54</v>
      </c>
      <c r="L2358">
        <v>3</v>
      </c>
      <c r="M2358" t="s">
        <v>152</v>
      </c>
      <c r="N2358" t="s">
        <v>34</v>
      </c>
      <c r="O2358" t="s">
        <v>40</v>
      </c>
      <c r="P2358" t="s">
        <v>152</v>
      </c>
      <c r="Q2358" t="s">
        <v>152</v>
      </c>
      <c r="R2358">
        <v>27</v>
      </c>
      <c r="S2358" t="s">
        <v>59</v>
      </c>
      <c r="T2358" t="str">
        <f t="shared" si="72"/>
        <v>Quarterly</v>
      </c>
      <c r="U2358">
        <f>VLOOKUP(T2358,[1]tablescore!$B$3:$C$8, 2,FALSE)</f>
        <v>4</v>
      </c>
      <c r="V2358" t="str">
        <f t="shared" si="73"/>
        <v>Low Loyalty</v>
      </c>
      <c r="W2358" t="s">
        <v>60</v>
      </c>
    </row>
    <row r="2359" spans="1:23" x14ac:dyDescent="0.25">
      <c r="A2359">
        <v>2358</v>
      </c>
      <c r="B2359">
        <v>53</v>
      </c>
      <c r="C2359" t="str" cm="1">
        <f t="array" ref="C2359">_xlfn.IFS(
  AND(B2359&gt;=18, B2359&lt;=24), "18-24",
  AND(B2359&gt;=25, B2359&lt;=34), "25-34",
  AND(B2359&gt;=35, B2359&lt;=44), "35-44",
  AND(B2359&gt;=45, B2359&lt;=54), "45-54",
  B2359&gt;=55, "55+"
)</f>
        <v>45-54</v>
      </c>
      <c r="D2359" t="s">
        <v>19</v>
      </c>
      <c r="E2359" t="s">
        <v>56</v>
      </c>
      <c r="F2359" t="s">
        <v>21</v>
      </c>
      <c r="G2359">
        <v>67</v>
      </c>
      <c r="H2359" t="s">
        <v>151</v>
      </c>
      <c r="I2359" t="s">
        <v>23</v>
      </c>
      <c r="J2359" t="s">
        <v>109</v>
      </c>
      <c r="K2359" t="s">
        <v>58</v>
      </c>
      <c r="L2359">
        <v>4.2</v>
      </c>
      <c r="M2359" t="s">
        <v>152</v>
      </c>
      <c r="N2359" t="s">
        <v>34</v>
      </c>
      <c r="O2359" t="s">
        <v>72</v>
      </c>
      <c r="P2359" t="s">
        <v>152</v>
      </c>
      <c r="Q2359" t="s">
        <v>152</v>
      </c>
      <c r="R2359">
        <v>40</v>
      </c>
      <c r="S2359" t="s">
        <v>27</v>
      </c>
      <c r="T2359" t="str">
        <f t="shared" si="72"/>
        <v>2-week</v>
      </c>
      <c r="U2359">
        <f>VLOOKUP(T2359,[1]tablescore!$B$3:$C$8, 2,FALSE)</f>
        <v>26</v>
      </c>
      <c r="V2359" t="str">
        <f t="shared" si="73"/>
        <v>Loyal</v>
      </c>
      <c r="W2359" t="s">
        <v>77</v>
      </c>
    </row>
    <row r="2360" spans="1:23" x14ac:dyDescent="0.25">
      <c r="A2360">
        <v>2359</v>
      </c>
      <c r="B2360">
        <v>53</v>
      </c>
      <c r="C2360" t="str" cm="1">
        <f t="array" ref="C2360">_xlfn.IFS(
  AND(B2360&gt;=18, B2360&lt;=24), "18-24",
  AND(B2360&gt;=25, B2360&lt;=34), "25-34",
  AND(B2360&gt;=35, B2360&lt;=44), "35-44",
  AND(B2360&gt;=45, B2360&lt;=54), "45-54",
  B2360&gt;=55, "55+"
)</f>
        <v>45-54</v>
      </c>
      <c r="D2360" t="s">
        <v>19</v>
      </c>
      <c r="E2360" t="s">
        <v>31</v>
      </c>
      <c r="F2360" t="s">
        <v>21</v>
      </c>
      <c r="G2360">
        <v>93</v>
      </c>
      <c r="H2360" t="s">
        <v>105</v>
      </c>
      <c r="I2360" t="s">
        <v>23</v>
      </c>
      <c r="J2360" t="s">
        <v>71</v>
      </c>
      <c r="K2360" t="s">
        <v>39</v>
      </c>
      <c r="L2360">
        <v>3.8</v>
      </c>
      <c r="M2360" t="s">
        <v>152</v>
      </c>
      <c r="N2360" t="s">
        <v>34</v>
      </c>
      <c r="O2360" t="s">
        <v>55</v>
      </c>
      <c r="P2360" t="s">
        <v>152</v>
      </c>
      <c r="Q2360" t="s">
        <v>152</v>
      </c>
      <c r="R2360">
        <v>38</v>
      </c>
      <c r="S2360" t="s">
        <v>27</v>
      </c>
      <c r="T2360" t="str">
        <f t="shared" si="72"/>
        <v>Quarterly</v>
      </c>
      <c r="U2360">
        <f>VLOOKUP(T2360,[1]tablescore!$B$3:$C$8, 2,FALSE)</f>
        <v>4</v>
      </c>
      <c r="V2360" t="str">
        <f t="shared" si="73"/>
        <v>Low Loyalty</v>
      </c>
      <c r="W2360" t="s">
        <v>60</v>
      </c>
    </row>
    <row r="2361" spans="1:23" x14ac:dyDescent="0.25">
      <c r="A2361">
        <v>2360</v>
      </c>
      <c r="B2361">
        <v>19</v>
      </c>
      <c r="C2361" t="str" cm="1">
        <f t="array" ref="C2361">_xlfn.IFS(
  AND(B2361&gt;=18, B2361&lt;=24), "18-24",
  AND(B2361&gt;=25, B2361&lt;=34), "25-34",
  AND(B2361&gt;=35, B2361&lt;=44), "35-44",
  AND(B2361&gt;=45, B2361&lt;=54), "45-54",
  B2361&gt;=55, "55+"
)</f>
        <v>18-24</v>
      </c>
      <c r="D2361" t="s">
        <v>19</v>
      </c>
      <c r="E2361" t="s">
        <v>119</v>
      </c>
      <c r="F2361" t="s">
        <v>69</v>
      </c>
      <c r="G2361">
        <v>81</v>
      </c>
      <c r="H2361" t="s">
        <v>141</v>
      </c>
      <c r="I2361" t="s">
        <v>38</v>
      </c>
      <c r="J2361" t="s">
        <v>81</v>
      </c>
      <c r="K2361" t="s">
        <v>39</v>
      </c>
      <c r="L2361">
        <v>3.3</v>
      </c>
      <c r="M2361" t="s">
        <v>152</v>
      </c>
      <c r="N2361" t="s">
        <v>29</v>
      </c>
      <c r="O2361" t="s">
        <v>72</v>
      </c>
      <c r="P2361" t="s">
        <v>152</v>
      </c>
      <c r="Q2361" t="s">
        <v>152</v>
      </c>
      <c r="R2361">
        <v>44</v>
      </c>
      <c r="S2361" t="s">
        <v>34</v>
      </c>
      <c r="T2361" t="str">
        <f t="shared" si="72"/>
        <v>Quarterly</v>
      </c>
      <c r="U2361">
        <f>VLOOKUP(T2361,[1]tablescore!$B$3:$C$8, 2,FALSE)</f>
        <v>4</v>
      </c>
      <c r="V2361" t="str">
        <f t="shared" si="73"/>
        <v>Low Loyalty</v>
      </c>
      <c r="W2361" t="s">
        <v>97</v>
      </c>
    </row>
    <row r="2362" spans="1:23" x14ac:dyDescent="0.25">
      <c r="A2362">
        <v>2361</v>
      </c>
      <c r="B2362">
        <v>49</v>
      </c>
      <c r="C2362" t="str" cm="1">
        <f t="array" ref="C2362">_xlfn.IFS(
  AND(B2362&gt;=18, B2362&lt;=24), "18-24",
  AND(B2362&gt;=25, B2362&lt;=34), "25-34",
  AND(B2362&gt;=35, B2362&lt;=44), "35-44",
  AND(B2362&gt;=45, B2362&lt;=54), "45-54",
  B2362&gt;=55, "55+"
)</f>
        <v>45-54</v>
      </c>
      <c r="D2362" t="s">
        <v>19</v>
      </c>
      <c r="E2362" t="s">
        <v>68</v>
      </c>
      <c r="F2362" t="s">
        <v>69</v>
      </c>
      <c r="G2362">
        <v>80</v>
      </c>
      <c r="H2362" t="s">
        <v>85</v>
      </c>
      <c r="I2362" t="s">
        <v>23</v>
      </c>
      <c r="J2362" t="s">
        <v>67</v>
      </c>
      <c r="K2362" t="s">
        <v>58</v>
      </c>
      <c r="L2362">
        <v>4.7</v>
      </c>
      <c r="M2362" t="s">
        <v>152</v>
      </c>
      <c r="N2362" t="s">
        <v>59</v>
      </c>
      <c r="O2362" t="s">
        <v>72</v>
      </c>
      <c r="P2362" t="s">
        <v>152</v>
      </c>
      <c r="Q2362" t="s">
        <v>152</v>
      </c>
      <c r="R2362">
        <v>27</v>
      </c>
      <c r="S2362" t="s">
        <v>29</v>
      </c>
      <c r="T2362" t="str">
        <f t="shared" si="72"/>
        <v>Quarterly</v>
      </c>
      <c r="U2362">
        <f>VLOOKUP(T2362,[1]tablescore!$B$3:$C$8, 2,FALSE)</f>
        <v>4</v>
      </c>
      <c r="V2362" t="str">
        <f t="shared" si="73"/>
        <v>Low Loyalty</v>
      </c>
      <c r="W2362" t="s">
        <v>97</v>
      </c>
    </row>
    <row r="2363" spans="1:23" x14ac:dyDescent="0.25">
      <c r="A2363">
        <v>2362</v>
      </c>
      <c r="B2363">
        <v>44</v>
      </c>
      <c r="C2363" t="str" cm="1">
        <f t="array" ref="C2363">_xlfn.IFS(
  AND(B2363&gt;=18, B2363&lt;=24), "18-24",
  AND(B2363&gt;=25, B2363&lt;=34), "25-34",
  AND(B2363&gt;=35, B2363&lt;=44), "35-44",
  AND(B2363&gt;=45, B2363&lt;=54), "45-54",
  B2363&gt;=55, "55+"
)</f>
        <v>35-44</v>
      </c>
      <c r="D2363" t="s">
        <v>19</v>
      </c>
      <c r="E2363" t="s">
        <v>119</v>
      </c>
      <c r="F2363" t="s">
        <v>69</v>
      </c>
      <c r="G2363">
        <v>64</v>
      </c>
      <c r="H2363" t="s">
        <v>90</v>
      </c>
      <c r="I2363" t="s">
        <v>45</v>
      </c>
      <c r="J2363" t="s">
        <v>24</v>
      </c>
      <c r="K2363" t="s">
        <v>39</v>
      </c>
      <c r="L2363">
        <v>4.3</v>
      </c>
      <c r="M2363" t="s">
        <v>152</v>
      </c>
      <c r="N2363" t="s">
        <v>35</v>
      </c>
      <c r="O2363" t="s">
        <v>72</v>
      </c>
      <c r="P2363" t="s">
        <v>152</v>
      </c>
      <c r="Q2363" t="s">
        <v>152</v>
      </c>
      <c r="R2363">
        <v>30</v>
      </c>
      <c r="S2363" t="s">
        <v>27</v>
      </c>
      <c r="T2363" t="str">
        <f t="shared" si="72"/>
        <v>Quarterly</v>
      </c>
      <c r="U2363">
        <f>VLOOKUP(T2363,[1]tablescore!$B$3:$C$8, 2,FALSE)</f>
        <v>4</v>
      </c>
      <c r="V2363" t="str">
        <f t="shared" si="73"/>
        <v>Low Loyalty</v>
      </c>
      <c r="W2363" t="s">
        <v>97</v>
      </c>
    </row>
    <row r="2364" spans="1:23" x14ac:dyDescent="0.25">
      <c r="A2364">
        <v>2363</v>
      </c>
      <c r="B2364">
        <v>27</v>
      </c>
      <c r="C2364" t="str" cm="1">
        <f t="array" ref="C2364">_xlfn.IFS(
  AND(B2364&gt;=18, B2364&lt;=24), "18-24",
  AND(B2364&gt;=25, B2364&lt;=34), "25-34",
  AND(B2364&gt;=35, B2364&lt;=44), "35-44",
  AND(B2364&gt;=45, B2364&lt;=54), "45-54",
  B2364&gt;=55, "55+"
)</f>
        <v>25-34</v>
      </c>
      <c r="D2364" t="s">
        <v>19</v>
      </c>
      <c r="E2364" t="s">
        <v>36</v>
      </c>
      <c r="F2364" t="s">
        <v>21</v>
      </c>
      <c r="G2364">
        <v>41</v>
      </c>
      <c r="H2364" t="s">
        <v>128</v>
      </c>
      <c r="I2364" t="s">
        <v>45</v>
      </c>
      <c r="J2364" t="s">
        <v>110</v>
      </c>
      <c r="K2364" t="s">
        <v>58</v>
      </c>
      <c r="L2364">
        <v>2.7</v>
      </c>
      <c r="M2364" t="s">
        <v>152</v>
      </c>
      <c r="N2364" t="s">
        <v>29</v>
      </c>
      <c r="O2364" t="s">
        <v>55</v>
      </c>
      <c r="P2364" t="s">
        <v>152</v>
      </c>
      <c r="Q2364" t="s">
        <v>152</v>
      </c>
      <c r="R2364">
        <v>24</v>
      </c>
      <c r="S2364" t="s">
        <v>27</v>
      </c>
      <c r="T2364" t="str">
        <f t="shared" si="72"/>
        <v>Month</v>
      </c>
      <c r="U2364">
        <f>VLOOKUP(T2364,[1]tablescore!$B$3:$C$8, 2,FALSE)</f>
        <v>12</v>
      </c>
      <c r="V2364" t="str">
        <f t="shared" si="73"/>
        <v>Moderate</v>
      </c>
      <c r="W2364" t="s">
        <v>88</v>
      </c>
    </row>
    <row r="2365" spans="1:23" x14ac:dyDescent="0.25">
      <c r="A2365">
        <v>2364</v>
      </c>
      <c r="B2365">
        <v>60</v>
      </c>
      <c r="C2365" t="str" cm="1">
        <f t="array" ref="C2365">_xlfn.IFS(
  AND(B2365&gt;=18, B2365&lt;=24), "18-24",
  AND(B2365&gt;=25, B2365&lt;=34), "25-34",
  AND(B2365&gt;=35, B2365&lt;=44), "35-44",
  AND(B2365&gt;=45, B2365&lt;=54), "45-54",
  B2365&gt;=55, "55+"
)</f>
        <v>55+</v>
      </c>
      <c r="D2365" t="s">
        <v>19</v>
      </c>
      <c r="E2365" t="s">
        <v>131</v>
      </c>
      <c r="F2365" t="s">
        <v>21</v>
      </c>
      <c r="G2365">
        <v>79</v>
      </c>
      <c r="H2365" t="s">
        <v>141</v>
      </c>
      <c r="I2365" t="s">
        <v>92</v>
      </c>
      <c r="J2365" t="s">
        <v>71</v>
      </c>
      <c r="K2365" t="s">
        <v>25</v>
      </c>
      <c r="L2365">
        <v>4.2</v>
      </c>
      <c r="M2365" t="s">
        <v>152</v>
      </c>
      <c r="N2365" t="s">
        <v>46</v>
      </c>
      <c r="O2365" t="s">
        <v>28</v>
      </c>
      <c r="P2365" t="s">
        <v>152</v>
      </c>
      <c r="Q2365" t="s">
        <v>152</v>
      </c>
      <c r="R2365">
        <v>38</v>
      </c>
      <c r="S2365" t="s">
        <v>35</v>
      </c>
      <c r="T2365" t="str">
        <f t="shared" si="72"/>
        <v>2-week</v>
      </c>
      <c r="U2365">
        <f>VLOOKUP(T2365,[1]tablescore!$B$3:$C$8, 2,FALSE)</f>
        <v>26</v>
      </c>
      <c r="V2365" t="str">
        <f t="shared" si="73"/>
        <v>Loyal</v>
      </c>
      <c r="W2365" t="s">
        <v>77</v>
      </c>
    </row>
    <row r="2366" spans="1:23" x14ac:dyDescent="0.25">
      <c r="A2366">
        <v>2365</v>
      </c>
      <c r="B2366">
        <v>62</v>
      </c>
      <c r="C2366" t="str" cm="1">
        <f t="array" ref="C2366">_xlfn.IFS(
  AND(B2366&gt;=18, B2366&lt;=24), "18-24",
  AND(B2366&gt;=25, B2366&lt;=34), "25-34",
  AND(B2366&gt;=35, B2366&lt;=44), "35-44",
  AND(B2366&gt;=45, B2366&lt;=54), "45-54",
  B2366&gt;=55, "55+"
)</f>
        <v>55+</v>
      </c>
      <c r="D2366" t="s">
        <v>19</v>
      </c>
      <c r="E2366" t="s">
        <v>89</v>
      </c>
      <c r="F2366" t="s">
        <v>69</v>
      </c>
      <c r="G2366">
        <v>60</v>
      </c>
      <c r="H2366" t="s">
        <v>91</v>
      </c>
      <c r="I2366" t="s">
        <v>23</v>
      </c>
      <c r="J2366" t="s">
        <v>33</v>
      </c>
      <c r="K2366" t="s">
        <v>25</v>
      </c>
      <c r="L2366">
        <v>4.2</v>
      </c>
      <c r="M2366" t="s">
        <v>152</v>
      </c>
      <c r="N2366" t="s">
        <v>27</v>
      </c>
      <c r="O2366" t="s">
        <v>40</v>
      </c>
      <c r="P2366" t="s">
        <v>152</v>
      </c>
      <c r="Q2366" t="s">
        <v>152</v>
      </c>
      <c r="R2366">
        <v>4</v>
      </c>
      <c r="S2366" t="s">
        <v>46</v>
      </c>
      <c r="T2366" t="str">
        <f t="shared" si="72"/>
        <v>Quarterly</v>
      </c>
      <c r="U2366">
        <f>VLOOKUP(T2366,[1]tablescore!$B$3:$C$8, 2,FALSE)</f>
        <v>4</v>
      </c>
      <c r="V2366" t="str">
        <f t="shared" si="73"/>
        <v>Low Loyalty</v>
      </c>
      <c r="W2366" t="s">
        <v>60</v>
      </c>
    </row>
    <row r="2367" spans="1:23" x14ac:dyDescent="0.25">
      <c r="A2367">
        <v>2366</v>
      </c>
      <c r="B2367">
        <v>52</v>
      </c>
      <c r="C2367" t="str" cm="1">
        <f t="array" ref="C2367">_xlfn.IFS(
  AND(B2367&gt;=18, B2367&lt;=24), "18-24",
  AND(B2367&gt;=25, B2367&lt;=34), "25-34",
  AND(B2367&gt;=35, B2367&lt;=44), "35-44",
  AND(B2367&gt;=45, B2367&lt;=54), "45-54",
  B2367&gt;=55, "55+"
)</f>
        <v>45-54</v>
      </c>
      <c r="D2367" t="s">
        <v>19</v>
      </c>
      <c r="E2367" t="s">
        <v>51</v>
      </c>
      <c r="F2367" t="s">
        <v>43</v>
      </c>
      <c r="G2367">
        <v>91</v>
      </c>
      <c r="H2367" t="s">
        <v>52</v>
      </c>
      <c r="I2367" t="s">
        <v>38</v>
      </c>
      <c r="J2367" t="s">
        <v>100</v>
      </c>
      <c r="K2367" t="s">
        <v>25</v>
      </c>
      <c r="L2367">
        <v>2.5</v>
      </c>
      <c r="M2367" t="s">
        <v>152</v>
      </c>
      <c r="N2367" t="s">
        <v>35</v>
      </c>
      <c r="O2367" t="s">
        <v>47</v>
      </c>
      <c r="P2367" t="s">
        <v>152</v>
      </c>
      <c r="Q2367" t="s">
        <v>152</v>
      </c>
      <c r="R2367">
        <v>32</v>
      </c>
      <c r="S2367" t="s">
        <v>29</v>
      </c>
      <c r="T2367" t="str">
        <f t="shared" si="72"/>
        <v>Month</v>
      </c>
      <c r="U2367">
        <f>VLOOKUP(T2367,[1]tablescore!$B$3:$C$8, 2,FALSE)</f>
        <v>12</v>
      </c>
      <c r="V2367" t="str">
        <f t="shared" si="73"/>
        <v>Moderate</v>
      </c>
      <c r="W2367" t="s">
        <v>88</v>
      </c>
    </row>
    <row r="2368" spans="1:23" x14ac:dyDescent="0.25">
      <c r="A2368">
        <v>2367</v>
      </c>
      <c r="B2368">
        <v>30</v>
      </c>
      <c r="C2368" t="str" cm="1">
        <f t="array" ref="C2368">_xlfn.IFS(
  AND(B2368&gt;=18, B2368&lt;=24), "18-24",
  AND(B2368&gt;=25, B2368&lt;=34), "25-34",
  AND(B2368&gt;=35, B2368&lt;=44), "35-44",
  AND(B2368&gt;=45, B2368&lt;=54), "45-54",
  B2368&gt;=55, "55+"
)</f>
        <v>25-34</v>
      </c>
      <c r="D2368" t="s">
        <v>19</v>
      </c>
      <c r="E2368" t="s">
        <v>73</v>
      </c>
      <c r="F2368" t="s">
        <v>43</v>
      </c>
      <c r="G2368">
        <v>66</v>
      </c>
      <c r="H2368" t="s">
        <v>123</v>
      </c>
      <c r="I2368" t="s">
        <v>23</v>
      </c>
      <c r="J2368" t="s">
        <v>110</v>
      </c>
      <c r="K2368" t="s">
        <v>25</v>
      </c>
      <c r="L2368">
        <v>3.6</v>
      </c>
      <c r="M2368" t="s">
        <v>152</v>
      </c>
      <c r="N2368" t="s">
        <v>46</v>
      </c>
      <c r="O2368" t="s">
        <v>28</v>
      </c>
      <c r="P2368" t="s">
        <v>152</v>
      </c>
      <c r="Q2368" t="s">
        <v>152</v>
      </c>
      <c r="R2368">
        <v>32</v>
      </c>
      <c r="S2368" t="s">
        <v>27</v>
      </c>
      <c r="T2368" t="str">
        <f t="shared" si="72"/>
        <v>2-week</v>
      </c>
      <c r="U2368">
        <f>VLOOKUP(T2368,[1]tablescore!$B$3:$C$8, 2,FALSE)</f>
        <v>26</v>
      </c>
      <c r="V2368" t="str">
        <f t="shared" si="73"/>
        <v>Loyal</v>
      </c>
      <c r="W2368" t="s">
        <v>30</v>
      </c>
    </row>
    <row r="2369" spans="1:23" x14ac:dyDescent="0.25">
      <c r="A2369">
        <v>2368</v>
      </c>
      <c r="B2369">
        <v>66</v>
      </c>
      <c r="C2369" t="str" cm="1">
        <f t="array" ref="C2369">_xlfn.IFS(
  AND(B2369&gt;=18, B2369&lt;=24), "18-24",
  AND(B2369&gt;=25, B2369&lt;=34), "25-34",
  AND(B2369&gt;=35, B2369&lt;=44), "35-44",
  AND(B2369&gt;=45, B2369&lt;=54), "45-54",
  B2369&gt;=55, "55+"
)</f>
        <v>55+</v>
      </c>
      <c r="D2369" t="s">
        <v>19</v>
      </c>
      <c r="E2369" t="s">
        <v>131</v>
      </c>
      <c r="F2369" t="s">
        <v>21</v>
      </c>
      <c r="G2369">
        <v>85</v>
      </c>
      <c r="H2369" t="s">
        <v>114</v>
      </c>
      <c r="I2369" t="s">
        <v>23</v>
      </c>
      <c r="J2369" t="s">
        <v>96</v>
      </c>
      <c r="K2369" t="s">
        <v>25</v>
      </c>
      <c r="L2369">
        <v>3.4</v>
      </c>
      <c r="M2369" t="s">
        <v>152</v>
      </c>
      <c r="N2369" t="s">
        <v>34</v>
      </c>
      <c r="O2369" t="s">
        <v>55</v>
      </c>
      <c r="P2369" t="s">
        <v>152</v>
      </c>
      <c r="Q2369" t="s">
        <v>152</v>
      </c>
      <c r="R2369">
        <v>28</v>
      </c>
      <c r="S2369" t="s">
        <v>34</v>
      </c>
      <c r="T2369" t="str">
        <f t="shared" si="72"/>
        <v>2-week</v>
      </c>
      <c r="U2369">
        <f>VLOOKUP(T2369,[1]tablescore!$B$3:$C$8, 2,FALSE)</f>
        <v>26</v>
      </c>
      <c r="V2369" t="str">
        <f t="shared" si="73"/>
        <v>Loyal</v>
      </c>
      <c r="W2369" t="s">
        <v>77</v>
      </c>
    </row>
    <row r="2370" spans="1:23" x14ac:dyDescent="0.25">
      <c r="A2370">
        <v>2369</v>
      </c>
      <c r="B2370">
        <v>29</v>
      </c>
      <c r="C2370" t="str" cm="1">
        <f t="array" ref="C2370">_xlfn.IFS(
  AND(B2370&gt;=18, B2370&lt;=24), "18-24",
  AND(B2370&gt;=25, B2370&lt;=34), "25-34",
  AND(B2370&gt;=35, B2370&lt;=44), "35-44",
  AND(B2370&gt;=45, B2370&lt;=54), "45-54",
  B2370&gt;=55, "55+"
)</f>
        <v>25-34</v>
      </c>
      <c r="D2370" t="s">
        <v>19</v>
      </c>
      <c r="E2370" t="s">
        <v>89</v>
      </c>
      <c r="F2370" t="s">
        <v>69</v>
      </c>
      <c r="G2370">
        <v>38</v>
      </c>
      <c r="H2370" t="s">
        <v>137</v>
      </c>
      <c r="I2370" t="s">
        <v>45</v>
      </c>
      <c r="J2370" t="s">
        <v>93</v>
      </c>
      <c r="K2370" t="s">
        <v>54</v>
      </c>
      <c r="L2370">
        <v>3.3</v>
      </c>
      <c r="M2370" t="s">
        <v>152</v>
      </c>
      <c r="N2370" t="s">
        <v>27</v>
      </c>
      <c r="O2370" t="s">
        <v>55</v>
      </c>
      <c r="P2370" t="s">
        <v>152</v>
      </c>
      <c r="Q2370" t="s">
        <v>152</v>
      </c>
      <c r="R2370">
        <v>6</v>
      </c>
      <c r="S2370" t="s">
        <v>59</v>
      </c>
      <c r="T2370" t="str">
        <f t="shared" si="72"/>
        <v>Quarterly</v>
      </c>
      <c r="U2370">
        <f>VLOOKUP(T2370,[1]tablescore!$B$3:$C$8, 2,FALSE)</f>
        <v>4</v>
      </c>
      <c r="V2370" t="str">
        <f t="shared" si="73"/>
        <v>Low Loyalty</v>
      </c>
      <c r="W2370" t="s">
        <v>97</v>
      </c>
    </row>
    <row r="2371" spans="1:23" x14ac:dyDescent="0.25">
      <c r="A2371">
        <v>2370</v>
      </c>
      <c r="B2371">
        <v>24</v>
      </c>
      <c r="C2371" t="str" cm="1">
        <f t="array" ref="C2371">_xlfn.IFS(
  AND(B2371&gt;=18, B2371&lt;=24), "18-24",
  AND(B2371&gt;=25, B2371&lt;=34), "25-34",
  AND(B2371&gt;=35, B2371&lt;=44), "35-44",
  AND(B2371&gt;=45, B2371&lt;=54), "45-54",
  B2371&gt;=55, "55+"
)</f>
        <v>18-24</v>
      </c>
      <c r="D2371" t="s">
        <v>19</v>
      </c>
      <c r="E2371" t="s">
        <v>31</v>
      </c>
      <c r="F2371" t="s">
        <v>21</v>
      </c>
      <c r="G2371">
        <v>23</v>
      </c>
      <c r="H2371" t="s">
        <v>145</v>
      </c>
      <c r="I2371" t="s">
        <v>45</v>
      </c>
      <c r="J2371" t="s">
        <v>109</v>
      </c>
      <c r="K2371" t="s">
        <v>25</v>
      </c>
      <c r="L2371">
        <v>4.5999999999999996</v>
      </c>
      <c r="M2371" t="s">
        <v>152</v>
      </c>
      <c r="N2371" t="s">
        <v>59</v>
      </c>
      <c r="O2371" t="s">
        <v>55</v>
      </c>
      <c r="P2371" t="s">
        <v>152</v>
      </c>
      <c r="Q2371" t="s">
        <v>152</v>
      </c>
      <c r="R2371">
        <v>24</v>
      </c>
      <c r="S2371" t="s">
        <v>46</v>
      </c>
      <c r="T2371" t="str">
        <f t="shared" ref="T2371:T2434" si="74">IF(TRIM(W2371)="Every 3 months","Quarterly",IF(TRIM(W2371)="Fortnightly","2-week",IF(TRIM(W2371)="Bi-Weekly","2-week",IF(TRIM(W2371)="Weekly","Daily",IF(TRIM(W2371)="Monthly","Month",TRIM(W2371))))))</f>
        <v>Month</v>
      </c>
      <c r="U2371">
        <f>VLOOKUP(T2371,[1]tablescore!$B$3:$C$8, 2,FALSE)</f>
        <v>12</v>
      </c>
      <c r="V2371" t="str">
        <f t="shared" ref="V2371:V2434" si="75">_xlfn.IFS(U2371&gt;=30, "Highly Loyal", U2371&gt;=26, "Loyal", U2371&gt;=12, "Moderate", U2371&lt;5, "Low Loyalty")</f>
        <v>Moderate</v>
      </c>
      <c r="W2371" t="s">
        <v>88</v>
      </c>
    </row>
    <row r="2372" spans="1:23" x14ac:dyDescent="0.25">
      <c r="A2372">
        <v>2371</v>
      </c>
      <c r="B2372">
        <v>51</v>
      </c>
      <c r="C2372" t="str" cm="1">
        <f t="array" ref="C2372">_xlfn.IFS(
  AND(B2372&gt;=18, B2372&lt;=24), "18-24",
  AND(B2372&gt;=25, B2372&lt;=34), "25-34",
  AND(B2372&gt;=35, B2372&lt;=44), "35-44",
  AND(B2372&gt;=45, B2372&lt;=54), "45-54",
  B2372&gt;=55, "55+"
)</f>
        <v>45-54</v>
      </c>
      <c r="D2372" t="s">
        <v>19</v>
      </c>
      <c r="E2372" t="s">
        <v>73</v>
      </c>
      <c r="F2372" t="s">
        <v>43</v>
      </c>
      <c r="G2372">
        <v>71</v>
      </c>
      <c r="H2372" t="s">
        <v>120</v>
      </c>
      <c r="I2372" t="s">
        <v>45</v>
      </c>
      <c r="J2372" t="s">
        <v>94</v>
      </c>
      <c r="K2372" t="s">
        <v>39</v>
      </c>
      <c r="L2372">
        <v>3.9</v>
      </c>
      <c r="M2372" t="s">
        <v>152</v>
      </c>
      <c r="N2372" t="s">
        <v>59</v>
      </c>
      <c r="O2372" t="s">
        <v>76</v>
      </c>
      <c r="P2372" t="s">
        <v>152</v>
      </c>
      <c r="Q2372" t="s">
        <v>152</v>
      </c>
      <c r="R2372">
        <v>38</v>
      </c>
      <c r="S2372" t="s">
        <v>29</v>
      </c>
      <c r="T2372" t="str">
        <f t="shared" si="74"/>
        <v>Daily</v>
      </c>
      <c r="U2372">
        <f>VLOOKUP(T2372,[1]tablescore!$B$3:$C$8, 2,FALSE)</f>
        <v>30</v>
      </c>
      <c r="V2372" t="str">
        <f t="shared" si="75"/>
        <v>Highly Loyal</v>
      </c>
      <c r="W2372" t="s">
        <v>41</v>
      </c>
    </row>
    <row r="2373" spans="1:23" x14ac:dyDescent="0.25">
      <c r="A2373">
        <v>2372</v>
      </c>
      <c r="B2373">
        <v>67</v>
      </c>
      <c r="C2373" t="str" cm="1">
        <f t="array" ref="C2373">_xlfn.IFS(
  AND(B2373&gt;=18, B2373&lt;=24), "18-24",
  AND(B2373&gt;=25, B2373&lt;=34), "25-34",
  AND(B2373&gt;=35, B2373&lt;=44), "35-44",
  AND(B2373&gt;=45, B2373&lt;=54), "45-54",
  B2373&gt;=55, "55+"
)</f>
        <v>55+</v>
      </c>
      <c r="D2373" t="s">
        <v>19</v>
      </c>
      <c r="E2373" t="s">
        <v>131</v>
      </c>
      <c r="F2373" t="s">
        <v>21</v>
      </c>
      <c r="G2373">
        <v>25</v>
      </c>
      <c r="H2373" t="s">
        <v>116</v>
      </c>
      <c r="I2373" t="s">
        <v>45</v>
      </c>
      <c r="J2373" t="s">
        <v>63</v>
      </c>
      <c r="K2373" t="s">
        <v>25</v>
      </c>
      <c r="L2373">
        <v>3.7</v>
      </c>
      <c r="M2373" t="s">
        <v>152</v>
      </c>
      <c r="N2373" t="s">
        <v>46</v>
      </c>
      <c r="O2373" t="s">
        <v>47</v>
      </c>
      <c r="P2373" t="s">
        <v>152</v>
      </c>
      <c r="Q2373" t="s">
        <v>152</v>
      </c>
      <c r="R2373">
        <v>28</v>
      </c>
      <c r="S2373" t="s">
        <v>59</v>
      </c>
      <c r="T2373" t="str">
        <f t="shared" si="74"/>
        <v>Annually</v>
      </c>
      <c r="U2373">
        <f>VLOOKUP(T2373,[1]tablescore!$B$3:$C$8, 2,FALSE)</f>
        <v>1</v>
      </c>
      <c r="V2373" t="str">
        <f t="shared" si="75"/>
        <v>Low Loyalty</v>
      </c>
      <c r="W2373" t="s">
        <v>50</v>
      </c>
    </row>
    <row r="2374" spans="1:23" x14ac:dyDescent="0.25">
      <c r="A2374">
        <v>2373</v>
      </c>
      <c r="B2374">
        <v>50</v>
      </c>
      <c r="C2374" t="str" cm="1">
        <f t="array" ref="C2374">_xlfn.IFS(
  AND(B2374&gt;=18, B2374&lt;=24), "18-24",
  AND(B2374&gt;=25, B2374&lt;=34), "25-34",
  AND(B2374&gt;=35, B2374&lt;=44), "35-44",
  AND(B2374&gt;=45, B2374&lt;=54), "45-54",
  B2374&gt;=55, "55+"
)</f>
        <v>45-54</v>
      </c>
      <c r="D2374" t="s">
        <v>19</v>
      </c>
      <c r="E2374" t="s">
        <v>132</v>
      </c>
      <c r="F2374" t="s">
        <v>43</v>
      </c>
      <c r="G2374">
        <v>39</v>
      </c>
      <c r="H2374" t="s">
        <v>90</v>
      </c>
      <c r="I2374" t="s">
        <v>92</v>
      </c>
      <c r="J2374" t="s">
        <v>67</v>
      </c>
      <c r="K2374" t="s">
        <v>39</v>
      </c>
      <c r="L2374">
        <v>3.1</v>
      </c>
      <c r="M2374" t="s">
        <v>152</v>
      </c>
      <c r="N2374" t="s">
        <v>59</v>
      </c>
      <c r="O2374" t="s">
        <v>28</v>
      </c>
      <c r="P2374" t="s">
        <v>152</v>
      </c>
      <c r="Q2374" t="s">
        <v>152</v>
      </c>
      <c r="R2374">
        <v>9</v>
      </c>
      <c r="S2374" t="s">
        <v>46</v>
      </c>
      <c r="T2374" t="str">
        <f t="shared" si="74"/>
        <v>2-week</v>
      </c>
      <c r="U2374">
        <f>VLOOKUP(T2374,[1]tablescore!$B$3:$C$8, 2,FALSE)</f>
        <v>26</v>
      </c>
      <c r="V2374" t="str">
        <f t="shared" si="75"/>
        <v>Loyal</v>
      </c>
      <c r="W2374" t="s">
        <v>30</v>
      </c>
    </row>
    <row r="2375" spans="1:23" x14ac:dyDescent="0.25">
      <c r="A2375">
        <v>2374</v>
      </c>
      <c r="B2375">
        <v>37</v>
      </c>
      <c r="C2375" t="str" cm="1">
        <f t="array" ref="C2375">_xlfn.IFS(
  AND(B2375&gt;=18, B2375&lt;=24), "18-24",
  AND(B2375&gt;=25, B2375&lt;=34), "25-34",
  AND(B2375&gt;=35, B2375&lt;=44), "35-44",
  AND(B2375&gt;=45, B2375&lt;=54), "45-54",
  B2375&gt;=55, "55+"
)</f>
        <v>35-44</v>
      </c>
      <c r="D2375" t="s">
        <v>19</v>
      </c>
      <c r="E2375" t="s">
        <v>104</v>
      </c>
      <c r="F2375" t="s">
        <v>21</v>
      </c>
      <c r="G2375">
        <v>20</v>
      </c>
      <c r="H2375" t="s">
        <v>151</v>
      </c>
      <c r="I2375" t="s">
        <v>45</v>
      </c>
      <c r="J2375" t="s">
        <v>24</v>
      </c>
      <c r="K2375" t="s">
        <v>39</v>
      </c>
      <c r="L2375">
        <v>4.9000000000000004</v>
      </c>
      <c r="M2375" t="s">
        <v>152</v>
      </c>
      <c r="N2375" t="s">
        <v>34</v>
      </c>
      <c r="O2375" t="s">
        <v>28</v>
      </c>
      <c r="P2375" t="s">
        <v>152</v>
      </c>
      <c r="Q2375" t="s">
        <v>152</v>
      </c>
      <c r="R2375">
        <v>21</v>
      </c>
      <c r="S2375" t="s">
        <v>59</v>
      </c>
      <c r="T2375" t="str">
        <f t="shared" si="74"/>
        <v>Quarterly</v>
      </c>
      <c r="U2375">
        <f>VLOOKUP(T2375,[1]tablescore!$B$3:$C$8, 2,FALSE)</f>
        <v>4</v>
      </c>
      <c r="V2375" t="str">
        <f t="shared" si="75"/>
        <v>Low Loyalty</v>
      </c>
      <c r="W2375" t="s">
        <v>97</v>
      </c>
    </row>
    <row r="2376" spans="1:23" x14ac:dyDescent="0.25">
      <c r="A2376">
        <v>2375</v>
      </c>
      <c r="B2376">
        <v>69</v>
      </c>
      <c r="C2376" t="str" cm="1">
        <f t="array" ref="C2376">_xlfn.IFS(
  AND(B2376&gt;=18, B2376&lt;=24), "18-24",
  AND(B2376&gt;=25, B2376&lt;=34), "25-34",
  AND(B2376&gt;=35, B2376&lt;=44), "35-44",
  AND(B2376&gt;=45, B2376&lt;=54), "45-54",
  B2376&gt;=55, "55+"
)</f>
        <v>55+</v>
      </c>
      <c r="D2376" t="s">
        <v>19</v>
      </c>
      <c r="E2376" t="s">
        <v>127</v>
      </c>
      <c r="F2376" t="s">
        <v>69</v>
      </c>
      <c r="G2376">
        <v>73</v>
      </c>
      <c r="H2376" t="s">
        <v>140</v>
      </c>
      <c r="I2376" t="s">
        <v>23</v>
      </c>
      <c r="J2376" t="s">
        <v>100</v>
      </c>
      <c r="K2376" t="s">
        <v>25</v>
      </c>
      <c r="L2376">
        <v>4.7</v>
      </c>
      <c r="M2376" t="s">
        <v>152</v>
      </c>
      <c r="N2376" t="s">
        <v>35</v>
      </c>
      <c r="O2376" t="s">
        <v>55</v>
      </c>
      <c r="P2376" t="s">
        <v>152</v>
      </c>
      <c r="Q2376" t="s">
        <v>152</v>
      </c>
      <c r="R2376">
        <v>31</v>
      </c>
      <c r="S2376" t="s">
        <v>59</v>
      </c>
      <c r="T2376" t="str">
        <f t="shared" si="74"/>
        <v>Month</v>
      </c>
      <c r="U2376">
        <f>VLOOKUP(T2376,[1]tablescore!$B$3:$C$8, 2,FALSE)</f>
        <v>12</v>
      </c>
      <c r="V2376" t="str">
        <f t="shared" si="75"/>
        <v>Moderate</v>
      </c>
      <c r="W2376" t="s">
        <v>88</v>
      </c>
    </row>
    <row r="2377" spans="1:23" x14ac:dyDescent="0.25">
      <c r="A2377">
        <v>2376</v>
      </c>
      <c r="B2377">
        <v>60</v>
      </c>
      <c r="C2377" t="str" cm="1">
        <f t="array" ref="C2377">_xlfn.IFS(
  AND(B2377&gt;=18, B2377&lt;=24), "18-24",
  AND(B2377&gt;=25, B2377&lt;=34), "25-34",
  AND(B2377&gt;=35, B2377&lt;=44), "35-44",
  AND(B2377&gt;=45, B2377&lt;=54), "45-54",
  B2377&gt;=55, "55+"
)</f>
        <v>55+</v>
      </c>
      <c r="D2377" t="s">
        <v>19</v>
      </c>
      <c r="E2377" t="s">
        <v>133</v>
      </c>
      <c r="F2377" t="s">
        <v>69</v>
      </c>
      <c r="G2377">
        <v>63</v>
      </c>
      <c r="H2377" t="s">
        <v>128</v>
      </c>
      <c r="I2377" t="s">
        <v>23</v>
      </c>
      <c r="J2377" t="s">
        <v>100</v>
      </c>
      <c r="K2377" t="s">
        <v>58</v>
      </c>
      <c r="L2377">
        <v>2.9</v>
      </c>
      <c r="M2377" t="s">
        <v>152</v>
      </c>
      <c r="N2377" t="s">
        <v>46</v>
      </c>
      <c r="O2377" t="s">
        <v>47</v>
      </c>
      <c r="P2377" t="s">
        <v>152</v>
      </c>
      <c r="Q2377" t="s">
        <v>152</v>
      </c>
      <c r="R2377">
        <v>18</v>
      </c>
      <c r="S2377" t="s">
        <v>27</v>
      </c>
      <c r="T2377" t="str">
        <f t="shared" si="74"/>
        <v>Quarterly</v>
      </c>
      <c r="U2377">
        <f>VLOOKUP(T2377,[1]tablescore!$B$3:$C$8, 2,FALSE)</f>
        <v>4</v>
      </c>
      <c r="V2377" t="str">
        <f t="shared" si="75"/>
        <v>Low Loyalty</v>
      </c>
      <c r="W2377" t="s">
        <v>60</v>
      </c>
    </row>
    <row r="2378" spans="1:23" x14ac:dyDescent="0.25">
      <c r="A2378">
        <v>2377</v>
      </c>
      <c r="B2378">
        <v>21</v>
      </c>
      <c r="C2378" t="str" cm="1">
        <f t="array" ref="C2378">_xlfn.IFS(
  AND(B2378&gt;=18, B2378&lt;=24), "18-24",
  AND(B2378&gt;=25, B2378&lt;=34), "25-34",
  AND(B2378&gt;=35, B2378&lt;=44), "35-44",
  AND(B2378&gt;=45, B2378&lt;=54), "45-54",
  B2378&gt;=55, "55+"
)</f>
        <v>18-24</v>
      </c>
      <c r="D2378" t="s">
        <v>19</v>
      </c>
      <c r="E2378" t="s">
        <v>127</v>
      </c>
      <c r="F2378" t="s">
        <v>69</v>
      </c>
      <c r="G2378">
        <v>94</v>
      </c>
      <c r="H2378" t="s">
        <v>122</v>
      </c>
      <c r="I2378" t="s">
        <v>92</v>
      </c>
      <c r="J2378" t="s">
        <v>109</v>
      </c>
      <c r="K2378" t="s">
        <v>39</v>
      </c>
      <c r="L2378">
        <v>4.0999999999999996</v>
      </c>
      <c r="M2378" t="s">
        <v>152</v>
      </c>
      <c r="N2378" t="s">
        <v>29</v>
      </c>
      <c r="O2378" t="s">
        <v>28</v>
      </c>
      <c r="P2378" t="s">
        <v>152</v>
      </c>
      <c r="Q2378" t="s">
        <v>152</v>
      </c>
      <c r="R2378">
        <v>5</v>
      </c>
      <c r="S2378" t="s">
        <v>35</v>
      </c>
      <c r="T2378" t="str">
        <f t="shared" si="74"/>
        <v>Daily</v>
      </c>
      <c r="U2378">
        <f>VLOOKUP(T2378,[1]tablescore!$B$3:$C$8, 2,FALSE)</f>
        <v>30</v>
      </c>
      <c r="V2378" t="str">
        <f t="shared" si="75"/>
        <v>Highly Loyal</v>
      </c>
      <c r="W2378" t="s">
        <v>41</v>
      </c>
    </row>
    <row r="2379" spans="1:23" x14ac:dyDescent="0.25">
      <c r="A2379">
        <v>2378</v>
      </c>
      <c r="B2379">
        <v>44</v>
      </c>
      <c r="C2379" t="str" cm="1">
        <f t="array" ref="C2379">_xlfn.IFS(
  AND(B2379&gt;=18, B2379&lt;=24), "18-24",
  AND(B2379&gt;=25, B2379&lt;=34), "25-34",
  AND(B2379&gt;=35, B2379&lt;=44), "35-44",
  AND(B2379&gt;=45, B2379&lt;=54), "45-54",
  B2379&gt;=55, "55+"
)</f>
        <v>35-44</v>
      </c>
      <c r="D2379" t="s">
        <v>19</v>
      </c>
      <c r="E2379" t="s">
        <v>20</v>
      </c>
      <c r="F2379" t="s">
        <v>21</v>
      </c>
      <c r="G2379">
        <v>94</v>
      </c>
      <c r="H2379" t="s">
        <v>130</v>
      </c>
      <c r="I2379" t="s">
        <v>23</v>
      </c>
      <c r="J2379" t="s">
        <v>147</v>
      </c>
      <c r="K2379" t="s">
        <v>58</v>
      </c>
      <c r="L2379">
        <v>4</v>
      </c>
      <c r="M2379" t="s">
        <v>152</v>
      </c>
      <c r="N2379" t="s">
        <v>29</v>
      </c>
      <c r="O2379" t="s">
        <v>47</v>
      </c>
      <c r="P2379" t="s">
        <v>152</v>
      </c>
      <c r="Q2379" t="s">
        <v>152</v>
      </c>
      <c r="R2379">
        <v>22</v>
      </c>
      <c r="S2379" t="s">
        <v>35</v>
      </c>
      <c r="T2379" t="str">
        <f t="shared" si="74"/>
        <v>Annually</v>
      </c>
      <c r="U2379">
        <f>VLOOKUP(T2379,[1]tablescore!$B$3:$C$8, 2,FALSE)</f>
        <v>1</v>
      </c>
      <c r="V2379" t="str">
        <f t="shared" si="75"/>
        <v>Low Loyalty</v>
      </c>
      <c r="W2379" t="s">
        <v>50</v>
      </c>
    </row>
    <row r="2380" spans="1:23" x14ac:dyDescent="0.25">
      <c r="A2380">
        <v>2379</v>
      </c>
      <c r="B2380">
        <v>26</v>
      </c>
      <c r="C2380" t="str" cm="1">
        <f t="array" ref="C2380">_xlfn.IFS(
  AND(B2380&gt;=18, B2380&lt;=24), "18-24",
  AND(B2380&gt;=25, B2380&lt;=34), "25-34",
  AND(B2380&gt;=35, B2380&lt;=44), "35-44",
  AND(B2380&gt;=45, B2380&lt;=54), "45-54",
  B2380&gt;=55, "55+"
)</f>
        <v>25-34</v>
      </c>
      <c r="D2380" t="s">
        <v>19</v>
      </c>
      <c r="E2380" t="s">
        <v>119</v>
      </c>
      <c r="F2380" t="s">
        <v>69</v>
      </c>
      <c r="G2380">
        <v>71</v>
      </c>
      <c r="H2380" t="s">
        <v>83</v>
      </c>
      <c r="I2380" t="s">
        <v>23</v>
      </c>
      <c r="J2380" t="s">
        <v>86</v>
      </c>
      <c r="K2380" t="s">
        <v>54</v>
      </c>
      <c r="L2380">
        <v>2.7</v>
      </c>
      <c r="M2380" t="s">
        <v>152</v>
      </c>
      <c r="N2380" t="s">
        <v>59</v>
      </c>
      <c r="O2380" t="s">
        <v>76</v>
      </c>
      <c r="P2380" t="s">
        <v>152</v>
      </c>
      <c r="Q2380" t="s">
        <v>152</v>
      </c>
      <c r="R2380">
        <v>37</v>
      </c>
      <c r="S2380" t="s">
        <v>46</v>
      </c>
      <c r="T2380" t="str">
        <f t="shared" si="74"/>
        <v>2-week</v>
      </c>
      <c r="U2380">
        <f>VLOOKUP(T2380,[1]tablescore!$B$3:$C$8, 2,FALSE)</f>
        <v>26</v>
      </c>
      <c r="V2380" t="str">
        <f t="shared" si="75"/>
        <v>Loyal</v>
      </c>
      <c r="W2380" t="s">
        <v>77</v>
      </c>
    </row>
    <row r="2381" spans="1:23" x14ac:dyDescent="0.25">
      <c r="A2381">
        <v>2380</v>
      </c>
      <c r="B2381">
        <v>40</v>
      </c>
      <c r="C2381" t="str" cm="1">
        <f t="array" ref="C2381">_xlfn.IFS(
  AND(B2381&gt;=18, B2381&lt;=24), "18-24",
  AND(B2381&gt;=25, B2381&lt;=34), "25-34",
  AND(B2381&gt;=35, B2381&lt;=44), "35-44",
  AND(B2381&gt;=45, B2381&lt;=54), "45-54",
  B2381&gt;=55, "55+"
)</f>
        <v>35-44</v>
      </c>
      <c r="D2381" t="s">
        <v>19</v>
      </c>
      <c r="E2381" t="s">
        <v>125</v>
      </c>
      <c r="F2381" t="s">
        <v>69</v>
      </c>
      <c r="G2381">
        <v>77</v>
      </c>
      <c r="H2381" t="s">
        <v>130</v>
      </c>
      <c r="I2381" t="s">
        <v>45</v>
      </c>
      <c r="J2381" t="s">
        <v>100</v>
      </c>
      <c r="K2381" t="s">
        <v>39</v>
      </c>
      <c r="L2381">
        <v>4</v>
      </c>
      <c r="M2381" t="s">
        <v>152</v>
      </c>
      <c r="N2381" t="s">
        <v>27</v>
      </c>
      <c r="O2381" t="s">
        <v>72</v>
      </c>
      <c r="P2381" t="s">
        <v>152</v>
      </c>
      <c r="Q2381" t="s">
        <v>152</v>
      </c>
      <c r="R2381">
        <v>22</v>
      </c>
      <c r="S2381" t="s">
        <v>59</v>
      </c>
      <c r="T2381" t="str">
        <f t="shared" si="74"/>
        <v>Month</v>
      </c>
      <c r="U2381">
        <f>VLOOKUP(T2381,[1]tablescore!$B$3:$C$8, 2,FALSE)</f>
        <v>12</v>
      </c>
      <c r="V2381" t="str">
        <f t="shared" si="75"/>
        <v>Moderate</v>
      </c>
      <c r="W2381" t="s">
        <v>88</v>
      </c>
    </row>
    <row r="2382" spans="1:23" x14ac:dyDescent="0.25">
      <c r="A2382">
        <v>2381</v>
      </c>
      <c r="B2382">
        <v>41</v>
      </c>
      <c r="C2382" t="str" cm="1">
        <f t="array" ref="C2382">_xlfn.IFS(
  AND(B2382&gt;=18, B2382&lt;=24), "18-24",
  AND(B2382&gt;=25, B2382&lt;=34), "25-34",
  AND(B2382&gt;=35, B2382&lt;=44), "35-44",
  AND(B2382&gt;=45, B2382&lt;=54), "45-54",
  B2382&gt;=55, "55+"
)</f>
        <v>35-44</v>
      </c>
      <c r="D2382" t="s">
        <v>19</v>
      </c>
      <c r="E2382" t="s">
        <v>119</v>
      </c>
      <c r="F2382" t="s">
        <v>69</v>
      </c>
      <c r="G2382">
        <v>66</v>
      </c>
      <c r="H2382" t="s">
        <v>141</v>
      </c>
      <c r="I2382" t="s">
        <v>45</v>
      </c>
      <c r="J2382" t="s">
        <v>94</v>
      </c>
      <c r="K2382" t="s">
        <v>58</v>
      </c>
      <c r="L2382">
        <v>2.5</v>
      </c>
      <c r="M2382" t="s">
        <v>152</v>
      </c>
      <c r="N2382" t="s">
        <v>27</v>
      </c>
      <c r="O2382" t="s">
        <v>47</v>
      </c>
      <c r="P2382" t="s">
        <v>152</v>
      </c>
      <c r="Q2382" t="s">
        <v>152</v>
      </c>
      <c r="R2382">
        <v>36</v>
      </c>
      <c r="S2382" t="s">
        <v>46</v>
      </c>
      <c r="T2382" t="str">
        <f t="shared" si="74"/>
        <v>2-week</v>
      </c>
      <c r="U2382">
        <f>VLOOKUP(T2382,[1]tablescore!$B$3:$C$8, 2,FALSE)</f>
        <v>26</v>
      </c>
      <c r="V2382" t="str">
        <f t="shared" si="75"/>
        <v>Loyal</v>
      </c>
      <c r="W2382" t="s">
        <v>30</v>
      </c>
    </row>
    <row r="2383" spans="1:23" x14ac:dyDescent="0.25">
      <c r="A2383">
        <v>2382</v>
      </c>
      <c r="B2383">
        <v>62</v>
      </c>
      <c r="C2383" t="str" cm="1">
        <f t="array" ref="C2383">_xlfn.IFS(
  AND(B2383&gt;=18, B2383&lt;=24), "18-24",
  AND(B2383&gt;=25, B2383&lt;=34), "25-34",
  AND(B2383&gt;=35, B2383&lt;=44), "35-44",
  AND(B2383&gt;=45, B2383&lt;=54), "45-54",
  B2383&gt;=55, "55+"
)</f>
        <v>55+</v>
      </c>
      <c r="D2383" t="s">
        <v>19</v>
      </c>
      <c r="E2383" t="s">
        <v>42</v>
      </c>
      <c r="F2383" t="s">
        <v>43</v>
      </c>
      <c r="G2383">
        <v>23</v>
      </c>
      <c r="H2383" t="s">
        <v>148</v>
      </c>
      <c r="I2383" t="s">
        <v>45</v>
      </c>
      <c r="J2383" t="s">
        <v>86</v>
      </c>
      <c r="K2383" t="s">
        <v>54</v>
      </c>
      <c r="L2383">
        <v>4.5</v>
      </c>
      <c r="M2383" t="s">
        <v>152</v>
      </c>
      <c r="N2383" t="s">
        <v>34</v>
      </c>
      <c r="O2383" t="s">
        <v>40</v>
      </c>
      <c r="P2383" t="s">
        <v>152</v>
      </c>
      <c r="Q2383" t="s">
        <v>152</v>
      </c>
      <c r="R2383">
        <v>23</v>
      </c>
      <c r="S2383" t="s">
        <v>46</v>
      </c>
      <c r="T2383" t="str">
        <f t="shared" si="74"/>
        <v>Annually</v>
      </c>
      <c r="U2383">
        <f>VLOOKUP(T2383,[1]tablescore!$B$3:$C$8, 2,FALSE)</f>
        <v>1</v>
      </c>
      <c r="V2383" t="str">
        <f t="shared" si="75"/>
        <v>Low Loyalty</v>
      </c>
      <c r="W2383" t="s">
        <v>50</v>
      </c>
    </row>
    <row r="2384" spans="1:23" x14ac:dyDescent="0.25">
      <c r="A2384">
        <v>2383</v>
      </c>
      <c r="B2384">
        <v>39</v>
      </c>
      <c r="C2384" t="str" cm="1">
        <f t="array" ref="C2384">_xlfn.IFS(
  AND(B2384&gt;=18, B2384&lt;=24), "18-24",
  AND(B2384&gt;=25, B2384&lt;=34), "25-34",
  AND(B2384&gt;=35, B2384&lt;=44), "35-44",
  AND(B2384&gt;=45, B2384&lt;=54), "45-54",
  B2384&gt;=55, "55+"
)</f>
        <v>35-44</v>
      </c>
      <c r="D2384" t="s">
        <v>19</v>
      </c>
      <c r="E2384" t="s">
        <v>31</v>
      </c>
      <c r="F2384" t="s">
        <v>21</v>
      </c>
      <c r="G2384">
        <v>60</v>
      </c>
      <c r="H2384" t="s">
        <v>99</v>
      </c>
      <c r="I2384" t="s">
        <v>45</v>
      </c>
      <c r="J2384" t="s">
        <v>49</v>
      </c>
      <c r="K2384" t="s">
        <v>39</v>
      </c>
      <c r="L2384">
        <v>3.9</v>
      </c>
      <c r="M2384" t="s">
        <v>152</v>
      </c>
      <c r="N2384" t="s">
        <v>59</v>
      </c>
      <c r="O2384" t="s">
        <v>28</v>
      </c>
      <c r="P2384" t="s">
        <v>152</v>
      </c>
      <c r="Q2384" t="s">
        <v>152</v>
      </c>
      <c r="R2384">
        <v>44</v>
      </c>
      <c r="S2384" t="s">
        <v>59</v>
      </c>
      <c r="T2384" t="str">
        <f t="shared" si="74"/>
        <v>Daily</v>
      </c>
      <c r="U2384">
        <f>VLOOKUP(T2384,[1]tablescore!$B$3:$C$8, 2,FALSE)</f>
        <v>30</v>
      </c>
      <c r="V2384" t="str">
        <f t="shared" si="75"/>
        <v>Highly Loyal</v>
      </c>
      <c r="W2384" t="s">
        <v>41</v>
      </c>
    </row>
    <row r="2385" spans="1:23" x14ac:dyDescent="0.25">
      <c r="A2385">
        <v>2384</v>
      </c>
      <c r="B2385">
        <v>53</v>
      </c>
      <c r="C2385" t="str" cm="1">
        <f t="array" ref="C2385">_xlfn.IFS(
  AND(B2385&gt;=18, B2385&lt;=24), "18-24",
  AND(B2385&gt;=25, B2385&lt;=34), "25-34",
  AND(B2385&gt;=35, B2385&lt;=44), "35-44",
  AND(B2385&gt;=45, B2385&lt;=54), "45-54",
  B2385&gt;=55, "55+"
)</f>
        <v>45-54</v>
      </c>
      <c r="D2385" t="s">
        <v>19</v>
      </c>
      <c r="E2385" t="s">
        <v>133</v>
      </c>
      <c r="F2385" t="s">
        <v>69</v>
      </c>
      <c r="G2385">
        <v>72</v>
      </c>
      <c r="H2385" t="s">
        <v>44</v>
      </c>
      <c r="I2385" t="s">
        <v>23</v>
      </c>
      <c r="J2385" t="s">
        <v>81</v>
      </c>
      <c r="K2385" t="s">
        <v>39</v>
      </c>
      <c r="L2385">
        <v>4.9000000000000004</v>
      </c>
      <c r="M2385" t="s">
        <v>152</v>
      </c>
      <c r="N2385" t="s">
        <v>35</v>
      </c>
      <c r="O2385" t="s">
        <v>72</v>
      </c>
      <c r="P2385" t="s">
        <v>152</v>
      </c>
      <c r="Q2385" t="s">
        <v>152</v>
      </c>
      <c r="R2385">
        <v>25</v>
      </c>
      <c r="S2385" t="s">
        <v>34</v>
      </c>
      <c r="T2385" t="str">
        <f t="shared" si="74"/>
        <v>Annually</v>
      </c>
      <c r="U2385">
        <f>VLOOKUP(T2385,[1]tablescore!$B$3:$C$8, 2,FALSE)</f>
        <v>1</v>
      </c>
      <c r="V2385" t="str">
        <f t="shared" si="75"/>
        <v>Low Loyalty</v>
      </c>
      <c r="W2385" t="s">
        <v>50</v>
      </c>
    </row>
    <row r="2386" spans="1:23" x14ac:dyDescent="0.25">
      <c r="A2386">
        <v>2385</v>
      </c>
      <c r="B2386">
        <v>24</v>
      </c>
      <c r="C2386" t="str" cm="1">
        <f t="array" ref="C2386">_xlfn.IFS(
  AND(B2386&gt;=18, B2386&lt;=24), "18-24",
  AND(B2386&gt;=25, B2386&lt;=34), "25-34",
  AND(B2386&gt;=35, B2386&lt;=44), "35-44",
  AND(B2386&gt;=45, B2386&lt;=54), "45-54",
  B2386&gt;=55, "55+"
)</f>
        <v>18-24</v>
      </c>
      <c r="D2386" t="s">
        <v>19</v>
      </c>
      <c r="E2386" t="s">
        <v>20</v>
      </c>
      <c r="F2386" t="s">
        <v>21</v>
      </c>
      <c r="G2386">
        <v>35</v>
      </c>
      <c r="H2386" t="s">
        <v>90</v>
      </c>
      <c r="I2386" t="s">
        <v>23</v>
      </c>
      <c r="J2386" t="s">
        <v>96</v>
      </c>
      <c r="K2386" t="s">
        <v>25</v>
      </c>
      <c r="L2386">
        <v>3.3</v>
      </c>
      <c r="M2386" t="s">
        <v>152</v>
      </c>
      <c r="N2386" t="s">
        <v>59</v>
      </c>
      <c r="O2386" t="s">
        <v>72</v>
      </c>
      <c r="P2386" t="s">
        <v>152</v>
      </c>
      <c r="Q2386" t="s">
        <v>152</v>
      </c>
      <c r="R2386">
        <v>40</v>
      </c>
      <c r="S2386" t="s">
        <v>46</v>
      </c>
      <c r="T2386" t="str">
        <f t="shared" si="74"/>
        <v>Quarterly</v>
      </c>
      <c r="U2386">
        <f>VLOOKUP(T2386,[1]tablescore!$B$3:$C$8, 2,FALSE)</f>
        <v>4</v>
      </c>
      <c r="V2386" t="str">
        <f t="shared" si="75"/>
        <v>Low Loyalty</v>
      </c>
      <c r="W2386" t="s">
        <v>60</v>
      </c>
    </row>
    <row r="2387" spans="1:23" x14ac:dyDescent="0.25">
      <c r="A2387">
        <v>2386</v>
      </c>
      <c r="B2387">
        <v>41</v>
      </c>
      <c r="C2387" t="str" cm="1">
        <f t="array" ref="C2387">_xlfn.IFS(
  AND(B2387&gt;=18, B2387&lt;=24), "18-24",
  AND(B2387&gt;=25, B2387&lt;=34), "25-34",
  AND(B2387&gt;=35, B2387&lt;=44), "35-44",
  AND(B2387&gt;=45, B2387&lt;=54), "45-54",
  B2387&gt;=55, "55+"
)</f>
        <v>35-44</v>
      </c>
      <c r="D2387" t="s">
        <v>19</v>
      </c>
      <c r="E2387" t="s">
        <v>119</v>
      </c>
      <c r="F2387" t="s">
        <v>69</v>
      </c>
      <c r="G2387">
        <v>31</v>
      </c>
      <c r="H2387" t="s">
        <v>101</v>
      </c>
      <c r="I2387" t="s">
        <v>45</v>
      </c>
      <c r="J2387" t="s">
        <v>110</v>
      </c>
      <c r="K2387" t="s">
        <v>58</v>
      </c>
      <c r="L2387">
        <v>3.8</v>
      </c>
      <c r="M2387" t="s">
        <v>152</v>
      </c>
      <c r="N2387" t="s">
        <v>29</v>
      </c>
      <c r="O2387" t="s">
        <v>28</v>
      </c>
      <c r="P2387" t="s">
        <v>152</v>
      </c>
      <c r="Q2387" t="s">
        <v>152</v>
      </c>
      <c r="R2387">
        <v>12</v>
      </c>
      <c r="S2387" t="s">
        <v>46</v>
      </c>
      <c r="T2387" t="str">
        <f t="shared" si="74"/>
        <v>Daily</v>
      </c>
      <c r="U2387">
        <f>VLOOKUP(T2387,[1]tablescore!$B$3:$C$8, 2,FALSE)</f>
        <v>30</v>
      </c>
      <c r="V2387" t="str">
        <f t="shared" si="75"/>
        <v>Highly Loyal</v>
      </c>
      <c r="W2387" t="s">
        <v>41</v>
      </c>
    </row>
    <row r="2388" spans="1:23" x14ac:dyDescent="0.25">
      <c r="A2388">
        <v>2387</v>
      </c>
      <c r="B2388">
        <v>19</v>
      </c>
      <c r="C2388" t="str" cm="1">
        <f t="array" ref="C2388">_xlfn.IFS(
  AND(B2388&gt;=18, B2388&lt;=24), "18-24",
  AND(B2388&gt;=25, B2388&lt;=34), "25-34",
  AND(B2388&gt;=35, B2388&lt;=44), "35-44",
  AND(B2388&gt;=45, B2388&lt;=54), "45-54",
  B2388&gt;=55, "55+"
)</f>
        <v>18-24</v>
      </c>
      <c r="D2388" t="s">
        <v>19</v>
      </c>
      <c r="E2388" t="s">
        <v>131</v>
      </c>
      <c r="F2388" t="s">
        <v>21</v>
      </c>
      <c r="G2388">
        <v>33</v>
      </c>
      <c r="H2388" t="s">
        <v>115</v>
      </c>
      <c r="I2388" t="s">
        <v>23</v>
      </c>
      <c r="J2388" t="s">
        <v>138</v>
      </c>
      <c r="K2388" t="s">
        <v>54</v>
      </c>
      <c r="L2388">
        <v>2.9</v>
      </c>
      <c r="M2388" t="s">
        <v>152</v>
      </c>
      <c r="N2388" t="s">
        <v>27</v>
      </c>
      <c r="O2388" t="s">
        <v>55</v>
      </c>
      <c r="P2388" t="s">
        <v>152</v>
      </c>
      <c r="Q2388" t="s">
        <v>152</v>
      </c>
      <c r="R2388">
        <v>14</v>
      </c>
      <c r="S2388" t="s">
        <v>29</v>
      </c>
      <c r="T2388" t="str">
        <f t="shared" si="74"/>
        <v>Month</v>
      </c>
      <c r="U2388">
        <f>VLOOKUP(T2388,[1]tablescore!$B$3:$C$8, 2,FALSE)</f>
        <v>12</v>
      </c>
      <c r="V2388" t="str">
        <f t="shared" si="75"/>
        <v>Moderate</v>
      </c>
      <c r="W2388" t="s">
        <v>88</v>
      </c>
    </row>
    <row r="2389" spans="1:23" x14ac:dyDescent="0.25">
      <c r="A2389">
        <v>2388</v>
      </c>
      <c r="B2389">
        <v>36</v>
      </c>
      <c r="C2389" t="str" cm="1">
        <f t="array" ref="C2389">_xlfn.IFS(
  AND(B2389&gt;=18, B2389&lt;=24), "18-24",
  AND(B2389&gt;=25, B2389&lt;=34), "25-34",
  AND(B2389&gt;=35, B2389&lt;=44), "35-44",
  AND(B2389&gt;=45, B2389&lt;=54), "45-54",
  B2389&gt;=55, "55+"
)</f>
        <v>35-44</v>
      </c>
      <c r="D2389" t="s">
        <v>19</v>
      </c>
      <c r="E2389" t="s">
        <v>125</v>
      </c>
      <c r="F2389" t="s">
        <v>69</v>
      </c>
      <c r="G2389">
        <v>95</v>
      </c>
      <c r="H2389" t="s">
        <v>122</v>
      </c>
      <c r="I2389" t="s">
        <v>45</v>
      </c>
      <c r="J2389" t="s">
        <v>81</v>
      </c>
      <c r="K2389" t="s">
        <v>54</v>
      </c>
      <c r="L2389">
        <v>4</v>
      </c>
      <c r="M2389" t="s">
        <v>152</v>
      </c>
      <c r="N2389" t="s">
        <v>27</v>
      </c>
      <c r="O2389" t="s">
        <v>72</v>
      </c>
      <c r="P2389" t="s">
        <v>152</v>
      </c>
      <c r="Q2389" t="s">
        <v>152</v>
      </c>
      <c r="R2389">
        <v>14</v>
      </c>
      <c r="S2389" t="s">
        <v>59</v>
      </c>
      <c r="T2389" t="str">
        <f t="shared" si="74"/>
        <v>Month</v>
      </c>
      <c r="U2389">
        <f>VLOOKUP(T2389,[1]tablescore!$B$3:$C$8, 2,FALSE)</f>
        <v>12</v>
      </c>
      <c r="V2389" t="str">
        <f t="shared" si="75"/>
        <v>Moderate</v>
      </c>
      <c r="W2389" t="s">
        <v>88</v>
      </c>
    </row>
    <row r="2390" spans="1:23" x14ac:dyDescent="0.25">
      <c r="A2390">
        <v>2389</v>
      </c>
      <c r="B2390">
        <v>21</v>
      </c>
      <c r="C2390" t="str" cm="1">
        <f t="array" ref="C2390">_xlfn.IFS(
  AND(B2390&gt;=18, B2390&lt;=24), "18-24",
  AND(B2390&gt;=25, B2390&lt;=34), "25-34",
  AND(B2390&gt;=35, B2390&lt;=44), "35-44",
  AND(B2390&gt;=45, B2390&lt;=54), "45-54",
  B2390&gt;=55, "55+"
)</f>
        <v>18-24</v>
      </c>
      <c r="D2390" t="s">
        <v>19</v>
      </c>
      <c r="E2390" t="s">
        <v>82</v>
      </c>
      <c r="F2390" t="s">
        <v>21</v>
      </c>
      <c r="G2390">
        <v>68</v>
      </c>
      <c r="H2390" t="s">
        <v>90</v>
      </c>
      <c r="I2390" t="s">
        <v>45</v>
      </c>
      <c r="J2390" t="s">
        <v>100</v>
      </c>
      <c r="K2390" t="s">
        <v>58</v>
      </c>
      <c r="L2390">
        <v>4.0999999999999996</v>
      </c>
      <c r="M2390" t="s">
        <v>152</v>
      </c>
      <c r="N2390" t="s">
        <v>27</v>
      </c>
      <c r="O2390" t="s">
        <v>76</v>
      </c>
      <c r="P2390" t="s">
        <v>152</v>
      </c>
      <c r="Q2390" t="s">
        <v>152</v>
      </c>
      <c r="R2390">
        <v>10</v>
      </c>
      <c r="S2390" t="s">
        <v>59</v>
      </c>
      <c r="T2390" t="str">
        <f t="shared" si="74"/>
        <v>Annually</v>
      </c>
      <c r="U2390">
        <f>VLOOKUP(T2390,[1]tablescore!$B$3:$C$8, 2,FALSE)</f>
        <v>1</v>
      </c>
      <c r="V2390" t="str">
        <f t="shared" si="75"/>
        <v>Low Loyalty</v>
      </c>
      <c r="W2390" t="s">
        <v>50</v>
      </c>
    </row>
    <row r="2391" spans="1:23" x14ac:dyDescent="0.25">
      <c r="A2391">
        <v>2390</v>
      </c>
      <c r="B2391">
        <v>25</v>
      </c>
      <c r="C2391" t="str" cm="1">
        <f t="array" ref="C2391">_xlfn.IFS(
  AND(B2391&gt;=18, B2391&lt;=24), "18-24",
  AND(B2391&gt;=25, B2391&lt;=34), "25-34",
  AND(B2391&gt;=35, B2391&lt;=44), "35-44",
  AND(B2391&gt;=45, B2391&lt;=54), "45-54",
  B2391&gt;=55, "55+"
)</f>
        <v>25-34</v>
      </c>
      <c r="D2391" t="s">
        <v>19</v>
      </c>
      <c r="E2391" t="s">
        <v>64</v>
      </c>
      <c r="F2391" t="s">
        <v>65</v>
      </c>
      <c r="G2391">
        <v>87</v>
      </c>
      <c r="H2391" t="s">
        <v>111</v>
      </c>
      <c r="I2391" t="s">
        <v>45</v>
      </c>
      <c r="J2391" t="s">
        <v>84</v>
      </c>
      <c r="K2391" t="s">
        <v>39</v>
      </c>
      <c r="L2391">
        <v>3.1</v>
      </c>
      <c r="M2391" t="s">
        <v>152</v>
      </c>
      <c r="N2391" t="s">
        <v>35</v>
      </c>
      <c r="O2391" t="s">
        <v>76</v>
      </c>
      <c r="P2391" t="s">
        <v>152</v>
      </c>
      <c r="Q2391" t="s">
        <v>152</v>
      </c>
      <c r="R2391">
        <v>17</v>
      </c>
      <c r="S2391" t="s">
        <v>34</v>
      </c>
      <c r="T2391" t="str">
        <f t="shared" si="74"/>
        <v>Quarterly</v>
      </c>
      <c r="U2391">
        <f>VLOOKUP(T2391,[1]tablescore!$B$3:$C$8, 2,FALSE)</f>
        <v>4</v>
      </c>
      <c r="V2391" t="str">
        <f t="shared" si="75"/>
        <v>Low Loyalty</v>
      </c>
      <c r="W2391" t="s">
        <v>97</v>
      </c>
    </row>
    <row r="2392" spans="1:23" x14ac:dyDescent="0.25">
      <c r="A2392">
        <v>2391</v>
      </c>
      <c r="B2392">
        <v>65</v>
      </c>
      <c r="C2392" t="str" cm="1">
        <f t="array" ref="C2392">_xlfn.IFS(
  AND(B2392&gt;=18, B2392&lt;=24), "18-24",
  AND(B2392&gt;=25, B2392&lt;=34), "25-34",
  AND(B2392&gt;=35, B2392&lt;=44), "35-44",
  AND(B2392&gt;=45, B2392&lt;=54), "45-54",
  B2392&gt;=55, "55+"
)</f>
        <v>55+</v>
      </c>
      <c r="D2392" t="s">
        <v>19</v>
      </c>
      <c r="E2392" t="s">
        <v>56</v>
      </c>
      <c r="F2392" t="s">
        <v>21</v>
      </c>
      <c r="G2392">
        <v>64</v>
      </c>
      <c r="H2392" t="s">
        <v>117</v>
      </c>
      <c r="I2392" t="s">
        <v>92</v>
      </c>
      <c r="J2392" t="s">
        <v>139</v>
      </c>
      <c r="K2392" t="s">
        <v>25</v>
      </c>
      <c r="L2392">
        <v>4.5999999999999996</v>
      </c>
      <c r="M2392" t="s">
        <v>152</v>
      </c>
      <c r="N2392" t="s">
        <v>59</v>
      </c>
      <c r="O2392" t="s">
        <v>28</v>
      </c>
      <c r="P2392" t="s">
        <v>152</v>
      </c>
      <c r="Q2392" t="s">
        <v>152</v>
      </c>
      <c r="R2392">
        <v>24</v>
      </c>
      <c r="S2392" t="s">
        <v>59</v>
      </c>
      <c r="T2392" t="str">
        <f t="shared" si="74"/>
        <v>2-week</v>
      </c>
      <c r="U2392">
        <f>VLOOKUP(T2392,[1]tablescore!$B$3:$C$8, 2,FALSE)</f>
        <v>26</v>
      </c>
      <c r="V2392" t="str">
        <f t="shared" si="75"/>
        <v>Loyal</v>
      </c>
      <c r="W2392" t="s">
        <v>30</v>
      </c>
    </row>
    <row r="2393" spans="1:23" x14ac:dyDescent="0.25">
      <c r="A2393">
        <v>2392</v>
      </c>
      <c r="B2393">
        <v>42</v>
      </c>
      <c r="C2393" t="str" cm="1">
        <f t="array" ref="C2393">_xlfn.IFS(
  AND(B2393&gt;=18, B2393&lt;=24), "18-24",
  AND(B2393&gt;=25, B2393&lt;=34), "25-34",
  AND(B2393&gt;=35, B2393&lt;=44), "35-44",
  AND(B2393&gt;=45, B2393&lt;=54), "45-54",
  B2393&gt;=55, "55+"
)</f>
        <v>35-44</v>
      </c>
      <c r="D2393" t="s">
        <v>19</v>
      </c>
      <c r="E2393" t="s">
        <v>56</v>
      </c>
      <c r="F2393" t="s">
        <v>21</v>
      </c>
      <c r="G2393">
        <v>74</v>
      </c>
      <c r="H2393" t="s">
        <v>151</v>
      </c>
      <c r="I2393" t="s">
        <v>45</v>
      </c>
      <c r="J2393" t="s">
        <v>94</v>
      </c>
      <c r="K2393" t="s">
        <v>25</v>
      </c>
      <c r="L2393">
        <v>4.5999999999999996</v>
      </c>
      <c r="M2393" t="s">
        <v>152</v>
      </c>
      <c r="N2393" t="s">
        <v>46</v>
      </c>
      <c r="O2393" t="s">
        <v>47</v>
      </c>
      <c r="P2393" t="s">
        <v>152</v>
      </c>
      <c r="Q2393" t="s">
        <v>152</v>
      </c>
      <c r="R2393">
        <v>31</v>
      </c>
      <c r="S2393" t="s">
        <v>34</v>
      </c>
      <c r="T2393" t="str">
        <f t="shared" si="74"/>
        <v>Quarterly</v>
      </c>
      <c r="U2393">
        <f>VLOOKUP(T2393,[1]tablescore!$B$3:$C$8, 2,FALSE)</f>
        <v>4</v>
      </c>
      <c r="V2393" t="str">
        <f t="shared" si="75"/>
        <v>Low Loyalty</v>
      </c>
      <c r="W2393" t="s">
        <v>60</v>
      </c>
    </row>
    <row r="2394" spans="1:23" x14ac:dyDescent="0.25">
      <c r="A2394">
        <v>2393</v>
      </c>
      <c r="B2394">
        <v>40</v>
      </c>
      <c r="C2394" t="str" cm="1">
        <f t="array" ref="C2394">_xlfn.IFS(
  AND(B2394&gt;=18, B2394&lt;=24), "18-24",
  AND(B2394&gt;=25, B2394&lt;=34), "25-34",
  AND(B2394&gt;=35, B2394&lt;=44), "35-44",
  AND(B2394&gt;=45, B2394&lt;=54), "45-54",
  B2394&gt;=55, "55+"
)</f>
        <v>35-44</v>
      </c>
      <c r="D2394" t="s">
        <v>19</v>
      </c>
      <c r="E2394" t="s">
        <v>36</v>
      </c>
      <c r="F2394" t="s">
        <v>21</v>
      </c>
      <c r="G2394">
        <v>62</v>
      </c>
      <c r="H2394" t="s">
        <v>70</v>
      </c>
      <c r="I2394" t="s">
        <v>23</v>
      </c>
      <c r="J2394" t="s">
        <v>67</v>
      </c>
      <c r="K2394" t="s">
        <v>39</v>
      </c>
      <c r="L2394">
        <v>2.6</v>
      </c>
      <c r="M2394" t="s">
        <v>152</v>
      </c>
      <c r="N2394" t="s">
        <v>35</v>
      </c>
      <c r="O2394" t="s">
        <v>72</v>
      </c>
      <c r="P2394" t="s">
        <v>152</v>
      </c>
      <c r="Q2394" t="s">
        <v>152</v>
      </c>
      <c r="R2394">
        <v>36</v>
      </c>
      <c r="S2394" t="s">
        <v>35</v>
      </c>
      <c r="T2394" t="str">
        <f t="shared" si="74"/>
        <v>Annually</v>
      </c>
      <c r="U2394">
        <f>VLOOKUP(T2394,[1]tablescore!$B$3:$C$8, 2,FALSE)</f>
        <v>1</v>
      </c>
      <c r="V2394" t="str">
        <f t="shared" si="75"/>
        <v>Low Loyalty</v>
      </c>
      <c r="W2394" t="s">
        <v>50</v>
      </c>
    </row>
    <row r="2395" spans="1:23" x14ac:dyDescent="0.25">
      <c r="A2395">
        <v>2394</v>
      </c>
      <c r="B2395">
        <v>58</v>
      </c>
      <c r="C2395" t="str" cm="1">
        <f t="array" ref="C2395">_xlfn.IFS(
  AND(B2395&gt;=18, B2395&lt;=24), "18-24",
  AND(B2395&gt;=25, B2395&lt;=34), "25-34",
  AND(B2395&gt;=35, B2395&lt;=44), "35-44",
  AND(B2395&gt;=45, B2395&lt;=54), "45-54",
  B2395&gt;=55, "55+"
)</f>
        <v>55+</v>
      </c>
      <c r="D2395" t="s">
        <v>19</v>
      </c>
      <c r="E2395" t="s">
        <v>131</v>
      </c>
      <c r="F2395" t="s">
        <v>21</v>
      </c>
      <c r="G2395">
        <v>97</v>
      </c>
      <c r="H2395" t="s">
        <v>62</v>
      </c>
      <c r="I2395" t="s">
        <v>45</v>
      </c>
      <c r="J2395" t="s">
        <v>110</v>
      </c>
      <c r="K2395" t="s">
        <v>25</v>
      </c>
      <c r="L2395">
        <v>5</v>
      </c>
      <c r="M2395" t="s">
        <v>152</v>
      </c>
      <c r="N2395" t="s">
        <v>59</v>
      </c>
      <c r="O2395" t="s">
        <v>72</v>
      </c>
      <c r="P2395" t="s">
        <v>152</v>
      </c>
      <c r="Q2395" t="s">
        <v>152</v>
      </c>
      <c r="R2395">
        <v>38</v>
      </c>
      <c r="S2395" t="s">
        <v>46</v>
      </c>
      <c r="T2395" t="str">
        <f t="shared" si="74"/>
        <v>Quarterly</v>
      </c>
      <c r="U2395">
        <f>VLOOKUP(T2395,[1]tablescore!$B$3:$C$8, 2,FALSE)</f>
        <v>4</v>
      </c>
      <c r="V2395" t="str">
        <f t="shared" si="75"/>
        <v>Low Loyalty</v>
      </c>
      <c r="W2395" t="s">
        <v>97</v>
      </c>
    </row>
    <row r="2396" spans="1:23" x14ac:dyDescent="0.25">
      <c r="A2396">
        <v>2395</v>
      </c>
      <c r="B2396">
        <v>40</v>
      </c>
      <c r="C2396" t="str" cm="1">
        <f t="array" ref="C2396">_xlfn.IFS(
  AND(B2396&gt;=18, B2396&lt;=24), "18-24",
  AND(B2396&gt;=25, B2396&lt;=34), "25-34",
  AND(B2396&gt;=35, B2396&lt;=44), "35-44",
  AND(B2396&gt;=45, B2396&lt;=54), "45-54",
  B2396&gt;=55, "55+"
)</f>
        <v>35-44</v>
      </c>
      <c r="D2396" t="s">
        <v>19</v>
      </c>
      <c r="E2396" t="s">
        <v>42</v>
      </c>
      <c r="F2396" t="s">
        <v>43</v>
      </c>
      <c r="G2396">
        <v>47</v>
      </c>
      <c r="H2396" t="s">
        <v>146</v>
      </c>
      <c r="I2396" t="s">
        <v>23</v>
      </c>
      <c r="J2396" t="s">
        <v>100</v>
      </c>
      <c r="K2396" t="s">
        <v>58</v>
      </c>
      <c r="L2396">
        <v>2.9</v>
      </c>
      <c r="M2396" t="s">
        <v>152</v>
      </c>
      <c r="N2396" t="s">
        <v>35</v>
      </c>
      <c r="O2396" t="s">
        <v>72</v>
      </c>
      <c r="P2396" t="s">
        <v>152</v>
      </c>
      <c r="Q2396" t="s">
        <v>152</v>
      </c>
      <c r="R2396">
        <v>23</v>
      </c>
      <c r="S2396" t="s">
        <v>59</v>
      </c>
      <c r="T2396" t="str">
        <f t="shared" si="74"/>
        <v>2-week</v>
      </c>
      <c r="U2396">
        <f>VLOOKUP(T2396,[1]tablescore!$B$3:$C$8, 2,FALSE)</f>
        <v>26</v>
      </c>
      <c r="V2396" t="str">
        <f t="shared" si="75"/>
        <v>Loyal</v>
      </c>
      <c r="W2396" t="s">
        <v>30</v>
      </c>
    </row>
    <row r="2397" spans="1:23" x14ac:dyDescent="0.25">
      <c r="A2397">
        <v>2396</v>
      </c>
      <c r="B2397">
        <v>62</v>
      </c>
      <c r="C2397" t="str" cm="1">
        <f t="array" ref="C2397">_xlfn.IFS(
  AND(B2397&gt;=18, B2397&lt;=24), "18-24",
  AND(B2397&gt;=25, B2397&lt;=34), "25-34",
  AND(B2397&gt;=35, B2397&lt;=44), "35-44",
  AND(B2397&gt;=45, B2397&lt;=54), "45-54",
  B2397&gt;=55, "55+"
)</f>
        <v>55+</v>
      </c>
      <c r="D2397" t="s">
        <v>19</v>
      </c>
      <c r="E2397" t="s">
        <v>20</v>
      </c>
      <c r="F2397" t="s">
        <v>21</v>
      </c>
      <c r="G2397">
        <v>83</v>
      </c>
      <c r="H2397" t="s">
        <v>146</v>
      </c>
      <c r="I2397" t="s">
        <v>45</v>
      </c>
      <c r="J2397" t="s">
        <v>109</v>
      </c>
      <c r="K2397" t="s">
        <v>25</v>
      </c>
      <c r="L2397">
        <v>3.5</v>
      </c>
      <c r="M2397" t="s">
        <v>152</v>
      </c>
      <c r="N2397" t="s">
        <v>59</v>
      </c>
      <c r="O2397" t="s">
        <v>72</v>
      </c>
      <c r="P2397" t="s">
        <v>152</v>
      </c>
      <c r="Q2397" t="s">
        <v>152</v>
      </c>
      <c r="R2397">
        <v>47</v>
      </c>
      <c r="S2397" t="s">
        <v>46</v>
      </c>
      <c r="T2397" t="str">
        <f t="shared" si="74"/>
        <v>2-week</v>
      </c>
      <c r="U2397">
        <f>VLOOKUP(T2397,[1]tablescore!$B$3:$C$8, 2,FALSE)</f>
        <v>26</v>
      </c>
      <c r="V2397" t="str">
        <f t="shared" si="75"/>
        <v>Loyal</v>
      </c>
      <c r="W2397" t="s">
        <v>77</v>
      </c>
    </row>
    <row r="2398" spans="1:23" x14ac:dyDescent="0.25">
      <c r="A2398">
        <v>2397</v>
      </c>
      <c r="B2398">
        <v>38</v>
      </c>
      <c r="C2398" t="str" cm="1">
        <f t="array" ref="C2398">_xlfn.IFS(
  AND(B2398&gt;=18, B2398&lt;=24), "18-24",
  AND(B2398&gt;=25, B2398&lt;=34), "25-34",
  AND(B2398&gt;=35, B2398&lt;=44), "35-44",
  AND(B2398&gt;=45, B2398&lt;=54), "45-54",
  B2398&gt;=55, "55+"
)</f>
        <v>35-44</v>
      </c>
      <c r="D2398" t="s">
        <v>19</v>
      </c>
      <c r="E2398" t="s">
        <v>56</v>
      </c>
      <c r="F2398" t="s">
        <v>21</v>
      </c>
      <c r="G2398">
        <v>82</v>
      </c>
      <c r="H2398" t="s">
        <v>48</v>
      </c>
      <c r="I2398" t="s">
        <v>45</v>
      </c>
      <c r="J2398" t="s">
        <v>79</v>
      </c>
      <c r="K2398" t="s">
        <v>39</v>
      </c>
      <c r="L2398">
        <v>3.7</v>
      </c>
      <c r="M2398" t="s">
        <v>152</v>
      </c>
      <c r="N2398" t="s">
        <v>27</v>
      </c>
      <c r="O2398" t="s">
        <v>72</v>
      </c>
      <c r="P2398" t="s">
        <v>152</v>
      </c>
      <c r="Q2398" t="s">
        <v>152</v>
      </c>
      <c r="R2398">
        <v>20</v>
      </c>
      <c r="S2398" t="s">
        <v>29</v>
      </c>
      <c r="T2398" t="str">
        <f t="shared" si="74"/>
        <v>Daily</v>
      </c>
      <c r="U2398">
        <f>VLOOKUP(T2398,[1]tablescore!$B$3:$C$8, 2,FALSE)</f>
        <v>30</v>
      </c>
      <c r="V2398" t="str">
        <f t="shared" si="75"/>
        <v>Highly Loyal</v>
      </c>
      <c r="W2398" t="s">
        <v>41</v>
      </c>
    </row>
    <row r="2399" spans="1:23" x14ac:dyDescent="0.25">
      <c r="A2399">
        <v>2398</v>
      </c>
      <c r="B2399">
        <v>37</v>
      </c>
      <c r="C2399" t="str" cm="1">
        <f t="array" ref="C2399">_xlfn.IFS(
  AND(B2399&gt;=18, B2399&lt;=24), "18-24",
  AND(B2399&gt;=25, B2399&lt;=34), "25-34",
  AND(B2399&gt;=35, B2399&lt;=44), "35-44",
  AND(B2399&gt;=45, B2399&lt;=54), "45-54",
  B2399&gt;=55, "55+"
)</f>
        <v>35-44</v>
      </c>
      <c r="D2399" t="s">
        <v>19</v>
      </c>
      <c r="E2399" t="s">
        <v>89</v>
      </c>
      <c r="F2399" t="s">
        <v>69</v>
      </c>
      <c r="G2399">
        <v>26</v>
      </c>
      <c r="H2399" t="s">
        <v>66</v>
      </c>
      <c r="I2399" t="s">
        <v>23</v>
      </c>
      <c r="J2399" t="s">
        <v>94</v>
      </c>
      <c r="K2399" t="s">
        <v>58</v>
      </c>
      <c r="L2399">
        <v>2.9</v>
      </c>
      <c r="M2399" t="s">
        <v>152</v>
      </c>
      <c r="N2399" t="s">
        <v>34</v>
      </c>
      <c r="O2399" t="s">
        <v>76</v>
      </c>
      <c r="P2399" t="s">
        <v>152</v>
      </c>
      <c r="Q2399" t="s">
        <v>152</v>
      </c>
      <c r="R2399">
        <v>41</v>
      </c>
      <c r="S2399" t="s">
        <v>29</v>
      </c>
      <c r="T2399" t="str">
        <f t="shared" si="74"/>
        <v>Month</v>
      </c>
      <c r="U2399">
        <f>VLOOKUP(T2399,[1]tablescore!$B$3:$C$8, 2,FALSE)</f>
        <v>12</v>
      </c>
      <c r="V2399" t="str">
        <f t="shared" si="75"/>
        <v>Moderate</v>
      </c>
      <c r="W2399" t="s">
        <v>88</v>
      </c>
    </row>
    <row r="2400" spans="1:23" x14ac:dyDescent="0.25">
      <c r="A2400">
        <v>2399</v>
      </c>
      <c r="B2400">
        <v>65</v>
      </c>
      <c r="C2400" t="str" cm="1">
        <f t="array" ref="C2400">_xlfn.IFS(
  AND(B2400&gt;=18, B2400&lt;=24), "18-24",
  AND(B2400&gt;=25, B2400&lt;=34), "25-34",
  AND(B2400&gt;=35, B2400&lt;=44), "35-44",
  AND(B2400&gt;=45, B2400&lt;=54), "45-54",
  B2400&gt;=55, "55+"
)</f>
        <v>55+</v>
      </c>
      <c r="D2400" t="s">
        <v>19</v>
      </c>
      <c r="E2400" t="s">
        <v>102</v>
      </c>
      <c r="F2400" t="s">
        <v>65</v>
      </c>
      <c r="G2400">
        <v>81</v>
      </c>
      <c r="H2400" t="s">
        <v>103</v>
      </c>
      <c r="I2400" t="s">
        <v>45</v>
      </c>
      <c r="J2400" t="s">
        <v>121</v>
      </c>
      <c r="K2400" t="s">
        <v>25</v>
      </c>
      <c r="L2400">
        <v>4.3</v>
      </c>
      <c r="M2400" t="s">
        <v>152</v>
      </c>
      <c r="N2400" t="s">
        <v>46</v>
      </c>
      <c r="O2400" t="s">
        <v>40</v>
      </c>
      <c r="P2400" t="s">
        <v>152</v>
      </c>
      <c r="Q2400" t="s">
        <v>152</v>
      </c>
      <c r="R2400">
        <v>44</v>
      </c>
      <c r="S2400" t="s">
        <v>34</v>
      </c>
      <c r="T2400" t="str">
        <f t="shared" si="74"/>
        <v>2-week</v>
      </c>
      <c r="U2400">
        <f>VLOOKUP(T2400,[1]tablescore!$B$3:$C$8, 2,FALSE)</f>
        <v>26</v>
      </c>
      <c r="V2400" t="str">
        <f t="shared" si="75"/>
        <v>Loyal</v>
      </c>
      <c r="W2400" t="s">
        <v>30</v>
      </c>
    </row>
    <row r="2401" spans="1:23" x14ac:dyDescent="0.25">
      <c r="A2401">
        <v>2400</v>
      </c>
      <c r="B2401">
        <v>55</v>
      </c>
      <c r="C2401" t="str" cm="1">
        <f t="array" ref="C2401">_xlfn.IFS(
  AND(B2401&gt;=18, B2401&lt;=24), "18-24",
  AND(B2401&gt;=25, B2401&lt;=34), "25-34",
  AND(B2401&gt;=35, B2401&lt;=44), "35-44",
  AND(B2401&gt;=45, B2401&lt;=54), "45-54",
  B2401&gt;=55, "55+"
)</f>
        <v>55+</v>
      </c>
      <c r="D2401" t="s">
        <v>19</v>
      </c>
      <c r="E2401" t="s">
        <v>82</v>
      </c>
      <c r="F2401" t="s">
        <v>21</v>
      </c>
      <c r="G2401">
        <v>44</v>
      </c>
      <c r="H2401" t="s">
        <v>83</v>
      </c>
      <c r="I2401" t="s">
        <v>23</v>
      </c>
      <c r="J2401" t="s">
        <v>118</v>
      </c>
      <c r="K2401" t="s">
        <v>39</v>
      </c>
      <c r="L2401">
        <v>3.2</v>
      </c>
      <c r="M2401" t="s">
        <v>152</v>
      </c>
      <c r="N2401" t="s">
        <v>59</v>
      </c>
      <c r="O2401" t="s">
        <v>76</v>
      </c>
      <c r="P2401" t="s">
        <v>152</v>
      </c>
      <c r="Q2401" t="s">
        <v>152</v>
      </c>
      <c r="R2401">
        <v>31</v>
      </c>
      <c r="S2401" t="s">
        <v>35</v>
      </c>
      <c r="T2401" t="str">
        <f t="shared" si="74"/>
        <v>Month</v>
      </c>
      <c r="U2401">
        <f>VLOOKUP(T2401,[1]tablescore!$B$3:$C$8, 2,FALSE)</f>
        <v>12</v>
      </c>
      <c r="V2401" t="str">
        <f t="shared" si="75"/>
        <v>Moderate</v>
      </c>
      <c r="W2401" t="s">
        <v>88</v>
      </c>
    </row>
    <row r="2402" spans="1:23" x14ac:dyDescent="0.25">
      <c r="A2402">
        <v>2401</v>
      </c>
      <c r="B2402">
        <v>43</v>
      </c>
      <c r="C2402" t="str" cm="1">
        <f t="array" ref="C2402">_xlfn.IFS(
  AND(B2402&gt;=18, B2402&lt;=24), "18-24",
  AND(B2402&gt;=25, B2402&lt;=34), "25-34",
  AND(B2402&gt;=35, B2402&lt;=44), "35-44",
  AND(B2402&gt;=45, B2402&lt;=54), "45-54",
  B2402&gt;=55, "55+"
)</f>
        <v>35-44</v>
      </c>
      <c r="D2402" t="s">
        <v>19</v>
      </c>
      <c r="E2402" t="s">
        <v>89</v>
      </c>
      <c r="F2402" t="s">
        <v>69</v>
      </c>
      <c r="G2402">
        <v>88</v>
      </c>
      <c r="H2402" t="s">
        <v>48</v>
      </c>
      <c r="I2402" t="s">
        <v>45</v>
      </c>
      <c r="J2402" t="s">
        <v>100</v>
      </c>
      <c r="K2402" t="s">
        <v>25</v>
      </c>
      <c r="L2402">
        <v>4.2</v>
      </c>
      <c r="M2402" t="s">
        <v>152</v>
      </c>
      <c r="N2402" t="s">
        <v>46</v>
      </c>
      <c r="O2402" t="s">
        <v>47</v>
      </c>
      <c r="P2402" t="s">
        <v>152</v>
      </c>
      <c r="Q2402" t="s">
        <v>152</v>
      </c>
      <c r="R2402">
        <v>11</v>
      </c>
      <c r="S2402" t="s">
        <v>27</v>
      </c>
      <c r="T2402" t="str">
        <f t="shared" si="74"/>
        <v>2-week</v>
      </c>
      <c r="U2402">
        <f>VLOOKUP(T2402,[1]tablescore!$B$3:$C$8, 2,FALSE)</f>
        <v>26</v>
      </c>
      <c r="V2402" t="str">
        <f t="shared" si="75"/>
        <v>Loyal</v>
      </c>
      <c r="W2402" t="s">
        <v>77</v>
      </c>
    </row>
    <row r="2403" spans="1:23" x14ac:dyDescent="0.25">
      <c r="A2403">
        <v>2402</v>
      </c>
      <c r="B2403">
        <v>43</v>
      </c>
      <c r="C2403" t="str" cm="1">
        <f t="array" ref="C2403">_xlfn.IFS(
  AND(B2403&gt;=18, B2403&lt;=24), "18-24",
  AND(B2403&gt;=25, B2403&lt;=34), "25-34",
  AND(B2403&gt;=35, B2403&lt;=44), "35-44",
  AND(B2403&gt;=45, B2403&lt;=54), "45-54",
  B2403&gt;=55, "55+"
)</f>
        <v>35-44</v>
      </c>
      <c r="D2403" t="s">
        <v>19</v>
      </c>
      <c r="E2403" t="s">
        <v>132</v>
      </c>
      <c r="F2403" t="s">
        <v>43</v>
      </c>
      <c r="G2403">
        <v>76</v>
      </c>
      <c r="H2403" t="s">
        <v>48</v>
      </c>
      <c r="I2403" t="s">
        <v>45</v>
      </c>
      <c r="J2403" t="s">
        <v>71</v>
      </c>
      <c r="K2403" t="s">
        <v>25</v>
      </c>
      <c r="L2403">
        <v>4.2</v>
      </c>
      <c r="M2403" t="s">
        <v>152</v>
      </c>
      <c r="N2403" t="s">
        <v>35</v>
      </c>
      <c r="O2403" t="s">
        <v>55</v>
      </c>
      <c r="P2403" t="s">
        <v>152</v>
      </c>
      <c r="Q2403" t="s">
        <v>152</v>
      </c>
      <c r="R2403">
        <v>25</v>
      </c>
      <c r="S2403" t="s">
        <v>46</v>
      </c>
      <c r="T2403" t="str">
        <f t="shared" si="74"/>
        <v>2-week</v>
      </c>
      <c r="U2403">
        <f>VLOOKUP(T2403,[1]tablescore!$B$3:$C$8, 2,FALSE)</f>
        <v>26</v>
      </c>
      <c r="V2403" t="str">
        <f t="shared" si="75"/>
        <v>Loyal</v>
      </c>
      <c r="W2403" t="s">
        <v>77</v>
      </c>
    </row>
    <row r="2404" spans="1:23" x14ac:dyDescent="0.25">
      <c r="A2404">
        <v>2403</v>
      </c>
      <c r="B2404">
        <v>45</v>
      </c>
      <c r="C2404" t="str" cm="1">
        <f t="array" ref="C2404">_xlfn.IFS(
  AND(B2404&gt;=18, B2404&lt;=24), "18-24",
  AND(B2404&gt;=25, B2404&lt;=34), "25-34",
  AND(B2404&gt;=35, B2404&lt;=44), "35-44",
  AND(B2404&gt;=45, B2404&lt;=54), "45-54",
  B2404&gt;=55, "55+"
)</f>
        <v>45-54</v>
      </c>
      <c r="D2404" t="s">
        <v>19</v>
      </c>
      <c r="E2404" t="s">
        <v>119</v>
      </c>
      <c r="F2404" t="s">
        <v>69</v>
      </c>
      <c r="G2404">
        <v>89</v>
      </c>
      <c r="H2404" t="s">
        <v>149</v>
      </c>
      <c r="I2404" t="s">
        <v>45</v>
      </c>
      <c r="J2404" t="s">
        <v>110</v>
      </c>
      <c r="K2404" t="s">
        <v>25</v>
      </c>
      <c r="L2404">
        <v>3.8</v>
      </c>
      <c r="M2404" t="s">
        <v>152</v>
      </c>
      <c r="N2404" t="s">
        <v>46</v>
      </c>
      <c r="O2404" t="s">
        <v>40</v>
      </c>
      <c r="P2404" t="s">
        <v>152</v>
      </c>
      <c r="Q2404" t="s">
        <v>152</v>
      </c>
      <c r="R2404">
        <v>31</v>
      </c>
      <c r="S2404" t="s">
        <v>35</v>
      </c>
      <c r="T2404" t="str">
        <f t="shared" si="74"/>
        <v>Daily</v>
      </c>
      <c r="U2404">
        <f>VLOOKUP(T2404,[1]tablescore!$B$3:$C$8, 2,FALSE)</f>
        <v>30</v>
      </c>
      <c r="V2404" t="str">
        <f t="shared" si="75"/>
        <v>Highly Loyal</v>
      </c>
      <c r="W2404" t="s">
        <v>41</v>
      </c>
    </row>
    <row r="2405" spans="1:23" x14ac:dyDescent="0.25">
      <c r="A2405">
        <v>2404</v>
      </c>
      <c r="B2405">
        <v>64</v>
      </c>
      <c r="C2405" t="str" cm="1">
        <f t="array" ref="C2405">_xlfn.IFS(
  AND(B2405&gt;=18, B2405&lt;=24), "18-24",
  AND(B2405&gt;=25, B2405&lt;=34), "25-34",
  AND(B2405&gt;=35, B2405&lt;=44), "35-44",
  AND(B2405&gt;=45, B2405&lt;=54), "45-54",
  B2405&gt;=55, "55+"
)</f>
        <v>55+</v>
      </c>
      <c r="D2405" t="s">
        <v>19</v>
      </c>
      <c r="E2405" t="s">
        <v>61</v>
      </c>
      <c r="F2405" t="s">
        <v>21</v>
      </c>
      <c r="G2405">
        <v>22</v>
      </c>
      <c r="H2405" t="s">
        <v>70</v>
      </c>
      <c r="I2405" t="s">
        <v>45</v>
      </c>
      <c r="J2405" t="s">
        <v>147</v>
      </c>
      <c r="K2405" t="s">
        <v>58</v>
      </c>
      <c r="L2405">
        <v>4.4000000000000004</v>
      </c>
      <c r="M2405" t="s">
        <v>152</v>
      </c>
      <c r="N2405" t="s">
        <v>34</v>
      </c>
      <c r="O2405" t="s">
        <v>55</v>
      </c>
      <c r="P2405" t="s">
        <v>152</v>
      </c>
      <c r="Q2405" t="s">
        <v>152</v>
      </c>
      <c r="R2405">
        <v>40</v>
      </c>
      <c r="S2405" t="s">
        <v>59</v>
      </c>
      <c r="T2405" t="str">
        <f t="shared" si="74"/>
        <v>Daily</v>
      </c>
      <c r="U2405">
        <f>VLOOKUP(T2405,[1]tablescore!$B$3:$C$8, 2,FALSE)</f>
        <v>30</v>
      </c>
      <c r="V2405" t="str">
        <f t="shared" si="75"/>
        <v>Highly Loyal</v>
      </c>
      <c r="W2405" t="s">
        <v>41</v>
      </c>
    </row>
    <row r="2406" spans="1:23" x14ac:dyDescent="0.25">
      <c r="A2406">
        <v>2405</v>
      </c>
      <c r="B2406">
        <v>28</v>
      </c>
      <c r="C2406" t="str" cm="1">
        <f t="array" ref="C2406">_xlfn.IFS(
  AND(B2406&gt;=18, B2406&lt;=24), "18-24",
  AND(B2406&gt;=25, B2406&lt;=34), "25-34",
  AND(B2406&gt;=35, B2406&lt;=44), "35-44",
  AND(B2406&gt;=45, B2406&lt;=54), "45-54",
  B2406&gt;=55, "55+"
)</f>
        <v>25-34</v>
      </c>
      <c r="D2406" t="s">
        <v>19</v>
      </c>
      <c r="E2406" t="s">
        <v>61</v>
      </c>
      <c r="F2406" t="s">
        <v>21</v>
      </c>
      <c r="G2406">
        <v>33</v>
      </c>
      <c r="H2406" t="s">
        <v>66</v>
      </c>
      <c r="I2406" t="s">
        <v>23</v>
      </c>
      <c r="J2406" t="s">
        <v>109</v>
      </c>
      <c r="K2406" t="s">
        <v>25</v>
      </c>
      <c r="L2406">
        <v>3.1</v>
      </c>
      <c r="M2406" t="s">
        <v>152</v>
      </c>
      <c r="N2406" t="s">
        <v>29</v>
      </c>
      <c r="O2406" t="s">
        <v>72</v>
      </c>
      <c r="P2406" t="s">
        <v>152</v>
      </c>
      <c r="Q2406" t="s">
        <v>152</v>
      </c>
      <c r="R2406">
        <v>23</v>
      </c>
      <c r="S2406" t="s">
        <v>27</v>
      </c>
      <c r="T2406" t="str">
        <f t="shared" si="74"/>
        <v>2-week</v>
      </c>
      <c r="U2406">
        <f>VLOOKUP(T2406,[1]tablescore!$B$3:$C$8, 2,FALSE)</f>
        <v>26</v>
      </c>
      <c r="V2406" t="str">
        <f t="shared" si="75"/>
        <v>Loyal</v>
      </c>
      <c r="W2406" t="s">
        <v>77</v>
      </c>
    </row>
    <row r="2407" spans="1:23" x14ac:dyDescent="0.25">
      <c r="A2407">
        <v>2406</v>
      </c>
      <c r="B2407">
        <v>69</v>
      </c>
      <c r="C2407" t="str" cm="1">
        <f t="array" ref="C2407">_xlfn.IFS(
  AND(B2407&gt;=18, B2407&lt;=24), "18-24",
  AND(B2407&gt;=25, B2407&lt;=34), "25-34",
  AND(B2407&gt;=35, B2407&lt;=44), "35-44",
  AND(B2407&gt;=45, B2407&lt;=54), "45-54",
  B2407&gt;=55, "55+"
)</f>
        <v>55+</v>
      </c>
      <c r="D2407" t="s">
        <v>19</v>
      </c>
      <c r="E2407" t="s">
        <v>36</v>
      </c>
      <c r="F2407" t="s">
        <v>21</v>
      </c>
      <c r="G2407">
        <v>97</v>
      </c>
      <c r="H2407" t="s">
        <v>99</v>
      </c>
      <c r="I2407" t="s">
        <v>92</v>
      </c>
      <c r="J2407" t="s">
        <v>67</v>
      </c>
      <c r="K2407" t="s">
        <v>58</v>
      </c>
      <c r="L2407">
        <v>5</v>
      </c>
      <c r="M2407" t="s">
        <v>152</v>
      </c>
      <c r="N2407" t="s">
        <v>29</v>
      </c>
      <c r="O2407" t="s">
        <v>55</v>
      </c>
      <c r="P2407" t="s">
        <v>152</v>
      </c>
      <c r="Q2407" t="s">
        <v>152</v>
      </c>
      <c r="R2407">
        <v>5</v>
      </c>
      <c r="S2407" t="s">
        <v>59</v>
      </c>
      <c r="T2407" t="str">
        <f t="shared" si="74"/>
        <v>Quarterly</v>
      </c>
      <c r="U2407">
        <f>VLOOKUP(T2407,[1]tablescore!$B$3:$C$8, 2,FALSE)</f>
        <v>4</v>
      </c>
      <c r="V2407" t="str">
        <f t="shared" si="75"/>
        <v>Low Loyalty</v>
      </c>
      <c r="W2407" t="s">
        <v>60</v>
      </c>
    </row>
    <row r="2408" spans="1:23" x14ac:dyDescent="0.25">
      <c r="A2408">
        <v>2407</v>
      </c>
      <c r="B2408">
        <v>54</v>
      </c>
      <c r="C2408" t="str" cm="1">
        <f t="array" ref="C2408">_xlfn.IFS(
  AND(B2408&gt;=18, B2408&lt;=24), "18-24",
  AND(B2408&gt;=25, B2408&lt;=34), "25-34",
  AND(B2408&gt;=35, B2408&lt;=44), "35-44",
  AND(B2408&gt;=45, B2408&lt;=54), "45-54",
  B2408&gt;=55, "55+"
)</f>
        <v>45-54</v>
      </c>
      <c r="D2408" t="s">
        <v>19</v>
      </c>
      <c r="E2408" t="s">
        <v>119</v>
      </c>
      <c r="F2408" t="s">
        <v>69</v>
      </c>
      <c r="G2408">
        <v>57</v>
      </c>
      <c r="H2408" t="s">
        <v>99</v>
      </c>
      <c r="I2408" t="s">
        <v>45</v>
      </c>
      <c r="J2408" t="s">
        <v>129</v>
      </c>
      <c r="K2408" t="s">
        <v>25</v>
      </c>
      <c r="L2408">
        <v>4.7</v>
      </c>
      <c r="M2408" t="s">
        <v>152</v>
      </c>
      <c r="N2408" t="s">
        <v>29</v>
      </c>
      <c r="O2408" t="s">
        <v>55</v>
      </c>
      <c r="P2408" t="s">
        <v>152</v>
      </c>
      <c r="Q2408" t="s">
        <v>152</v>
      </c>
      <c r="R2408">
        <v>26</v>
      </c>
      <c r="S2408" t="s">
        <v>46</v>
      </c>
      <c r="T2408" t="str">
        <f t="shared" si="74"/>
        <v>Daily</v>
      </c>
      <c r="U2408">
        <f>VLOOKUP(T2408,[1]tablescore!$B$3:$C$8, 2,FALSE)</f>
        <v>30</v>
      </c>
      <c r="V2408" t="str">
        <f t="shared" si="75"/>
        <v>Highly Loyal</v>
      </c>
      <c r="W2408" t="s">
        <v>41</v>
      </c>
    </row>
    <row r="2409" spans="1:23" x14ac:dyDescent="0.25">
      <c r="A2409">
        <v>2408</v>
      </c>
      <c r="B2409">
        <v>52</v>
      </c>
      <c r="C2409" t="str" cm="1">
        <f t="array" ref="C2409">_xlfn.IFS(
  AND(B2409&gt;=18, B2409&lt;=24), "18-24",
  AND(B2409&gt;=25, B2409&lt;=34), "25-34",
  AND(B2409&gt;=35, B2409&lt;=44), "35-44",
  AND(B2409&gt;=45, B2409&lt;=54), "45-54",
  B2409&gt;=55, "55+"
)</f>
        <v>45-54</v>
      </c>
      <c r="D2409" t="s">
        <v>19</v>
      </c>
      <c r="E2409" t="s">
        <v>61</v>
      </c>
      <c r="F2409" t="s">
        <v>21</v>
      </c>
      <c r="G2409">
        <v>38</v>
      </c>
      <c r="H2409" t="s">
        <v>115</v>
      </c>
      <c r="I2409" t="s">
        <v>45</v>
      </c>
      <c r="J2409" t="s">
        <v>118</v>
      </c>
      <c r="K2409" t="s">
        <v>54</v>
      </c>
      <c r="L2409">
        <v>3</v>
      </c>
      <c r="M2409" t="s">
        <v>152</v>
      </c>
      <c r="N2409" t="s">
        <v>27</v>
      </c>
      <c r="O2409" t="s">
        <v>28</v>
      </c>
      <c r="P2409" t="s">
        <v>152</v>
      </c>
      <c r="Q2409" t="s">
        <v>152</v>
      </c>
      <c r="R2409">
        <v>11</v>
      </c>
      <c r="S2409" t="s">
        <v>27</v>
      </c>
      <c r="T2409" t="str">
        <f t="shared" si="74"/>
        <v>2-week</v>
      </c>
      <c r="U2409">
        <f>VLOOKUP(T2409,[1]tablescore!$B$3:$C$8, 2,FALSE)</f>
        <v>26</v>
      </c>
      <c r="V2409" t="str">
        <f t="shared" si="75"/>
        <v>Loyal</v>
      </c>
      <c r="W2409" t="s">
        <v>77</v>
      </c>
    </row>
    <row r="2410" spans="1:23" x14ac:dyDescent="0.25">
      <c r="A2410">
        <v>2409</v>
      </c>
      <c r="B2410">
        <v>23</v>
      </c>
      <c r="C2410" t="str" cm="1">
        <f t="array" ref="C2410">_xlfn.IFS(
  AND(B2410&gt;=18, B2410&lt;=24), "18-24",
  AND(B2410&gt;=25, B2410&lt;=34), "25-34",
  AND(B2410&gt;=35, B2410&lt;=44), "35-44",
  AND(B2410&gt;=45, B2410&lt;=54), "45-54",
  B2410&gt;=55, "55+"
)</f>
        <v>18-24</v>
      </c>
      <c r="D2410" t="s">
        <v>19</v>
      </c>
      <c r="E2410" t="s">
        <v>51</v>
      </c>
      <c r="F2410" t="s">
        <v>43</v>
      </c>
      <c r="G2410">
        <v>55</v>
      </c>
      <c r="H2410" t="s">
        <v>78</v>
      </c>
      <c r="I2410" t="s">
        <v>92</v>
      </c>
      <c r="J2410" t="s">
        <v>94</v>
      </c>
      <c r="K2410" t="s">
        <v>58</v>
      </c>
      <c r="L2410">
        <v>4.2</v>
      </c>
      <c r="M2410" t="s">
        <v>152</v>
      </c>
      <c r="N2410" t="s">
        <v>46</v>
      </c>
      <c r="O2410" t="s">
        <v>47</v>
      </c>
      <c r="P2410" t="s">
        <v>152</v>
      </c>
      <c r="Q2410" t="s">
        <v>152</v>
      </c>
      <c r="R2410">
        <v>44</v>
      </c>
      <c r="S2410" t="s">
        <v>59</v>
      </c>
      <c r="T2410" t="str">
        <f t="shared" si="74"/>
        <v>Quarterly</v>
      </c>
      <c r="U2410">
        <f>VLOOKUP(T2410,[1]tablescore!$B$3:$C$8, 2,FALSE)</f>
        <v>4</v>
      </c>
      <c r="V2410" t="str">
        <f t="shared" si="75"/>
        <v>Low Loyalty</v>
      </c>
      <c r="W2410" t="s">
        <v>97</v>
      </c>
    </row>
    <row r="2411" spans="1:23" x14ac:dyDescent="0.25">
      <c r="A2411">
        <v>2410</v>
      </c>
      <c r="B2411">
        <v>26</v>
      </c>
      <c r="C2411" t="str" cm="1">
        <f t="array" ref="C2411">_xlfn.IFS(
  AND(B2411&gt;=18, B2411&lt;=24), "18-24",
  AND(B2411&gt;=25, B2411&lt;=34), "25-34",
  AND(B2411&gt;=35, B2411&lt;=44), "35-44",
  AND(B2411&gt;=45, B2411&lt;=54), "45-54",
  B2411&gt;=55, "55+"
)</f>
        <v>25-34</v>
      </c>
      <c r="D2411" t="s">
        <v>19</v>
      </c>
      <c r="E2411" t="s">
        <v>106</v>
      </c>
      <c r="F2411" t="s">
        <v>69</v>
      </c>
      <c r="G2411">
        <v>37</v>
      </c>
      <c r="H2411" t="s">
        <v>140</v>
      </c>
      <c r="I2411" t="s">
        <v>23</v>
      </c>
      <c r="J2411" t="s">
        <v>139</v>
      </c>
      <c r="K2411" t="s">
        <v>39</v>
      </c>
      <c r="L2411">
        <v>3</v>
      </c>
      <c r="M2411" t="s">
        <v>152</v>
      </c>
      <c r="N2411" t="s">
        <v>27</v>
      </c>
      <c r="O2411" t="s">
        <v>76</v>
      </c>
      <c r="P2411" t="s">
        <v>152</v>
      </c>
      <c r="Q2411" t="s">
        <v>152</v>
      </c>
      <c r="R2411">
        <v>47</v>
      </c>
      <c r="S2411" t="s">
        <v>35</v>
      </c>
      <c r="T2411" t="str">
        <f t="shared" si="74"/>
        <v>Quarterly</v>
      </c>
      <c r="U2411">
        <f>VLOOKUP(T2411,[1]tablescore!$B$3:$C$8, 2,FALSE)</f>
        <v>4</v>
      </c>
      <c r="V2411" t="str">
        <f t="shared" si="75"/>
        <v>Low Loyalty</v>
      </c>
      <c r="W2411" t="s">
        <v>97</v>
      </c>
    </row>
    <row r="2412" spans="1:23" x14ac:dyDescent="0.25">
      <c r="A2412">
        <v>2411</v>
      </c>
      <c r="B2412">
        <v>48</v>
      </c>
      <c r="C2412" t="str" cm="1">
        <f t="array" ref="C2412">_xlfn.IFS(
  AND(B2412&gt;=18, B2412&lt;=24), "18-24",
  AND(B2412&gt;=25, B2412&lt;=34), "25-34",
  AND(B2412&gt;=35, B2412&lt;=44), "35-44",
  AND(B2412&gt;=45, B2412&lt;=54), "45-54",
  B2412&gt;=55, "55+"
)</f>
        <v>45-54</v>
      </c>
      <c r="D2412" t="s">
        <v>19</v>
      </c>
      <c r="E2412" t="s">
        <v>73</v>
      </c>
      <c r="F2412" t="s">
        <v>43</v>
      </c>
      <c r="G2412">
        <v>43</v>
      </c>
      <c r="H2412" t="s">
        <v>148</v>
      </c>
      <c r="I2412" t="s">
        <v>45</v>
      </c>
      <c r="J2412" t="s">
        <v>33</v>
      </c>
      <c r="K2412" t="s">
        <v>54</v>
      </c>
      <c r="L2412">
        <v>3.7</v>
      </c>
      <c r="M2412" t="s">
        <v>152</v>
      </c>
      <c r="N2412" t="s">
        <v>29</v>
      </c>
      <c r="O2412" t="s">
        <v>40</v>
      </c>
      <c r="P2412" t="s">
        <v>152</v>
      </c>
      <c r="Q2412" t="s">
        <v>152</v>
      </c>
      <c r="R2412">
        <v>46</v>
      </c>
      <c r="S2412" t="s">
        <v>46</v>
      </c>
      <c r="T2412" t="str">
        <f t="shared" si="74"/>
        <v>Month</v>
      </c>
      <c r="U2412">
        <f>VLOOKUP(T2412,[1]tablescore!$B$3:$C$8, 2,FALSE)</f>
        <v>12</v>
      </c>
      <c r="V2412" t="str">
        <f t="shared" si="75"/>
        <v>Moderate</v>
      </c>
      <c r="W2412" t="s">
        <v>88</v>
      </c>
    </row>
    <row r="2413" spans="1:23" x14ac:dyDescent="0.25">
      <c r="A2413">
        <v>2412</v>
      </c>
      <c r="B2413">
        <v>49</v>
      </c>
      <c r="C2413" t="str" cm="1">
        <f t="array" ref="C2413">_xlfn.IFS(
  AND(B2413&gt;=18, B2413&lt;=24), "18-24",
  AND(B2413&gt;=25, B2413&lt;=34), "25-34",
  AND(B2413&gt;=35, B2413&lt;=44), "35-44",
  AND(B2413&gt;=45, B2413&lt;=54), "45-54",
  B2413&gt;=55, "55+"
)</f>
        <v>45-54</v>
      </c>
      <c r="D2413" t="s">
        <v>19</v>
      </c>
      <c r="E2413" t="s">
        <v>104</v>
      </c>
      <c r="F2413" t="s">
        <v>21</v>
      </c>
      <c r="G2413">
        <v>96</v>
      </c>
      <c r="H2413" t="s">
        <v>128</v>
      </c>
      <c r="I2413" t="s">
        <v>45</v>
      </c>
      <c r="J2413" t="s">
        <v>109</v>
      </c>
      <c r="K2413" t="s">
        <v>54</v>
      </c>
      <c r="L2413">
        <v>2.7</v>
      </c>
      <c r="M2413" t="s">
        <v>152</v>
      </c>
      <c r="N2413" t="s">
        <v>59</v>
      </c>
      <c r="O2413" t="s">
        <v>40</v>
      </c>
      <c r="P2413" t="s">
        <v>152</v>
      </c>
      <c r="Q2413" t="s">
        <v>152</v>
      </c>
      <c r="R2413">
        <v>35</v>
      </c>
      <c r="S2413" t="s">
        <v>35</v>
      </c>
      <c r="T2413" t="str">
        <f t="shared" si="74"/>
        <v>Quarterly</v>
      </c>
      <c r="U2413">
        <f>VLOOKUP(T2413,[1]tablescore!$B$3:$C$8, 2,FALSE)</f>
        <v>4</v>
      </c>
      <c r="V2413" t="str">
        <f t="shared" si="75"/>
        <v>Low Loyalty</v>
      </c>
      <c r="W2413" t="s">
        <v>97</v>
      </c>
    </row>
    <row r="2414" spans="1:23" x14ac:dyDescent="0.25">
      <c r="A2414">
        <v>2413</v>
      </c>
      <c r="B2414">
        <v>53</v>
      </c>
      <c r="C2414" t="str" cm="1">
        <f t="array" ref="C2414">_xlfn.IFS(
  AND(B2414&gt;=18, B2414&lt;=24), "18-24",
  AND(B2414&gt;=25, B2414&lt;=34), "25-34",
  AND(B2414&gt;=35, B2414&lt;=44), "35-44",
  AND(B2414&gt;=45, B2414&lt;=54), "45-54",
  B2414&gt;=55, "55+"
)</f>
        <v>45-54</v>
      </c>
      <c r="D2414" t="s">
        <v>19</v>
      </c>
      <c r="E2414" t="s">
        <v>102</v>
      </c>
      <c r="F2414" t="s">
        <v>65</v>
      </c>
      <c r="G2414">
        <v>51</v>
      </c>
      <c r="H2414" t="s">
        <v>48</v>
      </c>
      <c r="I2414" t="s">
        <v>45</v>
      </c>
      <c r="J2414" t="s">
        <v>71</v>
      </c>
      <c r="K2414" t="s">
        <v>25</v>
      </c>
      <c r="L2414">
        <v>4.3</v>
      </c>
      <c r="M2414" t="s">
        <v>152</v>
      </c>
      <c r="N2414" t="s">
        <v>59</v>
      </c>
      <c r="O2414" t="s">
        <v>72</v>
      </c>
      <c r="P2414" t="s">
        <v>152</v>
      </c>
      <c r="Q2414" t="s">
        <v>152</v>
      </c>
      <c r="R2414">
        <v>8</v>
      </c>
      <c r="S2414" t="s">
        <v>34</v>
      </c>
      <c r="T2414" t="str">
        <f t="shared" si="74"/>
        <v>2-week</v>
      </c>
      <c r="U2414">
        <f>VLOOKUP(T2414,[1]tablescore!$B$3:$C$8, 2,FALSE)</f>
        <v>26</v>
      </c>
      <c r="V2414" t="str">
        <f t="shared" si="75"/>
        <v>Loyal</v>
      </c>
      <c r="W2414" t="s">
        <v>77</v>
      </c>
    </row>
    <row r="2415" spans="1:23" x14ac:dyDescent="0.25">
      <c r="A2415">
        <v>2414</v>
      </c>
      <c r="B2415">
        <v>69</v>
      </c>
      <c r="C2415" t="str" cm="1">
        <f t="array" ref="C2415">_xlfn.IFS(
  AND(B2415&gt;=18, B2415&lt;=24), "18-24",
  AND(B2415&gt;=25, B2415&lt;=34), "25-34",
  AND(B2415&gt;=35, B2415&lt;=44), "35-44",
  AND(B2415&gt;=45, B2415&lt;=54), "45-54",
  B2415&gt;=55, "55+"
)</f>
        <v>55+</v>
      </c>
      <c r="D2415" t="s">
        <v>19</v>
      </c>
      <c r="E2415" t="s">
        <v>61</v>
      </c>
      <c r="F2415" t="s">
        <v>21</v>
      </c>
      <c r="G2415">
        <v>95</v>
      </c>
      <c r="H2415" t="s">
        <v>141</v>
      </c>
      <c r="I2415" t="s">
        <v>92</v>
      </c>
      <c r="J2415" t="s">
        <v>84</v>
      </c>
      <c r="K2415" t="s">
        <v>58</v>
      </c>
      <c r="L2415">
        <v>2.7</v>
      </c>
      <c r="M2415" t="s">
        <v>152</v>
      </c>
      <c r="N2415" t="s">
        <v>34</v>
      </c>
      <c r="O2415" t="s">
        <v>72</v>
      </c>
      <c r="P2415" t="s">
        <v>152</v>
      </c>
      <c r="Q2415" t="s">
        <v>152</v>
      </c>
      <c r="R2415">
        <v>30</v>
      </c>
      <c r="S2415" t="s">
        <v>34</v>
      </c>
      <c r="T2415" t="str">
        <f t="shared" si="74"/>
        <v>Daily</v>
      </c>
      <c r="U2415">
        <f>VLOOKUP(T2415,[1]tablescore!$B$3:$C$8, 2,FALSE)</f>
        <v>30</v>
      </c>
      <c r="V2415" t="str">
        <f t="shared" si="75"/>
        <v>Highly Loyal</v>
      </c>
      <c r="W2415" t="s">
        <v>41</v>
      </c>
    </row>
    <row r="2416" spans="1:23" x14ac:dyDescent="0.25">
      <c r="A2416">
        <v>2415</v>
      </c>
      <c r="B2416">
        <v>26</v>
      </c>
      <c r="C2416" t="str" cm="1">
        <f t="array" ref="C2416">_xlfn.IFS(
  AND(B2416&gt;=18, B2416&lt;=24), "18-24",
  AND(B2416&gt;=25, B2416&lt;=34), "25-34",
  AND(B2416&gt;=35, B2416&lt;=44), "35-44",
  AND(B2416&gt;=45, B2416&lt;=54), "45-54",
  B2416&gt;=55, "55+"
)</f>
        <v>25-34</v>
      </c>
      <c r="D2416" t="s">
        <v>19</v>
      </c>
      <c r="E2416" t="s">
        <v>131</v>
      </c>
      <c r="F2416" t="s">
        <v>21</v>
      </c>
      <c r="G2416">
        <v>26</v>
      </c>
      <c r="H2416" t="s">
        <v>128</v>
      </c>
      <c r="I2416" t="s">
        <v>45</v>
      </c>
      <c r="J2416" t="s">
        <v>93</v>
      </c>
      <c r="K2416" t="s">
        <v>54</v>
      </c>
      <c r="L2416">
        <v>3.7</v>
      </c>
      <c r="M2416" t="s">
        <v>152</v>
      </c>
      <c r="N2416" t="s">
        <v>46</v>
      </c>
      <c r="O2416" t="s">
        <v>47</v>
      </c>
      <c r="P2416" t="s">
        <v>152</v>
      </c>
      <c r="Q2416" t="s">
        <v>152</v>
      </c>
      <c r="R2416">
        <v>14</v>
      </c>
      <c r="S2416" t="s">
        <v>27</v>
      </c>
      <c r="T2416" t="str">
        <f t="shared" si="74"/>
        <v>2-week</v>
      </c>
      <c r="U2416">
        <f>VLOOKUP(T2416,[1]tablescore!$B$3:$C$8, 2,FALSE)</f>
        <v>26</v>
      </c>
      <c r="V2416" t="str">
        <f t="shared" si="75"/>
        <v>Loyal</v>
      </c>
      <c r="W2416" t="s">
        <v>77</v>
      </c>
    </row>
    <row r="2417" spans="1:23" x14ac:dyDescent="0.25">
      <c r="A2417">
        <v>2416</v>
      </c>
      <c r="B2417">
        <v>21</v>
      </c>
      <c r="C2417" t="str" cm="1">
        <f t="array" ref="C2417">_xlfn.IFS(
  AND(B2417&gt;=18, B2417&lt;=24), "18-24",
  AND(B2417&gt;=25, B2417&lt;=34), "25-34",
  AND(B2417&gt;=35, B2417&lt;=44), "35-44",
  AND(B2417&gt;=45, B2417&lt;=54), "45-54",
  B2417&gt;=55, "55+"
)</f>
        <v>18-24</v>
      </c>
      <c r="D2417" t="s">
        <v>19</v>
      </c>
      <c r="E2417" t="s">
        <v>64</v>
      </c>
      <c r="F2417" t="s">
        <v>65</v>
      </c>
      <c r="G2417">
        <v>34</v>
      </c>
      <c r="H2417" t="s">
        <v>78</v>
      </c>
      <c r="I2417" t="s">
        <v>92</v>
      </c>
      <c r="J2417" t="s">
        <v>93</v>
      </c>
      <c r="K2417" t="s">
        <v>58</v>
      </c>
      <c r="L2417">
        <v>4.3</v>
      </c>
      <c r="M2417" t="s">
        <v>152</v>
      </c>
      <c r="N2417" t="s">
        <v>35</v>
      </c>
      <c r="O2417" t="s">
        <v>55</v>
      </c>
      <c r="P2417" t="s">
        <v>152</v>
      </c>
      <c r="Q2417" t="s">
        <v>152</v>
      </c>
      <c r="R2417">
        <v>30</v>
      </c>
      <c r="S2417" t="s">
        <v>34</v>
      </c>
      <c r="T2417" t="str">
        <f t="shared" si="74"/>
        <v>Daily</v>
      </c>
      <c r="U2417">
        <f>VLOOKUP(T2417,[1]tablescore!$B$3:$C$8, 2,FALSE)</f>
        <v>30</v>
      </c>
      <c r="V2417" t="str">
        <f t="shared" si="75"/>
        <v>Highly Loyal</v>
      </c>
      <c r="W2417" t="s">
        <v>41</v>
      </c>
    </row>
    <row r="2418" spans="1:23" x14ac:dyDescent="0.25">
      <c r="A2418">
        <v>2417</v>
      </c>
      <c r="B2418">
        <v>59</v>
      </c>
      <c r="C2418" t="str" cm="1">
        <f t="array" ref="C2418">_xlfn.IFS(
  AND(B2418&gt;=18, B2418&lt;=24), "18-24",
  AND(B2418&gt;=25, B2418&lt;=34), "25-34",
  AND(B2418&gt;=35, B2418&lt;=44), "35-44",
  AND(B2418&gt;=45, B2418&lt;=54), "45-54",
  B2418&gt;=55, "55+"
)</f>
        <v>55+</v>
      </c>
      <c r="D2418" t="s">
        <v>19</v>
      </c>
      <c r="E2418" t="s">
        <v>42</v>
      </c>
      <c r="F2418" t="s">
        <v>43</v>
      </c>
      <c r="G2418">
        <v>83</v>
      </c>
      <c r="H2418" t="s">
        <v>143</v>
      </c>
      <c r="I2418" t="s">
        <v>38</v>
      </c>
      <c r="J2418" t="s">
        <v>94</v>
      </c>
      <c r="K2418" t="s">
        <v>54</v>
      </c>
      <c r="L2418">
        <v>4</v>
      </c>
      <c r="M2418" t="s">
        <v>152</v>
      </c>
      <c r="N2418" t="s">
        <v>35</v>
      </c>
      <c r="O2418" t="s">
        <v>47</v>
      </c>
      <c r="P2418" t="s">
        <v>152</v>
      </c>
      <c r="Q2418" t="s">
        <v>152</v>
      </c>
      <c r="R2418">
        <v>26</v>
      </c>
      <c r="S2418" t="s">
        <v>27</v>
      </c>
      <c r="T2418" t="str">
        <f t="shared" si="74"/>
        <v>Quarterly</v>
      </c>
      <c r="U2418">
        <f>VLOOKUP(T2418,[1]tablescore!$B$3:$C$8, 2,FALSE)</f>
        <v>4</v>
      </c>
      <c r="V2418" t="str">
        <f t="shared" si="75"/>
        <v>Low Loyalty</v>
      </c>
      <c r="W2418" t="s">
        <v>97</v>
      </c>
    </row>
    <row r="2419" spans="1:23" x14ac:dyDescent="0.25">
      <c r="A2419">
        <v>2418</v>
      </c>
      <c r="B2419">
        <v>21</v>
      </c>
      <c r="C2419" t="str" cm="1">
        <f t="array" ref="C2419">_xlfn.IFS(
  AND(B2419&gt;=18, B2419&lt;=24), "18-24",
  AND(B2419&gt;=25, B2419&lt;=34), "25-34",
  AND(B2419&gt;=35, B2419&lt;=44), "35-44",
  AND(B2419&gt;=45, B2419&lt;=54), "45-54",
  B2419&gt;=55, "55+"
)</f>
        <v>18-24</v>
      </c>
      <c r="D2419" t="s">
        <v>19</v>
      </c>
      <c r="E2419" t="s">
        <v>133</v>
      </c>
      <c r="F2419" t="s">
        <v>69</v>
      </c>
      <c r="G2419">
        <v>24</v>
      </c>
      <c r="H2419" t="s">
        <v>120</v>
      </c>
      <c r="I2419" t="s">
        <v>45</v>
      </c>
      <c r="J2419" t="s">
        <v>79</v>
      </c>
      <c r="K2419" t="s">
        <v>58</v>
      </c>
      <c r="L2419">
        <v>3.3</v>
      </c>
      <c r="M2419" t="s">
        <v>152</v>
      </c>
      <c r="N2419" t="s">
        <v>34</v>
      </c>
      <c r="O2419" t="s">
        <v>55</v>
      </c>
      <c r="P2419" t="s">
        <v>152</v>
      </c>
      <c r="Q2419" t="s">
        <v>152</v>
      </c>
      <c r="R2419">
        <v>32</v>
      </c>
      <c r="S2419" t="s">
        <v>29</v>
      </c>
      <c r="T2419" t="str">
        <f t="shared" si="74"/>
        <v>2-week</v>
      </c>
      <c r="U2419">
        <f>VLOOKUP(T2419,[1]tablescore!$B$3:$C$8, 2,FALSE)</f>
        <v>26</v>
      </c>
      <c r="V2419" t="str">
        <f t="shared" si="75"/>
        <v>Loyal</v>
      </c>
      <c r="W2419" t="s">
        <v>30</v>
      </c>
    </row>
    <row r="2420" spans="1:23" x14ac:dyDescent="0.25">
      <c r="A2420">
        <v>2419</v>
      </c>
      <c r="B2420">
        <v>22</v>
      </c>
      <c r="C2420" t="str" cm="1">
        <f t="array" ref="C2420">_xlfn.IFS(
  AND(B2420&gt;=18, B2420&lt;=24), "18-24",
  AND(B2420&gt;=25, B2420&lt;=34), "25-34",
  AND(B2420&gt;=35, B2420&lt;=44), "35-44",
  AND(B2420&gt;=45, B2420&lt;=54), "45-54",
  B2420&gt;=55, "55+"
)</f>
        <v>18-24</v>
      </c>
      <c r="D2420" t="s">
        <v>19</v>
      </c>
      <c r="E2420" t="s">
        <v>95</v>
      </c>
      <c r="F2420" t="s">
        <v>21</v>
      </c>
      <c r="G2420">
        <v>69</v>
      </c>
      <c r="H2420" t="s">
        <v>151</v>
      </c>
      <c r="I2420" t="s">
        <v>38</v>
      </c>
      <c r="J2420" t="s">
        <v>129</v>
      </c>
      <c r="K2420" t="s">
        <v>58</v>
      </c>
      <c r="L2420">
        <v>4</v>
      </c>
      <c r="M2420" t="s">
        <v>152</v>
      </c>
      <c r="N2420" t="s">
        <v>34</v>
      </c>
      <c r="O2420" t="s">
        <v>47</v>
      </c>
      <c r="P2420" t="s">
        <v>152</v>
      </c>
      <c r="Q2420" t="s">
        <v>152</v>
      </c>
      <c r="R2420">
        <v>47</v>
      </c>
      <c r="S2420" t="s">
        <v>35</v>
      </c>
      <c r="T2420" t="str">
        <f t="shared" si="74"/>
        <v>Quarterly</v>
      </c>
      <c r="U2420">
        <f>VLOOKUP(T2420,[1]tablescore!$B$3:$C$8, 2,FALSE)</f>
        <v>4</v>
      </c>
      <c r="V2420" t="str">
        <f t="shared" si="75"/>
        <v>Low Loyalty</v>
      </c>
      <c r="W2420" t="s">
        <v>97</v>
      </c>
    </row>
    <row r="2421" spans="1:23" x14ac:dyDescent="0.25">
      <c r="A2421">
        <v>2420</v>
      </c>
      <c r="B2421">
        <v>26</v>
      </c>
      <c r="C2421" t="str" cm="1">
        <f t="array" ref="C2421">_xlfn.IFS(
  AND(B2421&gt;=18, B2421&lt;=24), "18-24",
  AND(B2421&gt;=25, B2421&lt;=34), "25-34",
  AND(B2421&gt;=35, B2421&lt;=44), "35-44",
  AND(B2421&gt;=45, B2421&lt;=54), "45-54",
  B2421&gt;=55, "55+"
)</f>
        <v>25-34</v>
      </c>
      <c r="D2421" t="s">
        <v>19</v>
      </c>
      <c r="E2421" t="s">
        <v>31</v>
      </c>
      <c r="F2421" t="s">
        <v>21</v>
      </c>
      <c r="G2421">
        <v>40</v>
      </c>
      <c r="H2421" t="s">
        <v>98</v>
      </c>
      <c r="I2421" t="s">
        <v>45</v>
      </c>
      <c r="J2421" t="s">
        <v>138</v>
      </c>
      <c r="K2421" t="s">
        <v>58</v>
      </c>
      <c r="L2421">
        <v>2.7</v>
      </c>
      <c r="M2421" t="s">
        <v>152</v>
      </c>
      <c r="N2421" t="s">
        <v>29</v>
      </c>
      <c r="O2421" t="s">
        <v>47</v>
      </c>
      <c r="P2421" t="s">
        <v>152</v>
      </c>
      <c r="Q2421" t="s">
        <v>152</v>
      </c>
      <c r="R2421">
        <v>11</v>
      </c>
      <c r="S2421" t="s">
        <v>27</v>
      </c>
      <c r="T2421" t="str">
        <f t="shared" si="74"/>
        <v>Quarterly</v>
      </c>
      <c r="U2421">
        <f>VLOOKUP(T2421,[1]tablescore!$B$3:$C$8, 2,FALSE)</f>
        <v>4</v>
      </c>
      <c r="V2421" t="str">
        <f t="shared" si="75"/>
        <v>Low Loyalty</v>
      </c>
      <c r="W2421" t="s">
        <v>97</v>
      </c>
    </row>
    <row r="2422" spans="1:23" x14ac:dyDescent="0.25">
      <c r="A2422">
        <v>2421</v>
      </c>
      <c r="B2422">
        <v>41</v>
      </c>
      <c r="C2422" t="str" cm="1">
        <f t="array" ref="C2422">_xlfn.IFS(
  AND(B2422&gt;=18, B2422&lt;=24), "18-24",
  AND(B2422&gt;=25, B2422&lt;=34), "25-34",
  AND(B2422&gt;=35, B2422&lt;=44), "35-44",
  AND(B2422&gt;=45, B2422&lt;=54), "45-54",
  B2422&gt;=55, "55+"
)</f>
        <v>35-44</v>
      </c>
      <c r="D2422" t="s">
        <v>19</v>
      </c>
      <c r="E2422" t="s">
        <v>102</v>
      </c>
      <c r="F2422" t="s">
        <v>65</v>
      </c>
      <c r="G2422">
        <v>87</v>
      </c>
      <c r="H2422" t="s">
        <v>98</v>
      </c>
      <c r="I2422" t="s">
        <v>38</v>
      </c>
      <c r="J2422" t="s">
        <v>96</v>
      </c>
      <c r="K2422" t="s">
        <v>25</v>
      </c>
      <c r="L2422">
        <v>4.2</v>
      </c>
      <c r="M2422" t="s">
        <v>152</v>
      </c>
      <c r="N2422" t="s">
        <v>46</v>
      </c>
      <c r="O2422" t="s">
        <v>40</v>
      </c>
      <c r="P2422" t="s">
        <v>152</v>
      </c>
      <c r="Q2422" t="s">
        <v>152</v>
      </c>
      <c r="R2422">
        <v>28</v>
      </c>
      <c r="S2422" t="s">
        <v>46</v>
      </c>
      <c r="T2422" t="str">
        <f t="shared" si="74"/>
        <v>Annually</v>
      </c>
      <c r="U2422">
        <f>VLOOKUP(T2422,[1]tablescore!$B$3:$C$8, 2,FALSE)</f>
        <v>1</v>
      </c>
      <c r="V2422" t="str">
        <f t="shared" si="75"/>
        <v>Low Loyalty</v>
      </c>
      <c r="W2422" t="s">
        <v>50</v>
      </c>
    </row>
    <row r="2423" spans="1:23" x14ac:dyDescent="0.25">
      <c r="A2423">
        <v>2422</v>
      </c>
      <c r="B2423">
        <v>37</v>
      </c>
      <c r="C2423" t="str" cm="1">
        <f t="array" ref="C2423">_xlfn.IFS(
  AND(B2423&gt;=18, B2423&lt;=24), "18-24",
  AND(B2423&gt;=25, B2423&lt;=34), "25-34",
  AND(B2423&gt;=35, B2423&lt;=44), "35-44",
  AND(B2423&gt;=45, B2423&lt;=54), "45-54",
  B2423&gt;=55, "55+"
)</f>
        <v>35-44</v>
      </c>
      <c r="D2423" t="s">
        <v>19</v>
      </c>
      <c r="E2423" t="s">
        <v>51</v>
      </c>
      <c r="F2423" t="s">
        <v>43</v>
      </c>
      <c r="G2423">
        <v>46</v>
      </c>
      <c r="H2423" t="s">
        <v>134</v>
      </c>
      <c r="I2423" t="s">
        <v>23</v>
      </c>
      <c r="J2423" t="s">
        <v>71</v>
      </c>
      <c r="K2423" t="s">
        <v>39</v>
      </c>
      <c r="L2423">
        <v>4.5999999999999996</v>
      </c>
      <c r="M2423" t="s">
        <v>152</v>
      </c>
      <c r="N2423" t="s">
        <v>46</v>
      </c>
      <c r="O2423" t="s">
        <v>55</v>
      </c>
      <c r="P2423" t="s">
        <v>152</v>
      </c>
      <c r="Q2423" t="s">
        <v>152</v>
      </c>
      <c r="R2423">
        <v>2</v>
      </c>
      <c r="S2423" t="s">
        <v>59</v>
      </c>
      <c r="T2423" t="str">
        <f t="shared" si="74"/>
        <v>Quarterly</v>
      </c>
      <c r="U2423">
        <f>VLOOKUP(T2423,[1]tablescore!$B$3:$C$8, 2,FALSE)</f>
        <v>4</v>
      </c>
      <c r="V2423" t="str">
        <f t="shared" si="75"/>
        <v>Low Loyalty</v>
      </c>
      <c r="W2423" t="s">
        <v>97</v>
      </c>
    </row>
    <row r="2424" spans="1:23" x14ac:dyDescent="0.25">
      <c r="A2424">
        <v>2423</v>
      </c>
      <c r="B2424">
        <v>30</v>
      </c>
      <c r="C2424" t="str" cm="1">
        <f t="array" ref="C2424">_xlfn.IFS(
  AND(B2424&gt;=18, B2424&lt;=24), "18-24",
  AND(B2424&gt;=25, B2424&lt;=34), "25-34",
  AND(B2424&gt;=35, B2424&lt;=44), "35-44",
  AND(B2424&gt;=45, B2424&lt;=54), "45-54",
  B2424&gt;=55, "55+"
)</f>
        <v>25-34</v>
      </c>
      <c r="D2424" t="s">
        <v>19</v>
      </c>
      <c r="E2424" t="s">
        <v>106</v>
      </c>
      <c r="F2424" t="s">
        <v>69</v>
      </c>
      <c r="G2424">
        <v>82</v>
      </c>
      <c r="H2424" t="s">
        <v>142</v>
      </c>
      <c r="I2424" t="s">
        <v>45</v>
      </c>
      <c r="J2424" t="s">
        <v>100</v>
      </c>
      <c r="K2424" t="s">
        <v>25</v>
      </c>
      <c r="L2424">
        <v>4.8</v>
      </c>
      <c r="M2424" t="s">
        <v>152</v>
      </c>
      <c r="N2424" t="s">
        <v>27</v>
      </c>
      <c r="O2424" t="s">
        <v>76</v>
      </c>
      <c r="P2424" t="s">
        <v>152</v>
      </c>
      <c r="Q2424" t="s">
        <v>152</v>
      </c>
      <c r="R2424">
        <v>45</v>
      </c>
      <c r="S2424" t="s">
        <v>27</v>
      </c>
      <c r="T2424" t="str">
        <f t="shared" si="74"/>
        <v>Daily</v>
      </c>
      <c r="U2424">
        <f>VLOOKUP(T2424,[1]tablescore!$B$3:$C$8, 2,FALSE)</f>
        <v>30</v>
      </c>
      <c r="V2424" t="str">
        <f t="shared" si="75"/>
        <v>Highly Loyal</v>
      </c>
      <c r="W2424" t="s">
        <v>41</v>
      </c>
    </row>
    <row r="2425" spans="1:23" x14ac:dyDescent="0.25">
      <c r="A2425">
        <v>2424</v>
      </c>
      <c r="B2425">
        <v>49</v>
      </c>
      <c r="C2425" t="str" cm="1">
        <f t="array" ref="C2425">_xlfn.IFS(
  AND(B2425&gt;=18, B2425&lt;=24), "18-24",
  AND(B2425&gt;=25, B2425&lt;=34), "25-34",
  AND(B2425&gt;=35, B2425&lt;=44), "35-44",
  AND(B2425&gt;=45, B2425&lt;=54), "45-54",
  B2425&gt;=55, "55+"
)</f>
        <v>45-54</v>
      </c>
      <c r="D2425" t="s">
        <v>19</v>
      </c>
      <c r="E2425" t="s">
        <v>133</v>
      </c>
      <c r="F2425" t="s">
        <v>69</v>
      </c>
      <c r="G2425">
        <v>81</v>
      </c>
      <c r="H2425" t="s">
        <v>66</v>
      </c>
      <c r="I2425" t="s">
        <v>45</v>
      </c>
      <c r="J2425" t="s">
        <v>75</v>
      </c>
      <c r="K2425" t="s">
        <v>54</v>
      </c>
      <c r="L2425">
        <v>2.8</v>
      </c>
      <c r="M2425" t="s">
        <v>152</v>
      </c>
      <c r="N2425" t="s">
        <v>46</v>
      </c>
      <c r="O2425" t="s">
        <v>40</v>
      </c>
      <c r="P2425" t="s">
        <v>152</v>
      </c>
      <c r="Q2425" t="s">
        <v>152</v>
      </c>
      <c r="R2425">
        <v>7</v>
      </c>
      <c r="S2425" t="s">
        <v>27</v>
      </c>
      <c r="T2425" t="str">
        <f t="shared" si="74"/>
        <v>Quarterly</v>
      </c>
      <c r="U2425">
        <f>VLOOKUP(T2425,[1]tablescore!$B$3:$C$8, 2,FALSE)</f>
        <v>4</v>
      </c>
      <c r="V2425" t="str">
        <f t="shared" si="75"/>
        <v>Low Loyalty</v>
      </c>
      <c r="W2425" t="s">
        <v>97</v>
      </c>
    </row>
    <row r="2426" spans="1:23" x14ac:dyDescent="0.25">
      <c r="A2426">
        <v>2425</v>
      </c>
      <c r="B2426">
        <v>49</v>
      </c>
      <c r="C2426" t="str" cm="1">
        <f t="array" ref="C2426">_xlfn.IFS(
  AND(B2426&gt;=18, B2426&lt;=24), "18-24",
  AND(B2426&gt;=25, B2426&lt;=34), "25-34",
  AND(B2426&gt;=35, B2426&lt;=44), "35-44",
  AND(B2426&gt;=45, B2426&lt;=54), "45-54",
  B2426&gt;=55, "55+"
)</f>
        <v>45-54</v>
      </c>
      <c r="D2426" t="s">
        <v>19</v>
      </c>
      <c r="E2426" t="s">
        <v>106</v>
      </c>
      <c r="F2426" t="s">
        <v>69</v>
      </c>
      <c r="G2426">
        <v>57</v>
      </c>
      <c r="H2426" t="s">
        <v>80</v>
      </c>
      <c r="I2426" t="s">
        <v>45</v>
      </c>
      <c r="J2426" t="s">
        <v>100</v>
      </c>
      <c r="K2426" t="s">
        <v>25</v>
      </c>
      <c r="L2426">
        <v>4.5</v>
      </c>
      <c r="M2426" t="s">
        <v>152</v>
      </c>
      <c r="N2426" t="s">
        <v>59</v>
      </c>
      <c r="O2426" t="s">
        <v>47</v>
      </c>
      <c r="P2426" t="s">
        <v>152</v>
      </c>
      <c r="Q2426" t="s">
        <v>152</v>
      </c>
      <c r="R2426">
        <v>28</v>
      </c>
      <c r="S2426" t="s">
        <v>34</v>
      </c>
      <c r="T2426" t="str">
        <f t="shared" si="74"/>
        <v>2-week</v>
      </c>
      <c r="U2426">
        <f>VLOOKUP(T2426,[1]tablescore!$B$3:$C$8, 2,FALSE)</f>
        <v>26</v>
      </c>
      <c r="V2426" t="str">
        <f t="shared" si="75"/>
        <v>Loyal</v>
      </c>
      <c r="W2426" t="s">
        <v>77</v>
      </c>
    </row>
    <row r="2427" spans="1:23" x14ac:dyDescent="0.25">
      <c r="A2427">
        <v>2426</v>
      </c>
      <c r="B2427">
        <v>58</v>
      </c>
      <c r="C2427" t="str" cm="1">
        <f t="array" ref="C2427">_xlfn.IFS(
  AND(B2427&gt;=18, B2427&lt;=24), "18-24",
  AND(B2427&gt;=25, B2427&lt;=34), "25-34",
  AND(B2427&gt;=35, B2427&lt;=44), "35-44",
  AND(B2427&gt;=45, B2427&lt;=54), "45-54",
  B2427&gt;=55, "55+"
)</f>
        <v>55+</v>
      </c>
      <c r="D2427" t="s">
        <v>19</v>
      </c>
      <c r="E2427" t="s">
        <v>73</v>
      </c>
      <c r="F2427" t="s">
        <v>43</v>
      </c>
      <c r="G2427">
        <v>49</v>
      </c>
      <c r="H2427" t="s">
        <v>114</v>
      </c>
      <c r="I2427" t="s">
        <v>38</v>
      </c>
      <c r="J2427" t="s">
        <v>79</v>
      </c>
      <c r="K2427" t="s">
        <v>54</v>
      </c>
      <c r="L2427">
        <v>3</v>
      </c>
      <c r="M2427" t="s">
        <v>152</v>
      </c>
      <c r="N2427" t="s">
        <v>29</v>
      </c>
      <c r="O2427" t="s">
        <v>72</v>
      </c>
      <c r="P2427" t="s">
        <v>152</v>
      </c>
      <c r="Q2427" t="s">
        <v>152</v>
      </c>
      <c r="R2427">
        <v>34</v>
      </c>
      <c r="S2427" t="s">
        <v>34</v>
      </c>
      <c r="T2427" t="str">
        <f t="shared" si="74"/>
        <v>Quarterly</v>
      </c>
      <c r="U2427">
        <f>VLOOKUP(T2427,[1]tablescore!$B$3:$C$8, 2,FALSE)</f>
        <v>4</v>
      </c>
      <c r="V2427" t="str">
        <f t="shared" si="75"/>
        <v>Low Loyalty</v>
      </c>
      <c r="W2427" t="s">
        <v>60</v>
      </c>
    </row>
    <row r="2428" spans="1:23" x14ac:dyDescent="0.25">
      <c r="A2428">
        <v>2427</v>
      </c>
      <c r="B2428">
        <v>70</v>
      </c>
      <c r="C2428" t="str" cm="1">
        <f t="array" ref="C2428">_xlfn.IFS(
  AND(B2428&gt;=18, B2428&lt;=24), "18-24",
  AND(B2428&gt;=25, B2428&lt;=34), "25-34",
  AND(B2428&gt;=35, B2428&lt;=44), "35-44",
  AND(B2428&gt;=45, B2428&lt;=54), "45-54",
  B2428&gt;=55, "55+"
)</f>
        <v>55+</v>
      </c>
      <c r="D2428" t="s">
        <v>19</v>
      </c>
      <c r="E2428" t="s">
        <v>102</v>
      </c>
      <c r="F2428" t="s">
        <v>65</v>
      </c>
      <c r="G2428">
        <v>42</v>
      </c>
      <c r="H2428" t="s">
        <v>103</v>
      </c>
      <c r="I2428" t="s">
        <v>45</v>
      </c>
      <c r="J2428" t="s">
        <v>79</v>
      </c>
      <c r="K2428" t="s">
        <v>58</v>
      </c>
      <c r="L2428">
        <v>4.5999999999999996</v>
      </c>
      <c r="M2428" t="s">
        <v>152</v>
      </c>
      <c r="N2428" t="s">
        <v>29</v>
      </c>
      <c r="O2428" t="s">
        <v>40</v>
      </c>
      <c r="P2428" t="s">
        <v>152</v>
      </c>
      <c r="Q2428" t="s">
        <v>152</v>
      </c>
      <c r="R2428">
        <v>26</v>
      </c>
      <c r="S2428" t="s">
        <v>59</v>
      </c>
      <c r="T2428" t="str">
        <f t="shared" si="74"/>
        <v>Quarterly</v>
      </c>
      <c r="U2428">
        <f>VLOOKUP(T2428,[1]tablescore!$B$3:$C$8, 2,FALSE)</f>
        <v>4</v>
      </c>
      <c r="V2428" t="str">
        <f t="shared" si="75"/>
        <v>Low Loyalty</v>
      </c>
      <c r="W2428" t="s">
        <v>97</v>
      </c>
    </row>
    <row r="2429" spans="1:23" x14ac:dyDescent="0.25">
      <c r="A2429">
        <v>2428</v>
      </c>
      <c r="B2429">
        <v>27</v>
      </c>
      <c r="C2429" t="str" cm="1">
        <f t="array" ref="C2429">_xlfn.IFS(
  AND(B2429&gt;=18, B2429&lt;=24), "18-24",
  AND(B2429&gt;=25, B2429&lt;=34), "25-34",
  AND(B2429&gt;=35, B2429&lt;=44), "35-44",
  AND(B2429&gt;=45, B2429&lt;=54), "45-54",
  B2429&gt;=55, "55+"
)</f>
        <v>25-34</v>
      </c>
      <c r="D2429" t="s">
        <v>19</v>
      </c>
      <c r="E2429" t="s">
        <v>102</v>
      </c>
      <c r="F2429" t="s">
        <v>65</v>
      </c>
      <c r="G2429">
        <v>26</v>
      </c>
      <c r="H2429" t="s">
        <v>48</v>
      </c>
      <c r="I2429" t="s">
        <v>45</v>
      </c>
      <c r="J2429" t="s">
        <v>75</v>
      </c>
      <c r="K2429" t="s">
        <v>39</v>
      </c>
      <c r="L2429">
        <v>3.3</v>
      </c>
      <c r="M2429" t="s">
        <v>152</v>
      </c>
      <c r="N2429" t="s">
        <v>59</v>
      </c>
      <c r="O2429" t="s">
        <v>55</v>
      </c>
      <c r="P2429" t="s">
        <v>152</v>
      </c>
      <c r="Q2429" t="s">
        <v>152</v>
      </c>
      <c r="R2429">
        <v>45</v>
      </c>
      <c r="S2429" t="s">
        <v>35</v>
      </c>
      <c r="T2429" t="str">
        <f t="shared" si="74"/>
        <v>Quarterly</v>
      </c>
      <c r="U2429">
        <f>VLOOKUP(T2429,[1]tablescore!$B$3:$C$8, 2,FALSE)</f>
        <v>4</v>
      </c>
      <c r="V2429" t="str">
        <f t="shared" si="75"/>
        <v>Low Loyalty</v>
      </c>
      <c r="W2429" t="s">
        <v>60</v>
      </c>
    </row>
    <row r="2430" spans="1:23" x14ac:dyDescent="0.25">
      <c r="A2430">
        <v>2429</v>
      </c>
      <c r="B2430">
        <v>65</v>
      </c>
      <c r="C2430" t="str" cm="1">
        <f t="array" ref="C2430">_xlfn.IFS(
  AND(B2430&gt;=18, B2430&lt;=24), "18-24",
  AND(B2430&gt;=25, B2430&lt;=34), "25-34",
  AND(B2430&gt;=35, B2430&lt;=44), "35-44",
  AND(B2430&gt;=45, B2430&lt;=54), "45-54",
  B2430&gt;=55, "55+"
)</f>
        <v>55+</v>
      </c>
      <c r="D2430" t="s">
        <v>19</v>
      </c>
      <c r="E2430" t="s">
        <v>113</v>
      </c>
      <c r="F2430" t="s">
        <v>21</v>
      </c>
      <c r="G2430">
        <v>38</v>
      </c>
      <c r="H2430" t="s">
        <v>144</v>
      </c>
      <c r="I2430" t="s">
        <v>45</v>
      </c>
      <c r="J2430" t="s">
        <v>84</v>
      </c>
      <c r="K2430" t="s">
        <v>39</v>
      </c>
      <c r="L2430">
        <v>4.4000000000000004</v>
      </c>
      <c r="M2430" t="s">
        <v>152</v>
      </c>
      <c r="N2430" t="s">
        <v>46</v>
      </c>
      <c r="O2430" t="s">
        <v>47</v>
      </c>
      <c r="P2430" t="s">
        <v>152</v>
      </c>
      <c r="Q2430" t="s">
        <v>152</v>
      </c>
      <c r="R2430">
        <v>34</v>
      </c>
      <c r="S2430" t="s">
        <v>59</v>
      </c>
      <c r="T2430" t="str">
        <f t="shared" si="74"/>
        <v>Annually</v>
      </c>
      <c r="U2430">
        <f>VLOOKUP(T2430,[1]tablescore!$B$3:$C$8, 2,FALSE)</f>
        <v>1</v>
      </c>
      <c r="V2430" t="str">
        <f t="shared" si="75"/>
        <v>Low Loyalty</v>
      </c>
      <c r="W2430" t="s">
        <v>50</v>
      </c>
    </row>
    <row r="2431" spans="1:23" x14ac:dyDescent="0.25">
      <c r="A2431">
        <v>2430</v>
      </c>
      <c r="B2431">
        <v>57</v>
      </c>
      <c r="C2431" t="str" cm="1">
        <f t="array" ref="C2431">_xlfn.IFS(
  AND(B2431&gt;=18, B2431&lt;=24), "18-24",
  AND(B2431&gt;=25, B2431&lt;=34), "25-34",
  AND(B2431&gt;=35, B2431&lt;=44), "35-44",
  AND(B2431&gt;=45, B2431&lt;=54), "45-54",
  B2431&gt;=55, "55+"
)</f>
        <v>55+</v>
      </c>
      <c r="D2431" t="s">
        <v>19</v>
      </c>
      <c r="E2431" t="s">
        <v>51</v>
      </c>
      <c r="F2431" t="s">
        <v>43</v>
      </c>
      <c r="G2431">
        <v>57</v>
      </c>
      <c r="H2431" t="s">
        <v>128</v>
      </c>
      <c r="I2431" t="s">
        <v>92</v>
      </c>
      <c r="J2431" t="s">
        <v>33</v>
      </c>
      <c r="K2431" t="s">
        <v>54</v>
      </c>
      <c r="L2431">
        <v>4.4000000000000004</v>
      </c>
      <c r="M2431" t="s">
        <v>152</v>
      </c>
      <c r="N2431" t="s">
        <v>46</v>
      </c>
      <c r="O2431" t="s">
        <v>55</v>
      </c>
      <c r="P2431" t="s">
        <v>152</v>
      </c>
      <c r="Q2431" t="s">
        <v>152</v>
      </c>
      <c r="R2431">
        <v>47</v>
      </c>
      <c r="S2431" t="s">
        <v>27</v>
      </c>
      <c r="T2431" t="str">
        <f t="shared" si="74"/>
        <v>2-week</v>
      </c>
      <c r="U2431">
        <f>VLOOKUP(T2431,[1]tablescore!$B$3:$C$8, 2,FALSE)</f>
        <v>26</v>
      </c>
      <c r="V2431" t="str">
        <f t="shared" si="75"/>
        <v>Loyal</v>
      </c>
      <c r="W2431" t="s">
        <v>30</v>
      </c>
    </row>
    <row r="2432" spans="1:23" x14ac:dyDescent="0.25">
      <c r="A2432">
        <v>2431</v>
      </c>
      <c r="B2432">
        <v>20</v>
      </c>
      <c r="C2432" t="str" cm="1">
        <f t="array" ref="C2432">_xlfn.IFS(
  AND(B2432&gt;=18, B2432&lt;=24), "18-24",
  AND(B2432&gt;=25, B2432&lt;=34), "25-34",
  AND(B2432&gt;=35, B2432&lt;=44), "35-44",
  AND(B2432&gt;=45, B2432&lt;=54), "45-54",
  B2432&gt;=55, "55+"
)</f>
        <v>18-24</v>
      </c>
      <c r="D2432" t="s">
        <v>19</v>
      </c>
      <c r="E2432" t="s">
        <v>102</v>
      </c>
      <c r="F2432" t="s">
        <v>65</v>
      </c>
      <c r="G2432">
        <v>100</v>
      </c>
      <c r="H2432" t="s">
        <v>114</v>
      </c>
      <c r="I2432" t="s">
        <v>92</v>
      </c>
      <c r="J2432" t="s">
        <v>53</v>
      </c>
      <c r="K2432" t="s">
        <v>54</v>
      </c>
      <c r="L2432">
        <v>4.3</v>
      </c>
      <c r="M2432" t="s">
        <v>152</v>
      </c>
      <c r="N2432" t="s">
        <v>35</v>
      </c>
      <c r="O2432" t="s">
        <v>28</v>
      </c>
      <c r="P2432" t="s">
        <v>152</v>
      </c>
      <c r="Q2432" t="s">
        <v>152</v>
      </c>
      <c r="R2432">
        <v>42</v>
      </c>
      <c r="S2432" t="s">
        <v>35</v>
      </c>
      <c r="T2432" t="str">
        <f t="shared" si="74"/>
        <v>Quarterly</v>
      </c>
      <c r="U2432">
        <f>VLOOKUP(T2432,[1]tablescore!$B$3:$C$8, 2,FALSE)</f>
        <v>4</v>
      </c>
      <c r="V2432" t="str">
        <f t="shared" si="75"/>
        <v>Low Loyalty</v>
      </c>
      <c r="W2432" t="s">
        <v>60</v>
      </c>
    </row>
    <row r="2433" spans="1:23" x14ac:dyDescent="0.25">
      <c r="A2433">
        <v>2432</v>
      </c>
      <c r="B2433">
        <v>34</v>
      </c>
      <c r="C2433" t="str" cm="1">
        <f t="array" ref="C2433">_xlfn.IFS(
  AND(B2433&gt;=18, B2433&lt;=24), "18-24",
  AND(B2433&gt;=25, B2433&lt;=34), "25-34",
  AND(B2433&gt;=35, B2433&lt;=44), "35-44",
  AND(B2433&gt;=45, B2433&lt;=54), "45-54",
  B2433&gt;=55, "55+"
)</f>
        <v>25-34</v>
      </c>
      <c r="D2433" t="s">
        <v>19</v>
      </c>
      <c r="E2433" t="s">
        <v>104</v>
      </c>
      <c r="F2433" t="s">
        <v>21</v>
      </c>
      <c r="G2433">
        <v>73</v>
      </c>
      <c r="H2433" t="s">
        <v>90</v>
      </c>
      <c r="I2433" t="s">
        <v>38</v>
      </c>
      <c r="J2433" t="s">
        <v>79</v>
      </c>
      <c r="K2433" t="s">
        <v>58</v>
      </c>
      <c r="L2433">
        <v>3.4</v>
      </c>
      <c r="M2433" t="s">
        <v>152</v>
      </c>
      <c r="N2433" t="s">
        <v>35</v>
      </c>
      <c r="O2433" t="s">
        <v>28</v>
      </c>
      <c r="P2433" t="s">
        <v>152</v>
      </c>
      <c r="Q2433" t="s">
        <v>152</v>
      </c>
      <c r="R2433">
        <v>27</v>
      </c>
      <c r="S2433" t="s">
        <v>34</v>
      </c>
      <c r="T2433" t="str">
        <f t="shared" si="74"/>
        <v>Quarterly</v>
      </c>
      <c r="U2433">
        <f>VLOOKUP(T2433,[1]tablescore!$B$3:$C$8, 2,FALSE)</f>
        <v>4</v>
      </c>
      <c r="V2433" t="str">
        <f t="shared" si="75"/>
        <v>Low Loyalty</v>
      </c>
      <c r="W2433" t="s">
        <v>97</v>
      </c>
    </row>
    <row r="2434" spans="1:23" x14ac:dyDescent="0.25">
      <c r="A2434">
        <v>2433</v>
      </c>
      <c r="B2434">
        <v>59</v>
      </c>
      <c r="C2434" t="str" cm="1">
        <f t="array" ref="C2434">_xlfn.IFS(
  AND(B2434&gt;=18, B2434&lt;=24), "18-24",
  AND(B2434&gt;=25, B2434&lt;=34), "25-34",
  AND(B2434&gt;=35, B2434&lt;=44), "35-44",
  AND(B2434&gt;=45, B2434&lt;=54), "45-54",
  B2434&gt;=55, "55+"
)</f>
        <v>55+</v>
      </c>
      <c r="D2434" t="s">
        <v>19</v>
      </c>
      <c r="E2434" t="s">
        <v>102</v>
      </c>
      <c r="F2434" t="s">
        <v>65</v>
      </c>
      <c r="G2434">
        <v>66</v>
      </c>
      <c r="H2434" t="s">
        <v>78</v>
      </c>
      <c r="I2434" t="s">
        <v>45</v>
      </c>
      <c r="J2434" t="s">
        <v>100</v>
      </c>
      <c r="K2434" t="s">
        <v>25</v>
      </c>
      <c r="L2434">
        <v>2.8</v>
      </c>
      <c r="M2434" t="s">
        <v>152</v>
      </c>
      <c r="N2434" t="s">
        <v>46</v>
      </c>
      <c r="O2434" t="s">
        <v>76</v>
      </c>
      <c r="P2434" t="s">
        <v>152</v>
      </c>
      <c r="Q2434" t="s">
        <v>152</v>
      </c>
      <c r="R2434">
        <v>43</v>
      </c>
      <c r="S2434" t="s">
        <v>29</v>
      </c>
      <c r="T2434" t="str">
        <f t="shared" si="74"/>
        <v>Month</v>
      </c>
      <c r="U2434">
        <f>VLOOKUP(T2434,[1]tablescore!$B$3:$C$8, 2,FALSE)</f>
        <v>12</v>
      </c>
      <c r="V2434" t="str">
        <f t="shared" si="75"/>
        <v>Moderate</v>
      </c>
      <c r="W2434" t="s">
        <v>88</v>
      </c>
    </row>
    <row r="2435" spans="1:23" x14ac:dyDescent="0.25">
      <c r="A2435">
        <v>2434</v>
      </c>
      <c r="B2435">
        <v>54</v>
      </c>
      <c r="C2435" t="str" cm="1">
        <f t="array" ref="C2435">_xlfn.IFS(
  AND(B2435&gt;=18, B2435&lt;=24), "18-24",
  AND(B2435&gt;=25, B2435&lt;=34), "25-34",
  AND(B2435&gt;=35, B2435&lt;=44), "35-44",
  AND(B2435&gt;=45, B2435&lt;=54), "45-54",
  B2435&gt;=55, "55+"
)</f>
        <v>45-54</v>
      </c>
      <c r="D2435" t="s">
        <v>19</v>
      </c>
      <c r="E2435" t="s">
        <v>113</v>
      </c>
      <c r="F2435" t="s">
        <v>21</v>
      </c>
      <c r="G2435">
        <v>73</v>
      </c>
      <c r="H2435" t="s">
        <v>48</v>
      </c>
      <c r="I2435" t="s">
        <v>45</v>
      </c>
      <c r="J2435" t="s">
        <v>138</v>
      </c>
      <c r="K2435" t="s">
        <v>39</v>
      </c>
      <c r="L2435">
        <v>3.4</v>
      </c>
      <c r="M2435" t="s">
        <v>152</v>
      </c>
      <c r="N2435" t="s">
        <v>35</v>
      </c>
      <c r="O2435" t="s">
        <v>55</v>
      </c>
      <c r="P2435" t="s">
        <v>152</v>
      </c>
      <c r="Q2435" t="s">
        <v>152</v>
      </c>
      <c r="R2435">
        <v>16</v>
      </c>
      <c r="S2435" t="s">
        <v>35</v>
      </c>
      <c r="T2435" t="str">
        <f t="shared" ref="T2435:T2498" si="76">IF(TRIM(W2435)="Every 3 months","Quarterly",IF(TRIM(W2435)="Fortnightly","2-week",IF(TRIM(W2435)="Bi-Weekly","2-week",IF(TRIM(W2435)="Weekly","Daily",IF(TRIM(W2435)="Monthly","Month",TRIM(W2435))))))</f>
        <v>2-week</v>
      </c>
      <c r="U2435">
        <f>VLOOKUP(T2435,[1]tablescore!$B$3:$C$8, 2,FALSE)</f>
        <v>26</v>
      </c>
      <c r="V2435" t="str">
        <f t="shared" ref="V2435:V2498" si="77">_xlfn.IFS(U2435&gt;=30, "Highly Loyal", U2435&gt;=26, "Loyal", U2435&gt;=12, "Moderate", U2435&lt;5, "Low Loyalty")</f>
        <v>Loyal</v>
      </c>
      <c r="W2435" t="s">
        <v>77</v>
      </c>
    </row>
    <row r="2436" spans="1:23" x14ac:dyDescent="0.25">
      <c r="A2436">
        <v>2435</v>
      </c>
      <c r="B2436">
        <v>36</v>
      </c>
      <c r="C2436" t="str" cm="1">
        <f t="array" ref="C2436">_xlfn.IFS(
  AND(B2436&gt;=18, B2436&lt;=24), "18-24",
  AND(B2436&gt;=25, B2436&lt;=34), "25-34",
  AND(B2436&gt;=35, B2436&lt;=44), "35-44",
  AND(B2436&gt;=45, B2436&lt;=54), "45-54",
  B2436&gt;=55, "55+"
)</f>
        <v>35-44</v>
      </c>
      <c r="D2436" t="s">
        <v>19</v>
      </c>
      <c r="E2436" t="s">
        <v>127</v>
      </c>
      <c r="F2436" t="s">
        <v>69</v>
      </c>
      <c r="G2436">
        <v>45</v>
      </c>
      <c r="H2436" t="s">
        <v>149</v>
      </c>
      <c r="I2436" t="s">
        <v>45</v>
      </c>
      <c r="J2436" t="s">
        <v>110</v>
      </c>
      <c r="K2436" t="s">
        <v>39</v>
      </c>
      <c r="L2436">
        <v>5</v>
      </c>
      <c r="M2436" t="s">
        <v>152</v>
      </c>
      <c r="N2436" t="s">
        <v>35</v>
      </c>
      <c r="O2436" t="s">
        <v>76</v>
      </c>
      <c r="P2436" t="s">
        <v>152</v>
      </c>
      <c r="Q2436" t="s">
        <v>152</v>
      </c>
      <c r="R2436">
        <v>40</v>
      </c>
      <c r="S2436" t="s">
        <v>27</v>
      </c>
      <c r="T2436" t="str">
        <f t="shared" si="76"/>
        <v>Month</v>
      </c>
      <c r="U2436">
        <f>VLOOKUP(T2436,[1]tablescore!$B$3:$C$8, 2,FALSE)</f>
        <v>12</v>
      </c>
      <c r="V2436" t="str">
        <f t="shared" si="77"/>
        <v>Moderate</v>
      </c>
      <c r="W2436" t="s">
        <v>88</v>
      </c>
    </row>
    <row r="2437" spans="1:23" x14ac:dyDescent="0.25">
      <c r="A2437">
        <v>2436</v>
      </c>
      <c r="B2437">
        <v>21</v>
      </c>
      <c r="C2437" t="str" cm="1">
        <f t="array" ref="C2437">_xlfn.IFS(
  AND(B2437&gt;=18, B2437&lt;=24), "18-24",
  AND(B2437&gt;=25, B2437&lt;=34), "25-34",
  AND(B2437&gt;=35, B2437&lt;=44), "35-44",
  AND(B2437&gt;=45, B2437&lt;=54), "45-54",
  B2437&gt;=55, "55+"
)</f>
        <v>18-24</v>
      </c>
      <c r="D2437" t="s">
        <v>19</v>
      </c>
      <c r="E2437" t="s">
        <v>51</v>
      </c>
      <c r="F2437" t="s">
        <v>43</v>
      </c>
      <c r="G2437">
        <v>27</v>
      </c>
      <c r="H2437" t="s">
        <v>78</v>
      </c>
      <c r="I2437" t="s">
        <v>38</v>
      </c>
      <c r="J2437" t="s">
        <v>94</v>
      </c>
      <c r="K2437" t="s">
        <v>58</v>
      </c>
      <c r="L2437">
        <v>4.5</v>
      </c>
      <c r="M2437" t="s">
        <v>152</v>
      </c>
      <c r="N2437" t="s">
        <v>35</v>
      </c>
      <c r="O2437" t="s">
        <v>40</v>
      </c>
      <c r="P2437" t="s">
        <v>152</v>
      </c>
      <c r="Q2437" t="s">
        <v>152</v>
      </c>
      <c r="R2437">
        <v>29</v>
      </c>
      <c r="S2437" t="s">
        <v>35</v>
      </c>
      <c r="T2437" t="str">
        <f t="shared" si="76"/>
        <v>2-week</v>
      </c>
      <c r="U2437">
        <f>VLOOKUP(T2437,[1]tablescore!$B$3:$C$8, 2,FALSE)</f>
        <v>26</v>
      </c>
      <c r="V2437" t="str">
        <f t="shared" si="77"/>
        <v>Loyal</v>
      </c>
      <c r="W2437" t="s">
        <v>77</v>
      </c>
    </row>
    <row r="2438" spans="1:23" x14ac:dyDescent="0.25">
      <c r="A2438">
        <v>2437</v>
      </c>
      <c r="B2438">
        <v>52</v>
      </c>
      <c r="C2438" t="str" cm="1">
        <f t="array" ref="C2438">_xlfn.IFS(
  AND(B2438&gt;=18, B2438&lt;=24), "18-24",
  AND(B2438&gt;=25, B2438&lt;=34), "25-34",
  AND(B2438&gt;=35, B2438&lt;=44), "35-44",
  AND(B2438&gt;=45, B2438&lt;=54), "45-54",
  B2438&gt;=55, "55+"
)</f>
        <v>45-54</v>
      </c>
      <c r="D2438" t="s">
        <v>19</v>
      </c>
      <c r="E2438" t="s">
        <v>113</v>
      </c>
      <c r="F2438" t="s">
        <v>21</v>
      </c>
      <c r="G2438">
        <v>24</v>
      </c>
      <c r="H2438" t="s">
        <v>146</v>
      </c>
      <c r="I2438" t="s">
        <v>45</v>
      </c>
      <c r="J2438" t="s">
        <v>139</v>
      </c>
      <c r="K2438" t="s">
        <v>58</v>
      </c>
      <c r="L2438">
        <v>2.7</v>
      </c>
      <c r="M2438" t="s">
        <v>152</v>
      </c>
      <c r="N2438" t="s">
        <v>27</v>
      </c>
      <c r="O2438" t="s">
        <v>76</v>
      </c>
      <c r="P2438" t="s">
        <v>152</v>
      </c>
      <c r="Q2438" t="s">
        <v>152</v>
      </c>
      <c r="R2438">
        <v>38</v>
      </c>
      <c r="S2438" t="s">
        <v>27</v>
      </c>
      <c r="T2438" t="str">
        <f t="shared" si="76"/>
        <v>Quarterly</v>
      </c>
      <c r="U2438">
        <f>VLOOKUP(T2438,[1]tablescore!$B$3:$C$8, 2,FALSE)</f>
        <v>4</v>
      </c>
      <c r="V2438" t="str">
        <f t="shared" si="77"/>
        <v>Low Loyalty</v>
      </c>
      <c r="W2438" t="s">
        <v>60</v>
      </c>
    </row>
    <row r="2439" spans="1:23" x14ac:dyDescent="0.25">
      <c r="A2439">
        <v>2438</v>
      </c>
      <c r="B2439">
        <v>43</v>
      </c>
      <c r="C2439" t="str" cm="1">
        <f t="array" ref="C2439">_xlfn.IFS(
  AND(B2439&gt;=18, B2439&lt;=24), "18-24",
  AND(B2439&gt;=25, B2439&lt;=34), "25-34",
  AND(B2439&gt;=35, B2439&lt;=44), "35-44",
  AND(B2439&gt;=45, B2439&lt;=54), "45-54",
  B2439&gt;=55, "55+"
)</f>
        <v>35-44</v>
      </c>
      <c r="D2439" t="s">
        <v>19</v>
      </c>
      <c r="E2439" t="s">
        <v>51</v>
      </c>
      <c r="F2439" t="s">
        <v>43</v>
      </c>
      <c r="G2439">
        <v>59</v>
      </c>
      <c r="H2439" t="s">
        <v>52</v>
      </c>
      <c r="I2439" t="s">
        <v>92</v>
      </c>
      <c r="J2439" t="s">
        <v>147</v>
      </c>
      <c r="K2439" t="s">
        <v>25</v>
      </c>
      <c r="L2439">
        <v>3.4</v>
      </c>
      <c r="M2439" t="s">
        <v>152</v>
      </c>
      <c r="N2439" t="s">
        <v>27</v>
      </c>
      <c r="O2439" t="s">
        <v>76</v>
      </c>
      <c r="P2439" t="s">
        <v>152</v>
      </c>
      <c r="Q2439" t="s">
        <v>152</v>
      </c>
      <c r="R2439">
        <v>34</v>
      </c>
      <c r="S2439" t="s">
        <v>27</v>
      </c>
      <c r="T2439" t="str">
        <f t="shared" si="76"/>
        <v>Daily</v>
      </c>
      <c r="U2439">
        <f>VLOOKUP(T2439,[1]tablescore!$B$3:$C$8, 2,FALSE)</f>
        <v>30</v>
      </c>
      <c r="V2439" t="str">
        <f t="shared" si="77"/>
        <v>Highly Loyal</v>
      </c>
      <c r="W2439" t="s">
        <v>41</v>
      </c>
    </row>
    <row r="2440" spans="1:23" x14ac:dyDescent="0.25">
      <c r="A2440">
        <v>2439</v>
      </c>
      <c r="B2440">
        <v>32</v>
      </c>
      <c r="C2440" t="str" cm="1">
        <f t="array" ref="C2440">_xlfn.IFS(
  AND(B2440&gt;=18, B2440&lt;=24), "18-24",
  AND(B2440&gt;=25, B2440&lt;=34), "25-34",
  AND(B2440&gt;=35, B2440&lt;=44), "35-44",
  AND(B2440&gt;=45, B2440&lt;=54), "45-54",
  B2440&gt;=55, "55+"
)</f>
        <v>25-34</v>
      </c>
      <c r="D2440" t="s">
        <v>19</v>
      </c>
      <c r="E2440" t="s">
        <v>36</v>
      </c>
      <c r="F2440" t="s">
        <v>21</v>
      </c>
      <c r="G2440">
        <v>20</v>
      </c>
      <c r="H2440" t="s">
        <v>80</v>
      </c>
      <c r="I2440" t="s">
        <v>38</v>
      </c>
      <c r="J2440" t="s">
        <v>109</v>
      </c>
      <c r="K2440" t="s">
        <v>25</v>
      </c>
      <c r="L2440">
        <v>3.4</v>
      </c>
      <c r="M2440" t="s">
        <v>152</v>
      </c>
      <c r="N2440" t="s">
        <v>35</v>
      </c>
      <c r="O2440" t="s">
        <v>28</v>
      </c>
      <c r="P2440" t="s">
        <v>152</v>
      </c>
      <c r="Q2440" t="s">
        <v>152</v>
      </c>
      <c r="R2440">
        <v>30</v>
      </c>
      <c r="S2440" t="s">
        <v>29</v>
      </c>
      <c r="T2440" t="str">
        <f t="shared" si="76"/>
        <v>Daily</v>
      </c>
      <c r="U2440">
        <f>VLOOKUP(T2440,[1]tablescore!$B$3:$C$8, 2,FALSE)</f>
        <v>30</v>
      </c>
      <c r="V2440" t="str">
        <f t="shared" si="77"/>
        <v>Highly Loyal</v>
      </c>
      <c r="W2440" t="s">
        <v>41</v>
      </c>
    </row>
    <row r="2441" spans="1:23" x14ac:dyDescent="0.25">
      <c r="A2441">
        <v>2440</v>
      </c>
      <c r="B2441">
        <v>55</v>
      </c>
      <c r="C2441" t="str" cm="1">
        <f t="array" ref="C2441">_xlfn.IFS(
  AND(B2441&gt;=18, B2441&lt;=24), "18-24",
  AND(B2441&gt;=25, B2441&lt;=34), "25-34",
  AND(B2441&gt;=35, B2441&lt;=44), "35-44",
  AND(B2441&gt;=45, B2441&lt;=54), "45-54",
  B2441&gt;=55, "55+"
)</f>
        <v>55+</v>
      </c>
      <c r="D2441" t="s">
        <v>19</v>
      </c>
      <c r="E2441" t="s">
        <v>68</v>
      </c>
      <c r="F2441" t="s">
        <v>69</v>
      </c>
      <c r="G2441">
        <v>44</v>
      </c>
      <c r="H2441" t="s">
        <v>74</v>
      </c>
      <c r="I2441" t="s">
        <v>45</v>
      </c>
      <c r="J2441" t="s">
        <v>33</v>
      </c>
      <c r="K2441" t="s">
        <v>54</v>
      </c>
      <c r="L2441">
        <v>2.8</v>
      </c>
      <c r="M2441" t="s">
        <v>152</v>
      </c>
      <c r="N2441" t="s">
        <v>35</v>
      </c>
      <c r="O2441" t="s">
        <v>55</v>
      </c>
      <c r="P2441" t="s">
        <v>152</v>
      </c>
      <c r="Q2441" t="s">
        <v>152</v>
      </c>
      <c r="R2441">
        <v>45</v>
      </c>
      <c r="S2441" t="s">
        <v>34</v>
      </c>
      <c r="T2441" t="str">
        <f t="shared" si="76"/>
        <v>Annually</v>
      </c>
      <c r="U2441">
        <f>VLOOKUP(T2441,[1]tablescore!$B$3:$C$8, 2,FALSE)</f>
        <v>1</v>
      </c>
      <c r="V2441" t="str">
        <f t="shared" si="77"/>
        <v>Low Loyalty</v>
      </c>
      <c r="W2441" t="s">
        <v>50</v>
      </c>
    </row>
    <row r="2442" spans="1:23" x14ac:dyDescent="0.25">
      <c r="A2442">
        <v>2441</v>
      </c>
      <c r="B2442">
        <v>31</v>
      </c>
      <c r="C2442" t="str" cm="1">
        <f t="array" ref="C2442">_xlfn.IFS(
  AND(B2442&gt;=18, B2442&lt;=24), "18-24",
  AND(B2442&gt;=25, B2442&lt;=34), "25-34",
  AND(B2442&gt;=35, B2442&lt;=44), "35-44",
  AND(B2442&gt;=45, B2442&lt;=54), "45-54",
  B2442&gt;=55, "55+"
)</f>
        <v>25-34</v>
      </c>
      <c r="D2442" t="s">
        <v>19</v>
      </c>
      <c r="E2442" t="s">
        <v>131</v>
      </c>
      <c r="F2442" t="s">
        <v>21</v>
      </c>
      <c r="G2442">
        <v>90</v>
      </c>
      <c r="H2442" t="s">
        <v>116</v>
      </c>
      <c r="I2442" t="s">
        <v>45</v>
      </c>
      <c r="J2442" t="s">
        <v>108</v>
      </c>
      <c r="K2442" t="s">
        <v>39</v>
      </c>
      <c r="L2442">
        <v>4.7</v>
      </c>
      <c r="M2442" t="s">
        <v>152</v>
      </c>
      <c r="N2442" t="s">
        <v>34</v>
      </c>
      <c r="O2442" t="s">
        <v>55</v>
      </c>
      <c r="P2442" t="s">
        <v>152</v>
      </c>
      <c r="Q2442" t="s">
        <v>152</v>
      </c>
      <c r="R2442">
        <v>47</v>
      </c>
      <c r="S2442" t="s">
        <v>34</v>
      </c>
      <c r="T2442" t="str">
        <f t="shared" si="76"/>
        <v>Annually</v>
      </c>
      <c r="U2442">
        <f>VLOOKUP(T2442,[1]tablescore!$B$3:$C$8, 2,FALSE)</f>
        <v>1</v>
      </c>
      <c r="V2442" t="str">
        <f t="shared" si="77"/>
        <v>Low Loyalty</v>
      </c>
      <c r="W2442" t="s">
        <v>50</v>
      </c>
    </row>
    <row r="2443" spans="1:23" x14ac:dyDescent="0.25">
      <c r="A2443">
        <v>2442</v>
      </c>
      <c r="B2443">
        <v>45</v>
      </c>
      <c r="C2443" t="str" cm="1">
        <f t="array" ref="C2443">_xlfn.IFS(
  AND(B2443&gt;=18, B2443&lt;=24), "18-24",
  AND(B2443&gt;=25, B2443&lt;=34), "25-34",
  AND(B2443&gt;=35, B2443&lt;=44), "35-44",
  AND(B2443&gt;=45, B2443&lt;=54), "45-54",
  B2443&gt;=55, "55+"
)</f>
        <v>45-54</v>
      </c>
      <c r="D2443" t="s">
        <v>19</v>
      </c>
      <c r="E2443" t="s">
        <v>106</v>
      </c>
      <c r="F2443" t="s">
        <v>69</v>
      </c>
      <c r="G2443">
        <v>36</v>
      </c>
      <c r="H2443" t="s">
        <v>99</v>
      </c>
      <c r="I2443" t="s">
        <v>45</v>
      </c>
      <c r="J2443" t="s">
        <v>94</v>
      </c>
      <c r="K2443" t="s">
        <v>58</v>
      </c>
      <c r="L2443">
        <v>4.7</v>
      </c>
      <c r="M2443" t="s">
        <v>152</v>
      </c>
      <c r="N2443" t="s">
        <v>27</v>
      </c>
      <c r="O2443" t="s">
        <v>40</v>
      </c>
      <c r="P2443" t="s">
        <v>152</v>
      </c>
      <c r="Q2443" t="s">
        <v>152</v>
      </c>
      <c r="R2443">
        <v>5</v>
      </c>
      <c r="S2443" t="s">
        <v>27</v>
      </c>
      <c r="T2443" t="str">
        <f t="shared" si="76"/>
        <v>Month</v>
      </c>
      <c r="U2443">
        <f>VLOOKUP(T2443,[1]tablescore!$B$3:$C$8, 2,FALSE)</f>
        <v>12</v>
      </c>
      <c r="V2443" t="str">
        <f t="shared" si="77"/>
        <v>Moderate</v>
      </c>
      <c r="W2443" t="s">
        <v>88</v>
      </c>
    </row>
    <row r="2444" spans="1:23" x14ac:dyDescent="0.25">
      <c r="A2444">
        <v>2443</v>
      </c>
      <c r="B2444">
        <v>53</v>
      </c>
      <c r="C2444" t="str" cm="1">
        <f t="array" ref="C2444">_xlfn.IFS(
  AND(B2444&gt;=18, B2444&lt;=24), "18-24",
  AND(B2444&gt;=25, B2444&lt;=34), "25-34",
  AND(B2444&gt;=35, B2444&lt;=44), "35-44",
  AND(B2444&gt;=45, B2444&lt;=54), "45-54",
  B2444&gt;=55, "55+"
)</f>
        <v>45-54</v>
      </c>
      <c r="D2444" t="s">
        <v>19</v>
      </c>
      <c r="E2444" t="s">
        <v>20</v>
      </c>
      <c r="F2444" t="s">
        <v>21</v>
      </c>
      <c r="G2444">
        <v>95</v>
      </c>
      <c r="H2444" t="s">
        <v>52</v>
      </c>
      <c r="I2444" t="s">
        <v>23</v>
      </c>
      <c r="J2444" t="s">
        <v>84</v>
      </c>
      <c r="K2444" t="s">
        <v>25</v>
      </c>
      <c r="L2444">
        <v>4.7</v>
      </c>
      <c r="M2444" t="s">
        <v>152</v>
      </c>
      <c r="N2444" t="s">
        <v>46</v>
      </c>
      <c r="O2444" t="s">
        <v>40</v>
      </c>
      <c r="P2444" t="s">
        <v>152</v>
      </c>
      <c r="Q2444" t="s">
        <v>152</v>
      </c>
      <c r="R2444">
        <v>50</v>
      </c>
      <c r="S2444" t="s">
        <v>59</v>
      </c>
      <c r="T2444" t="str">
        <f t="shared" si="76"/>
        <v>2-week</v>
      </c>
      <c r="U2444">
        <f>VLOOKUP(T2444,[1]tablescore!$B$3:$C$8, 2,FALSE)</f>
        <v>26</v>
      </c>
      <c r="V2444" t="str">
        <f t="shared" si="77"/>
        <v>Loyal</v>
      </c>
      <c r="W2444" t="s">
        <v>77</v>
      </c>
    </row>
    <row r="2445" spans="1:23" x14ac:dyDescent="0.25">
      <c r="A2445">
        <v>2444</v>
      </c>
      <c r="B2445">
        <v>24</v>
      </c>
      <c r="C2445" t="str" cm="1">
        <f t="array" ref="C2445">_xlfn.IFS(
  AND(B2445&gt;=18, B2445&lt;=24), "18-24",
  AND(B2445&gt;=25, B2445&lt;=34), "25-34",
  AND(B2445&gt;=35, B2445&lt;=44), "35-44",
  AND(B2445&gt;=45, B2445&lt;=54), "45-54",
  B2445&gt;=55, "55+"
)</f>
        <v>18-24</v>
      </c>
      <c r="D2445" t="s">
        <v>19</v>
      </c>
      <c r="E2445" t="s">
        <v>133</v>
      </c>
      <c r="F2445" t="s">
        <v>69</v>
      </c>
      <c r="G2445">
        <v>30</v>
      </c>
      <c r="H2445" t="s">
        <v>130</v>
      </c>
      <c r="I2445" t="s">
        <v>45</v>
      </c>
      <c r="J2445" t="s">
        <v>96</v>
      </c>
      <c r="K2445" t="s">
        <v>39</v>
      </c>
      <c r="L2445">
        <v>3.4</v>
      </c>
      <c r="M2445" t="s">
        <v>152</v>
      </c>
      <c r="N2445" t="s">
        <v>29</v>
      </c>
      <c r="O2445" t="s">
        <v>72</v>
      </c>
      <c r="P2445" t="s">
        <v>152</v>
      </c>
      <c r="Q2445" t="s">
        <v>152</v>
      </c>
      <c r="R2445">
        <v>24</v>
      </c>
      <c r="S2445" t="s">
        <v>34</v>
      </c>
      <c r="T2445" t="str">
        <f t="shared" si="76"/>
        <v>2-week</v>
      </c>
      <c r="U2445">
        <f>VLOOKUP(T2445,[1]tablescore!$B$3:$C$8, 2,FALSE)</f>
        <v>26</v>
      </c>
      <c r="V2445" t="str">
        <f t="shared" si="77"/>
        <v>Loyal</v>
      </c>
      <c r="W2445" t="s">
        <v>77</v>
      </c>
    </row>
    <row r="2446" spans="1:23" x14ac:dyDescent="0.25">
      <c r="A2446">
        <v>2445</v>
      </c>
      <c r="B2446">
        <v>47</v>
      </c>
      <c r="C2446" t="str" cm="1">
        <f t="array" ref="C2446">_xlfn.IFS(
  AND(B2446&gt;=18, B2446&lt;=24), "18-24",
  AND(B2446&gt;=25, B2446&lt;=34), "25-34",
  AND(B2446&gt;=35, B2446&lt;=44), "35-44",
  AND(B2446&gt;=45, B2446&lt;=54), "45-54",
  B2446&gt;=55, "55+"
)</f>
        <v>45-54</v>
      </c>
      <c r="D2446" t="s">
        <v>19</v>
      </c>
      <c r="E2446" t="s">
        <v>119</v>
      </c>
      <c r="F2446" t="s">
        <v>69</v>
      </c>
      <c r="G2446">
        <v>65</v>
      </c>
      <c r="H2446" t="s">
        <v>66</v>
      </c>
      <c r="I2446" t="s">
        <v>38</v>
      </c>
      <c r="J2446" t="s">
        <v>81</v>
      </c>
      <c r="K2446" t="s">
        <v>58</v>
      </c>
      <c r="L2446">
        <v>3.7</v>
      </c>
      <c r="M2446" t="s">
        <v>152</v>
      </c>
      <c r="N2446" t="s">
        <v>35</v>
      </c>
      <c r="O2446" t="s">
        <v>28</v>
      </c>
      <c r="P2446" t="s">
        <v>152</v>
      </c>
      <c r="Q2446" t="s">
        <v>152</v>
      </c>
      <c r="R2446">
        <v>15</v>
      </c>
      <c r="S2446" t="s">
        <v>59</v>
      </c>
      <c r="T2446" t="str">
        <f t="shared" si="76"/>
        <v>2-week</v>
      </c>
      <c r="U2446">
        <f>VLOOKUP(T2446,[1]tablescore!$B$3:$C$8, 2,FALSE)</f>
        <v>26</v>
      </c>
      <c r="V2446" t="str">
        <f t="shared" si="77"/>
        <v>Loyal</v>
      </c>
      <c r="W2446" t="s">
        <v>77</v>
      </c>
    </row>
    <row r="2447" spans="1:23" x14ac:dyDescent="0.25">
      <c r="A2447">
        <v>2446</v>
      </c>
      <c r="B2447">
        <v>63</v>
      </c>
      <c r="C2447" t="str" cm="1">
        <f t="array" ref="C2447">_xlfn.IFS(
  AND(B2447&gt;=18, B2447&lt;=24), "18-24",
  AND(B2447&gt;=25, B2447&lt;=34), "25-34",
  AND(B2447&gt;=35, B2447&lt;=44), "35-44",
  AND(B2447&gt;=45, B2447&lt;=54), "45-54",
  B2447&gt;=55, "55+"
)</f>
        <v>55+</v>
      </c>
      <c r="D2447" t="s">
        <v>19</v>
      </c>
      <c r="E2447" t="s">
        <v>119</v>
      </c>
      <c r="F2447" t="s">
        <v>69</v>
      </c>
      <c r="G2447">
        <v>96</v>
      </c>
      <c r="H2447" t="s">
        <v>122</v>
      </c>
      <c r="I2447" t="s">
        <v>45</v>
      </c>
      <c r="J2447" t="s">
        <v>110</v>
      </c>
      <c r="K2447" t="s">
        <v>54</v>
      </c>
      <c r="L2447">
        <v>4.0999999999999996</v>
      </c>
      <c r="M2447" t="s">
        <v>152</v>
      </c>
      <c r="N2447" t="s">
        <v>46</v>
      </c>
      <c r="O2447" t="s">
        <v>76</v>
      </c>
      <c r="P2447" t="s">
        <v>152</v>
      </c>
      <c r="Q2447" t="s">
        <v>152</v>
      </c>
      <c r="R2447">
        <v>50</v>
      </c>
      <c r="S2447" t="s">
        <v>35</v>
      </c>
      <c r="T2447" t="str">
        <f t="shared" si="76"/>
        <v>Daily</v>
      </c>
      <c r="U2447">
        <f>VLOOKUP(T2447,[1]tablescore!$B$3:$C$8, 2,FALSE)</f>
        <v>30</v>
      </c>
      <c r="V2447" t="str">
        <f t="shared" si="77"/>
        <v>Highly Loyal</v>
      </c>
      <c r="W2447" t="s">
        <v>41</v>
      </c>
    </row>
    <row r="2448" spans="1:23" x14ac:dyDescent="0.25">
      <c r="A2448">
        <v>2447</v>
      </c>
      <c r="B2448">
        <v>38</v>
      </c>
      <c r="C2448" t="str" cm="1">
        <f t="array" ref="C2448">_xlfn.IFS(
  AND(B2448&gt;=18, B2448&lt;=24), "18-24",
  AND(B2448&gt;=25, B2448&lt;=34), "25-34",
  AND(B2448&gt;=35, B2448&lt;=44), "35-44",
  AND(B2448&gt;=45, B2448&lt;=54), "45-54",
  B2448&gt;=55, "55+"
)</f>
        <v>35-44</v>
      </c>
      <c r="D2448" t="s">
        <v>19</v>
      </c>
      <c r="E2448" t="s">
        <v>56</v>
      </c>
      <c r="F2448" t="s">
        <v>21</v>
      </c>
      <c r="G2448">
        <v>65</v>
      </c>
      <c r="H2448" t="s">
        <v>120</v>
      </c>
      <c r="I2448" t="s">
        <v>23</v>
      </c>
      <c r="J2448" t="s">
        <v>100</v>
      </c>
      <c r="K2448" t="s">
        <v>39</v>
      </c>
      <c r="L2448">
        <v>2.9</v>
      </c>
      <c r="M2448" t="s">
        <v>152</v>
      </c>
      <c r="N2448" t="s">
        <v>35</v>
      </c>
      <c r="O2448" t="s">
        <v>72</v>
      </c>
      <c r="P2448" t="s">
        <v>152</v>
      </c>
      <c r="Q2448" t="s">
        <v>152</v>
      </c>
      <c r="R2448">
        <v>7</v>
      </c>
      <c r="S2448" t="s">
        <v>27</v>
      </c>
      <c r="T2448" t="str">
        <f t="shared" si="76"/>
        <v>Month</v>
      </c>
      <c r="U2448">
        <f>VLOOKUP(T2448,[1]tablescore!$B$3:$C$8, 2,FALSE)</f>
        <v>12</v>
      </c>
      <c r="V2448" t="str">
        <f t="shared" si="77"/>
        <v>Moderate</v>
      </c>
      <c r="W2448" t="s">
        <v>88</v>
      </c>
    </row>
    <row r="2449" spans="1:23" x14ac:dyDescent="0.25">
      <c r="A2449">
        <v>2448</v>
      </c>
      <c r="B2449">
        <v>59</v>
      </c>
      <c r="C2449" t="str" cm="1">
        <f t="array" ref="C2449">_xlfn.IFS(
  AND(B2449&gt;=18, B2449&lt;=24), "18-24",
  AND(B2449&gt;=25, B2449&lt;=34), "25-34",
  AND(B2449&gt;=35, B2449&lt;=44), "35-44",
  AND(B2449&gt;=45, B2449&lt;=54), "45-54",
  B2449&gt;=55, "55+"
)</f>
        <v>55+</v>
      </c>
      <c r="D2449" t="s">
        <v>19</v>
      </c>
      <c r="E2449" t="s">
        <v>95</v>
      </c>
      <c r="F2449" t="s">
        <v>21</v>
      </c>
      <c r="G2449">
        <v>47</v>
      </c>
      <c r="H2449" t="s">
        <v>130</v>
      </c>
      <c r="I2449" t="s">
        <v>23</v>
      </c>
      <c r="J2449" t="s">
        <v>100</v>
      </c>
      <c r="K2449" t="s">
        <v>58</v>
      </c>
      <c r="L2449">
        <v>3.2</v>
      </c>
      <c r="M2449" t="s">
        <v>152</v>
      </c>
      <c r="N2449" t="s">
        <v>29</v>
      </c>
      <c r="O2449" t="s">
        <v>76</v>
      </c>
      <c r="P2449" t="s">
        <v>152</v>
      </c>
      <c r="Q2449" t="s">
        <v>152</v>
      </c>
      <c r="R2449">
        <v>10</v>
      </c>
      <c r="S2449" t="s">
        <v>29</v>
      </c>
      <c r="T2449" t="str">
        <f t="shared" si="76"/>
        <v>2-week</v>
      </c>
      <c r="U2449">
        <f>VLOOKUP(T2449,[1]tablescore!$B$3:$C$8, 2,FALSE)</f>
        <v>26</v>
      </c>
      <c r="V2449" t="str">
        <f t="shared" si="77"/>
        <v>Loyal</v>
      </c>
      <c r="W2449" t="s">
        <v>30</v>
      </c>
    </row>
    <row r="2450" spans="1:23" x14ac:dyDescent="0.25">
      <c r="A2450">
        <v>2449</v>
      </c>
      <c r="B2450">
        <v>54</v>
      </c>
      <c r="C2450" t="str" cm="1">
        <f t="array" ref="C2450">_xlfn.IFS(
  AND(B2450&gt;=18, B2450&lt;=24), "18-24",
  AND(B2450&gt;=25, B2450&lt;=34), "25-34",
  AND(B2450&gt;=35, B2450&lt;=44), "35-44",
  AND(B2450&gt;=45, B2450&lt;=54), "45-54",
  B2450&gt;=55, "55+"
)</f>
        <v>45-54</v>
      </c>
      <c r="D2450" t="s">
        <v>19</v>
      </c>
      <c r="E2450" t="s">
        <v>125</v>
      </c>
      <c r="F2450" t="s">
        <v>69</v>
      </c>
      <c r="G2450">
        <v>25</v>
      </c>
      <c r="H2450" t="s">
        <v>122</v>
      </c>
      <c r="I2450" t="s">
        <v>38</v>
      </c>
      <c r="J2450" t="s">
        <v>84</v>
      </c>
      <c r="K2450" t="s">
        <v>58</v>
      </c>
      <c r="L2450">
        <v>3</v>
      </c>
      <c r="M2450" t="s">
        <v>152</v>
      </c>
      <c r="N2450" t="s">
        <v>34</v>
      </c>
      <c r="O2450" t="s">
        <v>40</v>
      </c>
      <c r="P2450" t="s">
        <v>152</v>
      </c>
      <c r="Q2450" t="s">
        <v>152</v>
      </c>
      <c r="R2450">
        <v>38</v>
      </c>
      <c r="S2450" t="s">
        <v>46</v>
      </c>
      <c r="T2450" t="str">
        <f t="shared" si="76"/>
        <v>2-week</v>
      </c>
      <c r="U2450">
        <f>VLOOKUP(T2450,[1]tablescore!$B$3:$C$8, 2,FALSE)</f>
        <v>26</v>
      </c>
      <c r="V2450" t="str">
        <f t="shared" si="77"/>
        <v>Loyal</v>
      </c>
      <c r="W2450" t="s">
        <v>77</v>
      </c>
    </row>
    <row r="2451" spans="1:23" x14ac:dyDescent="0.25">
      <c r="A2451">
        <v>2450</v>
      </c>
      <c r="B2451">
        <v>26</v>
      </c>
      <c r="C2451" t="str" cm="1">
        <f t="array" ref="C2451">_xlfn.IFS(
  AND(B2451&gt;=18, B2451&lt;=24), "18-24",
  AND(B2451&gt;=25, B2451&lt;=34), "25-34",
  AND(B2451&gt;=35, B2451&lt;=44), "35-44",
  AND(B2451&gt;=45, B2451&lt;=54), "45-54",
  B2451&gt;=55, "55+"
)</f>
        <v>25-34</v>
      </c>
      <c r="D2451" t="s">
        <v>19</v>
      </c>
      <c r="E2451" t="s">
        <v>64</v>
      </c>
      <c r="F2451" t="s">
        <v>65</v>
      </c>
      <c r="G2451">
        <v>56</v>
      </c>
      <c r="H2451" t="s">
        <v>90</v>
      </c>
      <c r="I2451" t="s">
        <v>38</v>
      </c>
      <c r="J2451" t="s">
        <v>84</v>
      </c>
      <c r="K2451" t="s">
        <v>58</v>
      </c>
      <c r="L2451">
        <v>4.0999999999999996</v>
      </c>
      <c r="M2451" t="s">
        <v>152</v>
      </c>
      <c r="N2451" t="s">
        <v>59</v>
      </c>
      <c r="O2451" t="s">
        <v>28</v>
      </c>
      <c r="P2451" t="s">
        <v>152</v>
      </c>
      <c r="Q2451" t="s">
        <v>152</v>
      </c>
      <c r="R2451">
        <v>31</v>
      </c>
      <c r="S2451" t="s">
        <v>29</v>
      </c>
      <c r="T2451" t="str">
        <f t="shared" si="76"/>
        <v>2-week</v>
      </c>
      <c r="U2451">
        <f>VLOOKUP(T2451,[1]tablescore!$B$3:$C$8, 2,FALSE)</f>
        <v>26</v>
      </c>
      <c r="V2451" t="str">
        <f t="shared" si="77"/>
        <v>Loyal</v>
      </c>
      <c r="W2451" t="s">
        <v>30</v>
      </c>
    </row>
    <row r="2452" spans="1:23" x14ac:dyDescent="0.25">
      <c r="A2452">
        <v>2451</v>
      </c>
      <c r="B2452">
        <v>68</v>
      </c>
      <c r="C2452" t="str" cm="1">
        <f t="array" ref="C2452">_xlfn.IFS(
  AND(B2452&gt;=18, B2452&lt;=24), "18-24",
  AND(B2452&gt;=25, B2452&lt;=34), "25-34",
  AND(B2452&gt;=35, B2452&lt;=44), "35-44",
  AND(B2452&gt;=45, B2452&lt;=54), "45-54",
  B2452&gt;=55, "55+"
)</f>
        <v>55+</v>
      </c>
      <c r="D2452" t="s">
        <v>19</v>
      </c>
      <c r="E2452" t="s">
        <v>113</v>
      </c>
      <c r="F2452" t="s">
        <v>21</v>
      </c>
      <c r="G2452">
        <v>76</v>
      </c>
      <c r="H2452" t="s">
        <v>98</v>
      </c>
      <c r="I2452" t="s">
        <v>45</v>
      </c>
      <c r="J2452" t="s">
        <v>147</v>
      </c>
      <c r="K2452" t="s">
        <v>58</v>
      </c>
      <c r="L2452">
        <v>4.5</v>
      </c>
      <c r="M2452" t="s">
        <v>152</v>
      </c>
      <c r="N2452" t="s">
        <v>29</v>
      </c>
      <c r="O2452" t="s">
        <v>55</v>
      </c>
      <c r="P2452" t="s">
        <v>152</v>
      </c>
      <c r="Q2452" t="s">
        <v>152</v>
      </c>
      <c r="R2452">
        <v>7</v>
      </c>
      <c r="S2452" t="s">
        <v>29</v>
      </c>
      <c r="T2452" t="str">
        <f t="shared" si="76"/>
        <v>Quarterly</v>
      </c>
      <c r="U2452">
        <f>VLOOKUP(T2452,[1]tablescore!$B$3:$C$8, 2,FALSE)</f>
        <v>4</v>
      </c>
      <c r="V2452" t="str">
        <f t="shared" si="77"/>
        <v>Low Loyalty</v>
      </c>
      <c r="W2452" t="s">
        <v>60</v>
      </c>
    </row>
    <row r="2453" spans="1:23" x14ac:dyDescent="0.25">
      <c r="A2453">
        <v>2452</v>
      </c>
      <c r="B2453">
        <v>41</v>
      </c>
      <c r="C2453" t="str" cm="1">
        <f t="array" ref="C2453">_xlfn.IFS(
  AND(B2453&gt;=18, B2453&lt;=24), "18-24",
  AND(B2453&gt;=25, B2453&lt;=34), "25-34",
  AND(B2453&gt;=35, B2453&lt;=44), "35-44",
  AND(B2453&gt;=45, B2453&lt;=54), "45-54",
  B2453&gt;=55, "55+"
)</f>
        <v>35-44</v>
      </c>
      <c r="D2453" t="s">
        <v>19</v>
      </c>
      <c r="E2453" t="s">
        <v>131</v>
      </c>
      <c r="F2453" t="s">
        <v>21</v>
      </c>
      <c r="G2453">
        <v>60</v>
      </c>
      <c r="H2453" t="s">
        <v>101</v>
      </c>
      <c r="I2453" t="s">
        <v>45</v>
      </c>
      <c r="J2453" t="s">
        <v>75</v>
      </c>
      <c r="K2453" t="s">
        <v>58</v>
      </c>
      <c r="L2453">
        <v>3.4</v>
      </c>
      <c r="M2453" t="s">
        <v>152</v>
      </c>
      <c r="N2453" t="s">
        <v>59</v>
      </c>
      <c r="O2453" t="s">
        <v>76</v>
      </c>
      <c r="P2453" t="s">
        <v>152</v>
      </c>
      <c r="Q2453" t="s">
        <v>152</v>
      </c>
      <c r="R2453">
        <v>27</v>
      </c>
      <c r="S2453" t="s">
        <v>29</v>
      </c>
      <c r="T2453" t="str">
        <f t="shared" si="76"/>
        <v>Month</v>
      </c>
      <c r="U2453">
        <f>VLOOKUP(T2453,[1]tablescore!$B$3:$C$8, 2,FALSE)</f>
        <v>12</v>
      </c>
      <c r="V2453" t="str">
        <f t="shared" si="77"/>
        <v>Moderate</v>
      </c>
      <c r="W2453" t="s">
        <v>88</v>
      </c>
    </row>
    <row r="2454" spans="1:23" x14ac:dyDescent="0.25">
      <c r="A2454">
        <v>2453</v>
      </c>
      <c r="B2454">
        <v>68</v>
      </c>
      <c r="C2454" t="str" cm="1">
        <f t="array" ref="C2454">_xlfn.IFS(
  AND(B2454&gt;=18, B2454&lt;=24), "18-24",
  AND(B2454&gt;=25, B2454&lt;=34), "25-34",
  AND(B2454&gt;=35, B2454&lt;=44), "35-44",
  AND(B2454&gt;=45, B2454&lt;=54), "45-54",
  B2454&gt;=55, "55+"
)</f>
        <v>55+</v>
      </c>
      <c r="D2454" t="s">
        <v>19</v>
      </c>
      <c r="E2454" t="s">
        <v>56</v>
      </c>
      <c r="F2454" t="s">
        <v>21</v>
      </c>
      <c r="G2454">
        <v>67</v>
      </c>
      <c r="H2454" t="s">
        <v>85</v>
      </c>
      <c r="I2454" t="s">
        <v>23</v>
      </c>
      <c r="J2454" t="s">
        <v>75</v>
      </c>
      <c r="K2454" t="s">
        <v>25</v>
      </c>
      <c r="L2454">
        <v>4.0999999999999996</v>
      </c>
      <c r="M2454" t="s">
        <v>152</v>
      </c>
      <c r="N2454" t="s">
        <v>29</v>
      </c>
      <c r="O2454" t="s">
        <v>28</v>
      </c>
      <c r="P2454" t="s">
        <v>152</v>
      </c>
      <c r="Q2454" t="s">
        <v>152</v>
      </c>
      <c r="R2454">
        <v>45</v>
      </c>
      <c r="S2454" t="s">
        <v>34</v>
      </c>
      <c r="T2454" t="str">
        <f t="shared" si="76"/>
        <v>Quarterly</v>
      </c>
      <c r="U2454">
        <f>VLOOKUP(T2454,[1]tablescore!$B$3:$C$8, 2,FALSE)</f>
        <v>4</v>
      </c>
      <c r="V2454" t="str">
        <f t="shared" si="77"/>
        <v>Low Loyalty</v>
      </c>
      <c r="W2454" t="s">
        <v>97</v>
      </c>
    </row>
    <row r="2455" spans="1:23" x14ac:dyDescent="0.25">
      <c r="A2455">
        <v>2454</v>
      </c>
      <c r="B2455">
        <v>21</v>
      </c>
      <c r="C2455" t="str" cm="1">
        <f t="array" ref="C2455">_xlfn.IFS(
  AND(B2455&gt;=18, B2455&lt;=24), "18-24",
  AND(B2455&gt;=25, B2455&lt;=34), "25-34",
  AND(B2455&gt;=35, B2455&lt;=44), "35-44",
  AND(B2455&gt;=45, B2455&lt;=54), "45-54",
  B2455&gt;=55, "55+"
)</f>
        <v>18-24</v>
      </c>
      <c r="D2455" t="s">
        <v>19</v>
      </c>
      <c r="E2455" t="s">
        <v>31</v>
      </c>
      <c r="F2455" t="s">
        <v>21</v>
      </c>
      <c r="G2455">
        <v>95</v>
      </c>
      <c r="H2455" t="s">
        <v>150</v>
      </c>
      <c r="I2455" t="s">
        <v>92</v>
      </c>
      <c r="J2455" t="s">
        <v>109</v>
      </c>
      <c r="K2455" t="s">
        <v>39</v>
      </c>
      <c r="L2455">
        <v>4.5999999999999996</v>
      </c>
      <c r="M2455" t="s">
        <v>152</v>
      </c>
      <c r="N2455" t="s">
        <v>46</v>
      </c>
      <c r="O2455" t="s">
        <v>76</v>
      </c>
      <c r="P2455" t="s">
        <v>152</v>
      </c>
      <c r="Q2455" t="s">
        <v>152</v>
      </c>
      <c r="R2455">
        <v>13</v>
      </c>
      <c r="S2455" t="s">
        <v>35</v>
      </c>
      <c r="T2455" t="str">
        <f t="shared" si="76"/>
        <v>Annually</v>
      </c>
      <c r="U2455">
        <f>VLOOKUP(T2455,[1]tablescore!$B$3:$C$8, 2,FALSE)</f>
        <v>1</v>
      </c>
      <c r="V2455" t="str">
        <f t="shared" si="77"/>
        <v>Low Loyalty</v>
      </c>
      <c r="W2455" t="s">
        <v>50</v>
      </c>
    </row>
    <row r="2456" spans="1:23" x14ac:dyDescent="0.25">
      <c r="A2456">
        <v>2455</v>
      </c>
      <c r="B2456">
        <v>32</v>
      </c>
      <c r="C2456" t="str" cm="1">
        <f t="array" ref="C2456">_xlfn.IFS(
  AND(B2456&gt;=18, B2456&lt;=24), "18-24",
  AND(B2456&gt;=25, B2456&lt;=34), "25-34",
  AND(B2456&gt;=35, B2456&lt;=44), "35-44",
  AND(B2456&gt;=45, B2456&lt;=54), "45-54",
  B2456&gt;=55, "55+"
)</f>
        <v>25-34</v>
      </c>
      <c r="D2456" t="s">
        <v>19</v>
      </c>
      <c r="E2456" t="s">
        <v>127</v>
      </c>
      <c r="F2456" t="s">
        <v>69</v>
      </c>
      <c r="G2456">
        <v>72</v>
      </c>
      <c r="H2456" t="s">
        <v>120</v>
      </c>
      <c r="I2456" t="s">
        <v>45</v>
      </c>
      <c r="J2456" t="s">
        <v>147</v>
      </c>
      <c r="K2456" t="s">
        <v>25</v>
      </c>
      <c r="L2456">
        <v>4.5999999999999996</v>
      </c>
      <c r="M2456" t="s">
        <v>152</v>
      </c>
      <c r="N2456" t="s">
        <v>34</v>
      </c>
      <c r="O2456" t="s">
        <v>28</v>
      </c>
      <c r="P2456" t="s">
        <v>152</v>
      </c>
      <c r="Q2456" t="s">
        <v>152</v>
      </c>
      <c r="R2456">
        <v>33</v>
      </c>
      <c r="S2456" t="s">
        <v>29</v>
      </c>
      <c r="T2456" t="str">
        <f t="shared" si="76"/>
        <v>Annually</v>
      </c>
      <c r="U2456">
        <f>VLOOKUP(T2456,[1]tablescore!$B$3:$C$8, 2,FALSE)</f>
        <v>1</v>
      </c>
      <c r="V2456" t="str">
        <f t="shared" si="77"/>
        <v>Low Loyalty</v>
      </c>
      <c r="W2456" t="s">
        <v>50</v>
      </c>
    </row>
    <row r="2457" spans="1:23" x14ac:dyDescent="0.25">
      <c r="A2457">
        <v>2456</v>
      </c>
      <c r="B2457">
        <v>20</v>
      </c>
      <c r="C2457" t="str" cm="1">
        <f t="array" ref="C2457">_xlfn.IFS(
  AND(B2457&gt;=18, B2457&lt;=24), "18-24",
  AND(B2457&gt;=25, B2457&lt;=34), "25-34",
  AND(B2457&gt;=35, B2457&lt;=44), "35-44",
  AND(B2457&gt;=45, B2457&lt;=54), "45-54",
  B2457&gt;=55, "55+"
)</f>
        <v>18-24</v>
      </c>
      <c r="D2457" t="s">
        <v>19</v>
      </c>
      <c r="E2457" t="s">
        <v>136</v>
      </c>
      <c r="F2457" t="s">
        <v>69</v>
      </c>
      <c r="G2457">
        <v>98</v>
      </c>
      <c r="H2457" t="s">
        <v>120</v>
      </c>
      <c r="I2457" t="s">
        <v>23</v>
      </c>
      <c r="J2457" t="s">
        <v>93</v>
      </c>
      <c r="K2457" t="s">
        <v>39</v>
      </c>
      <c r="L2457">
        <v>3.4</v>
      </c>
      <c r="M2457" t="s">
        <v>152</v>
      </c>
      <c r="N2457" t="s">
        <v>46</v>
      </c>
      <c r="O2457" t="s">
        <v>28</v>
      </c>
      <c r="P2457" t="s">
        <v>152</v>
      </c>
      <c r="Q2457" t="s">
        <v>152</v>
      </c>
      <c r="R2457">
        <v>25</v>
      </c>
      <c r="S2457" t="s">
        <v>35</v>
      </c>
      <c r="T2457" t="str">
        <f t="shared" si="76"/>
        <v>Quarterly</v>
      </c>
      <c r="U2457">
        <f>VLOOKUP(T2457,[1]tablescore!$B$3:$C$8, 2,FALSE)</f>
        <v>4</v>
      </c>
      <c r="V2457" t="str">
        <f t="shared" si="77"/>
        <v>Low Loyalty</v>
      </c>
      <c r="W2457" t="s">
        <v>97</v>
      </c>
    </row>
    <row r="2458" spans="1:23" x14ac:dyDescent="0.25">
      <c r="A2458">
        <v>2457</v>
      </c>
      <c r="B2458">
        <v>59</v>
      </c>
      <c r="C2458" t="str" cm="1">
        <f t="array" ref="C2458">_xlfn.IFS(
  AND(B2458&gt;=18, B2458&lt;=24), "18-24",
  AND(B2458&gt;=25, B2458&lt;=34), "25-34",
  AND(B2458&gt;=35, B2458&lt;=44), "35-44",
  AND(B2458&gt;=45, B2458&lt;=54), "45-54",
  B2458&gt;=55, "55+"
)</f>
        <v>55+</v>
      </c>
      <c r="D2458" t="s">
        <v>19</v>
      </c>
      <c r="E2458" t="s">
        <v>36</v>
      </c>
      <c r="F2458" t="s">
        <v>21</v>
      </c>
      <c r="G2458">
        <v>83</v>
      </c>
      <c r="H2458" t="s">
        <v>143</v>
      </c>
      <c r="I2458" t="s">
        <v>45</v>
      </c>
      <c r="J2458" t="s">
        <v>96</v>
      </c>
      <c r="K2458" t="s">
        <v>25</v>
      </c>
      <c r="L2458">
        <v>3.3</v>
      </c>
      <c r="M2458" t="s">
        <v>152</v>
      </c>
      <c r="N2458" t="s">
        <v>27</v>
      </c>
      <c r="O2458" t="s">
        <v>72</v>
      </c>
      <c r="P2458" t="s">
        <v>152</v>
      </c>
      <c r="Q2458" t="s">
        <v>152</v>
      </c>
      <c r="R2458">
        <v>5</v>
      </c>
      <c r="S2458" t="s">
        <v>46</v>
      </c>
      <c r="T2458" t="str">
        <f t="shared" si="76"/>
        <v>Month</v>
      </c>
      <c r="U2458">
        <f>VLOOKUP(T2458,[1]tablescore!$B$3:$C$8, 2,FALSE)</f>
        <v>12</v>
      </c>
      <c r="V2458" t="str">
        <f t="shared" si="77"/>
        <v>Moderate</v>
      </c>
      <c r="W2458" t="s">
        <v>88</v>
      </c>
    </row>
    <row r="2459" spans="1:23" x14ac:dyDescent="0.25">
      <c r="A2459">
        <v>2458</v>
      </c>
      <c r="B2459">
        <v>53</v>
      </c>
      <c r="C2459" t="str" cm="1">
        <f t="array" ref="C2459">_xlfn.IFS(
  AND(B2459&gt;=18, B2459&lt;=24), "18-24",
  AND(B2459&gt;=25, B2459&lt;=34), "25-34",
  AND(B2459&gt;=35, B2459&lt;=44), "35-44",
  AND(B2459&gt;=45, B2459&lt;=54), "45-54",
  B2459&gt;=55, "55+"
)</f>
        <v>45-54</v>
      </c>
      <c r="D2459" t="s">
        <v>19</v>
      </c>
      <c r="E2459" t="s">
        <v>68</v>
      </c>
      <c r="F2459" t="s">
        <v>69</v>
      </c>
      <c r="G2459">
        <v>37</v>
      </c>
      <c r="H2459" t="s">
        <v>80</v>
      </c>
      <c r="I2459" t="s">
        <v>45</v>
      </c>
      <c r="J2459" t="s">
        <v>33</v>
      </c>
      <c r="K2459" t="s">
        <v>58</v>
      </c>
      <c r="L2459">
        <v>3.6</v>
      </c>
      <c r="M2459" t="s">
        <v>152</v>
      </c>
      <c r="N2459" t="s">
        <v>46</v>
      </c>
      <c r="O2459" t="s">
        <v>72</v>
      </c>
      <c r="P2459" t="s">
        <v>152</v>
      </c>
      <c r="Q2459" t="s">
        <v>152</v>
      </c>
      <c r="R2459">
        <v>23</v>
      </c>
      <c r="S2459" t="s">
        <v>35</v>
      </c>
      <c r="T2459" t="str">
        <f t="shared" si="76"/>
        <v>Quarterly</v>
      </c>
      <c r="U2459">
        <f>VLOOKUP(T2459,[1]tablescore!$B$3:$C$8, 2,FALSE)</f>
        <v>4</v>
      </c>
      <c r="V2459" t="str">
        <f t="shared" si="77"/>
        <v>Low Loyalty</v>
      </c>
      <c r="W2459" t="s">
        <v>60</v>
      </c>
    </row>
    <row r="2460" spans="1:23" x14ac:dyDescent="0.25">
      <c r="A2460">
        <v>2459</v>
      </c>
      <c r="B2460">
        <v>66</v>
      </c>
      <c r="C2460" t="str" cm="1">
        <f t="array" ref="C2460">_xlfn.IFS(
  AND(B2460&gt;=18, B2460&lt;=24), "18-24",
  AND(B2460&gt;=25, B2460&lt;=34), "25-34",
  AND(B2460&gt;=35, B2460&lt;=44), "35-44",
  AND(B2460&gt;=45, B2460&lt;=54), "45-54",
  B2460&gt;=55, "55+"
)</f>
        <v>55+</v>
      </c>
      <c r="D2460" t="s">
        <v>19</v>
      </c>
      <c r="E2460" t="s">
        <v>113</v>
      </c>
      <c r="F2460" t="s">
        <v>21</v>
      </c>
      <c r="G2460">
        <v>85</v>
      </c>
      <c r="H2460" t="s">
        <v>105</v>
      </c>
      <c r="I2460" t="s">
        <v>23</v>
      </c>
      <c r="J2460" t="s">
        <v>49</v>
      </c>
      <c r="K2460" t="s">
        <v>58</v>
      </c>
      <c r="L2460">
        <v>4.5999999999999996</v>
      </c>
      <c r="M2460" t="s">
        <v>152</v>
      </c>
      <c r="N2460" t="s">
        <v>34</v>
      </c>
      <c r="O2460" t="s">
        <v>40</v>
      </c>
      <c r="P2460" t="s">
        <v>152</v>
      </c>
      <c r="Q2460" t="s">
        <v>152</v>
      </c>
      <c r="R2460">
        <v>17</v>
      </c>
      <c r="S2460" t="s">
        <v>34</v>
      </c>
      <c r="T2460" t="str">
        <f t="shared" si="76"/>
        <v>Daily</v>
      </c>
      <c r="U2460">
        <f>VLOOKUP(T2460,[1]tablescore!$B$3:$C$8, 2,FALSE)</f>
        <v>30</v>
      </c>
      <c r="V2460" t="str">
        <f t="shared" si="77"/>
        <v>Highly Loyal</v>
      </c>
      <c r="W2460" t="s">
        <v>41</v>
      </c>
    </row>
    <row r="2461" spans="1:23" x14ac:dyDescent="0.25">
      <c r="A2461">
        <v>2460</v>
      </c>
      <c r="B2461">
        <v>47</v>
      </c>
      <c r="C2461" t="str" cm="1">
        <f t="array" ref="C2461">_xlfn.IFS(
  AND(B2461&gt;=18, B2461&lt;=24), "18-24",
  AND(B2461&gt;=25, B2461&lt;=34), "25-34",
  AND(B2461&gt;=35, B2461&lt;=44), "35-44",
  AND(B2461&gt;=45, B2461&lt;=54), "45-54",
  B2461&gt;=55, "55+"
)</f>
        <v>45-54</v>
      </c>
      <c r="D2461" t="s">
        <v>19</v>
      </c>
      <c r="E2461" t="s">
        <v>131</v>
      </c>
      <c r="F2461" t="s">
        <v>21</v>
      </c>
      <c r="G2461">
        <v>36</v>
      </c>
      <c r="H2461" t="s">
        <v>70</v>
      </c>
      <c r="I2461" t="s">
        <v>23</v>
      </c>
      <c r="J2461" t="s">
        <v>84</v>
      </c>
      <c r="K2461" t="s">
        <v>58</v>
      </c>
      <c r="L2461">
        <v>4.3</v>
      </c>
      <c r="M2461" t="s">
        <v>152</v>
      </c>
      <c r="N2461" t="s">
        <v>46</v>
      </c>
      <c r="O2461" t="s">
        <v>72</v>
      </c>
      <c r="P2461" t="s">
        <v>152</v>
      </c>
      <c r="Q2461" t="s">
        <v>152</v>
      </c>
      <c r="R2461">
        <v>14</v>
      </c>
      <c r="S2461" t="s">
        <v>35</v>
      </c>
      <c r="T2461" t="str">
        <f t="shared" si="76"/>
        <v>Daily</v>
      </c>
      <c r="U2461">
        <f>VLOOKUP(T2461,[1]tablescore!$B$3:$C$8, 2,FALSE)</f>
        <v>30</v>
      </c>
      <c r="V2461" t="str">
        <f t="shared" si="77"/>
        <v>Highly Loyal</v>
      </c>
      <c r="W2461" t="s">
        <v>41</v>
      </c>
    </row>
    <row r="2462" spans="1:23" x14ac:dyDescent="0.25">
      <c r="A2462">
        <v>2461</v>
      </c>
      <c r="B2462">
        <v>58</v>
      </c>
      <c r="C2462" t="str" cm="1">
        <f t="array" ref="C2462">_xlfn.IFS(
  AND(B2462&gt;=18, B2462&lt;=24), "18-24",
  AND(B2462&gt;=25, B2462&lt;=34), "25-34",
  AND(B2462&gt;=35, B2462&lt;=44), "35-44",
  AND(B2462&gt;=45, B2462&lt;=54), "45-54",
  B2462&gt;=55, "55+"
)</f>
        <v>55+</v>
      </c>
      <c r="D2462" t="s">
        <v>19</v>
      </c>
      <c r="E2462" t="s">
        <v>36</v>
      </c>
      <c r="F2462" t="s">
        <v>21</v>
      </c>
      <c r="G2462">
        <v>36</v>
      </c>
      <c r="H2462" t="s">
        <v>32</v>
      </c>
      <c r="I2462" t="s">
        <v>38</v>
      </c>
      <c r="J2462" t="s">
        <v>93</v>
      </c>
      <c r="K2462" t="s">
        <v>25</v>
      </c>
      <c r="L2462">
        <v>4</v>
      </c>
      <c r="M2462" t="s">
        <v>152</v>
      </c>
      <c r="N2462" t="s">
        <v>29</v>
      </c>
      <c r="O2462" t="s">
        <v>76</v>
      </c>
      <c r="P2462" t="s">
        <v>152</v>
      </c>
      <c r="Q2462" t="s">
        <v>152</v>
      </c>
      <c r="R2462">
        <v>28</v>
      </c>
      <c r="S2462" t="s">
        <v>27</v>
      </c>
      <c r="T2462" t="str">
        <f t="shared" si="76"/>
        <v>Annually</v>
      </c>
      <c r="U2462">
        <f>VLOOKUP(T2462,[1]tablescore!$B$3:$C$8, 2,FALSE)</f>
        <v>1</v>
      </c>
      <c r="V2462" t="str">
        <f t="shared" si="77"/>
        <v>Low Loyalty</v>
      </c>
      <c r="W2462" t="s">
        <v>50</v>
      </c>
    </row>
    <row r="2463" spans="1:23" x14ac:dyDescent="0.25">
      <c r="A2463">
        <v>2462</v>
      </c>
      <c r="B2463">
        <v>28</v>
      </c>
      <c r="C2463" t="str" cm="1">
        <f t="array" ref="C2463">_xlfn.IFS(
  AND(B2463&gt;=18, B2463&lt;=24), "18-24",
  AND(B2463&gt;=25, B2463&lt;=34), "25-34",
  AND(B2463&gt;=35, B2463&lt;=44), "35-44",
  AND(B2463&gt;=45, B2463&lt;=54), "45-54",
  B2463&gt;=55, "55+"
)</f>
        <v>25-34</v>
      </c>
      <c r="D2463" t="s">
        <v>19</v>
      </c>
      <c r="E2463" t="s">
        <v>119</v>
      </c>
      <c r="F2463" t="s">
        <v>69</v>
      </c>
      <c r="G2463">
        <v>86</v>
      </c>
      <c r="H2463" t="s">
        <v>141</v>
      </c>
      <c r="I2463" t="s">
        <v>23</v>
      </c>
      <c r="J2463" t="s">
        <v>108</v>
      </c>
      <c r="K2463" t="s">
        <v>54</v>
      </c>
      <c r="L2463">
        <v>4.8</v>
      </c>
      <c r="M2463" t="s">
        <v>152</v>
      </c>
      <c r="N2463" t="s">
        <v>46</v>
      </c>
      <c r="O2463" t="s">
        <v>47</v>
      </c>
      <c r="P2463" t="s">
        <v>152</v>
      </c>
      <c r="Q2463" t="s">
        <v>152</v>
      </c>
      <c r="R2463">
        <v>19</v>
      </c>
      <c r="S2463" t="s">
        <v>27</v>
      </c>
      <c r="T2463" t="str">
        <f t="shared" si="76"/>
        <v>Daily</v>
      </c>
      <c r="U2463">
        <f>VLOOKUP(T2463,[1]tablescore!$B$3:$C$8, 2,FALSE)</f>
        <v>30</v>
      </c>
      <c r="V2463" t="str">
        <f t="shared" si="77"/>
        <v>Highly Loyal</v>
      </c>
      <c r="W2463" t="s">
        <v>41</v>
      </c>
    </row>
    <row r="2464" spans="1:23" x14ac:dyDescent="0.25">
      <c r="A2464">
        <v>2463</v>
      </c>
      <c r="B2464">
        <v>68</v>
      </c>
      <c r="C2464" t="str" cm="1">
        <f t="array" ref="C2464">_xlfn.IFS(
  AND(B2464&gt;=18, B2464&lt;=24), "18-24",
  AND(B2464&gt;=25, B2464&lt;=34), "25-34",
  AND(B2464&gt;=35, B2464&lt;=44), "35-44",
  AND(B2464&gt;=45, B2464&lt;=54), "45-54",
  B2464&gt;=55, "55+"
)</f>
        <v>55+</v>
      </c>
      <c r="D2464" t="s">
        <v>19</v>
      </c>
      <c r="E2464" t="s">
        <v>95</v>
      </c>
      <c r="F2464" t="s">
        <v>21</v>
      </c>
      <c r="G2464">
        <v>99</v>
      </c>
      <c r="H2464" t="s">
        <v>70</v>
      </c>
      <c r="I2464" t="s">
        <v>92</v>
      </c>
      <c r="J2464" t="s">
        <v>121</v>
      </c>
      <c r="K2464" t="s">
        <v>39</v>
      </c>
      <c r="L2464">
        <v>4.3</v>
      </c>
      <c r="M2464" t="s">
        <v>152</v>
      </c>
      <c r="N2464" t="s">
        <v>29</v>
      </c>
      <c r="O2464" t="s">
        <v>55</v>
      </c>
      <c r="P2464" t="s">
        <v>152</v>
      </c>
      <c r="Q2464" t="s">
        <v>152</v>
      </c>
      <c r="R2464">
        <v>31</v>
      </c>
      <c r="S2464" t="s">
        <v>34</v>
      </c>
      <c r="T2464" t="str">
        <f t="shared" si="76"/>
        <v>2-week</v>
      </c>
      <c r="U2464">
        <f>VLOOKUP(T2464,[1]tablescore!$B$3:$C$8, 2,FALSE)</f>
        <v>26</v>
      </c>
      <c r="V2464" t="str">
        <f t="shared" si="77"/>
        <v>Loyal</v>
      </c>
      <c r="W2464" t="s">
        <v>77</v>
      </c>
    </row>
    <row r="2465" spans="1:23" x14ac:dyDescent="0.25">
      <c r="A2465">
        <v>2464</v>
      </c>
      <c r="B2465">
        <v>60</v>
      </c>
      <c r="C2465" t="str" cm="1">
        <f t="array" ref="C2465">_xlfn.IFS(
  AND(B2465&gt;=18, B2465&lt;=24), "18-24",
  AND(B2465&gt;=25, B2465&lt;=34), "25-34",
  AND(B2465&gt;=35, B2465&lt;=44), "35-44",
  AND(B2465&gt;=45, B2465&lt;=54), "45-54",
  B2465&gt;=55, "55+"
)</f>
        <v>55+</v>
      </c>
      <c r="D2465" t="s">
        <v>19</v>
      </c>
      <c r="E2465" t="s">
        <v>20</v>
      </c>
      <c r="F2465" t="s">
        <v>21</v>
      </c>
      <c r="G2465">
        <v>21</v>
      </c>
      <c r="H2465" t="s">
        <v>91</v>
      </c>
      <c r="I2465" t="s">
        <v>92</v>
      </c>
      <c r="J2465" t="s">
        <v>129</v>
      </c>
      <c r="K2465" t="s">
        <v>54</v>
      </c>
      <c r="L2465">
        <v>3.3</v>
      </c>
      <c r="M2465" t="s">
        <v>152</v>
      </c>
      <c r="N2465" t="s">
        <v>34</v>
      </c>
      <c r="O2465" t="s">
        <v>55</v>
      </c>
      <c r="P2465" t="s">
        <v>152</v>
      </c>
      <c r="Q2465" t="s">
        <v>152</v>
      </c>
      <c r="R2465">
        <v>25</v>
      </c>
      <c r="S2465" t="s">
        <v>35</v>
      </c>
      <c r="T2465" t="str">
        <f t="shared" si="76"/>
        <v>2-week</v>
      </c>
      <c r="U2465">
        <f>VLOOKUP(T2465,[1]tablescore!$B$3:$C$8, 2,FALSE)</f>
        <v>26</v>
      </c>
      <c r="V2465" t="str">
        <f t="shared" si="77"/>
        <v>Loyal</v>
      </c>
      <c r="W2465" t="s">
        <v>77</v>
      </c>
    </row>
    <row r="2466" spans="1:23" x14ac:dyDescent="0.25">
      <c r="A2466">
        <v>2465</v>
      </c>
      <c r="B2466">
        <v>47</v>
      </c>
      <c r="C2466" t="str" cm="1">
        <f t="array" ref="C2466">_xlfn.IFS(
  AND(B2466&gt;=18, B2466&lt;=24), "18-24",
  AND(B2466&gt;=25, B2466&lt;=34), "25-34",
  AND(B2466&gt;=35, B2466&lt;=44), "35-44",
  AND(B2466&gt;=45, B2466&lt;=54), "45-54",
  B2466&gt;=55, "55+"
)</f>
        <v>45-54</v>
      </c>
      <c r="D2466" t="s">
        <v>19</v>
      </c>
      <c r="E2466" t="s">
        <v>102</v>
      </c>
      <c r="F2466" t="s">
        <v>65</v>
      </c>
      <c r="G2466">
        <v>84</v>
      </c>
      <c r="H2466" t="s">
        <v>78</v>
      </c>
      <c r="I2466" t="s">
        <v>23</v>
      </c>
      <c r="J2466" t="s">
        <v>86</v>
      </c>
      <c r="K2466" t="s">
        <v>25</v>
      </c>
      <c r="L2466">
        <v>2.8</v>
      </c>
      <c r="M2466" t="s">
        <v>152</v>
      </c>
      <c r="N2466" t="s">
        <v>59</v>
      </c>
      <c r="O2466" t="s">
        <v>28</v>
      </c>
      <c r="P2466" t="s">
        <v>152</v>
      </c>
      <c r="Q2466" t="s">
        <v>152</v>
      </c>
      <c r="R2466">
        <v>4</v>
      </c>
      <c r="S2466" t="s">
        <v>35</v>
      </c>
      <c r="T2466" t="str">
        <f t="shared" si="76"/>
        <v>2-week</v>
      </c>
      <c r="U2466">
        <f>VLOOKUP(T2466,[1]tablescore!$B$3:$C$8, 2,FALSE)</f>
        <v>26</v>
      </c>
      <c r="V2466" t="str">
        <f t="shared" si="77"/>
        <v>Loyal</v>
      </c>
      <c r="W2466" t="s">
        <v>77</v>
      </c>
    </row>
    <row r="2467" spans="1:23" x14ac:dyDescent="0.25">
      <c r="A2467">
        <v>2466</v>
      </c>
      <c r="B2467">
        <v>18</v>
      </c>
      <c r="C2467" t="str" cm="1">
        <f t="array" ref="C2467">_xlfn.IFS(
  AND(B2467&gt;=18, B2467&lt;=24), "18-24",
  AND(B2467&gt;=25, B2467&lt;=34), "25-34",
  AND(B2467&gt;=35, B2467&lt;=44), "35-44",
  AND(B2467&gt;=45, B2467&lt;=54), "45-54",
  B2467&gt;=55, "55+"
)</f>
        <v>18-24</v>
      </c>
      <c r="D2467" t="s">
        <v>19</v>
      </c>
      <c r="E2467" t="s">
        <v>42</v>
      </c>
      <c r="F2467" t="s">
        <v>43</v>
      </c>
      <c r="G2467">
        <v>63</v>
      </c>
      <c r="H2467" t="s">
        <v>105</v>
      </c>
      <c r="I2467" t="s">
        <v>45</v>
      </c>
      <c r="J2467" t="s">
        <v>110</v>
      </c>
      <c r="K2467" t="s">
        <v>39</v>
      </c>
      <c r="L2467">
        <v>4.4000000000000004</v>
      </c>
      <c r="M2467" t="s">
        <v>152</v>
      </c>
      <c r="N2467" t="s">
        <v>35</v>
      </c>
      <c r="O2467" t="s">
        <v>40</v>
      </c>
      <c r="P2467" t="s">
        <v>152</v>
      </c>
      <c r="Q2467" t="s">
        <v>152</v>
      </c>
      <c r="R2467">
        <v>20</v>
      </c>
      <c r="S2467" t="s">
        <v>34</v>
      </c>
      <c r="T2467" t="str">
        <f t="shared" si="76"/>
        <v>Daily</v>
      </c>
      <c r="U2467">
        <f>VLOOKUP(T2467,[1]tablescore!$B$3:$C$8, 2,FALSE)</f>
        <v>30</v>
      </c>
      <c r="V2467" t="str">
        <f t="shared" si="77"/>
        <v>Highly Loyal</v>
      </c>
      <c r="W2467" t="s">
        <v>41</v>
      </c>
    </row>
    <row r="2468" spans="1:23" x14ac:dyDescent="0.25">
      <c r="A2468">
        <v>2467</v>
      </c>
      <c r="B2468">
        <v>32</v>
      </c>
      <c r="C2468" t="str" cm="1">
        <f t="array" ref="C2468">_xlfn.IFS(
  AND(B2468&gt;=18, B2468&lt;=24), "18-24",
  AND(B2468&gt;=25, B2468&lt;=34), "25-34",
  AND(B2468&gt;=35, B2468&lt;=44), "35-44",
  AND(B2468&gt;=45, B2468&lt;=54), "45-54",
  B2468&gt;=55, "55+"
)</f>
        <v>25-34</v>
      </c>
      <c r="D2468" t="s">
        <v>19</v>
      </c>
      <c r="E2468" t="s">
        <v>61</v>
      </c>
      <c r="F2468" t="s">
        <v>21</v>
      </c>
      <c r="G2468">
        <v>84</v>
      </c>
      <c r="H2468" t="s">
        <v>130</v>
      </c>
      <c r="I2468" t="s">
        <v>38</v>
      </c>
      <c r="J2468" t="s">
        <v>71</v>
      </c>
      <c r="K2468" t="s">
        <v>54</v>
      </c>
      <c r="L2468">
        <v>3.7</v>
      </c>
      <c r="M2468" t="s">
        <v>152</v>
      </c>
      <c r="N2468" t="s">
        <v>35</v>
      </c>
      <c r="O2468" t="s">
        <v>28</v>
      </c>
      <c r="P2468" t="s">
        <v>152</v>
      </c>
      <c r="Q2468" t="s">
        <v>152</v>
      </c>
      <c r="R2468">
        <v>37</v>
      </c>
      <c r="S2468" t="s">
        <v>35</v>
      </c>
      <c r="T2468" t="str">
        <f t="shared" si="76"/>
        <v>Annually</v>
      </c>
      <c r="U2468">
        <f>VLOOKUP(T2468,[1]tablescore!$B$3:$C$8, 2,FALSE)</f>
        <v>1</v>
      </c>
      <c r="V2468" t="str">
        <f t="shared" si="77"/>
        <v>Low Loyalty</v>
      </c>
      <c r="W2468" t="s">
        <v>50</v>
      </c>
    </row>
    <row r="2469" spans="1:23" x14ac:dyDescent="0.25">
      <c r="A2469">
        <v>2468</v>
      </c>
      <c r="B2469">
        <v>27</v>
      </c>
      <c r="C2469" t="str" cm="1">
        <f t="array" ref="C2469">_xlfn.IFS(
  AND(B2469&gt;=18, B2469&lt;=24), "18-24",
  AND(B2469&gt;=25, B2469&lt;=34), "25-34",
  AND(B2469&gt;=35, B2469&lt;=44), "35-44",
  AND(B2469&gt;=45, B2469&lt;=54), "45-54",
  B2469&gt;=55, "55+"
)</f>
        <v>25-34</v>
      </c>
      <c r="D2469" t="s">
        <v>19</v>
      </c>
      <c r="E2469" t="s">
        <v>61</v>
      </c>
      <c r="F2469" t="s">
        <v>21</v>
      </c>
      <c r="G2469">
        <v>72</v>
      </c>
      <c r="H2469" t="s">
        <v>137</v>
      </c>
      <c r="I2469" t="s">
        <v>45</v>
      </c>
      <c r="J2469" t="s">
        <v>93</v>
      </c>
      <c r="K2469" t="s">
        <v>39</v>
      </c>
      <c r="L2469">
        <v>3.6</v>
      </c>
      <c r="M2469" t="s">
        <v>152</v>
      </c>
      <c r="N2469" t="s">
        <v>59</v>
      </c>
      <c r="O2469" t="s">
        <v>28</v>
      </c>
      <c r="P2469" t="s">
        <v>152</v>
      </c>
      <c r="Q2469" t="s">
        <v>152</v>
      </c>
      <c r="R2469">
        <v>28</v>
      </c>
      <c r="S2469" t="s">
        <v>27</v>
      </c>
      <c r="T2469" t="str">
        <f t="shared" si="76"/>
        <v>Annually</v>
      </c>
      <c r="U2469">
        <f>VLOOKUP(T2469,[1]tablescore!$B$3:$C$8, 2,FALSE)</f>
        <v>1</v>
      </c>
      <c r="V2469" t="str">
        <f t="shared" si="77"/>
        <v>Low Loyalty</v>
      </c>
      <c r="W2469" t="s">
        <v>50</v>
      </c>
    </row>
    <row r="2470" spans="1:23" x14ac:dyDescent="0.25">
      <c r="A2470">
        <v>2469</v>
      </c>
      <c r="B2470">
        <v>65</v>
      </c>
      <c r="C2470" t="str" cm="1">
        <f t="array" ref="C2470">_xlfn.IFS(
  AND(B2470&gt;=18, B2470&lt;=24), "18-24",
  AND(B2470&gt;=25, B2470&lt;=34), "25-34",
  AND(B2470&gt;=35, B2470&lt;=44), "35-44",
  AND(B2470&gt;=45, B2470&lt;=54), "45-54",
  B2470&gt;=55, "55+"
)</f>
        <v>55+</v>
      </c>
      <c r="D2470" t="s">
        <v>19</v>
      </c>
      <c r="E2470" t="s">
        <v>87</v>
      </c>
      <c r="F2470" t="s">
        <v>21</v>
      </c>
      <c r="G2470">
        <v>21</v>
      </c>
      <c r="H2470" t="s">
        <v>146</v>
      </c>
      <c r="I2470" t="s">
        <v>23</v>
      </c>
      <c r="J2470" t="s">
        <v>109</v>
      </c>
      <c r="K2470" t="s">
        <v>25</v>
      </c>
      <c r="L2470">
        <v>3.7</v>
      </c>
      <c r="M2470" t="s">
        <v>152</v>
      </c>
      <c r="N2470" t="s">
        <v>27</v>
      </c>
      <c r="O2470" t="s">
        <v>72</v>
      </c>
      <c r="P2470" t="s">
        <v>152</v>
      </c>
      <c r="Q2470" t="s">
        <v>152</v>
      </c>
      <c r="R2470">
        <v>6</v>
      </c>
      <c r="S2470" t="s">
        <v>29</v>
      </c>
      <c r="T2470" t="str">
        <f t="shared" si="76"/>
        <v>Daily</v>
      </c>
      <c r="U2470">
        <f>VLOOKUP(T2470,[1]tablescore!$B$3:$C$8, 2,FALSE)</f>
        <v>30</v>
      </c>
      <c r="V2470" t="str">
        <f t="shared" si="77"/>
        <v>Highly Loyal</v>
      </c>
      <c r="W2470" t="s">
        <v>41</v>
      </c>
    </row>
    <row r="2471" spans="1:23" x14ac:dyDescent="0.25">
      <c r="A2471">
        <v>2470</v>
      </c>
      <c r="B2471">
        <v>68</v>
      </c>
      <c r="C2471" t="str" cm="1">
        <f t="array" ref="C2471">_xlfn.IFS(
  AND(B2471&gt;=18, B2471&lt;=24), "18-24",
  AND(B2471&gt;=25, B2471&lt;=34), "25-34",
  AND(B2471&gt;=35, B2471&lt;=44), "35-44",
  AND(B2471&gt;=45, B2471&lt;=54), "45-54",
  B2471&gt;=55, "55+"
)</f>
        <v>55+</v>
      </c>
      <c r="D2471" t="s">
        <v>19</v>
      </c>
      <c r="E2471" t="s">
        <v>42</v>
      </c>
      <c r="F2471" t="s">
        <v>43</v>
      </c>
      <c r="G2471">
        <v>92</v>
      </c>
      <c r="H2471" t="s">
        <v>135</v>
      </c>
      <c r="I2471" t="s">
        <v>45</v>
      </c>
      <c r="J2471" t="s">
        <v>139</v>
      </c>
      <c r="K2471" t="s">
        <v>58</v>
      </c>
      <c r="L2471">
        <v>5</v>
      </c>
      <c r="M2471" t="s">
        <v>152</v>
      </c>
      <c r="N2471" t="s">
        <v>35</v>
      </c>
      <c r="O2471" t="s">
        <v>55</v>
      </c>
      <c r="P2471" t="s">
        <v>152</v>
      </c>
      <c r="Q2471" t="s">
        <v>152</v>
      </c>
      <c r="R2471">
        <v>27</v>
      </c>
      <c r="S2471" t="s">
        <v>46</v>
      </c>
      <c r="T2471" t="str">
        <f t="shared" si="76"/>
        <v>Annually</v>
      </c>
      <c r="U2471">
        <f>VLOOKUP(T2471,[1]tablescore!$B$3:$C$8, 2,FALSE)</f>
        <v>1</v>
      </c>
      <c r="V2471" t="str">
        <f t="shared" si="77"/>
        <v>Low Loyalty</v>
      </c>
      <c r="W2471" t="s">
        <v>50</v>
      </c>
    </row>
    <row r="2472" spans="1:23" x14ac:dyDescent="0.25">
      <c r="A2472">
        <v>2471</v>
      </c>
      <c r="B2472">
        <v>55</v>
      </c>
      <c r="C2472" t="str" cm="1">
        <f t="array" ref="C2472">_xlfn.IFS(
  AND(B2472&gt;=18, B2472&lt;=24), "18-24",
  AND(B2472&gt;=25, B2472&lt;=34), "25-34",
  AND(B2472&gt;=35, B2472&lt;=44), "35-44",
  AND(B2472&gt;=45, B2472&lt;=54), "45-54",
  B2472&gt;=55, "55+"
)</f>
        <v>55+</v>
      </c>
      <c r="D2472" t="s">
        <v>19</v>
      </c>
      <c r="E2472" t="s">
        <v>20</v>
      </c>
      <c r="F2472" t="s">
        <v>21</v>
      </c>
      <c r="G2472">
        <v>72</v>
      </c>
      <c r="H2472" t="s">
        <v>117</v>
      </c>
      <c r="I2472" t="s">
        <v>92</v>
      </c>
      <c r="J2472" t="s">
        <v>71</v>
      </c>
      <c r="K2472" t="s">
        <v>58</v>
      </c>
      <c r="L2472">
        <v>2.7</v>
      </c>
      <c r="M2472" t="s">
        <v>152</v>
      </c>
      <c r="N2472" t="s">
        <v>35</v>
      </c>
      <c r="O2472" t="s">
        <v>47</v>
      </c>
      <c r="P2472" t="s">
        <v>152</v>
      </c>
      <c r="Q2472" t="s">
        <v>152</v>
      </c>
      <c r="R2472">
        <v>29</v>
      </c>
      <c r="S2472" t="s">
        <v>27</v>
      </c>
      <c r="T2472" t="str">
        <f t="shared" si="76"/>
        <v>2-week</v>
      </c>
      <c r="U2472">
        <f>VLOOKUP(T2472,[1]tablescore!$B$3:$C$8, 2,FALSE)</f>
        <v>26</v>
      </c>
      <c r="V2472" t="str">
        <f t="shared" si="77"/>
        <v>Loyal</v>
      </c>
      <c r="W2472" t="s">
        <v>30</v>
      </c>
    </row>
    <row r="2473" spans="1:23" x14ac:dyDescent="0.25">
      <c r="A2473">
        <v>2472</v>
      </c>
      <c r="B2473">
        <v>30</v>
      </c>
      <c r="C2473" t="str" cm="1">
        <f t="array" ref="C2473">_xlfn.IFS(
  AND(B2473&gt;=18, B2473&lt;=24), "18-24",
  AND(B2473&gt;=25, B2473&lt;=34), "25-34",
  AND(B2473&gt;=35, B2473&lt;=44), "35-44",
  AND(B2473&gt;=45, B2473&lt;=54), "45-54",
  B2473&gt;=55, "55+"
)</f>
        <v>25-34</v>
      </c>
      <c r="D2473" t="s">
        <v>19</v>
      </c>
      <c r="E2473" t="s">
        <v>42</v>
      </c>
      <c r="F2473" t="s">
        <v>43</v>
      </c>
      <c r="G2473">
        <v>83</v>
      </c>
      <c r="H2473" t="s">
        <v>101</v>
      </c>
      <c r="I2473" t="s">
        <v>45</v>
      </c>
      <c r="J2473" t="s">
        <v>24</v>
      </c>
      <c r="K2473" t="s">
        <v>39</v>
      </c>
      <c r="L2473">
        <v>4.3</v>
      </c>
      <c r="M2473" t="s">
        <v>152</v>
      </c>
      <c r="N2473" t="s">
        <v>35</v>
      </c>
      <c r="O2473" t="s">
        <v>76</v>
      </c>
      <c r="P2473" t="s">
        <v>152</v>
      </c>
      <c r="Q2473" t="s">
        <v>152</v>
      </c>
      <c r="R2473">
        <v>1</v>
      </c>
      <c r="S2473" t="s">
        <v>35</v>
      </c>
      <c r="T2473" t="str">
        <f t="shared" si="76"/>
        <v>Annually</v>
      </c>
      <c r="U2473">
        <f>VLOOKUP(T2473,[1]tablescore!$B$3:$C$8, 2,FALSE)</f>
        <v>1</v>
      </c>
      <c r="V2473" t="str">
        <f t="shared" si="77"/>
        <v>Low Loyalty</v>
      </c>
      <c r="W2473" t="s">
        <v>50</v>
      </c>
    </row>
    <row r="2474" spans="1:23" x14ac:dyDescent="0.25">
      <c r="A2474">
        <v>2473</v>
      </c>
      <c r="B2474">
        <v>24</v>
      </c>
      <c r="C2474" t="str" cm="1">
        <f t="array" ref="C2474">_xlfn.IFS(
  AND(B2474&gt;=18, B2474&lt;=24), "18-24",
  AND(B2474&gt;=25, B2474&lt;=34), "25-34",
  AND(B2474&gt;=35, B2474&lt;=44), "35-44",
  AND(B2474&gt;=45, B2474&lt;=54), "45-54",
  B2474&gt;=55, "55+"
)</f>
        <v>18-24</v>
      </c>
      <c r="D2474" t="s">
        <v>19</v>
      </c>
      <c r="E2474" t="s">
        <v>56</v>
      </c>
      <c r="F2474" t="s">
        <v>21</v>
      </c>
      <c r="G2474">
        <v>73</v>
      </c>
      <c r="H2474" t="s">
        <v>149</v>
      </c>
      <c r="I2474" t="s">
        <v>45</v>
      </c>
      <c r="J2474" t="s">
        <v>100</v>
      </c>
      <c r="K2474" t="s">
        <v>54</v>
      </c>
      <c r="L2474">
        <v>4.0999999999999996</v>
      </c>
      <c r="M2474" t="s">
        <v>152</v>
      </c>
      <c r="N2474" t="s">
        <v>34</v>
      </c>
      <c r="O2474" t="s">
        <v>55</v>
      </c>
      <c r="P2474" t="s">
        <v>152</v>
      </c>
      <c r="Q2474" t="s">
        <v>152</v>
      </c>
      <c r="R2474">
        <v>31</v>
      </c>
      <c r="S2474" t="s">
        <v>27</v>
      </c>
      <c r="T2474" t="str">
        <f t="shared" si="76"/>
        <v>Annually</v>
      </c>
      <c r="U2474">
        <f>VLOOKUP(T2474,[1]tablescore!$B$3:$C$8, 2,FALSE)</f>
        <v>1</v>
      </c>
      <c r="V2474" t="str">
        <f t="shared" si="77"/>
        <v>Low Loyalty</v>
      </c>
      <c r="W2474" t="s">
        <v>50</v>
      </c>
    </row>
    <row r="2475" spans="1:23" x14ac:dyDescent="0.25">
      <c r="A2475">
        <v>2474</v>
      </c>
      <c r="B2475">
        <v>57</v>
      </c>
      <c r="C2475" t="str" cm="1">
        <f t="array" ref="C2475">_xlfn.IFS(
  AND(B2475&gt;=18, B2475&lt;=24), "18-24",
  AND(B2475&gt;=25, B2475&lt;=34), "25-34",
  AND(B2475&gt;=35, B2475&lt;=44), "35-44",
  AND(B2475&gt;=45, B2475&lt;=54), "45-54",
  B2475&gt;=55, "55+"
)</f>
        <v>55+</v>
      </c>
      <c r="D2475" t="s">
        <v>19</v>
      </c>
      <c r="E2475" t="s">
        <v>131</v>
      </c>
      <c r="F2475" t="s">
        <v>21</v>
      </c>
      <c r="G2475">
        <v>98</v>
      </c>
      <c r="H2475" t="s">
        <v>74</v>
      </c>
      <c r="I2475" t="s">
        <v>45</v>
      </c>
      <c r="J2475" t="s">
        <v>108</v>
      </c>
      <c r="K2475" t="s">
        <v>25</v>
      </c>
      <c r="L2475">
        <v>2.6</v>
      </c>
      <c r="M2475" t="s">
        <v>152</v>
      </c>
      <c r="N2475" t="s">
        <v>35</v>
      </c>
      <c r="O2475" t="s">
        <v>47</v>
      </c>
      <c r="P2475" t="s">
        <v>152</v>
      </c>
      <c r="Q2475" t="s">
        <v>152</v>
      </c>
      <c r="R2475">
        <v>28</v>
      </c>
      <c r="S2475" t="s">
        <v>35</v>
      </c>
      <c r="T2475" t="str">
        <f t="shared" si="76"/>
        <v>Quarterly</v>
      </c>
      <c r="U2475">
        <f>VLOOKUP(T2475,[1]tablescore!$B$3:$C$8, 2,FALSE)</f>
        <v>4</v>
      </c>
      <c r="V2475" t="str">
        <f t="shared" si="77"/>
        <v>Low Loyalty</v>
      </c>
      <c r="W2475" t="s">
        <v>60</v>
      </c>
    </row>
    <row r="2476" spans="1:23" x14ac:dyDescent="0.25">
      <c r="A2476">
        <v>2475</v>
      </c>
      <c r="B2476">
        <v>23</v>
      </c>
      <c r="C2476" t="str" cm="1">
        <f t="array" ref="C2476">_xlfn.IFS(
  AND(B2476&gt;=18, B2476&lt;=24), "18-24",
  AND(B2476&gt;=25, B2476&lt;=34), "25-34",
  AND(B2476&gt;=35, B2476&lt;=44), "35-44",
  AND(B2476&gt;=45, B2476&lt;=54), "45-54",
  B2476&gt;=55, "55+"
)</f>
        <v>18-24</v>
      </c>
      <c r="D2476" t="s">
        <v>19</v>
      </c>
      <c r="E2476" t="s">
        <v>113</v>
      </c>
      <c r="F2476" t="s">
        <v>21</v>
      </c>
      <c r="G2476">
        <v>76</v>
      </c>
      <c r="H2476" t="s">
        <v>98</v>
      </c>
      <c r="I2476" t="s">
        <v>45</v>
      </c>
      <c r="J2476" t="s">
        <v>79</v>
      </c>
      <c r="K2476" t="s">
        <v>58</v>
      </c>
      <c r="L2476">
        <v>3.2</v>
      </c>
      <c r="M2476" t="s">
        <v>152</v>
      </c>
      <c r="N2476" t="s">
        <v>35</v>
      </c>
      <c r="O2476" t="s">
        <v>76</v>
      </c>
      <c r="P2476" t="s">
        <v>152</v>
      </c>
      <c r="Q2476" t="s">
        <v>152</v>
      </c>
      <c r="R2476">
        <v>19</v>
      </c>
      <c r="S2476" t="s">
        <v>34</v>
      </c>
      <c r="T2476" t="str">
        <f t="shared" si="76"/>
        <v>Quarterly</v>
      </c>
      <c r="U2476">
        <f>VLOOKUP(T2476,[1]tablescore!$B$3:$C$8, 2,FALSE)</f>
        <v>4</v>
      </c>
      <c r="V2476" t="str">
        <f t="shared" si="77"/>
        <v>Low Loyalty</v>
      </c>
      <c r="W2476" t="s">
        <v>60</v>
      </c>
    </row>
    <row r="2477" spans="1:23" x14ac:dyDescent="0.25">
      <c r="A2477">
        <v>2476</v>
      </c>
      <c r="B2477">
        <v>69</v>
      </c>
      <c r="C2477" t="str" cm="1">
        <f t="array" ref="C2477">_xlfn.IFS(
  AND(B2477&gt;=18, B2477&lt;=24), "18-24",
  AND(B2477&gt;=25, B2477&lt;=34), "25-34",
  AND(B2477&gt;=35, B2477&lt;=44), "35-44",
  AND(B2477&gt;=45, B2477&lt;=54), "45-54",
  B2477&gt;=55, "55+"
)</f>
        <v>55+</v>
      </c>
      <c r="D2477" t="s">
        <v>19</v>
      </c>
      <c r="E2477" t="s">
        <v>82</v>
      </c>
      <c r="F2477" t="s">
        <v>21</v>
      </c>
      <c r="G2477">
        <v>43</v>
      </c>
      <c r="H2477" t="s">
        <v>99</v>
      </c>
      <c r="I2477" t="s">
        <v>38</v>
      </c>
      <c r="J2477" t="s">
        <v>93</v>
      </c>
      <c r="K2477" t="s">
        <v>54</v>
      </c>
      <c r="L2477">
        <v>3.5</v>
      </c>
      <c r="M2477" t="s">
        <v>152</v>
      </c>
      <c r="N2477" t="s">
        <v>34</v>
      </c>
      <c r="O2477" t="s">
        <v>47</v>
      </c>
      <c r="P2477" t="s">
        <v>152</v>
      </c>
      <c r="Q2477" t="s">
        <v>152</v>
      </c>
      <c r="R2477">
        <v>36</v>
      </c>
      <c r="S2477" t="s">
        <v>29</v>
      </c>
      <c r="T2477" t="str">
        <f t="shared" si="76"/>
        <v>Month</v>
      </c>
      <c r="U2477">
        <f>VLOOKUP(T2477,[1]tablescore!$B$3:$C$8, 2,FALSE)</f>
        <v>12</v>
      </c>
      <c r="V2477" t="str">
        <f t="shared" si="77"/>
        <v>Moderate</v>
      </c>
      <c r="W2477" t="s">
        <v>88</v>
      </c>
    </row>
    <row r="2478" spans="1:23" x14ac:dyDescent="0.25">
      <c r="A2478">
        <v>2477</v>
      </c>
      <c r="B2478">
        <v>60</v>
      </c>
      <c r="C2478" t="str" cm="1">
        <f t="array" ref="C2478">_xlfn.IFS(
  AND(B2478&gt;=18, B2478&lt;=24), "18-24",
  AND(B2478&gt;=25, B2478&lt;=34), "25-34",
  AND(B2478&gt;=35, B2478&lt;=44), "35-44",
  AND(B2478&gt;=45, B2478&lt;=54), "45-54",
  B2478&gt;=55, "55+"
)</f>
        <v>55+</v>
      </c>
      <c r="D2478" t="s">
        <v>19</v>
      </c>
      <c r="E2478" t="s">
        <v>125</v>
      </c>
      <c r="F2478" t="s">
        <v>69</v>
      </c>
      <c r="G2478">
        <v>60</v>
      </c>
      <c r="H2478" t="s">
        <v>112</v>
      </c>
      <c r="I2478" t="s">
        <v>45</v>
      </c>
      <c r="J2478" t="s">
        <v>49</v>
      </c>
      <c r="K2478" t="s">
        <v>54</v>
      </c>
      <c r="L2478">
        <v>3.7</v>
      </c>
      <c r="M2478" t="s">
        <v>152</v>
      </c>
      <c r="N2478" t="s">
        <v>59</v>
      </c>
      <c r="O2478" t="s">
        <v>47</v>
      </c>
      <c r="P2478" t="s">
        <v>152</v>
      </c>
      <c r="Q2478" t="s">
        <v>152</v>
      </c>
      <c r="R2478">
        <v>28</v>
      </c>
      <c r="S2478" t="s">
        <v>35</v>
      </c>
      <c r="T2478" t="str">
        <f t="shared" si="76"/>
        <v>Month</v>
      </c>
      <c r="U2478">
        <f>VLOOKUP(T2478,[1]tablescore!$B$3:$C$8, 2,FALSE)</f>
        <v>12</v>
      </c>
      <c r="V2478" t="str">
        <f t="shared" si="77"/>
        <v>Moderate</v>
      </c>
      <c r="W2478" t="s">
        <v>88</v>
      </c>
    </row>
    <row r="2479" spans="1:23" x14ac:dyDescent="0.25">
      <c r="A2479">
        <v>2478</v>
      </c>
      <c r="B2479">
        <v>25</v>
      </c>
      <c r="C2479" t="str" cm="1">
        <f t="array" ref="C2479">_xlfn.IFS(
  AND(B2479&gt;=18, B2479&lt;=24), "18-24",
  AND(B2479&gt;=25, B2479&lt;=34), "25-34",
  AND(B2479&gt;=35, B2479&lt;=44), "35-44",
  AND(B2479&gt;=45, B2479&lt;=54), "45-54",
  B2479&gt;=55, "55+"
)</f>
        <v>25-34</v>
      </c>
      <c r="D2479" t="s">
        <v>19</v>
      </c>
      <c r="E2479" t="s">
        <v>127</v>
      </c>
      <c r="F2479" t="s">
        <v>69</v>
      </c>
      <c r="G2479">
        <v>40</v>
      </c>
      <c r="H2479" t="s">
        <v>99</v>
      </c>
      <c r="I2479" t="s">
        <v>23</v>
      </c>
      <c r="J2479" t="s">
        <v>49</v>
      </c>
      <c r="K2479" t="s">
        <v>39</v>
      </c>
      <c r="L2479">
        <v>3.8</v>
      </c>
      <c r="M2479" t="s">
        <v>152</v>
      </c>
      <c r="N2479" t="s">
        <v>59</v>
      </c>
      <c r="O2479" t="s">
        <v>72</v>
      </c>
      <c r="P2479" t="s">
        <v>152</v>
      </c>
      <c r="Q2479" t="s">
        <v>152</v>
      </c>
      <c r="R2479">
        <v>29</v>
      </c>
      <c r="S2479" t="s">
        <v>46</v>
      </c>
      <c r="T2479" t="str">
        <f t="shared" si="76"/>
        <v>Daily</v>
      </c>
      <c r="U2479">
        <f>VLOOKUP(T2479,[1]tablescore!$B$3:$C$8, 2,FALSE)</f>
        <v>30</v>
      </c>
      <c r="V2479" t="str">
        <f t="shared" si="77"/>
        <v>Highly Loyal</v>
      </c>
      <c r="W2479" t="s">
        <v>41</v>
      </c>
    </row>
    <row r="2480" spans="1:23" x14ac:dyDescent="0.25">
      <c r="A2480">
        <v>2479</v>
      </c>
      <c r="B2480">
        <v>18</v>
      </c>
      <c r="C2480" t="str" cm="1">
        <f t="array" ref="C2480">_xlfn.IFS(
  AND(B2480&gt;=18, B2480&lt;=24), "18-24",
  AND(B2480&gt;=25, B2480&lt;=34), "25-34",
  AND(B2480&gt;=35, B2480&lt;=44), "35-44",
  AND(B2480&gt;=45, B2480&lt;=54), "45-54",
  B2480&gt;=55, "55+"
)</f>
        <v>18-24</v>
      </c>
      <c r="D2480" t="s">
        <v>19</v>
      </c>
      <c r="E2480" t="s">
        <v>131</v>
      </c>
      <c r="F2480" t="s">
        <v>21</v>
      </c>
      <c r="G2480">
        <v>93</v>
      </c>
      <c r="H2480" t="s">
        <v>145</v>
      </c>
      <c r="I2480" t="s">
        <v>38</v>
      </c>
      <c r="J2480" t="s">
        <v>33</v>
      </c>
      <c r="K2480" t="s">
        <v>25</v>
      </c>
      <c r="L2480">
        <v>4.8</v>
      </c>
      <c r="M2480" t="s">
        <v>152</v>
      </c>
      <c r="N2480" t="s">
        <v>35</v>
      </c>
      <c r="O2480" t="s">
        <v>72</v>
      </c>
      <c r="P2480" t="s">
        <v>152</v>
      </c>
      <c r="Q2480" t="s">
        <v>152</v>
      </c>
      <c r="R2480">
        <v>9</v>
      </c>
      <c r="S2480" t="s">
        <v>34</v>
      </c>
      <c r="T2480" t="str">
        <f t="shared" si="76"/>
        <v>Quarterly</v>
      </c>
      <c r="U2480">
        <f>VLOOKUP(T2480,[1]tablescore!$B$3:$C$8, 2,FALSE)</f>
        <v>4</v>
      </c>
      <c r="V2480" t="str">
        <f t="shared" si="77"/>
        <v>Low Loyalty</v>
      </c>
      <c r="W2480" t="s">
        <v>97</v>
      </c>
    </row>
    <row r="2481" spans="1:23" x14ac:dyDescent="0.25">
      <c r="A2481">
        <v>2480</v>
      </c>
      <c r="B2481">
        <v>37</v>
      </c>
      <c r="C2481" t="str" cm="1">
        <f t="array" ref="C2481">_xlfn.IFS(
  AND(B2481&gt;=18, B2481&lt;=24), "18-24",
  AND(B2481&gt;=25, B2481&lt;=34), "25-34",
  AND(B2481&gt;=35, B2481&lt;=44), "35-44",
  AND(B2481&gt;=45, B2481&lt;=54), "45-54",
  B2481&gt;=55, "55+"
)</f>
        <v>35-44</v>
      </c>
      <c r="D2481" t="s">
        <v>19</v>
      </c>
      <c r="E2481" t="s">
        <v>82</v>
      </c>
      <c r="F2481" t="s">
        <v>21</v>
      </c>
      <c r="G2481">
        <v>98</v>
      </c>
      <c r="H2481" t="s">
        <v>111</v>
      </c>
      <c r="I2481" t="s">
        <v>38</v>
      </c>
      <c r="J2481" t="s">
        <v>79</v>
      </c>
      <c r="K2481" t="s">
        <v>58</v>
      </c>
      <c r="L2481">
        <v>4.2</v>
      </c>
      <c r="M2481" t="s">
        <v>152</v>
      </c>
      <c r="N2481" t="s">
        <v>29</v>
      </c>
      <c r="O2481" t="s">
        <v>55</v>
      </c>
      <c r="P2481" t="s">
        <v>152</v>
      </c>
      <c r="Q2481" t="s">
        <v>152</v>
      </c>
      <c r="R2481">
        <v>26</v>
      </c>
      <c r="S2481" t="s">
        <v>27</v>
      </c>
      <c r="T2481" t="str">
        <f t="shared" si="76"/>
        <v>Quarterly</v>
      </c>
      <c r="U2481">
        <f>VLOOKUP(T2481,[1]tablescore!$B$3:$C$8, 2,FALSE)</f>
        <v>4</v>
      </c>
      <c r="V2481" t="str">
        <f t="shared" si="77"/>
        <v>Low Loyalty</v>
      </c>
      <c r="W2481" t="s">
        <v>97</v>
      </c>
    </row>
    <row r="2482" spans="1:23" x14ac:dyDescent="0.25">
      <c r="A2482">
        <v>2481</v>
      </c>
      <c r="B2482">
        <v>61</v>
      </c>
      <c r="C2482" t="str" cm="1">
        <f t="array" ref="C2482">_xlfn.IFS(
  AND(B2482&gt;=18, B2482&lt;=24), "18-24",
  AND(B2482&gt;=25, B2482&lt;=34), "25-34",
  AND(B2482&gt;=35, B2482&lt;=44), "35-44",
  AND(B2482&gt;=45, B2482&lt;=54), "45-54",
  B2482&gt;=55, "55+"
)</f>
        <v>55+</v>
      </c>
      <c r="D2482" t="s">
        <v>19</v>
      </c>
      <c r="E2482" t="s">
        <v>131</v>
      </c>
      <c r="F2482" t="s">
        <v>21</v>
      </c>
      <c r="G2482">
        <v>91</v>
      </c>
      <c r="H2482" t="s">
        <v>124</v>
      </c>
      <c r="I2482" t="s">
        <v>92</v>
      </c>
      <c r="J2482" t="s">
        <v>33</v>
      </c>
      <c r="K2482" t="s">
        <v>54</v>
      </c>
      <c r="L2482">
        <v>2.9</v>
      </c>
      <c r="M2482" t="s">
        <v>152</v>
      </c>
      <c r="N2482" t="s">
        <v>59</v>
      </c>
      <c r="O2482" t="s">
        <v>47</v>
      </c>
      <c r="P2482" t="s">
        <v>152</v>
      </c>
      <c r="Q2482" t="s">
        <v>152</v>
      </c>
      <c r="R2482">
        <v>7</v>
      </c>
      <c r="S2482" t="s">
        <v>27</v>
      </c>
      <c r="T2482" t="str">
        <f t="shared" si="76"/>
        <v>2-week</v>
      </c>
      <c r="U2482">
        <f>VLOOKUP(T2482,[1]tablescore!$B$3:$C$8, 2,FALSE)</f>
        <v>26</v>
      </c>
      <c r="V2482" t="str">
        <f t="shared" si="77"/>
        <v>Loyal</v>
      </c>
      <c r="W2482" t="s">
        <v>30</v>
      </c>
    </row>
    <row r="2483" spans="1:23" x14ac:dyDescent="0.25">
      <c r="A2483">
        <v>2482</v>
      </c>
      <c r="B2483">
        <v>41</v>
      </c>
      <c r="C2483" t="str" cm="1">
        <f t="array" ref="C2483">_xlfn.IFS(
  AND(B2483&gt;=18, B2483&lt;=24), "18-24",
  AND(B2483&gt;=25, B2483&lt;=34), "25-34",
  AND(B2483&gt;=35, B2483&lt;=44), "35-44",
  AND(B2483&gt;=45, B2483&lt;=54), "45-54",
  B2483&gt;=55, "55+"
)</f>
        <v>35-44</v>
      </c>
      <c r="D2483" t="s">
        <v>19</v>
      </c>
      <c r="E2483" t="s">
        <v>136</v>
      </c>
      <c r="F2483" t="s">
        <v>69</v>
      </c>
      <c r="G2483">
        <v>92</v>
      </c>
      <c r="H2483" t="s">
        <v>137</v>
      </c>
      <c r="I2483" t="s">
        <v>92</v>
      </c>
      <c r="J2483" t="s">
        <v>109</v>
      </c>
      <c r="K2483" t="s">
        <v>58</v>
      </c>
      <c r="L2483">
        <v>2.9</v>
      </c>
      <c r="M2483" t="s">
        <v>152</v>
      </c>
      <c r="N2483" t="s">
        <v>29</v>
      </c>
      <c r="O2483" t="s">
        <v>40</v>
      </c>
      <c r="P2483" t="s">
        <v>152</v>
      </c>
      <c r="Q2483" t="s">
        <v>152</v>
      </c>
      <c r="R2483">
        <v>35</v>
      </c>
      <c r="S2483" t="s">
        <v>59</v>
      </c>
      <c r="T2483" t="str">
        <f t="shared" si="76"/>
        <v>Daily</v>
      </c>
      <c r="U2483">
        <f>VLOOKUP(T2483,[1]tablescore!$B$3:$C$8, 2,FALSE)</f>
        <v>30</v>
      </c>
      <c r="V2483" t="str">
        <f t="shared" si="77"/>
        <v>Highly Loyal</v>
      </c>
      <c r="W2483" t="s">
        <v>41</v>
      </c>
    </row>
    <row r="2484" spans="1:23" x14ac:dyDescent="0.25">
      <c r="A2484">
        <v>2483</v>
      </c>
      <c r="B2484">
        <v>69</v>
      </c>
      <c r="C2484" t="str" cm="1">
        <f t="array" ref="C2484">_xlfn.IFS(
  AND(B2484&gt;=18, B2484&lt;=24), "18-24",
  AND(B2484&gt;=25, B2484&lt;=34), "25-34",
  AND(B2484&gt;=35, B2484&lt;=44), "35-44",
  AND(B2484&gt;=45, B2484&lt;=54), "45-54",
  B2484&gt;=55, "55+"
)</f>
        <v>55+</v>
      </c>
      <c r="D2484" t="s">
        <v>19</v>
      </c>
      <c r="E2484" t="s">
        <v>68</v>
      </c>
      <c r="F2484" t="s">
        <v>69</v>
      </c>
      <c r="G2484">
        <v>87</v>
      </c>
      <c r="H2484" t="s">
        <v>117</v>
      </c>
      <c r="I2484" t="s">
        <v>38</v>
      </c>
      <c r="J2484" t="s">
        <v>100</v>
      </c>
      <c r="K2484" t="s">
        <v>25</v>
      </c>
      <c r="L2484">
        <v>4.8</v>
      </c>
      <c r="M2484" t="s">
        <v>152</v>
      </c>
      <c r="N2484" t="s">
        <v>46</v>
      </c>
      <c r="O2484" t="s">
        <v>47</v>
      </c>
      <c r="P2484" t="s">
        <v>152</v>
      </c>
      <c r="Q2484" t="s">
        <v>152</v>
      </c>
      <c r="R2484">
        <v>46</v>
      </c>
      <c r="S2484" t="s">
        <v>27</v>
      </c>
      <c r="T2484" t="str">
        <f t="shared" si="76"/>
        <v>Quarterly</v>
      </c>
      <c r="U2484">
        <f>VLOOKUP(T2484,[1]tablescore!$B$3:$C$8, 2,FALSE)</f>
        <v>4</v>
      </c>
      <c r="V2484" t="str">
        <f t="shared" si="77"/>
        <v>Low Loyalty</v>
      </c>
      <c r="W2484" t="s">
        <v>97</v>
      </c>
    </row>
    <row r="2485" spans="1:23" x14ac:dyDescent="0.25">
      <c r="A2485">
        <v>2484</v>
      </c>
      <c r="B2485">
        <v>32</v>
      </c>
      <c r="C2485" t="str" cm="1">
        <f t="array" ref="C2485">_xlfn.IFS(
  AND(B2485&gt;=18, B2485&lt;=24), "18-24",
  AND(B2485&gt;=25, B2485&lt;=34), "25-34",
  AND(B2485&gt;=35, B2485&lt;=44), "35-44",
  AND(B2485&gt;=45, B2485&lt;=54), "45-54",
  B2485&gt;=55, "55+"
)</f>
        <v>25-34</v>
      </c>
      <c r="D2485" t="s">
        <v>19</v>
      </c>
      <c r="E2485" t="s">
        <v>87</v>
      </c>
      <c r="F2485" t="s">
        <v>21</v>
      </c>
      <c r="G2485">
        <v>96</v>
      </c>
      <c r="H2485" t="s">
        <v>117</v>
      </c>
      <c r="I2485" t="s">
        <v>38</v>
      </c>
      <c r="J2485" t="s">
        <v>86</v>
      </c>
      <c r="K2485" t="s">
        <v>58</v>
      </c>
      <c r="L2485">
        <v>2.9</v>
      </c>
      <c r="M2485" t="s">
        <v>152</v>
      </c>
      <c r="N2485" t="s">
        <v>46</v>
      </c>
      <c r="O2485" t="s">
        <v>55</v>
      </c>
      <c r="P2485" t="s">
        <v>152</v>
      </c>
      <c r="Q2485" t="s">
        <v>152</v>
      </c>
      <c r="R2485">
        <v>8</v>
      </c>
      <c r="S2485" t="s">
        <v>59</v>
      </c>
      <c r="T2485" t="str">
        <f t="shared" si="76"/>
        <v>Month</v>
      </c>
      <c r="U2485">
        <f>VLOOKUP(T2485,[1]tablescore!$B$3:$C$8, 2,FALSE)</f>
        <v>12</v>
      </c>
      <c r="V2485" t="str">
        <f t="shared" si="77"/>
        <v>Moderate</v>
      </c>
      <c r="W2485" t="s">
        <v>88</v>
      </c>
    </row>
    <row r="2486" spans="1:23" x14ac:dyDescent="0.25">
      <c r="A2486">
        <v>2485</v>
      </c>
      <c r="B2486">
        <v>60</v>
      </c>
      <c r="C2486" t="str" cm="1">
        <f t="array" ref="C2486">_xlfn.IFS(
  AND(B2486&gt;=18, B2486&lt;=24), "18-24",
  AND(B2486&gt;=25, B2486&lt;=34), "25-34",
  AND(B2486&gt;=35, B2486&lt;=44), "35-44",
  AND(B2486&gt;=45, B2486&lt;=54), "45-54",
  B2486&gt;=55, "55+"
)</f>
        <v>55+</v>
      </c>
      <c r="D2486" t="s">
        <v>19</v>
      </c>
      <c r="E2486" t="s">
        <v>104</v>
      </c>
      <c r="F2486" t="s">
        <v>21</v>
      </c>
      <c r="G2486">
        <v>97</v>
      </c>
      <c r="H2486" t="s">
        <v>83</v>
      </c>
      <c r="I2486" t="s">
        <v>45</v>
      </c>
      <c r="J2486" t="s">
        <v>96</v>
      </c>
      <c r="K2486" t="s">
        <v>54</v>
      </c>
      <c r="L2486">
        <v>4.8</v>
      </c>
      <c r="M2486" t="s">
        <v>152</v>
      </c>
      <c r="N2486" t="s">
        <v>34</v>
      </c>
      <c r="O2486" t="s">
        <v>72</v>
      </c>
      <c r="P2486" t="s">
        <v>152</v>
      </c>
      <c r="Q2486" t="s">
        <v>152</v>
      </c>
      <c r="R2486">
        <v>50</v>
      </c>
      <c r="S2486" t="s">
        <v>35</v>
      </c>
      <c r="T2486" t="str">
        <f t="shared" si="76"/>
        <v>Quarterly</v>
      </c>
      <c r="U2486">
        <f>VLOOKUP(T2486,[1]tablescore!$B$3:$C$8, 2,FALSE)</f>
        <v>4</v>
      </c>
      <c r="V2486" t="str">
        <f t="shared" si="77"/>
        <v>Low Loyalty</v>
      </c>
      <c r="W2486" t="s">
        <v>97</v>
      </c>
    </row>
    <row r="2487" spans="1:23" x14ac:dyDescent="0.25">
      <c r="A2487">
        <v>2486</v>
      </c>
      <c r="B2487">
        <v>43</v>
      </c>
      <c r="C2487" t="str" cm="1">
        <f t="array" ref="C2487">_xlfn.IFS(
  AND(B2487&gt;=18, B2487&lt;=24), "18-24",
  AND(B2487&gt;=25, B2487&lt;=34), "25-34",
  AND(B2487&gt;=35, B2487&lt;=44), "35-44",
  AND(B2487&gt;=45, B2487&lt;=54), "45-54",
  B2487&gt;=55, "55+"
)</f>
        <v>35-44</v>
      </c>
      <c r="D2487" t="s">
        <v>19</v>
      </c>
      <c r="E2487" t="s">
        <v>20</v>
      </c>
      <c r="F2487" t="s">
        <v>21</v>
      </c>
      <c r="G2487">
        <v>55</v>
      </c>
      <c r="H2487" t="s">
        <v>62</v>
      </c>
      <c r="I2487" t="s">
        <v>45</v>
      </c>
      <c r="J2487" t="s">
        <v>118</v>
      </c>
      <c r="K2487" t="s">
        <v>39</v>
      </c>
      <c r="L2487">
        <v>4.5999999999999996</v>
      </c>
      <c r="M2487" t="s">
        <v>152</v>
      </c>
      <c r="N2487" t="s">
        <v>27</v>
      </c>
      <c r="O2487" t="s">
        <v>72</v>
      </c>
      <c r="P2487" t="s">
        <v>152</v>
      </c>
      <c r="Q2487" t="s">
        <v>152</v>
      </c>
      <c r="R2487">
        <v>37</v>
      </c>
      <c r="S2487" t="s">
        <v>34</v>
      </c>
      <c r="T2487" t="str">
        <f t="shared" si="76"/>
        <v>Annually</v>
      </c>
      <c r="U2487">
        <f>VLOOKUP(T2487,[1]tablescore!$B$3:$C$8, 2,FALSE)</f>
        <v>1</v>
      </c>
      <c r="V2487" t="str">
        <f t="shared" si="77"/>
        <v>Low Loyalty</v>
      </c>
      <c r="W2487" t="s">
        <v>50</v>
      </c>
    </row>
    <row r="2488" spans="1:23" x14ac:dyDescent="0.25">
      <c r="A2488">
        <v>2487</v>
      </c>
      <c r="B2488">
        <v>61</v>
      </c>
      <c r="C2488" t="str" cm="1">
        <f t="array" ref="C2488">_xlfn.IFS(
  AND(B2488&gt;=18, B2488&lt;=24), "18-24",
  AND(B2488&gt;=25, B2488&lt;=34), "25-34",
  AND(B2488&gt;=35, B2488&lt;=44), "35-44",
  AND(B2488&gt;=45, B2488&lt;=54), "45-54",
  B2488&gt;=55, "55+"
)</f>
        <v>55+</v>
      </c>
      <c r="D2488" t="s">
        <v>19</v>
      </c>
      <c r="E2488" t="s">
        <v>36</v>
      </c>
      <c r="F2488" t="s">
        <v>21</v>
      </c>
      <c r="G2488">
        <v>58</v>
      </c>
      <c r="H2488" t="s">
        <v>105</v>
      </c>
      <c r="I2488" t="s">
        <v>23</v>
      </c>
      <c r="J2488" t="s">
        <v>147</v>
      </c>
      <c r="K2488" t="s">
        <v>39</v>
      </c>
      <c r="L2488">
        <v>4.4000000000000004</v>
      </c>
      <c r="M2488" t="s">
        <v>152</v>
      </c>
      <c r="N2488" t="s">
        <v>27</v>
      </c>
      <c r="O2488" t="s">
        <v>76</v>
      </c>
      <c r="P2488" t="s">
        <v>152</v>
      </c>
      <c r="Q2488" t="s">
        <v>152</v>
      </c>
      <c r="R2488">
        <v>6</v>
      </c>
      <c r="S2488" t="s">
        <v>27</v>
      </c>
      <c r="T2488" t="str">
        <f t="shared" si="76"/>
        <v>2-week</v>
      </c>
      <c r="U2488">
        <f>VLOOKUP(T2488,[1]tablescore!$B$3:$C$8, 2,FALSE)</f>
        <v>26</v>
      </c>
      <c r="V2488" t="str">
        <f t="shared" si="77"/>
        <v>Loyal</v>
      </c>
      <c r="W2488" t="s">
        <v>30</v>
      </c>
    </row>
    <row r="2489" spans="1:23" x14ac:dyDescent="0.25">
      <c r="A2489">
        <v>2488</v>
      </c>
      <c r="B2489">
        <v>57</v>
      </c>
      <c r="C2489" t="str" cm="1">
        <f t="array" ref="C2489">_xlfn.IFS(
  AND(B2489&gt;=18, B2489&lt;=24), "18-24",
  AND(B2489&gt;=25, B2489&lt;=34), "25-34",
  AND(B2489&gt;=35, B2489&lt;=44), "35-44",
  AND(B2489&gt;=45, B2489&lt;=54), "45-54",
  B2489&gt;=55, "55+"
)</f>
        <v>55+</v>
      </c>
      <c r="D2489" t="s">
        <v>19</v>
      </c>
      <c r="E2489" t="s">
        <v>132</v>
      </c>
      <c r="F2489" t="s">
        <v>43</v>
      </c>
      <c r="G2489">
        <v>21</v>
      </c>
      <c r="H2489" t="s">
        <v>57</v>
      </c>
      <c r="I2489" t="s">
        <v>23</v>
      </c>
      <c r="J2489" t="s">
        <v>84</v>
      </c>
      <c r="K2489" t="s">
        <v>39</v>
      </c>
      <c r="L2489">
        <v>3</v>
      </c>
      <c r="M2489" t="s">
        <v>152</v>
      </c>
      <c r="N2489" t="s">
        <v>46</v>
      </c>
      <c r="O2489" t="s">
        <v>47</v>
      </c>
      <c r="P2489" t="s">
        <v>152</v>
      </c>
      <c r="Q2489" t="s">
        <v>152</v>
      </c>
      <c r="R2489">
        <v>16</v>
      </c>
      <c r="S2489" t="s">
        <v>46</v>
      </c>
      <c r="T2489" t="str">
        <f t="shared" si="76"/>
        <v>2-week</v>
      </c>
      <c r="U2489">
        <f>VLOOKUP(T2489,[1]tablescore!$B$3:$C$8, 2,FALSE)</f>
        <v>26</v>
      </c>
      <c r="V2489" t="str">
        <f t="shared" si="77"/>
        <v>Loyal</v>
      </c>
      <c r="W2489" t="s">
        <v>77</v>
      </c>
    </row>
    <row r="2490" spans="1:23" x14ac:dyDescent="0.25">
      <c r="A2490">
        <v>2489</v>
      </c>
      <c r="B2490">
        <v>56</v>
      </c>
      <c r="C2490" t="str" cm="1">
        <f t="array" ref="C2490">_xlfn.IFS(
  AND(B2490&gt;=18, B2490&lt;=24), "18-24",
  AND(B2490&gt;=25, B2490&lt;=34), "25-34",
  AND(B2490&gt;=35, B2490&lt;=44), "35-44",
  AND(B2490&gt;=45, B2490&lt;=54), "45-54",
  B2490&gt;=55, "55+"
)</f>
        <v>55+</v>
      </c>
      <c r="D2490" t="s">
        <v>19</v>
      </c>
      <c r="E2490" t="s">
        <v>68</v>
      </c>
      <c r="F2490" t="s">
        <v>69</v>
      </c>
      <c r="G2490">
        <v>82</v>
      </c>
      <c r="H2490" t="s">
        <v>83</v>
      </c>
      <c r="I2490" t="s">
        <v>92</v>
      </c>
      <c r="J2490" t="s">
        <v>63</v>
      </c>
      <c r="K2490" t="s">
        <v>54</v>
      </c>
      <c r="L2490">
        <v>4.4000000000000004</v>
      </c>
      <c r="M2490" t="s">
        <v>152</v>
      </c>
      <c r="N2490" t="s">
        <v>27</v>
      </c>
      <c r="O2490" t="s">
        <v>28</v>
      </c>
      <c r="P2490" t="s">
        <v>152</v>
      </c>
      <c r="Q2490" t="s">
        <v>152</v>
      </c>
      <c r="R2490">
        <v>30</v>
      </c>
      <c r="S2490" t="s">
        <v>46</v>
      </c>
      <c r="T2490" t="str">
        <f t="shared" si="76"/>
        <v>Month</v>
      </c>
      <c r="U2490">
        <f>VLOOKUP(T2490,[1]tablescore!$B$3:$C$8, 2,FALSE)</f>
        <v>12</v>
      </c>
      <c r="V2490" t="str">
        <f t="shared" si="77"/>
        <v>Moderate</v>
      </c>
      <c r="W2490" t="s">
        <v>88</v>
      </c>
    </row>
    <row r="2491" spans="1:23" x14ac:dyDescent="0.25">
      <c r="A2491">
        <v>2490</v>
      </c>
      <c r="B2491">
        <v>66</v>
      </c>
      <c r="C2491" t="str" cm="1">
        <f t="array" ref="C2491">_xlfn.IFS(
  AND(B2491&gt;=18, B2491&lt;=24), "18-24",
  AND(B2491&gt;=25, B2491&lt;=34), "25-34",
  AND(B2491&gt;=35, B2491&lt;=44), "35-44",
  AND(B2491&gt;=45, B2491&lt;=54), "45-54",
  B2491&gt;=55, "55+"
)</f>
        <v>55+</v>
      </c>
      <c r="D2491" t="s">
        <v>19</v>
      </c>
      <c r="E2491" t="s">
        <v>64</v>
      </c>
      <c r="F2491" t="s">
        <v>65</v>
      </c>
      <c r="G2491">
        <v>34</v>
      </c>
      <c r="H2491" t="s">
        <v>130</v>
      </c>
      <c r="I2491" t="s">
        <v>45</v>
      </c>
      <c r="J2491" t="s">
        <v>96</v>
      </c>
      <c r="K2491" t="s">
        <v>25</v>
      </c>
      <c r="L2491">
        <v>3.9</v>
      </c>
      <c r="M2491" t="s">
        <v>152</v>
      </c>
      <c r="N2491" t="s">
        <v>27</v>
      </c>
      <c r="O2491" t="s">
        <v>28</v>
      </c>
      <c r="P2491" t="s">
        <v>152</v>
      </c>
      <c r="Q2491" t="s">
        <v>152</v>
      </c>
      <c r="R2491">
        <v>50</v>
      </c>
      <c r="S2491" t="s">
        <v>29</v>
      </c>
      <c r="T2491" t="str">
        <f t="shared" si="76"/>
        <v>Quarterly</v>
      </c>
      <c r="U2491">
        <f>VLOOKUP(T2491,[1]tablescore!$B$3:$C$8, 2,FALSE)</f>
        <v>4</v>
      </c>
      <c r="V2491" t="str">
        <f t="shared" si="77"/>
        <v>Low Loyalty</v>
      </c>
      <c r="W2491" t="s">
        <v>60</v>
      </c>
    </row>
    <row r="2492" spans="1:23" x14ac:dyDescent="0.25">
      <c r="A2492">
        <v>2491</v>
      </c>
      <c r="B2492">
        <v>52</v>
      </c>
      <c r="C2492" t="str" cm="1">
        <f t="array" ref="C2492">_xlfn.IFS(
  AND(B2492&gt;=18, B2492&lt;=24), "18-24",
  AND(B2492&gt;=25, B2492&lt;=34), "25-34",
  AND(B2492&gt;=35, B2492&lt;=44), "35-44",
  AND(B2492&gt;=45, B2492&lt;=54), "45-54",
  B2492&gt;=55, "55+"
)</f>
        <v>45-54</v>
      </c>
      <c r="D2492" t="s">
        <v>19</v>
      </c>
      <c r="E2492" t="s">
        <v>20</v>
      </c>
      <c r="F2492" t="s">
        <v>21</v>
      </c>
      <c r="G2492">
        <v>78</v>
      </c>
      <c r="H2492" t="s">
        <v>57</v>
      </c>
      <c r="I2492" t="s">
        <v>45</v>
      </c>
      <c r="J2492" t="s">
        <v>24</v>
      </c>
      <c r="K2492" t="s">
        <v>39</v>
      </c>
      <c r="L2492">
        <v>4</v>
      </c>
      <c r="M2492" t="s">
        <v>152</v>
      </c>
      <c r="N2492" t="s">
        <v>46</v>
      </c>
      <c r="O2492" t="s">
        <v>40</v>
      </c>
      <c r="P2492" t="s">
        <v>152</v>
      </c>
      <c r="Q2492" t="s">
        <v>152</v>
      </c>
      <c r="R2492">
        <v>5</v>
      </c>
      <c r="S2492" t="s">
        <v>35</v>
      </c>
      <c r="T2492" t="str">
        <f t="shared" si="76"/>
        <v>Quarterly</v>
      </c>
      <c r="U2492">
        <f>VLOOKUP(T2492,[1]tablescore!$B$3:$C$8, 2,FALSE)</f>
        <v>4</v>
      </c>
      <c r="V2492" t="str">
        <f t="shared" si="77"/>
        <v>Low Loyalty</v>
      </c>
      <c r="W2492" t="s">
        <v>97</v>
      </c>
    </row>
    <row r="2493" spans="1:23" x14ac:dyDescent="0.25">
      <c r="A2493">
        <v>2492</v>
      </c>
      <c r="B2493">
        <v>63</v>
      </c>
      <c r="C2493" t="str" cm="1">
        <f t="array" ref="C2493">_xlfn.IFS(
  AND(B2493&gt;=18, B2493&lt;=24), "18-24",
  AND(B2493&gt;=25, B2493&lt;=34), "25-34",
  AND(B2493&gt;=35, B2493&lt;=44), "35-44",
  AND(B2493&gt;=45, B2493&lt;=54), "45-54",
  B2493&gt;=55, "55+"
)</f>
        <v>55+</v>
      </c>
      <c r="D2493" t="s">
        <v>19</v>
      </c>
      <c r="E2493" t="s">
        <v>68</v>
      </c>
      <c r="F2493" t="s">
        <v>69</v>
      </c>
      <c r="G2493">
        <v>47</v>
      </c>
      <c r="H2493" t="s">
        <v>98</v>
      </c>
      <c r="I2493" t="s">
        <v>45</v>
      </c>
      <c r="J2493" t="s">
        <v>147</v>
      </c>
      <c r="K2493" t="s">
        <v>39</v>
      </c>
      <c r="L2493">
        <v>2.5</v>
      </c>
      <c r="M2493" t="s">
        <v>152</v>
      </c>
      <c r="N2493" t="s">
        <v>59</v>
      </c>
      <c r="O2493" t="s">
        <v>28</v>
      </c>
      <c r="P2493" t="s">
        <v>152</v>
      </c>
      <c r="Q2493" t="s">
        <v>152</v>
      </c>
      <c r="R2493">
        <v>15</v>
      </c>
      <c r="S2493" t="s">
        <v>34</v>
      </c>
      <c r="T2493" t="str">
        <f t="shared" si="76"/>
        <v>Month</v>
      </c>
      <c r="U2493">
        <f>VLOOKUP(T2493,[1]tablescore!$B$3:$C$8, 2,FALSE)</f>
        <v>12</v>
      </c>
      <c r="V2493" t="str">
        <f t="shared" si="77"/>
        <v>Moderate</v>
      </c>
      <c r="W2493" t="s">
        <v>88</v>
      </c>
    </row>
    <row r="2494" spans="1:23" x14ac:dyDescent="0.25">
      <c r="A2494">
        <v>2493</v>
      </c>
      <c r="B2494">
        <v>50</v>
      </c>
      <c r="C2494" t="str" cm="1">
        <f t="array" ref="C2494">_xlfn.IFS(
  AND(B2494&gt;=18, B2494&lt;=24), "18-24",
  AND(B2494&gt;=25, B2494&lt;=34), "25-34",
  AND(B2494&gt;=35, B2494&lt;=44), "35-44",
  AND(B2494&gt;=45, B2494&lt;=54), "45-54",
  B2494&gt;=55, "55+"
)</f>
        <v>45-54</v>
      </c>
      <c r="D2494" t="s">
        <v>19</v>
      </c>
      <c r="E2494" t="s">
        <v>89</v>
      </c>
      <c r="F2494" t="s">
        <v>69</v>
      </c>
      <c r="G2494">
        <v>96</v>
      </c>
      <c r="H2494" t="s">
        <v>130</v>
      </c>
      <c r="I2494" t="s">
        <v>38</v>
      </c>
      <c r="J2494" t="s">
        <v>67</v>
      </c>
      <c r="K2494" t="s">
        <v>54</v>
      </c>
      <c r="L2494">
        <v>4.0999999999999996</v>
      </c>
      <c r="M2494" t="s">
        <v>152</v>
      </c>
      <c r="N2494" t="s">
        <v>29</v>
      </c>
      <c r="O2494" t="s">
        <v>47</v>
      </c>
      <c r="P2494" t="s">
        <v>152</v>
      </c>
      <c r="Q2494" t="s">
        <v>152</v>
      </c>
      <c r="R2494">
        <v>34</v>
      </c>
      <c r="S2494" t="s">
        <v>34</v>
      </c>
      <c r="T2494" t="str">
        <f t="shared" si="76"/>
        <v>2-week</v>
      </c>
      <c r="U2494">
        <f>VLOOKUP(T2494,[1]tablescore!$B$3:$C$8, 2,FALSE)</f>
        <v>26</v>
      </c>
      <c r="V2494" t="str">
        <f t="shared" si="77"/>
        <v>Loyal</v>
      </c>
      <c r="W2494" t="s">
        <v>77</v>
      </c>
    </row>
    <row r="2495" spans="1:23" x14ac:dyDescent="0.25">
      <c r="A2495">
        <v>2494</v>
      </c>
      <c r="B2495">
        <v>21</v>
      </c>
      <c r="C2495" t="str" cm="1">
        <f t="array" ref="C2495">_xlfn.IFS(
  AND(B2495&gt;=18, B2495&lt;=24), "18-24",
  AND(B2495&gt;=25, B2495&lt;=34), "25-34",
  AND(B2495&gt;=35, B2495&lt;=44), "35-44",
  AND(B2495&gt;=45, B2495&lt;=54), "45-54",
  B2495&gt;=55, "55+"
)</f>
        <v>18-24</v>
      </c>
      <c r="D2495" t="s">
        <v>19</v>
      </c>
      <c r="E2495" t="s">
        <v>131</v>
      </c>
      <c r="F2495" t="s">
        <v>21</v>
      </c>
      <c r="G2495">
        <v>23</v>
      </c>
      <c r="H2495" t="s">
        <v>32</v>
      </c>
      <c r="I2495" t="s">
        <v>38</v>
      </c>
      <c r="J2495" t="s">
        <v>118</v>
      </c>
      <c r="K2495" t="s">
        <v>58</v>
      </c>
      <c r="L2495">
        <v>4.8</v>
      </c>
      <c r="M2495" t="s">
        <v>152</v>
      </c>
      <c r="N2495" t="s">
        <v>35</v>
      </c>
      <c r="O2495" t="s">
        <v>72</v>
      </c>
      <c r="P2495" t="s">
        <v>152</v>
      </c>
      <c r="Q2495" t="s">
        <v>152</v>
      </c>
      <c r="R2495">
        <v>6</v>
      </c>
      <c r="S2495" t="s">
        <v>29</v>
      </c>
      <c r="T2495" t="str">
        <f t="shared" si="76"/>
        <v>Quarterly</v>
      </c>
      <c r="U2495">
        <f>VLOOKUP(T2495,[1]tablescore!$B$3:$C$8, 2,FALSE)</f>
        <v>4</v>
      </c>
      <c r="V2495" t="str">
        <f t="shared" si="77"/>
        <v>Low Loyalty</v>
      </c>
      <c r="W2495" t="s">
        <v>97</v>
      </c>
    </row>
    <row r="2496" spans="1:23" x14ac:dyDescent="0.25">
      <c r="A2496">
        <v>2495</v>
      </c>
      <c r="B2496">
        <v>42</v>
      </c>
      <c r="C2496" t="str" cm="1">
        <f t="array" ref="C2496">_xlfn.IFS(
  AND(B2496&gt;=18, B2496&lt;=24), "18-24",
  AND(B2496&gt;=25, B2496&lt;=34), "25-34",
  AND(B2496&gt;=35, B2496&lt;=44), "35-44",
  AND(B2496&gt;=45, B2496&lt;=54), "45-54",
  B2496&gt;=55, "55+"
)</f>
        <v>35-44</v>
      </c>
      <c r="D2496" t="s">
        <v>19</v>
      </c>
      <c r="E2496" t="s">
        <v>73</v>
      </c>
      <c r="F2496" t="s">
        <v>43</v>
      </c>
      <c r="G2496">
        <v>27</v>
      </c>
      <c r="H2496" t="s">
        <v>101</v>
      </c>
      <c r="I2496" t="s">
        <v>38</v>
      </c>
      <c r="J2496" t="s">
        <v>100</v>
      </c>
      <c r="K2496" t="s">
        <v>25</v>
      </c>
      <c r="L2496">
        <v>2.6</v>
      </c>
      <c r="M2496" t="s">
        <v>152</v>
      </c>
      <c r="N2496" t="s">
        <v>46</v>
      </c>
      <c r="O2496" t="s">
        <v>76</v>
      </c>
      <c r="P2496" t="s">
        <v>152</v>
      </c>
      <c r="Q2496" t="s">
        <v>152</v>
      </c>
      <c r="R2496">
        <v>26</v>
      </c>
      <c r="S2496" t="s">
        <v>59</v>
      </c>
      <c r="T2496" t="str">
        <f t="shared" si="76"/>
        <v>Annually</v>
      </c>
      <c r="U2496">
        <f>VLOOKUP(T2496,[1]tablescore!$B$3:$C$8, 2,FALSE)</f>
        <v>1</v>
      </c>
      <c r="V2496" t="str">
        <f t="shared" si="77"/>
        <v>Low Loyalty</v>
      </c>
      <c r="W2496" t="s">
        <v>50</v>
      </c>
    </row>
    <row r="2497" spans="1:23" x14ac:dyDescent="0.25">
      <c r="A2497">
        <v>2496</v>
      </c>
      <c r="B2497">
        <v>40</v>
      </c>
      <c r="C2497" t="str" cm="1">
        <f t="array" ref="C2497">_xlfn.IFS(
  AND(B2497&gt;=18, B2497&lt;=24), "18-24",
  AND(B2497&gt;=25, B2497&lt;=34), "25-34",
  AND(B2497&gt;=35, B2497&lt;=44), "35-44",
  AND(B2497&gt;=45, B2497&lt;=54), "45-54",
  B2497&gt;=55, "55+"
)</f>
        <v>35-44</v>
      </c>
      <c r="D2497" t="s">
        <v>19</v>
      </c>
      <c r="E2497" t="s">
        <v>133</v>
      </c>
      <c r="F2497" t="s">
        <v>69</v>
      </c>
      <c r="G2497">
        <v>37</v>
      </c>
      <c r="H2497" t="s">
        <v>143</v>
      </c>
      <c r="I2497" t="s">
        <v>92</v>
      </c>
      <c r="J2497" t="s">
        <v>121</v>
      </c>
      <c r="K2497" t="s">
        <v>39</v>
      </c>
      <c r="L2497">
        <v>3.1</v>
      </c>
      <c r="M2497" t="s">
        <v>152</v>
      </c>
      <c r="N2497" t="s">
        <v>34</v>
      </c>
      <c r="O2497" t="s">
        <v>40</v>
      </c>
      <c r="P2497" t="s">
        <v>152</v>
      </c>
      <c r="Q2497" t="s">
        <v>152</v>
      </c>
      <c r="R2497">
        <v>34</v>
      </c>
      <c r="S2497" t="s">
        <v>27</v>
      </c>
      <c r="T2497" t="str">
        <f t="shared" si="76"/>
        <v>Quarterly</v>
      </c>
      <c r="U2497">
        <f>VLOOKUP(T2497,[1]tablescore!$B$3:$C$8, 2,FALSE)</f>
        <v>4</v>
      </c>
      <c r="V2497" t="str">
        <f t="shared" si="77"/>
        <v>Low Loyalty</v>
      </c>
      <c r="W2497" t="s">
        <v>97</v>
      </c>
    </row>
    <row r="2498" spans="1:23" x14ac:dyDescent="0.25">
      <c r="A2498">
        <v>2497</v>
      </c>
      <c r="B2498">
        <v>67</v>
      </c>
      <c r="C2498" t="str" cm="1">
        <f t="array" ref="C2498">_xlfn.IFS(
  AND(B2498&gt;=18, B2498&lt;=24), "18-24",
  AND(B2498&gt;=25, B2498&lt;=34), "25-34",
  AND(B2498&gt;=35, B2498&lt;=44), "35-44",
  AND(B2498&gt;=45, B2498&lt;=54), "45-54",
  B2498&gt;=55, "55+"
)</f>
        <v>55+</v>
      </c>
      <c r="D2498" t="s">
        <v>19</v>
      </c>
      <c r="E2498" t="s">
        <v>119</v>
      </c>
      <c r="F2498" t="s">
        <v>69</v>
      </c>
      <c r="G2498">
        <v>79</v>
      </c>
      <c r="H2498" t="s">
        <v>115</v>
      </c>
      <c r="I2498" t="s">
        <v>38</v>
      </c>
      <c r="J2498" t="s">
        <v>139</v>
      </c>
      <c r="K2498" t="s">
        <v>54</v>
      </c>
      <c r="L2498">
        <v>3.2</v>
      </c>
      <c r="M2498" t="s">
        <v>152</v>
      </c>
      <c r="N2498" t="s">
        <v>34</v>
      </c>
      <c r="O2498" t="s">
        <v>76</v>
      </c>
      <c r="P2498" t="s">
        <v>152</v>
      </c>
      <c r="Q2498" t="s">
        <v>152</v>
      </c>
      <c r="R2498">
        <v>37</v>
      </c>
      <c r="S2498" t="s">
        <v>27</v>
      </c>
      <c r="T2498" t="str">
        <f t="shared" si="76"/>
        <v>Daily</v>
      </c>
      <c r="U2498">
        <f>VLOOKUP(T2498,[1]tablescore!$B$3:$C$8, 2,FALSE)</f>
        <v>30</v>
      </c>
      <c r="V2498" t="str">
        <f t="shared" si="77"/>
        <v>Highly Loyal</v>
      </c>
      <c r="W2498" t="s">
        <v>41</v>
      </c>
    </row>
    <row r="2499" spans="1:23" x14ac:dyDescent="0.25">
      <c r="A2499">
        <v>2498</v>
      </c>
      <c r="B2499">
        <v>35</v>
      </c>
      <c r="C2499" t="str" cm="1">
        <f t="array" ref="C2499">_xlfn.IFS(
  AND(B2499&gt;=18, B2499&lt;=24), "18-24",
  AND(B2499&gt;=25, B2499&lt;=34), "25-34",
  AND(B2499&gt;=35, B2499&lt;=44), "35-44",
  AND(B2499&gt;=45, B2499&lt;=54), "45-54",
  B2499&gt;=55, "55+"
)</f>
        <v>35-44</v>
      </c>
      <c r="D2499" t="s">
        <v>19</v>
      </c>
      <c r="E2499" t="s">
        <v>133</v>
      </c>
      <c r="F2499" t="s">
        <v>69</v>
      </c>
      <c r="G2499">
        <v>40</v>
      </c>
      <c r="H2499" t="s">
        <v>112</v>
      </c>
      <c r="I2499" t="s">
        <v>45</v>
      </c>
      <c r="J2499" t="s">
        <v>84</v>
      </c>
      <c r="K2499" t="s">
        <v>54</v>
      </c>
      <c r="L2499">
        <v>4.2</v>
      </c>
      <c r="M2499" t="s">
        <v>152</v>
      </c>
      <c r="N2499" t="s">
        <v>34</v>
      </c>
      <c r="O2499" t="s">
        <v>55</v>
      </c>
      <c r="P2499" t="s">
        <v>152</v>
      </c>
      <c r="Q2499" t="s">
        <v>152</v>
      </c>
      <c r="R2499">
        <v>28</v>
      </c>
      <c r="S2499" t="s">
        <v>34</v>
      </c>
      <c r="T2499" t="str">
        <f t="shared" ref="T2499:T2562" si="78">IF(TRIM(W2499)="Every 3 months","Quarterly",IF(TRIM(W2499)="Fortnightly","2-week",IF(TRIM(W2499)="Bi-Weekly","2-week",IF(TRIM(W2499)="Weekly","Daily",IF(TRIM(W2499)="Monthly","Month",TRIM(W2499))))))</f>
        <v>Annually</v>
      </c>
      <c r="U2499">
        <f>VLOOKUP(T2499,[1]tablescore!$B$3:$C$8, 2,FALSE)</f>
        <v>1</v>
      </c>
      <c r="V2499" t="str">
        <f t="shared" ref="V2499:V2562" si="79">_xlfn.IFS(U2499&gt;=30, "Highly Loyal", U2499&gt;=26, "Loyal", U2499&gt;=12, "Moderate", U2499&lt;5, "Low Loyalty")</f>
        <v>Low Loyalty</v>
      </c>
      <c r="W2499" t="s">
        <v>50</v>
      </c>
    </row>
    <row r="2500" spans="1:23" x14ac:dyDescent="0.25">
      <c r="A2500">
        <v>2499</v>
      </c>
      <c r="B2500">
        <v>18</v>
      </c>
      <c r="C2500" t="str" cm="1">
        <f t="array" ref="C2500">_xlfn.IFS(
  AND(B2500&gt;=18, B2500&lt;=24), "18-24",
  AND(B2500&gt;=25, B2500&lt;=34), "25-34",
  AND(B2500&gt;=35, B2500&lt;=44), "35-44",
  AND(B2500&gt;=45, B2500&lt;=54), "45-54",
  B2500&gt;=55, "55+"
)</f>
        <v>18-24</v>
      </c>
      <c r="D2500" t="s">
        <v>19</v>
      </c>
      <c r="E2500" t="s">
        <v>64</v>
      </c>
      <c r="F2500" t="s">
        <v>65</v>
      </c>
      <c r="G2500">
        <v>39</v>
      </c>
      <c r="H2500" t="s">
        <v>37</v>
      </c>
      <c r="I2500" t="s">
        <v>38</v>
      </c>
      <c r="J2500" t="s">
        <v>96</v>
      </c>
      <c r="K2500" t="s">
        <v>58</v>
      </c>
      <c r="L2500">
        <v>2.6</v>
      </c>
      <c r="M2500" t="s">
        <v>152</v>
      </c>
      <c r="N2500" t="s">
        <v>35</v>
      </c>
      <c r="O2500" t="s">
        <v>47</v>
      </c>
      <c r="P2500" t="s">
        <v>152</v>
      </c>
      <c r="Q2500" t="s">
        <v>152</v>
      </c>
      <c r="R2500">
        <v>38</v>
      </c>
      <c r="S2500" t="s">
        <v>35</v>
      </c>
      <c r="T2500" t="str">
        <f t="shared" si="78"/>
        <v>2-week</v>
      </c>
      <c r="U2500">
        <f>VLOOKUP(T2500,[1]tablescore!$B$3:$C$8, 2,FALSE)</f>
        <v>26</v>
      </c>
      <c r="V2500" t="str">
        <f t="shared" si="79"/>
        <v>Loyal</v>
      </c>
      <c r="W2500" t="s">
        <v>30</v>
      </c>
    </row>
    <row r="2501" spans="1:23" x14ac:dyDescent="0.25">
      <c r="A2501">
        <v>2500</v>
      </c>
      <c r="B2501">
        <v>52</v>
      </c>
      <c r="C2501" t="str" cm="1">
        <f t="array" ref="C2501">_xlfn.IFS(
  AND(B2501&gt;=18, B2501&lt;=24), "18-24",
  AND(B2501&gt;=25, B2501&lt;=34), "25-34",
  AND(B2501&gt;=35, B2501&lt;=44), "35-44",
  AND(B2501&gt;=45, B2501&lt;=54), "45-54",
  B2501&gt;=55, "55+"
)</f>
        <v>45-54</v>
      </c>
      <c r="D2501" t="s">
        <v>19</v>
      </c>
      <c r="E2501" t="s">
        <v>104</v>
      </c>
      <c r="F2501" t="s">
        <v>21</v>
      </c>
      <c r="G2501">
        <v>73</v>
      </c>
      <c r="H2501" t="s">
        <v>62</v>
      </c>
      <c r="I2501" t="s">
        <v>23</v>
      </c>
      <c r="J2501" t="s">
        <v>71</v>
      </c>
      <c r="K2501" t="s">
        <v>54</v>
      </c>
      <c r="L2501">
        <v>3.1</v>
      </c>
      <c r="M2501" t="s">
        <v>152</v>
      </c>
      <c r="N2501" t="s">
        <v>59</v>
      </c>
      <c r="O2501" t="s">
        <v>47</v>
      </c>
      <c r="P2501" t="s">
        <v>152</v>
      </c>
      <c r="Q2501" t="s">
        <v>152</v>
      </c>
      <c r="R2501">
        <v>2</v>
      </c>
      <c r="S2501" t="s">
        <v>35</v>
      </c>
      <c r="T2501" t="str">
        <f t="shared" si="78"/>
        <v>Quarterly</v>
      </c>
      <c r="U2501">
        <f>VLOOKUP(T2501,[1]tablescore!$B$3:$C$8, 2,FALSE)</f>
        <v>4</v>
      </c>
      <c r="V2501" t="str">
        <f t="shared" si="79"/>
        <v>Low Loyalty</v>
      </c>
      <c r="W2501" t="s">
        <v>60</v>
      </c>
    </row>
    <row r="2502" spans="1:23" x14ac:dyDescent="0.25">
      <c r="A2502">
        <v>2501</v>
      </c>
      <c r="B2502">
        <v>59</v>
      </c>
      <c r="C2502" t="str" cm="1">
        <f t="array" ref="C2502">_xlfn.IFS(
  AND(B2502&gt;=18, B2502&lt;=24), "18-24",
  AND(B2502&gt;=25, B2502&lt;=34), "25-34",
  AND(B2502&gt;=35, B2502&lt;=44), "35-44",
  AND(B2502&gt;=45, B2502&lt;=54), "45-54",
  B2502&gt;=55, "55+"
)</f>
        <v>55+</v>
      </c>
      <c r="D2502" t="s">
        <v>19</v>
      </c>
      <c r="E2502" t="s">
        <v>127</v>
      </c>
      <c r="F2502" t="s">
        <v>69</v>
      </c>
      <c r="G2502">
        <v>84</v>
      </c>
      <c r="H2502" t="s">
        <v>37</v>
      </c>
      <c r="I2502" t="s">
        <v>45</v>
      </c>
      <c r="J2502" t="s">
        <v>84</v>
      </c>
      <c r="K2502" t="s">
        <v>58</v>
      </c>
      <c r="L2502">
        <v>2.9</v>
      </c>
      <c r="M2502" t="s">
        <v>152</v>
      </c>
      <c r="N2502" t="s">
        <v>27</v>
      </c>
      <c r="O2502" t="s">
        <v>76</v>
      </c>
      <c r="P2502" t="s">
        <v>152</v>
      </c>
      <c r="Q2502" t="s">
        <v>152</v>
      </c>
      <c r="R2502">
        <v>32</v>
      </c>
      <c r="S2502" t="s">
        <v>35</v>
      </c>
      <c r="T2502" t="str">
        <f t="shared" si="78"/>
        <v>2-week</v>
      </c>
      <c r="U2502">
        <f>VLOOKUP(T2502,[1]tablescore!$B$3:$C$8, 2,FALSE)</f>
        <v>26</v>
      </c>
      <c r="V2502" t="str">
        <f t="shared" si="79"/>
        <v>Loyal</v>
      </c>
      <c r="W2502" t="s">
        <v>77</v>
      </c>
    </row>
    <row r="2503" spans="1:23" x14ac:dyDescent="0.25">
      <c r="A2503">
        <v>2502</v>
      </c>
      <c r="B2503">
        <v>49</v>
      </c>
      <c r="C2503" t="str" cm="1">
        <f t="array" ref="C2503">_xlfn.IFS(
  AND(B2503&gt;=18, B2503&lt;=24), "18-24",
  AND(B2503&gt;=25, B2503&lt;=34), "25-34",
  AND(B2503&gt;=35, B2503&lt;=44), "35-44",
  AND(B2503&gt;=45, B2503&lt;=54), "45-54",
  B2503&gt;=55, "55+"
)</f>
        <v>45-54</v>
      </c>
      <c r="D2503" t="s">
        <v>19</v>
      </c>
      <c r="E2503" t="s">
        <v>61</v>
      </c>
      <c r="F2503" t="s">
        <v>21</v>
      </c>
      <c r="G2503">
        <v>94</v>
      </c>
      <c r="H2503" t="s">
        <v>66</v>
      </c>
      <c r="I2503" t="s">
        <v>45</v>
      </c>
      <c r="J2503" t="s">
        <v>84</v>
      </c>
      <c r="K2503" t="s">
        <v>58</v>
      </c>
      <c r="L2503">
        <v>4.5999999999999996</v>
      </c>
      <c r="M2503" t="s">
        <v>152</v>
      </c>
      <c r="N2503" t="s">
        <v>35</v>
      </c>
      <c r="O2503" t="s">
        <v>40</v>
      </c>
      <c r="P2503" t="s">
        <v>152</v>
      </c>
      <c r="Q2503" t="s">
        <v>152</v>
      </c>
      <c r="R2503">
        <v>30</v>
      </c>
      <c r="S2503" t="s">
        <v>29</v>
      </c>
      <c r="T2503" t="str">
        <f t="shared" si="78"/>
        <v>2-week</v>
      </c>
      <c r="U2503">
        <f>VLOOKUP(T2503,[1]tablescore!$B$3:$C$8, 2,FALSE)</f>
        <v>26</v>
      </c>
      <c r="V2503" t="str">
        <f t="shared" si="79"/>
        <v>Loyal</v>
      </c>
      <c r="W2503" t="s">
        <v>77</v>
      </c>
    </row>
    <row r="2504" spans="1:23" x14ac:dyDescent="0.25">
      <c r="A2504">
        <v>2503</v>
      </c>
      <c r="B2504">
        <v>46</v>
      </c>
      <c r="C2504" t="str" cm="1">
        <f t="array" ref="C2504">_xlfn.IFS(
  AND(B2504&gt;=18, B2504&lt;=24), "18-24",
  AND(B2504&gt;=25, B2504&lt;=34), "25-34",
  AND(B2504&gt;=35, B2504&lt;=44), "35-44",
  AND(B2504&gt;=45, B2504&lt;=54), "45-54",
  B2504&gt;=55, "55+"
)</f>
        <v>45-54</v>
      </c>
      <c r="D2504" t="s">
        <v>19</v>
      </c>
      <c r="E2504" t="s">
        <v>87</v>
      </c>
      <c r="F2504" t="s">
        <v>21</v>
      </c>
      <c r="G2504">
        <v>47</v>
      </c>
      <c r="H2504" t="s">
        <v>144</v>
      </c>
      <c r="I2504" t="s">
        <v>23</v>
      </c>
      <c r="J2504" t="s">
        <v>71</v>
      </c>
      <c r="K2504" t="s">
        <v>39</v>
      </c>
      <c r="L2504">
        <v>4.0999999999999996</v>
      </c>
      <c r="M2504" t="s">
        <v>152</v>
      </c>
      <c r="N2504" t="s">
        <v>35</v>
      </c>
      <c r="O2504" t="s">
        <v>55</v>
      </c>
      <c r="P2504" t="s">
        <v>152</v>
      </c>
      <c r="Q2504" t="s">
        <v>152</v>
      </c>
      <c r="R2504">
        <v>17</v>
      </c>
      <c r="S2504" t="s">
        <v>46</v>
      </c>
      <c r="T2504" t="str">
        <f t="shared" si="78"/>
        <v>Quarterly</v>
      </c>
      <c r="U2504">
        <f>VLOOKUP(T2504,[1]tablescore!$B$3:$C$8, 2,FALSE)</f>
        <v>4</v>
      </c>
      <c r="V2504" t="str">
        <f t="shared" si="79"/>
        <v>Low Loyalty</v>
      </c>
      <c r="W2504" t="s">
        <v>97</v>
      </c>
    </row>
    <row r="2505" spans="1:23" x14ac:dyDescent="0.25">
      <c r="A2505">
        <v>2504</v>
      </c>
      <c r="B2505">
        <v>69</v>
      </c>
      <c r="C2505" t="str" cm="1">
        <f t="array" ref="C2505">_xlfn.IFS(
  AND(B2505&gt;=18, B2505&lt;=24), "18-24",
  AND(B2505&gt;=25, B2505&lt;=34), "25-34",
  AND(B2505&gt;=35, B2505&lt;=44), "35-44",
  AND(B2505&gt;=45, B2505&lt;=54), "45-54",
  B2505&gt;=55, "55+"
)</f>
        <v>55+</v>
      </c>
      <c r="D2505" t="s">
        <v>19</v>
      </c>
      <c r="E2505" t="s">
        <v>132</v>
      </c>
      <c r="F2505" t="s">
        <v>43</v>
      </c>
      <c r="G2505">
        <v>77</v>
      </c>
      <c r="H2505" t="s">
        <v>124</v>
      </c>
      <c r="I2505" t="s">
        <v>45</v>
      </c>
      <c r="J2505" t="s">
        <v>84</v>
      </c>
      <c r="K2505" t="s">
        <v>54</v>
      </c>
      <c r="L2505">
        <v>2.5</v>
      </c>
      <c r="M2505" t="s">
        <v>152</v>
      </c>
      <c r="N2505" t="s">
        <v>46</v>
      </c>
      <c r="O2505" t="s">
        <v>76</v>
      </c>
      <c r="P2505" t="s">
        <v>152</v>
      </c>
      <c r="Q2505" t="s">
        <v>152</v>
      </c>
      <c r="R2505">
        <v>5</v>
      </c>
      <c r="S2505" t="s">
        <v>59</v>
      </c>
      <c r="T2505" t="str">
        <f t="shared" si="78"/>
        <v>2-week</v>
      </c>
      <c r="U2505">
        <f>VLOOKUP(T2505,[1]tablescore!$B$3:$C$8, 2,FALSE)</f>
        <v>26</v>
      </c>
      <c r="V2505" t="str">
        <f t="shared" si="79"/>
        <v>Loyal</v>
      </c>
      <c r="W2505" t="s">
        <v>77</v>
      </c>
    </row>
    <row r="2506" spans="1:23" x14ac:dyDescent="0.25">
      <c r="A2506">
        <v>2505</v>
      </c>
      <c r="B2506">
        <v>56</v>
      </c>
      <c r="C2506" t="str" cm="1">
        <f t="array" ref="C2506">_xlfn.IFS(
  AND(B2506&gt;=18, B2506&lt;=24), "18-24",
  AND(B2506&gt;=25, B2506&lt;=34), "25-34",
  AND(B2506&gt;=35, B2506&lt;=44), "35-44",
  AND(B2506&gt;=45, B2506&lt;=54), "45-54",
  B2506&gt;=55, "55+"
)</f>
        <v>55+</v>
      </c>
      <c r="D2506" t="s">
        <v>19</v>
      </c>
      <c r="E2506" t="s">
        <v>61</v>
      </c>
      <c r="F2506" t="s">
        <v>21</v>
      </c>
      <c r="G2506">
        <v>94</v>
      </c>
      <c r="H2506" t="s">
        <v>44</v>
      </c>
      <c r="I2506" t="s">
        <v>45</v>
      </c>
      <c r="J2506" t="s">
        <v>49</v>
      </c>
      <c r="K2506" t="s">
        <v>25</v>
      </c>
      <c r="L2506">
        <v>4</v>
      </c>
      <c r="M2506" t="s">
        <v>152</v>
      </c>
      <c r="N2506" t="s">
        <v>27</v>
      </c>
      <c r="O2506" t="s">
        <v>76</v>
      </c>
      <c r="P2506" t="s">
        <v>152</v>
      </c>
      <c r="Q2506" t="s">
        <v>152</v>
      </c>
      <c r="R2506">
        <v>31</v>
      </c>
      <c r="S2506" t="s">
        <v>35</v>
      </c>
      <c r="T2506" t="str">
        <f t="shared" si="78"/>
        <v>2-week</v>
      </c>
      <c r="U2506">
        <f>VLOOKUP(T2506,[1]tablescore!$B$3:$C$8, 2,FALSE)</f>
        <v>26</v>
      </c>
      <c r="V2506" t="str">
        <f t="shared" si="79"/>
        <v>Loyal</v>
      </c>
      <c r="W2506" t="s">
        <v>77</v>
      </c>
    </row>
    <row r="2507" spans="1:23" x14ac:dyDescent="0.25">
      <c r="A2507">
        <v>2506</v>
      </c>
      <c r="B2507">
        <v>27</v>
      </c>
      <c r="C2507" t="str" cm="1">
        <f t="array" ref="C2507">_xlfn.IFS(
  AND(B2507&gt;=18, B2507&lt;=24), "18-24",
  AND(B2507&gt;=25, B2507&lt;=34), "25-34",
  AND(B2507&gt;=35, B2507&lt;=44), "35-44",
  AND(B2507&gt;=45, B2507&lt;=54), "45-54",
  B2507&gt;=55, "55+"
)</f>
        <v>25-34</v>
      </c>
      <c r="D2507" t="s">
        <v>19</v>
      </c>
      <c r="E2507" t="s">
        <v>68</v>
      </c>
      <c r="F2507" t="s">
        <v>69</v>
      </c>
      <c r="G2507">
        <v>75</v>
      </c>
      <c r="H2507" t="s">
        <v>115</v>
      </c>
      <c r="I2507" t="s">
        <v>45</v>
      </c>
      <c r="J2507" t="s">
        <v>109</v>
      </c>
      <c r="K2507" t="s">
        <v>54</v>
      </c>
      <c r="L2507">
        <v>3.5</v>
      </c>
      <c r="M2507" t="s">
        <v>152</v>
      </c>
      <c r="N2507" t="s">
        <v>46</v>
      </c>
      <c r="O2507" t="s">
        <v>28</v>
      </c>
      <c r="P2507" t="s">
        <v>152</v>
      </c>
      <c r="Q2507" t="s">
        <v>152</v>
      </c>
      <c r="R2507">
        <v>43</v>
      </c>
      <c r="S2507" t="s">
        <v>46</v>
      </c>
      <c r="T2507" t="str">
        <f t="shared" si="78"/>
        <v>Quarterly</v>
      </c>
      <c r="U2507">
        <f>VLOOKUP(T2507,[1]tablescore!$B$3:$C$8, 2,FALSE)</f>
        <v>4</v>
      </c>
      <c r="V2507" t="str">
        <f t="shared" si="79"/>
        <v>Low Loyalty</v>
      </c>
      <c r="W2507" t="s">
        <v>60</v>
      </c>
    </row>
    <row r="2508" spans="1:23" x14ac:dyDescent="0.25">
      <c r="A2508">
        <v>2507</v>
      </c>
      <c r="B2508">
        <v>57</v>
      </c>
      <c r="C2508" t="str" cm="1">
        <f t="array" ref="C2508">_xlfn.IFS(
  AND(B2508&gt;=18, B2508&lt;=24), "18-24",
  AND(B2508&gt;=25, B2508&lt;=34), "25-34",
  AND(B2508&gt;=35, B2508&lt;=44), "35-44",
  AND(B2508&gt;=45, B2508&lt;=54), "45-54",
  B2508&gt;=55, "55+"
)</f>
        <v>55+</v>
      </c>
      <c r="D2508" t="s">
        <v>19</v>
      </c>
      <c r="E2508" t="s">
        <v>82</v>
      </c>
      <c r="F2508" t="s">
        <v>21</v>
      </c>
      <c r="G2508">
        <v>82</v>
      </c>
      <c r="H2508" t="s">
        <v>85</v>
      </c>
      <c r="I2508" t="s">
        <v>92</v>
      </c>
      <c r="J2508" t="s">
        <v>121</v>
      </c>
      <c r="K2508" t="s">
        <v>39</v>
      </c>
      <c r="L2508">
        <v>4.4000000000000004</v>
      </c>
      <c r="M2508" t="s">
        <v>152</v>
      </c>
      <c r="N2508" t="s">
        <v>59</v>
      </c>
      <c r="O2508" t="s">
        <v>40</v>
      </c>
      <c r="P2508" t="s">
        <v>152</v>
      </c>
      <c r="Q2508" t="s">
        <v>152</v>
      </c>
      <c r="R2508">
        <v>19</v>
      </c>
      <c r="S2508" t="s">
        <v>29</v>
      </c>
      <c r="T2508" t="str">
        <f t="shared" si="78"/>
        <v>Annually</v>
      </c>
      <c r="U2508">
        <f>VLOOKUP(T2508,[1]tablescore!$B$3:$C$8, 2,FALSE)</f>
        <v>1</v>
      </c>
      <c r="V2508" t="str">
        <f t="shared" si="79"/>
        <v>Low Loyalty</v>
      </c>
      <c r="W2508" t="s">
        <v>50</v>
      </c>
    </row>
    <row r="2509" spans="1:23" x14ac:dyDescent="0.25">
      <c r="A2509">
        <v>2508</v>
      </c>
      <c r="B2509">
        <v>58</v>
      </c>
      <c r="C2509" t="str" cm="1">
        <f t="array" ref="C2509">_xlfn.IFS(
  AND(B2509&gt;=18, B2509&lt;=24), "18-24",
  AND(B2509&gt;=25, B2509&lt;=34), "25-34",
  AND(B2509&gt;=35, B2509&lt;=44), "35-44",
  AND(B2509&gt;=45, B2509&lt;=54), "45-54",
  B2509&gt;=55, "55+"
)</f>
        <v>55+</v>
      </c>
      <c r="D2509" t="s">
        <v>19</v>
      </c>
      <c r="E2509" t="s">
        <v>73</v>
      </c>
      <c r="F2509" t="s">
        <v>43</v>
      </c>
      <c r="G2509">
        <v>36</v>
      </c>
      <c r="H2509" t="s">
        <v>62</v>
      </c>
      <c r="I2509" t="s">
        <v>45</v>
      </c>
      <c r="J2509" t="s">
        <v>109</v>
      </c>
      <c r="K2509" t="s">
        <v>58</v>
      </c>
      <c r="L2509">
        <v>2.9</v>
      </c>
      <c r="M2509" t="s">
        <v>152</v>
      </c>
      <c r="N2509" t="s">
        <v>46</v>
      </c>
      <c r="O2509" t="s">
        <v>76</v>
      </c>
      <c r="P2509" t="s">
        <v>152</v>
      </c>
      <c r="Q2509" t="s">
        <v>152</v>
      </c>
      <c r="R2509">
        <v>32</v>
      </c>
      <c r="S2509" t="s">
        <v>27</v>
      </c>
      <c r="T2509" t="str">
        <f t="shared" si="78"/>
        <v>Quarterly</v>
      </c>
      <c r="U2509">
        <f>VLOOKUP(T2509,[1]tablescore!$B$3:$C$8, 2,FALSE)</f>
        <v>4</v>
      </c>
      <c r="V2509" t="str">
        <f t="shared" si="79"/>
        <v>Low Loyalty</v>
      </c>
      <c r="W2509" t="s">
        <v>97</v>
      </c>
    </row>
    <row r="2510" spans="1:23" x14ac:dyDescent="0.25">
      <c r="A2510">
        <v>2509</v>
      </c>
      <c r="B2510">
        <v>23</v>
      </c>
      <c r="C2510" t="str" cm="1">
        <f t="array" ref="C2510">_xlfn.IFS(
  AND(B2510&gt;=18, B2510&lt;=24), "18-24",
  AND(B2510&gt;=25, B2510&lt;=34), "25-34",
  AND(B2510&gt;=35, B2510&lt;=44), "35-44",
  AND(B2510&gt;=45, B2510&lt;=54), "45-54",
  B2510&gt;=55, "55+"
)</f>
        <v>18-24</v>
      </c>
      <c r="D2510" t="s">
        <v>19</v>
      </c>
      <c r="E2510" t="s">
        <v>51</v>
      </c>
      <c r="F2510" t="s">
        <v>43</v>
      </c>
      <c r="G2510">
        <v>90</v>
      </c>
      <c r="H2510" t="s">
        <v>99</v>
      </c>
      <c r="I2510" t="s">
        <v>92</v>
      </c>
      <c r="J2510" t="s">
        <v>129</v>
      </c>
      <c r="K2510" t="s">
        <v>39</v>
      </c>
      <c r="L2510">
        <v>3.1</v>
      </c>
      <c r="M2510" t="s">
        <v>152</v>
      </c>
      <c r="N2510" t="s">
        <v>35</v>
      </c>
      <c r="O2510" t="s">
        <v>72</v>
      </c>
      <c r="P2510" t="s">
        <v>152</v>
      </c>
      <c r="Q2510" t="s">
        <v>152</v>
      </c>
      <c r="R2510">
        <v>5</v>
      </c>
      <c r="S2510" t="s">
        <v>59</v>
      </c>
      <c r="T2510" t="str">
        <f t="shared" si="78"/>
        <v>2-week</v>
      </c>
      <c r="U2510">
        <f>VLOOKUP(T2510,[1]tablescore!$B$3:$C$8, 2,FALSE)</f>
        <v>26</v>
      </c>
      <c r="V2510" t="str">
        <f t="shared" si="79"/>
        <v>Loyal</v>
      </c>
      <c r="W2510" t="s">
        <v>77</v>
      </c>
    </row>
    <row r="2511" spans="1:23" x14ac:dyDescent="0.25">
      <c r="A2511">
        <v>2510</v>
      </c>
      <c r="B2511">
        <v>19</v>
      </c>
      <c r="C2511" t="str" cm="1">
        <f t="array" ref="C2511">_xlfn.IFS(
  AND(B2511&gt;=18, B2511&lt;=24), "18-24",
  AND(B2511&gt;=25, B2511&lt;=34), "25-34",
  AND(B2511&gt;=35, B2511&lt;=44), "35-44",
  AND(B2511&gt;=45, B2511&lt;=54), "45-54",
  B2511&gt;=55, "55+"
)</f>
        <v>18-24</v>
      </c>
      <c r="D2511" t="s">
        <v>19</v>
      </c>
      <c r="E2511" t="s">
        <v>131</v>
      </c>
      <c r="F2511" t="s">
        <v>21</v>
      </c>
      <c r="G2511">
        <v>48</v>
      </c>
      <c r="H2511" t="s">
        <v>140</v>
      </c>
      <c r="I2511" t="s">
        <v>45</v>
      </c>
      <c r="J2511" t="s">
        <v>94</v>
      </c>
      <c r="K2511" t="s">
        <v>39</v>
      </c>
      <c r="L2511">
        <v>4.4000000000000004</v>
      </c>
      <c r="M2511" t="s">
        <v>152</v>
      </c>
      <c r="N2511" t="s">
        <v>46</v>
      </c>
      <c r="O2511" t="s">
        <v>40</v>
      </c>
      <c r="P2511" t="s">
        <v>152</v>
      </c>
      <c r="Q2511" t="s">
        <v>152</v>
      </c>
      <c r="R2511">
        <v>9</v>
      </c>
      <c r="S2511" t="s">
        <v>34</v>
      </c>
      <c r="T2511" t="str">
        <f t="shared" si="78"/>
        <v>Quarterly</v>
      </c>
      <c r="U2511">
        <f>VLOOKUP(T2511,[1]tablescore!$B$3:$C$8, 2,FALSE)</f>
        <v>4</v>
      </c>
      <c r="V2511" t="str">
        <f t="shared" si="79"/>
        <v>Low Loyalty</v>
      </c>
      <c r="W2511" t="s">
        <v>60</v>
      </c>
    </row>
    <row r="2512" spans="1:23" x14ac:dyDescent="0.25">
      <c r="A2512">
        <v>2511</v>
      </c>
      <c r="B2512">
        <v>40</v>
      </c>
      <c r="C2512" t="str" cm="1">
        <f t="array" ref="C2512">_xlfn.IFS(
  AND(B2512&gt;=18, B2512&lt;=24), "18-24",
  AND(B2512&gt;=25, B2512&lt;=34), "25-34",
  AND(B2512&gt;=35, B2512&lt;=44), "35-44",
  AND(B2512&gt;=45, B2512&lt;=54), "45-54",
  B2512&gt;=55, "55+"
)</f>
        <v>35-44</v>
      </c>
      <c r="D2512" t="s">
        <v>19</v>
      </c>
      <c r="E2512" t="s">
        <v>102</v>
      </c>
      <c r="F2512" t="s">
        <v>65</v>
      </c>
      <c r="G2512">
        <v>42</v>
      </c>
      <c r="H2512" t="s">
        <v>130</v>
      </c>
      <c r="I2512" t="s">
        <v>23</v>
      </c>
      <c r="J2512" t="s">
        <v>75</v>
      </c>
      <c r="K2512" t="s">
        <v>25</v>
      </c>
      <c r="L2512">
        <v>4.4000000000000004</v>
      </c>
      <c r="M2512" t="s">
        <v>152</v>
      </c>
      <c r="N2512" t="s">
        <v>35</v>
      </c>
      <c r="O2512" t="s">
        <v>55</v>
      </c>
      <c r="P2512" t="s">
        <v>152</v>
      </c>
      <c r="Q2512" t="s">
        <v>152</v>
      </c>
      <c r="R2512">
        <v>48</v>
      </c>
      <c r="S2512" t="s">
        <v>27</v>
      </c>
      <c r="T2512" t="str">
        <f t="shared" si="78"/>
        <v>Daily</v>
      </c>
      <c r="U2512">
        <f>VLOOKUP(T2512,[1]tablescore!$B$3:$C$8, 2,FALSE)</f>
        <v>30</v>
      </c>
      <c r="V2512" t="str">
        <f t="shared" si="79"/>
        <v>Highly Loyal</v>
      </c>
      <c r="W2512" t="s">
        <v>41</v>
      </c>
    </row>
    <row r="2513" spans="1:23" x14ac:dyDescent="0.25">
      <c r="A2513">
        <v>2512</v>
      </c>
      <c r="B2513">
        <v>54</v>
      </c>
      <c r="C2513" t="str" cm="1">
        <f t="array" ref="C2513">_xlfn.IFS(
  AND(B2513&gt;=18, B2513&lt;=24), "18-24",
  AND(B2513&gt;=25, B2513&lt;=34), "25-34",
  AND(B2513&gt;=35, B2513&lt;=44), "35-44",
  AND(B2513&gt;=45, B2513&lt;=54), "45-54",
  B2513&gt;=55, "55+"
)</f>
        <v>45-54</v>
      </c>
      <c r="D2513" t="s">
        <v>19</v>
      </c>
      <c r="E2513" t="s">
        <v>133</v>
      </c>
      <c r="F2513" t="s">
        <v>69</v>
      </c>
      <c r="G2513">
        <v>33</v>
      </c>
      <c r="H2513" t="s">
        <v>144</v>
      </c>
      <c r="I2513" t="s">
        <v>45</v>
      </c>
      <c r="J2513" t="s">
        <v>109</v>
      </c>
      <c r="K2513" t="s">
        <v>54</v>
      </c>
      <c r="L2513">
        <v>2.7</v>
      </c>
      <c r="M2513" t="s">
        <v>152</v>
      </c>
      <c r="N2513" t="s">
        <v>59</v>
      </c>
      <c r="O2513" t="s">
        <v>76</v>
      </c>
      <c r="P2513" t="s">
        <v>152</v>
      </c>
      <c r="Q2513" t="s">
        <v>152</v>
      </c>
      <c r="R2513">
        <v>1</v>
      </c>
      <c r="S2513" t="s">
        <v>46</v>
      </c>
      <c r="T2513" t="str">
        <f t="shared" si="78"/>
        <v>Quarterly</v>
      </c>
      <c r="U2513">
        <f>VLOOKUP(T2513,[1]tablescore!$B$3:$C$8, 2,FALSE)</f>
        <v>4</v>
      </c>
      <c r="V2513" t="str">
        <f t="shared" si="79"/>
        <v>Low Loyalty</v>
      </c>
      <c r="W2513" t="s">
        <v>60</v>
      </c>
    </row>
    <row r="2514" spans="1:23" x14ac:dyDescent="0.25">
      <c r="A2514">
        <v>2513</v>
      </c>
      <c r="B2514">
        <v>50</v>
      </c>
      <c r="C2514" t="str" cm="1">
        <f t="array" ref="C2514">_xlfn.IFS(
  AND(B2514&gt;=18, B2514&lt;=24), "18-24",
  AND(B2514&gt;=25, B2514&lt;=34), "25-34",
  AND(B2514&gt;=35, B2514&lt;=44), "35-44",
  AND(B2514&gt;=45, B2514&lt;=54), "45-54",
  B2514&gt;=55, "55+"
)</f>
        <v>45-54</v>
      </c>
      <c r="D2514" t="s">
        <v>19</v>
      </c>
      <c r="E2514" t="s">
        <v>131</v>
      </c>
      <c r="F2514" t="s">
        <v>21</v>
      </c>
      <c r="G2514">
        <v>63</v>
      </c>
      <c r="H2514" t="s">
        <v>114</v>
      </c>
      <c r="I2514" t="s">
        <v>45</v>
      </c>
      <c r="J2514" t="s">
        <v>96</v>
      </c>
      <c r="K2514" t="s">
        <v>54</v>
      </c>
      <c r="L2514">
        <v>4.9000000000000004</v>
      </c>
      <c r="M2514" t="s">
        <v>152</v>
      </c>
      <c r="N2514" t="s">
        <v>27</v>
      </c>
      <c r="O2514" t="s">
        <v>40</v>
      </c>
      <c r="P2514" t="s">
        <v>152</v>
      </c>
      <c r="Q2514" t="s">
        <v>152</v>
      </c>
      <c r="R2514">
        <v>20</v>
      </c>
      <c r="S2514" t="s">
        <v>27</v>
      </c>
      <c r="T2514" t="str">
        <f t="shared" si="78"/>
        <v>Month</v>
      </c>
      <c r="U2514">
        <f>VLOOKUP(T2514,[1]tablescore!$B$3:$C$8, 2,FALSE)</f>
        <v>12</v>
      </c>
      <c r="V2514" t="str">
        <f t="shared" si="79"/>
        <v>Moderate</v>
      </c>
      <c r="W2514" t="s">
        <v>88</v>
      </c>
    </row>
    <row r="2515" spans="1:23" x14ac:dyDescent="0.25">
      <c r="A2515">
        <v>2514</v>
      </c>
      <c r="B2515">
        <v>69</v>
      </c>
      <c r="C2515" t="str" cm="1">
        <f t="array" ref="C2515">_xlfn.IFS(
  AND(B2515&gt;=18, B2515&lt;=24), "18-24",
  AND(B2515&gt;=25, B2515&lt;=34), "25-34",
  AND(B2515&gt;=35, B2515&lt;=44), "35-44",
  AND(B2515&gt;=45, B2515&lt;=54), "45-54",
  B2515&gt;=55, "55+"
)</f>
        <v>55+</v>
      </c>
      <c r="D2515" t="s">
        <v>19</v>
      </c>
      <c r="E2515" t="s">
        <v>68</v>
      </c>
      <c r="F2515" t="s">
        <v>69</v>
      </c>
      <c r="G2515">
        <v>53</v>
      </c>
      <c r="H2515" t="s">
        <v>140</v>
      </c>
      <c r="I2515" t="s">
        <v>23</v>
      </c>
      <c r="J2515" t="s">
        <v>86</v>
      </c>
      <c r="K2515" t="s">
        <v>25</v>
      </c>
      <c r="L2515">
        <v>3.5</v>
      </c>
      <c r="M2515" t="s">
        <v>152</v>
      </c>
      <c r="N2515" t="s">
        <v>59</v>
      </c>
      <c r="O2515" t="s">
        <v>72</v>
      </c>
      <c r="P2515" t="s">
        <v>152</v>
      </c>
      <c r="Q2515" t="s">
        <v>152</v>
      </c>
      <c r="R2515">
        <v>42</v>
      </c>
      <c r="S2515" t="s">
        <v>35</v>
      </c>
      <c r="T2515" t="str">
        <f t="shared" si="78"/>
        <v>Annually</v>
      </c>
      <c r="U2515">
        <f>VLOOKUP(T2515,[1]tablescore!$B$3:$C$8, 2,FALSE)</f>
        <v>1</v>
      </c>
      <c r="V2515" t="str">
        <f t="shared" si="79"/>
        <v>Low Loyalty</v>
      </c>
      <c r="W2515" t="s">
        <v>50</v>
      </c>
    </row>
    <row r="2516" spans="1:23" x14ac:dyDescent="0.25">
      <c r="A2516">
        <v>2515</v>
      </c>
      <c r="B2516">
        <v>42</v>
      </c>
      <c r="C2516" t="str" cm="1">
        <f t="array" ref="C2516">_xlfn.IFS(
  AND(B2516&gt;=18, B2516&lt;=24), "18-24",
  AND(B2516&gt;=25, B2516&lt;=34), "25-34",
  AND(B2516&gt;=35, B2516&lt;=44), "35-44",
  AND(B2516&gt;=45, B2516&lt;=54), "45-54",
  B2516&gt;=55, "55+"
)</f>
        <v>35-44</v>
      </c>
      <c r="D2516" t="s">
        <v>19</v>
      </c>
      <c r="E2516" t="s">
        <v>125</v>
      </c>
      <c r="F2516" t="s">
        <v>69</v>
      </c>
      <c r="G2516">
        <v>37</v>
      </c>
      <c r="H2516" t="s">
        <v>120</v>
      </c>
      <c r="I2516" t="s">
        <v>23</v>
      </c>
      <c r="J2516" t="s">
        <v>86</v>
      </c>
      <c r="K2516" t="s">
        <v>39</v>
      </c>
      <c r="L2516">
        <v>4.8</v>
      </c>
      <c r="M2516" t="s">
        <v>152</v>
      </c>
      <c r="N2516" t="s">
        <v>59</v>
      </c>
      <c r="O2516" t="s">
        <v>40</v>
      </c>
      <c r="P2516" t="s">
        <v>152</v>
      </c>
      <c r="Q2516" t="s">
        <v>152</v>
      </c>
      <c r="R2516">
        <v>45</v>
      </c>
      <c r="S2516" t="s">
        <v>46</v>
      </c>
      <c r="T2516" t="str">
        <f t="shared" si="78"/>
        <v>2-week</v>
      </c>
      <c r="U2516">
        <f>VLOOKUP(T2516,[1]tablescore!$B$3:$C$8, 2,FALSE)</f>
        <v>26</v>
      </c>
      <c r="V2516" t="str">
        <f t="shared" si="79"/>
        <v>Loyal</v>
      </c>
      <c r="W2516" t="s">
        <v>77</v>
      </c>
    </row>
    <row r="2517" spans="1:23" x14ac:dyDescent="0.25">
      <c r="A2517">
        <v>2516</v>
      </c>
      <c r="B2517">
        <v>37</v>
      </c>
      <c r="C2517" t="str" cm="1">
        <f t="array" ref="C2517">_xlfn.IFS(
  AND(B2517&gt;=18, B2517&lt;=24), "18-24",
  AND(B2517&gt;=25, B2517&lt;=34), "25-34",
  AND(B2517&gt;=35, B2517&lt;=44), "35-44",
  AND(B2517&gt;=45, B2517&lt;=54), "45-54",
  B2517&gt;=55, "55+"
)</f>
        <v>35-44</v>
      </c>
      <c r="D2517" t="s">
        <v>19</v>
      </c>
      <c r="E2517" t="s">
        <v>20</v>
      </c>
      <c r="F2517" t="s">
        <v>21</v>
      </c>
      <c r="G2517">
        <v>92</v>
      </c>
      <c r="H2517" t="s">
        <v>111</v>
      </c>
      <c r="I2517" t="s">
        <v>45</v>
      </c>
      <c r="J2517" t="s">
        <v>147</v>
      </c>
      <c r="K2517" t="s">
        <v>54</v>
      </c>
      <c r="L2517">
        <v>4.2</v>
      </c>
      <c r="M2517" t="s">
        <v>152</v>
      </c>
      <c r="N2517" t="s">
        <v>34</v>
      </c>
      <c r="O2517" t="s">
        <v>72</v>
      </c>
      <c r="P2517" t="s">
        <v>152</v>
      </c>
      <c r="Q2517" t="s">
        <v>152</v>
      </c>
      <c r="R2517">
        <v>41</v>
      </c>
      <c r="S2517" t="s">
        <v>35</v>
      </c>
      <c r="T2517" t="str">
        <f t="shared" si="78"/>
        <v>Month</v>
      </c>
      <c r="U2517">
        <f>VLOOKUP(T2517,[1]tablescore!$B$3:$C$8, 2,FALSE)</f>
        <v>12</v>
      </c>
      <c r="V2517" t="str">
        <f t="shared" si="79"/>
        <v>Moderate</v>
      </c>
      <c r="W2517" t="s">
        <v>88</v>
      </c>
    </row>
    <row r="2518" spans="1:23" x14ac:dyDescent="0.25">
      <c r="A2518">
        <v>2517</v>
      </c>
      <c r="B2518">
        <v>46</v>
      </c>
      <c r="C2518" t="str" cm="1">
        <f t="array" ref="C2518">_xlfn.IFS(
  AND(B2518&gt;=18, B2518&lt;=24), "18-24",
  AND(B2518&gt;=25, B2518&lt;=34), "25-34",
  AND(B2518&gt;=35, B2518&lt;=44), "35-44",
  AND(B2518&gt;=45, B2518&lt;=54), "45-54",
  B2518&gt;=55, "55+"
)</f>
        <v>45-54</v>
      </c>
      <c r="D2518" t="s">
        <v>19</v>
      </c>
      <c r="E2518" t="s">
        <v>61</v>
      </c>
      <c r="F2518" t="s">
        <v>21</v>
      </c>
      <c r="G2518">
        <v>73</v>
      </c>
      <c r="H2518" t="s">
        <v>149</v>
      </c>
      <c r="I2518" t="s">
        <v>92</v>
      </c>
      <c r="J2518" t="s">
        <v>110</v>
      </c>
      <c r="K2518" t="s">
        <v>39</v>
      </c>
      <c r="L2518">
        <v>4.5999999999999996</v>
      </c>
      <c r="M2518" t="s">
        <v>152</v>
      </c>
      <c r="N2518" t="s">
        <v>34</v>
      </c>
      <c r="O2518" t="s">
        <v>55</v>
      </c>
      <c r="P2518" t="s">
        <v>152</v>
      </c>
      <c r="Q2518" t="s">
        <v>152</v>
      </c>
      <c r="R2518">
        <v>36</v>
      </c>
      <c r="S2518" t="s">
        <v>59</v>
      </c>
      <c r="T2518" t="str">
        <f t="shared" si="78"/>
        <v>Quarterly</v>
      </c>
      <c r="U2518">
        <f>VLOOKUP(T2518,[1]tablescore!$B$3:$C$8, 2,FALSE)</f>
        <v>4</v>
      </c>
      <c r="V2518" t="str">
        <f t="shared" si="79"/>
        <v>Low Loyalty</v>
      </c>
      <c r="W2518" t="s">
        <v>60</v>
      </c>
    </row>
    <row r="2519" spans="1:23" x14ac:dyDescent="0.25">
      <c r="A2519">
        <v>2518</v>
      </c>
      <c r="B2519">
        <v>64</v>
      </c>
      <c r="C2519" t="str" cm="1">
        <f t="array" ref="C2519">_xlfn.IFS(
  AND(B2519&gt;=18, B2519&lt;=24), "18-24",
  AND(B2519&gt;=25, B2519&lt;=34), "25-34",
  AND(B2519&gt;=35, B2519&lt;=44), "35-44",
  AND(B2519&gt;=45, B2519&lt;=54), "45-54",
  B2519&gt;=55, "55+"
)</f>
        <v>55+</v>
      </c>
      <c r="D2519" t="s">
        <v>19</v>
      </c>
      <c r="E2519" t="s">
        <v>56</v>
      </c>
      <c r="F2519" t="s">
        <v>21</v>
      </c>
      <c r="G2519">
        <v>38</v>
      </c>
      <c r="H2519" t="s">
        <v>52</v>
      </c>
      <c r="I2519" t="s">
        <v>23</v>
      </c>
      <c r="J2519" t="s">
        <v>121</v>
      </c>
      <c r="K2519" t="s">
        <v>39</v>
      </c>
      <c r="L2519">
        <v>2.9</v>
      </c>
      <c r="M2519" t="s">
        <v>152</v>
      </c>
      <c r="N2519" t="s">
        <v>27</v>
      </c>
      <c r="O2519" t="s">
        <v>55</v>
      </c>
      <c r="P2519" t="s">
        <v>152</v>
      </c>
      <c r="Q2519" t="s">
        <v>152</v>
      </c>
      <c r="R2519">
        <v>10</v>
      </c>
      <c r="S2519" t="s">
        <v>29</v>
      </c>
      <c r="T2519" t="str">
        <f t="shared" si="78"/>
        <v>Annually</v>
      </c>
      <c r="U2519">
        <f>VLOOKUP(T2519,[1]tablescore!$B$3:$C$8, 2,FALSE)</f>
        <v>1</v>
      </c>
      <c r="V2519" t="str">
        <f t="shared" si="79"/>
        <v>Low Loyalty</v>
      </c>
      <c r="W2519" t="s">
        <v>50</v>
      </c>
    </row>
    <row r="2520" spans="1:23" x14ac:dyDescent="0.25">
      <c r="A2520">
        <v>2519</v>
      </c>
      <c r="B2520">
        <v>20</v>
      </c>
      <c r="C2520" t="str" cm="1">
        <f t="array" ref="C2520">_xlfn.IFS(
  AND(B2520&gt;=18, B2520&lt;=24), "18-24",
  AND(B2520&gt;=25, B2520&lt;=34), "25-34",
  AND(B2520&gt;=35, B2520&lt;=44), "35-44",
  AND(B2520&gt;=45, B2520&lt;=54), "45-54",
  B2520&gt;=55, "55+"
)</f>
        <v>18-24</v>
      </c>
      <c r="D2520" t="s">
        <v>19</v>
      </c>
      <c r="E2520" t="s">
        <v>132</v>
      </c>
      <c r="F2520" t="s">
        <v>43</v>
      </c>
      <c r="G2520">
        <v>51</v>
      </c>
      <c r="H2520" t="s">
        <v>32</v>
      </c>
      <c r="I2520" t="s">
        <v>92</v>
      </c>
      <c r="J2520" t="s">
        <v>138</v>
      </c>
      <c r="K2520" t="s">
        <v>58</v>
      </c>
      <c r="L2520">
        <v>4</v>
      </c>
      <c r="M2520" t="s">
        <v>152</v>
      </c>
      <c r="N2520" t="s">
        <v>46</v>
      </c>
      <c r="O2520" t="s">
        <v>76</v>
      </c>
      <c r="P2520" t="s">
        <v>152</v>
      </c>
      <c r="Q2520" t="s">
        <v>152</v>
      </c>
      <c r="R2520">
        <v>31</v>
      </c>
      <c r="S2520" t="s">
        <v>29</v>
      </c>
      <c r="T2520" t="str">
        <f t="shared" si="78"/>
        <v>Annually</v>
      </c>
      <c r="U2520">
        <f>VLOOKUP(T2520,[1]tablescore!$B$3:$C$8, 2,FALSE)</f>
        <v>1</v>
      </c>
      <c r="V2520" t="str">
        <f t="shared" si="79"/>
        <v>Low Loyalty</v>
      </c>
      <c r="W2520" t="s">
        <v>50</v>
      </c>
    </row>
    <row r="2521" spans="1:23" x14ac:dyDescent="0.25">
      <c r="A2521">
        <v>2520</v>
      </c>
      <c r="B2521">
        <v>40</v>
      </c>
      <c r="C2521" t="str" cm="1">
        <f t="array" ref="C2521">_xlfn.IFS(
  AND(B2521&gt;=18, B2521&lt;=24), "18-24",
  AND(B2521&gt;=25, B2521&lt;=34), "25-34",
  AND(B2521&gt;=35, B2521&lt;=44), "35-44",
  AND(B2521&gt;=45, B2521&lt;=54), "45-54",
  B2521&gt;=55, "55+"
)</f>
        <v>35-44</v>
      </c>
      <c r="D2521" t="s">
        <v>19</v>
      </c>
      <c r="E2521" t="s">
        <v>102</v>
      </c>
      <c r="F2521" t="s">
        <v>65</v>
      </c>
      <c r="G2521">
        <v>90</v>
      </c>
      <c r="H2521" t="s">
        <v>151</v>
      </c>
      <c r="I2521" t="s">
        <v>23</v>
      </c>
      <c r="J2521" t="s">
        <v>147</v>
      </c>
      <c r="K2521" t="s">
        <v>39</v>
      </c>
      <c r="L2521">
        <v>4.9000000000000004</v>
      </c>
      <c r="M2521" t="s">
        <v>152</v>
      </c>
      <c r="N2521" t="s">
        <v>27</v>
      </c>
      <c r="O2521" t="s">
        <v>55</v>
      </c>
      <c r="P2521" t="s">
        <v>152</v>
      </c>
      <c r="Q2521" t="s">
        <v>152</v>
      </c>
      <c r="R2521">
        <v>21</v>
      </c>
      <c r="S2521" t="s">
        <v>27</v>
      </c>
      <c r="T2521" t="str">
        <f t="shared" si="78"/>
        <v>Quarterly</v>
      </c>
      <c r="U2521">
        <f>VLOOKUP(T2521,[1]tablescore!$B$3:$C$8, 2,FALSE)</f>
        <v>4</v>
      </c>
      <c r="V2521" t="str">
        <f t="shared" si="79"/>
        <v>Low Loyalty</v>
      </c>
      <c r="W2521" t="s">
        <v>60</v>
      </c>
    </row>
    <row r="2522" spans="1:23" x14ac:dyDescent="0.25">
      <c r="A2522">
        <v>2521</v>
      </c>
      <c r="B2522">
        <v>64</v>
      </c>
      <c r="C2522" t="str" cm="1">
        <f t="array" ref="C2522">_xlfn.IFS(
  AND(B2522&gt;=18, B2522&lt;=24), "18-24",
  AND(B2522&gt;=25, B2522&lt;=34), "25-34",
  AND(B2522&gt;=35, B2522&lt;=44), "35-44",
  AND(B2522&gt;=45, B2522&lt;=54), "45-54",
  B2522&gt;=55, "55+"
)</f>
        <v>55+</v>
      </c>
      <c r="D2522" t="s">
        <v>19</v>
      </c>
      <c r="E2522" t="s">
        <v>102</v>
      </c>
      <c r="F2522" t="s">
        <v>65</v>
      </c>
      <c r="G2522">
        <v>56</v>
      </c>
      <c r="H2522" t="s">
        <v>115</v>
      </c>
      <c r="I2522" t="s">
        <v>23</v>
      </c>
      <c r="J2522" t="s">
        <v>147</v>
      </c>
      <c r="K2522" t="s">
        <v>54</v>
      </c>
      <c r="L2522">
        <v>3.1</v>
      </c>
      <c r="M2522" t="s">
        <v>152</v>
      </c>
      <c r="N2522" t="s">
        <v>34</v>
      </c>
      <c r="O2522" t="s">
        <v>47</v>
      </c>
      <c r="P2522" t="s">
        <v>152</v>
      </c>
      <c r="Q2522" t="s">
        <v>152</v>
      </c>
      <c r="R2522">
        <v>16</v>
      </c>
      <c r="S2522" t="s">
        <v>35</v>
      </c>
      <c r="T2522" t="str">
        <f t="shared" si="78"/>
        <v>Quarterly</v>
      </c>
      <c r="U2522">
        <f>VLOOKUP(T2522,[1]tablescore!$B$3:$C$8, 2,FALSE)</f>
        <v>4</v>
      </c>
      <c r="V2522" t="str">
        <f t="shared" si="79"/>
        <v>Low Loyalty</v>
      </c>
      <c r="W2522" t="s">
        <v>97</v>
      </c>
    </row>
    <row r="2523" spans="1:23" x14ac:dyDescent="0.25">
      <c r="A2523">
        <v>2522</v>
      </c>
      <c r="B2523">
        <v>29</v>
      </c>
      <c r="C2523" t="str" cm="1">
        <f t="array" ref="C2523">_xlfn.IFS(
  AND(B2523&gt;=18, B2523&lt;=24), "18-24",
  AND(B2523&gt;=25, B2523&lt;=34), "25-34",
  AND(B2523&gt;=35, B2523&lt;=44), "35-44",
  AND(B2523&gt;=45, B2523&lt;=54), "45-54",
  B2523&gt;=55, "55+"
)</f>
        <v>25-34</v>
      </c>
      <c r="D2523" t="s">
        <v>19</v>
      </c>
      <c r="E2523" t="s">
        <v>68</v>
      </c>
      <c r="F2523" t="s">
        <v>69</v>
      </c>
      <c r="G2523">
        <v>33</v>
      </c>
      <c r="H2523" t="s">
        <v>134</v>
      </c>
      <c r="I2523" t="s">
        <v>45</v>
      </c>
      <c r="J2523" t="s">
        <v>147</v>
      </c>
      <c r="K2523" t="s">
        <v>58</v>
      </c>
      <c r="L2523">
        <v>4.4000000000000004</v>
      </c>
      <c r="M2523" t="s">
        <v>152</v>
      </c>
      <c r="N2523" t="s">
        <v>59</v>
      </c>
      <c r="O2523" t="s">
        <v>55</v>
      </c>
      <c r="P2523" t="s">
        <v>152</v>
      </c>
      <c r="Q2523" t="s">
        <v>152</v>
      </c>
      <c r="R2523">
        <v>18</v>
      </c>
      <c r="S2523" t="s">
        <v>46</v>
      </c>
      <c r="T2523" t="str">
        <f t="shared" si="78"/>
        <v>Quarterly</v>
      </c>
      <c r="U2523">
        <f>VLOOKUP(T2523,[1]tablescore!$B$3:$C$8, 2,FALSE)</f>
        <v>4</v>
      </c>
      <c r="V2523" t="str">
        <f t="shared" si="79"/>
        <v>Low Loyalty</v>
      </c>
      <c r="W2523" t="s">
        <v>97</v>
      </c>
    </row>
    <row r="2524" spans="1:23" x14ac:dyDescent="0.25">
      <c r="A2524">
        <v>2523</v>
      </c>
      <c r="B2524">
        <v>20</v>
      </c>
      <c r="C2524" t="str" cm="1">
        <f t="array" ref="C2524">_xlfn.IFS(
  AND(B2524&gt;=18, B2524&lt;=24), "18-24",
  AND(B2524&gt;=25, B2524&lt;=34), "25-34",
  AND(B2524&gt;=35, B2524&lt;=44), "35-44",
  AND(B2524&gt;=45, B2524&lt;=54), "45-54",
  B2524&gt;=55, "55+"
)</f>
        <v>18-24</v>
      </c>
      <c r="D2524" t="s">
        <v>19</v>
      </c>
      <c r="E2524" t="s">
        <v>136</v>
      </c>
      <c r="F2524" t="s">
        <v>69</v>
      </c>
      <c r="G2524">
        <v>53</v>
      </c>
      <c r="H2524" t="s">
        <v>37</v>
      </c>
      <c r="I2524" t="s">
        <v>38</v>
      </c>
      <c r="J2524" t="s">
        <v>79</v>
      </c>
      <c r="K2524" t="s">
        <v>25</v>
      </c>
      <c r="L2524">
        <v>2.5</v>
      </c>
      <c r="M2524" t="s">
        <v>152</v>
      </c>
      <c r="N2524" t="s">
        <v>35</v>
      </c>
      <c r="O2524" t="s">
        <v>72</v>
      </c>
      <c r="P2524" t="s">
        <v>152</v>
      </c>
      <c r="Q2524" t="s">
        <v>152</v>
      </c>
      <c r="R2524">
        <v>20</v>
      </c>
      <c r="S2524" t="s">
        <v>59</v>
      </c>
      <c r="T2524" t="str">
        <f t="shared" si="78"/>
        <v>Daily</v>
      </c>
      <c r="U2524">
        <f>VLOOKUP(T2524,[1]tablescore!$B$3:$C$8, 2,FALSE)</f>
        <v>30</v>
      </c>
      <c r="V2524" t="str">
        <f t="shared" si="79"/>
        <v>Highly Loyal</v>
      </c>
      <c r="W2524" t="s">
        <v>41</v>
      </c>
    </row>
    <row r="2525" spans="1:23" x14ac:dyDescent="0.25">
      <c r="A2525">
        <v>2524</v>
      </c>
      <c r="B2525">
        <v>43</v>
      </c>
      <c r="C2525" t="str" cm="1">
        <f t="array" ref="C2525">_xlfn.IFS(
  AND(B2525&gt;=18, B2525&lt;=24), "18-24",
  AND(B2525&gt;=25, B2525&lt;=34), "25-34",
  AND(B2525&gt;=35, B2525&lt;=44), "35-44",
  AND(B2525&gt;=45, B2525&lt;=54), "45-54",
  B2525&gt;=55, "55+"
)</f>
        <v>35-44</v>
      </c>
      <c r="D2525" t="s">
        <v>19</v>
      </c>
      <c r="E2525" t="s">
        <v>68</v>
      </c>
      <c r="F2525" t="s">
        <v>69</v>
      </c>
      <c r="G2525">
        <v>24</v>
      </c>
      <c r="H2525" t="s">
        <v>137</v>
      </c>
      <c r="I2525" t="s">
        <v>38</v>
      </c>
      <c r="J2525" t="s">
        <v>109</v>
      </c>
      <c r="K2525" t="s">
        <v>39</v>
      </c>
      <c r="L2525">
        <v>3.4</v>
      </c>
      <c r="M2525" t="s">
        <v>152</v>
      </c>
      <c r="N2525" t="s">
        <v>35</v>
      </c>
      <c r="O2525" t="s">
        <v>28</v>
      </c>
      <c r="P2525" t="s">
        <v>152</v>
      </c>
      <c r="Q2525" t="s">
        <v>152</v>
      </c>
      <c r="R2525">
        <v>21</v>
      </c>
      <c r="S2525" t="s">
        <v>34</v>
      </c>
      <c r="T2525" t="str">
        <f t="shared" si="78"/>
        <v>Annually</v>
      </c>
      <c r="U2525">
        <f>VLOOKUP(T2525,[1]tablescore!$B$3:$C$8, 2,FALSE)</f>
        <v>1</v>
      </c>
      <c r="V2525" t="str">
        <f t="shared" si="79"/>
        <v>Low Loyalty</v>
      </c>
      <c r="W2525" t="s">
        <v>50</v>
      </c>
    </row>
    <row r="2526" spans="1:23" x14ac:dyDescent="0.25">
      <c r="A2526">
        <v>2525</v>
      </c>
      <c r="B2526">
        <v>60</v>
      </c>
      <c r="C2526" t="str" cm="1">
        <f t="array" ref="C2526">_xlfn.IFS(
  AND(B2526&gt;=18, B2526&lt;=24), "18-24",
  AND(B2526&gt;=25, B2526&lt;=34), "25-34",
  AND(B2526&gt;=35, B2526&lt;=44), "35-44",
  AND(B2526&gt;=45, B2526&lt;=54), "45-54",
  B2526&gt;=55, "55+"
)</f>
        <v>55+</v>
      </c>
      <c r="D2526" t="s">
        <v>19</v>
      </c>
      <c r="E2526" t="s">
        <v>64</v>
      </c>
      <c r="F2526" t="s">
        <v>65</v>
      </c>
      <c r="G2526">
        <v>59</v>
      </c>
      <c r="H2526" t="s">
        <v>111</v>
      </c>
      <c r="I2526" t="s">
        <v>45</v>
      </c>
      <c r="J2526" t="s">
        <v>75</v>
      </c>
      <c r="K2526" t="s">
        <v>39</v>
      </c>
      <c r="L2526">
        <v>3.7</v>
      </c>
      <c r="M2526" t="s">
        <v>152</v>
      </c>
      <c r="N2526" t="s">
        <v>29</v>
      </c>
      <c r="O2526" t="s">
        <v>28</v>
      </c>
      <c r="P2526" t="s">
        <v>152</v>
      </c>
      <c r="Q2526" t="s">
        <v>152</v>
      </c>
      <c r="R2526">
        <v>23</v>
      </c>
      <c r="S2526" t="s">
        <v>27</v>
      </c>
      <c r="T2526" t="str">
        <f t="shared" si="78"/>
        <v>Quarterly</v>
      </c>
      <c r="U2526">
        <f>VLOOKUP(T2526,[1]tablescore!$B$3:$C$8, 2,FALSE)</f>
        <v>4</v>
      </c>
      <c r="V2526" t="str">
        <f t="shared" si="79"/>
        <v>Low Loyalty</v>
      </c>
      <c r="W2526" t="s">
        <v>60</v>
      </c>
    </row>
    <row r="2527" spans="1:23" x14ac:dyDescent="0.25">
      <c r="A2527">
        <v>2526</v>
      </c>
      <c r="B2527">
        <v>39</v>
      </c>
      <c r="C2527" t="str" cm="1">
        <f t="array" ref="C2527">_xlfn.IFS(
  AND(B2527&gt;=18, B2527&lt;=24), "18-24",
  AND(B2527&gt;=25, B2527&lt;=34), "25-34",
  AND(B2527&gt;=35, B2527&lt;=44), "35-44",
  AND(B2527&gt;=45, B2527&lt;=54), "45-54",
  B2527&gt;=55, "55+"
)</f>
        <v>35-44</v>
      </c>
      <c r="D2527" t="s">
        <v>19</v>
      </c>
      <c r="E2527" t="s">
        <v>31</v>
      </c>
      <c r="F2527" t="s">
        <v>21</v>
      </c>
      <c r="G2527">
        <v>72</v>
      </c>
      <c r="H2527" t="s">
        <v>22</v>
      </c>
      <c r="I2527" t="s">
        <v>45</v>
      </c>
      <c r="J2527" t="s">
        <v>75</v>
      </c>
      <c r="K2527" t="s">
        <v>25</v>
      </c>
      <c r="L2527">
        <v>4.2</v>
      </c>
      <c r="M2527" t="s">
        <v>152</v>
      </c>
      <c r="N2527" t="s">
        <v>46</v>
      </c>
      <c r="O2527" t="s">
        <v>55</v>
      </c>
      <c r="P2527" t="s">
        <v>152</v>
      </c>
      <c r="Q2527" t="s">
        <v>152</v>
      </c>
      <c r="R2527">
        <v>20</v>
      </c>
      <c r="S2527" t="s">
        <v>46</v>
      </c>
      <c r="T2527" t="str">
        <f t="shared" si="78"/>
        <v>Daily</v>
      </c>
      <c r="U2527">
        <f>VLOOKUP(T2527,[1]tablescore!$B$3:$C$8, 2,FALSE)</f>
        <v>30</v>
      </c>
      <c r="V2527" t="str">
        <f t="shared" si="79"/>
        <v>Highly Loyal</v>
      </c>
      <c r="W2527" t="s">
        <v>41</v>
      </c>
    </row>
    <row r="2528" spans="1:23" x14ac:dyDescent="0.25">
      <c r="A2528">
        <v>2527</v>
      </c>
      <c r="B2528">
        <v>47</v>
      </c>
      <c r="C2528" t="str" cm="1">
        <f t="array" ref="C2528">_xlfn.IFS(
  AND(B2528&gt;=18, B2528&lt;=24), "18-24",
  AND(B2528&gt;=25, B2528&lt;=34), "25-34",
  AND(B2528&gt;=35, B2528&lt;=44), "35-44",
  AND(B2528&gt;=45, B2528&lt;=54), "45-54",
  B2528&gt;=55, "55+"
)</f>
        <v>45-54</v>
      </c>
      <c r="D2528" t="s">
        <v>19</v>
      </c>
      <c r="E2528" t="s">
        <v>61</v>
      </c>
      <c r="F2528" t="s">
        <v>21</v>
      </c>
      <c r="G2528">
        <v>28</v>
      </c>
      <c r="H2528" t="s">
        <v>44</v>
      </c>
      <c r="I2528" t="s">
        <v>38</v>
      </c>
      <c r="J2528" t="s">
        <v>100</v>
      </c>
      <c r="K2528" t="s">
        <v>39</v>
      </c>
      <c r="L2528">
        <v>3.4</v>
      </c>
      <c r="M2528" t="s">
        <v>152</v>
      </c>
      <c r="N2528" t="s">
        <v>34</v>
      </c>
      <c r="O2528" t="s">
        <v>28</v>
      </c>
      <c r="P2528" t="s">
        <v>152</v>
      </c>
      <c r="Q2528" t="s">
        <v>152</v>
      </c>
      <c r="R2528">
        <v>30</v>
      </c>
      <c r="S2528" t="s">
        <v>46</v>
      </c>
      <c r="T2528" t="str">
        <f t="shared" si="78"/>
        <v>2-week</v>
      </c>
      <c r="U2528">
        <f>VLOOKUP(T2528,[1]tablescore!$B$3:$C$8, 2,FALSE)</f>
        <v>26</v>
      </c>
      <c r="V2528" t="str">
        <f t="shared" si="79"/>
        <v>Loyal</v>
      </c>
      <c r="W2528" t="s">
        <v>77</v>
      </c>
    </row>
    <row r="2529" spans="1:23" x14ac:dyDescent="0.25">
      <c r="A2529">
        <v>2528</v>
      </c>
      <c r="B2529">
        <v>19</v>
      </c>
      <c r="C2529" t="str" cm="1">
        <f t="array" ref="C2529">_xlfn.IFS(
  AND(B2529&gt;=18, B2529&lt;=24), "18-24",
  AND(B2529&gt;=25, B2529&lt;=34), "25-34",
  AND(B2529&gt;=35, B2529&lt;=44), "35-44",
  AND(B2529&gt;=45, B2529&lt;=54), "45-54",
  B2529&gt;=55, "55+"
)</f>
        <v>18-24</v>
      </c>
      <c r="D2529" t="s">
        <v>19</v>
      </c>
      <c r="E2529" t="s">
        <v>95</v>
      </c>
      <c r="F2529" t="s">
        <v>21</v>
      </c>
      <c r="G2529">
        <v>36</v>
      </c>
      <c r="H2529" t="s">
        <v>115</v>
      </c>
      <c r="I2529" t="s">
        <v>45</v>
      </c>
      <c r="J2529" t="s">
        <v>81</v>
      </c>
      <c r="K2529" t="s">
        <v>58</v>
      </c>
      <c r="L2529">
        <v>3.6</v>
      </c>
      <c r="M2529" t="s">
        <v>152</v>
      </c>
      <c r="N2529" t="s">
        <v>35</v>
      </c>
      <c r="O2529" t="s">
        <v>28</v>
      </c>
      <c r="P2529" t="s">
        <v>152</v>
      </c>
      <c r="Q2529" t="s">
        <v>152</v>
      </c>
      <c r="R2529">
        <v>33</v>
      </c>
      <c r="S2529" t="s">
        <v>34</v>
      </c>
      <c r="T2529" t="str">
        <f t="shared" si="78"/>
        <v>Quarterly</v>
      </c>
      <c r="U2529">
        <f>VLOOKUP(T2529,[1]tablescore!$B$3:$C$8, 2,FALSE)</f>
        <v>4</v>
      </c>
      <c r="V2529" t="str">
        <f t="shared" si="79"/>
        <v>Low Loyalty</v>
      </c>
      <c r="W2529" t="s">
        <v>97</v>
      </c>
    </row>
    <row r="2530" spans="1:23" x14ac:dyDescent="0.25">
      <c r="A2530">
        <v>2529</v>
      </c>
      <c r="B2530">
        <v>52</v>
      </c>
      <c r="C2530" t="str" cm="1">
        <f t="array" ref="C2530">_xlfn.IFS(
  AND(B2530&gt;=18, B2530&lt;=24), "18-24",
  AND(B2530&gt;=25, B2530&lt;=34), "25-34",
  AND(B2530&gt;=35, B2530&lt;=44), "35-44",
  AND(B2530&gt;=45, B2530&lt;=54), "45-54",
  B2530&gt;=55, "55+"
)</f>
        <v>45-54</v>
      </c>
      <c r="D2530" t="s">
        <v>19</v>
      </c>
      <c r="E2530" t="s">
        <v>106</v>
      </c>
      <c r="F2530" t="s">
        <v>69</v>
      </c>
      <c r="G2530">
        <v>47</v>
      </c>
      <c r="H2530" t="s">
        <v>90</v>
      </c>
      <c r="I2530" t="s">
        <v>38</v>
      </c>
      <c r="J2530" t="s">
        <v>100</v>
      </c>
      <c r="K2530" t="s">
        <v>58</v>
      </c>
      <c r="L2530">
        <v>4.7</v>
      </c>
      <c r="M2530" t="s">
        <v>152</v>
      </c>
      <c r="N2530" t="s">
        <v>34</v>
      </c>
      <c r="O2530" t="s">
        <v>72</v>
      </c>
      <c r="P2530" t="s">
        <v>152</v>
      </c>
      <c r="Q2530" t="s">
        <v>152</v>
      </c>
      <c r="R2530">
        <v>31</v>
      </c>
      <c r="S2530" t="s">
        <v>59</v>
      </c>
      <c r="T2530" t="str">
        <f t="shared" si="78"/>
        <v>Month</v>
      </c>
      <c r="U2530">
        <f>VLOOKUP(T2530,[1]tablescore!$B$3:$C$8, 2,FALSE)</f>
        <v>12</v>
      </c>
      <c r="V2530" t="str">
        <f t="shared" si="79"/>
        <v>Moderate</v>
      </c>
      <c r="W2530" t="s">
        <v>88</v>
      </c>
    </row>
    <row r="2531" spans="1:23" x14ac:dyDescent="0.25">
      <c r="A2531">
        <v>2530</v>
      </c>
      <c r="B2531">
        <v>34</v>
      </c>
      <c r="C2531" t="str" cm="1">
        <f t="array" ref="C2531">_xlfn.IFS(
  AND(B2531&gt;=18, B2531&lt;=24), "18-24",
  AND(B2531&gt;=25, B2531&lt;=34), "25-34",
  AND(B2531&gt;=35, B2531&lt;=44), "35-44",
  AND(B2531&gt;=45, B2531&lt;=54), "45-54",
  B2531&gt;=55, "55+"
)</f>
        <v>25-34</v>
      </c>
      <c r="D2531" t="s">
        <v>19</v>
      </c>
      <c r="E2531" t="s">
        <v>127</v>
      </c>
      <c r="F2531" t="s">
        <v>69</v>
      </c>
      <c r="G2531">
        <v>62</v>
      </c>
      <c r="H2531" t="s">
        <v>122</v>
      </c>
      <c r="I2531" t="s">
        <v>45</v>
      </c>
      <c r="J2531" t="s">
        <v>147</v>
      </c>
      <c r="K2531" t="s">
        <v>39</v>
      </c>
      <c r="L2531">
        <v>4.7</v>
      </c>
      <c r="M2531" t="s">
        <v>152</v>
      </c>
      <c r="N2531" t="s">
        <v>35</v>
      </c>
      <c r="O2531" t="s">
        <v>47</v>
      </c>
      <c r="P2531" t="s">
        <v>152</v>
      </c>
      <c r="Q2531" t="s">
        <v>152</v>
      </c>
      <c r="R2531">
        <v>48</v>
      </c>
      <c r="S2531" t="s">
        <v>34</v>
      </c>
      <c r="T2531" t="str">
        <f t="shared" si="78"/>
        <v>Month</v>
      </c>
      <c r="U2531">
        <f>VLOOKUP(T2531,[1]tablescore!$B$3:$C$8, 2,FALSE)</f>
        <v>12</v>
      </c>
      <c r="V2531" t="str">
        <f t="shared" si="79"/>
        <v>Moderate</v>
      </c>
      <c r="W2531" t="s">
        <v>88</v>
      </c>
    </row>
    <row r="2532" spans="1:23" x14ac:dyDescent="0.25">
      <c r="A2532">
        <v>2531</v>
      </c>
      <c r="B2532">
        <v>25</v>
      </c>
      <c r="C2532" t="str" cm="1">
        <f t="array" ref="C2532">_xlfn.IFS(
  AND(B2532&gt;=18, B2532&lt;=24), "18-24",
  AND(B2532&gt;=25, B2532&lt;=34), "25-34",
  AND(B2532&gt;=35, B2532&lt;=44), "35-44",
  AND(B2532&gt;=45, B2532&lt;=54), "45-54",
  B2532&gt;=55, "55+"
)</f>
        <v>25-34</v>
      </c>
      <c r="D2532" t="s">
        <v>19</v>
      </c>
      <c r="E2532" t="s">
        <v>87</v>
      </c>
      <c r="F2532" t="s">
        <v>21</v>
      </c>
      <c r="G2532">
        <v>98</v>
      </c>
      <c r="H2532" t="s">
        <v>37</v>
      </c>
      <c r="I2532" t="s">
        <v>38</v>
      </c>
      <c r="J2532" t="s">
        <v>109</v>
      </c>
      <c r="K2532" t="s">
        <v>39</v>
      </c>
      <c r="L2532">
        <v>3.6</v>
      </c>
      <c r="M2532" t="s">
        <v>152</v>
      </c>
      <c r="N2532" t="s">
        <v>59</v>
      </c>
      <c r="O2532" t="s">
        <v>40</v>
      </c>
      <c r="P2532" t="s">
        <v>152</v>
      </c>
      <c r="Q2532" t="s">
        <v>152</v>
      </c>
      <c r="R2532">
        <v>28</v>
      </c>
      <c r="S2532" t="s">
        <v>59</v>
      </c>
      <c r="T2532" t="str">
        <f t="shared" si="78"/>
        <v>Daily</v>
      </c>
      <c r="U2532">
        <f>VLOOKUP(T2532,[1]tablescore!$B$3:$C$8, 2,FALSE)</f>
        <v>30</v>
      </c>
      <c r="V2532" t="str">
        <f t="shared" si="79"/>
        <v>Highly Loyal</v>
      </c>
      <c r="W2532" t="s">
        <v>41</v>
      </c>
    </row>
    <row r="2533" spans="1:23" x14ac:dyDescent="0.25">
      <c r="A2533">
        <v>2532</v>
      </c>
      <c r="B2533">
        <v>43</v>
      </c>
      <c r="C2533" t="str" cm="1">
        <f t="array" ref="C2533">_xlfn.IFS(
  AND(B2533&gt;=18, B2533&lt;=24), "18-24",
  AND(B2533&gt;=25, B2533&lt;=34), "25-34",
  AND(B2533&gt;=35, B2533&lt;=44), "35-44",
  AND(B2533&gt;=45, B2533&lt;=54), "45-54",
  B2533&gt;=55, "55+"
)</f>
        <v>35-44</v>
      </c>
      <c r="D2533" t="s">
        <v>19</v>
      </c>
      <c r="E2533" t="s">
        <v>42</v>
      </c>
      <c r="F2533" t="s">
        <v>43</v>
      </c>
      <c r="G2533">
        <v>28</v>
      </c>
      <c r="H2533" t="s">
        <v>105</v>
      </c>
      <c r="I2533" t="s">
        <v>45</v>
      </c>
      <c r="J2533" t="s">
        <v>84</v>
      </c>
      <c r="K2533" t="s">
        <v>54</v>
      </c>
      <c r="L2533">
        <v>4.5999999999999996</v>
      </c>
      <c r="M2533" t="s">
        <v>152</v>
      </c>
      <c r="N2533" t="s">
        <v>46</v>
      </c>
      <c r="O2533" t="s">
        <v>40</v>
      </c>
      <c r="P2533" t="s">
        <v>152</v>
      </c>
      <c r="Q2533" t="s">
        <v>152</v>
      </c>
      <c r="R2533">
        <v>7</v>
      </c>
      <c r="S2533" t="s">
        <v>35</v>
      </c>
      <c r="T2533" t="str">
        <f t="shared" si="78"/>
        <v>Quarterly</v>
      </c>
      <c r="U2533">
        <f>VLOOKUP(T2533,[1]tablescore!$B$3:$C$8, 2,FALSE)</f>
        <v>4</v>
      </c>
      <c r="V2533" t="str">
        <f t="shared" si="79"/>
        <v>Low Loyalty</v>
      </c>
      <c r="W2533" t="s">
        <v>97</v>
      </c>
    </row>
    <row r="2534" spans="1:23" x14ac:dyDescent="0.25">
      <c r="A2534">
        <v>2533</v>
      </c>
      <c r="B2534">
        <v>55</v>
      </c>
      <c r="C2534" t="str" cm="1">
        <f t="array" ref="C2534">_xlfn.IFS(
  AND(B2534&gt;=18, B2534&lt;=24), "18-24",
  AND(B2534&gt;=25, B2534&lt;=34), "25-34",
  AND(B2534&gt;=35, B2534&lt;=44), "35-44",
  AND(B2534&gt;=45, B2534&lt;=54), "45-54",
  B2534&gt;=55, "55+"
)</f>
        <v>55+</v>
      </c>
      <c r="D2534" t="s">
        <v>19</v>
      </c>
      <c r="E2534" t="s">
        <v>131</v>
      </c>
      <c r="F2534" t="s">
        <v>21</v>
      </c>
      <c r="G2534">
        <v>86</v>
      </c>
      <c r="H2534" t="s">
        <v>143</v>
      </c>
      <c r="I2534" t="s">
        <v>38</v>
      </c>
      <c r="J2534" t="s">
        <v>63</v>
      </c>
      <c r="K2534" t="s">
        <v>54</v>
      </c>
      <c r="L2534">
        <v>2.6</v>
      </c>
      <c r="M2534" t="s">
        <v>152</v>
      </c>
      <c r="N2534" t="s">
        <v>46</v>
      </c>
      <c r="O2534" t="s">
        <v>47</v>
      </c>
      <c r="P2534" t="s">
        <v>152</v>
      </c>
      <c r="Q2534" t="s">
        <v>152</v>
      </c>
      <c r="R2534">
        <v>4</v>
      </c>
      <c r="S2534" t="s">
        <v>59</v>
      </c>
      <c r="T2534" t="str">
        <f t="shared" si="78"/>
        <v>Daily</v>
      </c>
      <c r="U2534">
        <f>VLOOKUP(T2534,[1]tablescore!$B$3:$C$8, 2,FALSE)</f>
        <v>30</v>
      </c>
      <c r="V2534" t="str">
        <f t="shared" si="79"/>
        <v>Highly Loyal</v>
      </c>
      <c r="W2534" t="s">
        <v>41</v>
      </c>
    </row>
    <row r="2535" spans="1:23" x14ac:dyDescent="0.25">
      <c r="A2535">
        <v>2534</v>
      </c>
      <c r="B2535">
        <v>66</v>
      </c>
      <c r="C2535" t="str" cm="1">
        <f t="array" ref="C2535">_xlfn.IFS(
  AND(B2535&gt;=18, B2535&lt;=24), "18-24",
  AND(B2535&gt;=25, B2535&lt;=34), "25-34",
  AND(B2535&gt;=35, B2535&lt;=44), "35-44",
  AND(B2535&gt;=45, B2535&lt;=54), "45-54",
  B2535&gt;=55, "55+"
)</f>
        <v>55+</v>
      </c>
      <c r="D2535" t="s">
        <v>19</v>
      </c>
      <c r="E2535" t="s">
        <v>106</v>
      </c>
      <c r="F2535" t="s">
        <v>69</v>
      </c>
      <c r="G2535">
        <v>46</v>
      </c>
      <c r="H2535" t="s">
        <v>141</v>
      </c>
      <c r="I2535" t="s">
        <v>38</v>
      </c>
      <c r="J2535" t="s">
        <v>138</v>
      </c>
      <c r="K2535" t="s">
        <v>54</v>
      </c>
      <c r="L2535">
        <v>3.1</v>
      </c>
      <c r="M2535" t="s">
        <v>152</v>
      </c>
      <c r="N2535" t="s">
        <v>29</v>
      </c>
      <c r="O2535" t="s">
        <v>55</v>
      </c>
      <c r="P2535" t="s">
        <v>152</v>
      </c>
      <c r="Q2535" t="s">
        <v>152</v>
      </c>
      <c r="R2535">
        <v>49</v>
      </c>
      <c r="S2535" t="s">
        <v>35</v>
      </c>
      <c r="T2535" t="str">
        <f t="shared" si="78"/>
        <v>2-week</v>
      </c>
      <c r="U2535">
        <f>VLOOKUP(T2535,[1]tablescore!$B$3:$C$8, 2,FALSE)</f>
        <v>26</v>
      </c>
      <c r="V2535" t="str">
        <f t="shared" si="79"/>
        <v>Loyal</v>
      </c>
      <c r="W2535" t="s">
        <v>77</v>
      </c>
    </row>
    <row r="2536" spans="1:23" x14ac:dyDescent="0.25">
      <c r="A2536">
        <v>2535</v>
      </c>
      <c r="B2536">
        <v>41</v>
      </c>
      <c r="C2536" t="str" cm="1">
        <f t="array" ref="C2536">_xlfn.IFS(
  AND(B2536&gt;=18, B2536&lt;=24), "18-24",
  AND(B2536&gt;=25, B2536&lt;=34), "25-34",
  AND(B2536&gt;=35, B2536&lt;=44), "35-44",
  AND(B2536&gt;=45, B2536&lt;=54), "45-54",
  B2536&gt;=55, "55+"
)</f>
        <v>35-44</v>
      </c>
      <c r="D2536" t="s">
        <v>19</v>
      </c>
      <c r="E2536" t="s">
        <v>89</v>
      </c>
      <c r="F2536" t="s">
        <v>69</v>
      </c>
      <c r="G2536">
        <v>42</v>
      </c>
      <c r="H2536" t="s">
        <v>128</v>
      </c>
      <c r="I2536" t="s">
        <v>92</v>
      </c>
      <c r="J2536" t="s">
        <v>108</v>
      </c>
      <c r="K2536" t="s">
        <v>58</v>
      </c>
      <c r="L2536">
        <v>3.2</v>
      </c>
      <c r="M2536" t="s">
        <v>152</v>
      </c>
      <c r="N2536" t="s">
        <v>46</v>
      </c>
      <c r="O2536" t="s">
        <v>40</v>
      </c>
      <c r="P2536" t="s">
        <v>152</v>
      </c>
      <c r="Q2536" t="s">
        <v>152</v>
      </c>
      <c r="R2536">
        <v>22</v>
      </c>
      <c r="S2536" t="s">
        <v>35</v>
      </c>
      <c r="T2536" t="str">
        <f t="shared" si="78"/>
        <v>Daily</v>
      </c>
      <c r="U2536">
        <f>VLOOKUP(T2536,[1]tablescore!$B$3:$C$8, 2,FALSE)</f>
        <v>30</v>
      </c>
      <c r="V2536" t="str">
        <f t="shared" si="79"/>
        <v>Highly Loyal</v>
      </c>
      <c r="W2536" t="s">
        <v>41</v>
      </c>
    </row>
    <row r="2537" spans="1:23" x14ac:dyDescent="0.25">
      <c r="A2537">
        <v>2536</v>
      </c>
      <c r="B2537">
        <v>47</v>
      </c>
      <c r="C2537" t="str" cm="1">
        <f t="array" ref="C2537">_xlfn.IFS(
  AND(B2537&gt;=18, B2537&lt;=24), "18-24",
  AND(B2537&gt;=25, B2537&lt;=34), "25-34",
  AND(B2537&gt;=35, B2537&lt;=44), "35-44",
  AND(B2537&gt;=45, B2537&lt;=54), "45-54",
  B2537&gt;=55, "55+"
)</f>
        <v>45-54</v>
      </c>
      <c r="D2537" t="s">
        <v>19</v>
      </c>
      <c r="E2537" t="s">
        <v>64</v>
      </c>
      <c r="F2537" t="s">
        <v>65</v>
      </c>
      <c r="G2537">
        <v>80</v>
      </c>
      <c r="H2537" t="s">
        <v>145</v>
      </c>
      <c r="I2537" t="s">
        <v>38</v>
      </c>
      <c r="J2537" t="s">
        <v>75</v>
      </c>
      <c r="K2537" t="s">
        <v>25</v>
      </c>
      <c r="L2537">
        <v>3.9</v>
      </c>
      <c r="M2537" t="s">
        <v>152</v>
      </c>
      <c r="N2537" t="s">
        <v>34</v>
      </c>
      <c r="O2537" t="s">
        <v>28</v>
      </c>
      <c r="P2537" t="s">
        <v>152</v>
      </c>
      <c r="Q2537" t="s">
        <v>152</v>
      </c>
      <c r="R2537">
        <v>39</v>
      </c>
      <c r="S2537" t="s">
        <v>34</v>
      </c>
      <c r="T2537" t="str">
        <f t="shared" si="78"/>
        <v>2-week</v>
      </c>
      <c r="U2537">
        <f>VLOOKUP(T2537,[1]tablescore!$B$3:$C$8, 2,FALSE)</f>
        <v>26</v>
      </c>
      <c r="V2537" t="str">
        <f t="shared" si="79"/>
        <v>Loyal</v>
      </c>
      <c r="W2537" t="s">
        <v>30</v>
      </c>
    </row>
    <row r="2538" spans="1:23" x14ac:dyDescent="0.25">
      <c r="A2538">
        <v>2537</v>
      </c>
      <c r="B2538">
        <v>51</v>
      </c>
      <c r="C2538" t="str" cm="1">
        <f t="array" ref="C2538">_xlfn.IFS(
  AND(B2538&gt;=18, B2538&lt;=24), "18-24",
  AND(B2538&gt;=25, B2538&lt;=34), "25-34",
  AND(B2538&gt;=35, B2538&lt;=44), "35-44",
  AND(B2538&gt;=45, B2538&lt;=54), "45-54",
  B2538&gt;=55, "55+"
)</f>
        <v>45-54</v>
      </c>
      <c r="D2538" t="s">
        <v>19</v>
      </c>
      <c r="E2538" t="s">
        <v>136</v>
      </c>
      <c r="F2538" t="s">
        <v>69</v>
      </c>
      <c r="G2538">
        <v>39</v>
      </c>
      <c r="H2538" t="s">
        <v>101</v>
      </c>
      <c r="I2538" t="s">
        <v>23</v>
      </c>
      <c r="J2538" t="s">
        <v>24</v>
      </c>
      <c r="K2538" t="s">
        <v>39</v>
      </c>
      <c r="L2538">
        <v>4.9000000000000004</v>
      </c>
      <c r="M2538" t="s">
        <v>152</v>
      </c>
      <c r="N2538" t="s">
        <v>34</v>
      </c>
      <c r="O2538" t="s">
        <v>28</v>
      </c>
      <c r="P2538" t="s">
        <v>152</v>
      </c>
      <c r="Q2538" t="s">
        <v>152</v>
      </c>
      <c r="R2538">
        <v>45</v>
      </c>
      <c r="S2538" t="s">
        <v>46</v>
      </c>
      <c r="T2538" t="str">
        <f t="shared" si="78"/>
        <v>Quarterly</v>
      </c>
      <c r="U2538">
        <f>VLOOKUP(T2538,[1]tablescore!$B$3:$C$8, 2,FALSE)</f>
        <v>4</v>
      </c>
      <c r="V2538" t="str">
        <f t="shared" si="79"/>
        <v>Low Loyalty</v>
      </c>
      <c r="W2538" t="s">
        <v>97</v>
      </c>
    </row>
    <row r="2539" spans="1:23" x14ac:dyDescent="0.25">
      <c r="A2539">
        <v>2538</v>
      </c>
      <c r="B2539">
        <v>44</v>
      </c>
      <c r="C2539" t="str" cm="1">
        <f t="array" ref="C2539">_xlfn.IFS(
  AND(B2539&gt;=18, B2539&lt;=24), "18-24",
  AND(B2539&gt;=25, B2539&lt;=34), "25-34",
  AND(B2539&gt;=35, B2539&lt;=44), "35-44",
  AND(B2539&gt;=45, B2539&lt;=54), "45-54",
  B2539&gt;=55, "55+"
)</f>
        <v>35-44</v>
      </c>
      <c r="D2539" t="s">
        <v>19</v>
      </c>
      <c r="E2539" t="s">
        <v>64</v>
      </c>
      <c r="F2539" t="s">
        <v>65</v>
      </c>
      <c r="G2539">
        <v>49</v>
      </c>
      <c r="H2539" t="s">
        <v>32</v>
      </c>
      <c r="I2539" t="s">
        <v>45</v>
      </c>
      <c r="J2539" t="s">
        <v>75</v>
      </c>
      <c r="K2539" t="s">
        <v>54</v>
      </c>
      <c r="L2539">
        <v>4.0999999999999996</v>
      </c>
      <c r="M2539" t="s">
        <v>152</v>
      </c>
      <c r="N2539" t="s">
        <v>59</v>
      </c>
      <c r="O2539" t="s">
        <v>72</v>
      </c>
      <c r="P2539" t="s">
        <v>152</v>
      </c>
      <c r="Q2539" t="s">
        <v>152</v>
      </c>
      <c r="R2539">
        <v>30</v>
      </c>
      <c r="S2539" t="s">
        <v>46</v>
      </c>
      <c r="T2539" t="str">
        <f t="shared" si="78"/>
        <v>2-week</v>
      </c>
      <c r="U2539">
        <f>VLOOKUP(T2539,[1]tablescore!$B$3:$C$8, 2,FALSE)</f>
        <v>26</v>
      </c>
      <c r="V2539" t="str">
        <f t="shared" si="79"/>
        <v>Loyal</v>
      </c>
      <c r="W2539" t="s">
        <v>30</v>
      </c>
    </row>
    <row r="2540" spans="1:23" x14ac:dyDescent="0.25">
      <c r="A2540">
        <v>2539</v>
      </c>
      <c r="B2540">
        <v>18</v>
      </c>
      <c r="C2540" t="str" cm="1">
        <f t="array" ref="C2540">_xlfn.IFS(
  AND(B2540&gt;=18, B2540&lt;=24), "18-24",
  AND(B2540&gt;=25, B2540&lt;=34), "25-34",
  AND(B2540&gt;=35, B2540&lt;=44), "35-44",
  AND(B2540&gt;=45, B2540&lt;=54), "45-54",
  B2540&gt;=55, "55+"
)</f>
        <v>18-24</v>
      </c>
      <c r="D2540" t="s">
        <v>19</v>
      </c>
      <c r="E2540" t="s">
        <v>119</v>
      </c>
      <c r="F2540" t="s">
        <v>69</v>
      </c>
      <c r="G2540">
        <v>32</v>
      </c>
      <c r="H2540" t="s">
        <v>137</v>
      </c>
      <c r="I2540" t="s">
        <v>45</v>
      </c>
      <c r="J2540" t="s">
        <v>67</v>
      </c>
      <c r="K2540" t="s">
        <v>54</v>
      </c>
      <c r="L2540">
        <v>4.2</v>
      </c>
      <c r="M2540" t="s">
        <v>152</v>
      </c>
      <c r="N2540" t="s">
        <v>29</v>
      </c>
      <c r="O2540" t="s">
        <v>47</v>
      </c>
      <c r="P2540" t="s">
        <v>152</v>
      </c>
      <c r="Q2540" t="s">
        <v>152</v>
      </c>
      <c r="R2540">
        <v>33</v>
      </c>
      <c r="S2540" t="s">
        <v>27</v>
      </c>
      <c r="T2540" t="str">
        <f t="shared" si="78"/>
        <v>2-week</v>
      </c>
      <c r="U2540">
        <f>VLOOKUP(T2540,[1]tablescore!$B$3:$C$8, 2,FALSE)</f>
        <v>26</v>
      </c>
      <c r="V2540" t="str">
        <f t="shared" si="79"/>
        <v>Loyal</v>
      </c>
      <c r="W2540" t="s">
        <v>77</v>
      </c>
    </row>
    <row r="2541" spans="1:23" x14ac:dyDescent="0.25">
      <c r="A2541">
        <v>2540</v>
      </c>
      <c r="B2541">
        <v>33</v>
      </c>
      <c r="C2541" t="str" cm="1">
        <f t="array" ref="C2541">_xlfn.IFS(
  AND(B2541&gt;=18, B2541&lt;=24), "18-24",
  AND(B2541&gt;=25, B2541&lt;=34), "25-34",
  AND(B2541&gt;=35, B2541&lt;=44), "35-44",
  AND(B2541&gt;=45, B2541&lt;=54), "45-54",
  B2541&gt;=55, "55+"
)</f>
        <v>25-34</v>
      </c>
      <c r="D2541" t="s">
        <v>19</v>
      </c>
      <c r="E2541" t="s">
        <v>42</v>
      </c>
      <c r="F2541" t="s">
        <v>43</v>
      </c>
      <c r="G2541">
        <v>73</v>
      </c>
      <c r="H2541" t="s">
        <v>37</v>
      </c>
      <c r="I2541" t="s">
        <v>45</v>
      </c>
      <c r="J2541" t="s">
        <v>75</v>
      </c>
      <c r="K2541" t="s">
        <v>58</v>
      </c>
      <c r="L2541">
        <v>4.0999999999999996</v>
      </c>
      <c r="M2541" t="s">
        <v>152</v>
      </c>
      <c r="N2541" t="s">
        <v>46</v>
      </c>
      <c r="O2541" t="s">
        <v>47</v>
      </c>
      <c r="P2541" t="s">
        <v>152</v>
      </c>
      <c r="Q2541" t="s">
        <v>152</v>
      </c>
      <c r="R2541">
        <v>24</v>
      </c>
      <c r="S2541" t="s">
        <v>35</v>
      </c>
      <c r="T2541" t="str">
        <f t="shared" si="78"/>
        <v>2-week</v>
      </c>
      <c r="U2541">
        <f>VLOOKUP(T2541,[1]tablescore!$B$3:$C$8, 2,FALSE)</f>
        <v>26</v>
      </c>
      <c r="V2541" t="str">
        <f t="shared" si="79"/>
        <v>Loyal</v>
      </c>
      <c r="W2541" t="s">
        <v>77</v>
      </c>
    </row>
    <row r="2542" spans="1:23" x14ac:dyDescent="0.25">
      <c r="A2542">
        <v>2541</v>
      </c>
      <c r="B2542">
        <v>24</v>
      </c>
      <c r="C2542" t="str" cm="1">
        <f t="array" ref="C2542">_xlfn.IFS(
  AND(B2542&gt;=18, B2542&lt;=24), "18-24",
  AND(B2542&gt;=25, B2542&lt;=34), "25-34",
  AND(B2542&gt;=35, B2542&lt;=44), "35-44",
  AND(B2542&gt;=45, B2542&lt;=54), "45-54",
  B2542&gt;=55, "55+"
)</f>
        <v>18-24</v>
      </c>
      <c r="D2542" t="s">
        <v>19</v>
      </c>
      <c r="E2542" t="s">
        <v>136</v>
      </c>
      <c r="F2542" t="s">
        <v>69</v>
      </c>
      <c r="G2542">
        <v>42</v>
      </c>
      <c r="H2542" t="s">
        <v>137</v>
      </c>
      <c r="I2542" t="s">
        <v>45</v>
      </c>
      <c r="J2542" t="s">
        <v>63</v>
      </c>
      <c r="K2542" t="s">
        <v>54</v>
      </c>
      <c r="L2542">
        <v>3.9</v>
      </c>
      <c r="M2542" t="s">
        <v>152</v>
      </c>
      <c r="N2542" t="s">
        <v>46</v>
      </c>
      <c r="O2542" t="s">
        <v>40</v>
      </c>
      <c r="P2542" t="s">
        <v>152</v>
      </c>
      <c r="Q2542" t="s">
        <v>152</v>
      </c>
      <c r="R2542">
        <v>11</v>
      </c>
      <c r="S2542" t="s">
        <v>59</v>
      </c>
      <c r="T2542" t="str">
        <f t="shared" si="78"/>
        <v>Quarterly</v>
      </c>
      <c r="U2542">
        <f>VLOOKUP(T2542,[1]tablescore!$B$3:$C$8, 2,FALSE)</f>
        <v>4</v>
      </c>
      <c r="V2542" t="str">
        <f t="shared" si="79"/>
        <v>Low Loyalty</v>
      </c>
      <c r="W2542" t="s">
        <v>60</v>
      </c>
    </row>
    <row r="2543" spans="1:23" x14ac:dyDescent="0.25">
      <c r="A2543">
        <v>2542</v>
      </c>
      <c r="B2543">
        <v>33</v>
      </c>
      <c r="C2543" t="str" cm="1">
        <f t="array" ref="C2543">_xlfn.IFS(
  AND(B2543&gt;=18, B2543&lt;=24), "18-24",
  AND(B2543&gt;=25, B2543&lt;=34), "25-34",
  AND(B2543&gt;=35, B2543&lt;=44), "35-44",
  AND(B2543&gt;=45, B2543&lt;=54), "45-54",
  B2543&gt;=55, "55+"
)</f>
        <v>25-34</v>
      </c>
      <c r="D2543" t="s">
        <v>19</v>
      </c>
      <c r="E2543" t="s">
        <v>119</v>
      </c>
      <c r="F2543" t="s">
        <v>69</v>
      </c>
      <c r="G2543">
        <v>58</v>
      </c>
      <c r="H2543" t="s">
        <v>140</v>
      </c>
      <c r="I2543" t="s">
        <v>45</v>
      </c>
      <c r="J2543" t="s">
        <v>67</v>
      </c>
      <c r="K2543" t="s">
        <v>39</v>
      </c>
      <c r="L2543">
        <v>2.7</v>
      </c>
      <c r="M2543" t="s">
        <v>152</v>
      </c>
      <c r="N2543" t="s">
        <v>29</v>
      </c>
      <c r="O2543" t="s">
        <v>47</v>
      </c>
      <c r="P2543" t="s">
        <v>152</v>
      </c>
      <c r="Q2543" t="s">
        <v>152</v>
      </c>
      <c r="R2543">
        <v>13</v>
      </c>
      <c r="S2543" t="s">
        <v>29</v>
      </c>
      <c r="T2543" t="str">
        <f t="shared" si="78"/>
        <v>Quarterly</v>
      </c>
      <c r="U2543">
        <f>VLOOKUP(T2543,[1]tablescore!$B$3:$C$8, 2,FALSE)</f>
        <v>4</v>
      </c>
      <c r="V2543" t="str">
        <f t="shared" si="79"/>
        <v>Low Loyalty</v>
      </c>
      <c r="W2543" t="s">
        <v>97</v>
      </c>
    </row>
    <row r="2544" spans="1:23" x14ac:dyDescent="0.25">
      <c r="A2544">
        <v>2543</v>
      </c>
      <c r="B2544">
        <v>61</v>
      </c>
      <c r="C2544" t="str" cm="1">
        <f t="array" ref="C2544">_xlfn.IFS(
  AND(B2544&gt;=18, B2544&lt;=24), "18-24",
  AND(B2544&gt;=25, B2544&lt;=34), "25-34",
  AND(B2544&gt;=35, B2544&lt;=44), "35-44",
  AND(B2544&gt;=45, B2544&lt;=54), "45-54",
  B2544&gt;=55, "55+"
)</f>
        <v>55+</v>
      </c>
      <c r="D2544" t="s">
        <v>19</v>
      </c>
      <c r="E2544" t="s">
        <v>106</v>
      </c>
      <c r="F2544" t="s">
        <v>69</v>
      </c>
      <c r="G2544">
        <v>22</v>
      </c>
      <c r="H2544" t="s">
        <v>74</v>
      </c>
      <c r="I2544" t="s">
        <v>45</v>
      </c>
      <c r="J2544" t="s">
        <v>53</v>
      </c>
      <c r="K2544" t="s">
        <v>25</v>
      </c>
      <c r="L2544">
        <v>3.7</v>
      </c>
      <c r="M2544" t="s">
        <v>152</v>
      </c>
      <c r="N2544" t="s">
        <v>46</v>
      </c>
      <c r="O2544" t="s">
        <v>28</v>
      </c>
      <c r="P2544" t="s">
        <v>152</v>
      </c>
      <c r="Q2544" t="s">
        <v>152</v>
      </c>
      <c r="R2544">
        <v>27</v>
      </c>
      <c r="S2544" t="s">
        <v>46</v>
      </c>
      <c r="T2544" t="str">
        <f t="shared" si="78"/>
        <v>Annually</v>
      </c>
      <c r="U2544">
        <f>VLOOKUP(T2544,[1]tablescore!$B$3:$C$8, 2,FALSE)</f>
        <v>1</v>
      </c>
      <c r="V2544" t="str">
        <f t="shared" si="79"/>
        <v>Low Loyalty</v>
      </c>
      <c r="W2544" t="s">
        <v>50</v>
      </c>
    </row>
    <row r="2545" spans="1:23" x14ac:dyDescent="0.25">
      <c r="A2545">
        <v>2544</v>
      </c>
      <c r="B2545">
        <v>27</v>
      </c>
      <c r="C2545" t="str" cm="1">
        <f t="array" ref="C2545">_xlfn.IFS(
  AND(B2545&gt;=18, B2545&lt;=24), "18-24",
  AND(B2545&gt;=25, B2545&lt;=34), "25-34",
  AND(B2545&gt;=35, B2545&lt;=44), "35-44",
  AND(B2545&gt;=45, B2545&lt;=54), "45-54",
  B2545&gt;=55, "55+"
)</f>
        <v>25-34</v>
      </c>
      <c r="D2545" t="s">
        <v>19</v>
      </c>
      <c r="E2545" t="s">
        <v>119</v>
      </c>
      <c r="F2545" t="s">
        <v>69</v>
      </c>
      <c r="G2545">
        <v>56</v>
      </c>
      <c r="H2545" t="s">
        <v>66</v>
      </c>
      <c r="I2545" t="s">
        <v>23</v>
      </c>
      <c r="J2545" t="s">
        <v>100</v>
      </c>
      <c r="K2545" t="s">
        <v>39</v>
      </c>
      <c r="L2545">
        <v>2.7</v>
      </c>
      <c r="M2545" t="s">
        <v>152</v>
      </c>
      <c r="N2545" t="s">
        <v>59</v>
      </c>
      <c r="O2545" t="s">
        <v>47</v>
      </c>
      <c r="P2545" t="s">
        <v>152</v>
      </c>
      <c r="Q2545" t="s">
        <v>152</v>
      </c>
      <c r="R2545">
        <v>30</v>
      </c>
      <c r="S2545" t="s">
        <v>46</v>
      </c>
      <c r="T2545" t="str">
        <f t="shared" si="78"/>
        <v>2-week</v>
      </c>
      <c r="U2545">
        <f>VLOOKUP(T2545,[1]tablescore!$B$3:$C$8, 2,FALSE)</f>
        <v>26</v>
      </c>
      <c r="V2545" t="str">
        <f t="shared" si="79"/>
        <v>Loyal</v>
      </c>
      <c r="W2545" t="s">
        <v>77</v>
      </c>
    </row>
    <row r="2546" spans="1:23" x14ac:dyDescent="0.25">
      <c r="A2546">
        <v>2545</v>
      </c>
      <c r="B2546">
        <v>46</v>
      </c>
      <c r="C2546" t="str" cm="1">
        <f t="array" ref="C2546">_xlfn.IFS(
  AND(B2546&gt;=18, B2546&lt;=24), "18-24",
  AND(B2546&gt;=25, B2546&lt;=34), "25-34",
  AND(B2546&gt;=35, B2546&lt;=44), "35-44",
  AND(B2546&gt;=45, B2546&lt;=54), "45-54",
  B2546&gt;=55, "55+"
)</f>
        <v>45-54</v>
      </c>
      <c r="D2546" t="s">
        <v>19</v>
      </c>
      <c r="E2546" t="s">
        <v>95</v>
      </c>
      <c r="F2546" t="s">
        <v>21</v>
      </c>
      <c r="G2546">
        <v>70</v>
      </c>
      <c r="H2546" t="s">
        <v>80</v>
      </c>
      <c r="I2546" t="s">
        <v>45</v>
      </c>
      <c r="J2546" t="s">
        <v>108</v>
      </c>
      <c r="K2546" t="s">
        <v>39</v>
      </c>
      <c r="L2546">
        <v>2.5</v>
      </c>
      <c r="M2546" t="s">
        <v>152</v>
      </c>
      <c r="N2546" t="s">
        <v>35</v>
      </c>
      <c r="O2546" t="s">
        <v>47</v>
      </c>
      <c r="P2546" t="s">
        <v>152</v>
      </c>
      <c r="Q2546" t="s">
        <v>152</v>
      </c>
      <c r="R2546">
        <v>39</v>
      </c>
      <c r="S2546" t="s">
        <v>29</v>
      </c>
      <c r="T2546" t="str">
        <f t="shared" si="78"/>
        <v>Quarterly</v>
      </c>
      <c r="U2546">
        <f>VLOOKUP(T2546,[1]tablescore!$B$3:$C$8, 2,FALSE)</f>
        <v>4</v>
      </c>
      <c r="V2546" t="str">
        <f t="shared" si="79"/>
        <v>Low Loyalty</v>
      </c>
      <c r="W2546" t="s">
        <v>60</v>
      </c>
    </row>
    <row r="2547" spans="1:23" x14ac:dyDescent="0.25">
      <c r="A2547">
        <v>2546</v>
      </c>
      <c r="B2547">
        <v>38</v>
      </c>
      <c r="C2547" t="str" cm="1">
        <f t="array" ref="C2547">_xlfn.IFS(
  AND(B2547&gt;=18, B2547&lt;=24), "18-24",
  AND(B2547&gt;=25, B2547&lt;=34), "25-34",
  AND(B2547&gt;=35, B2547&lt;=44), "35-44",
  AND(B2547&gt;=45, B2547&lt;=54), "45-54",
  B2547&gt;=55, "55+"
)</f>
        <v>35-44</v>
      </c>
      <c r="D2547" t="s">
        <v>19</v>
      </c>
      <c r="E2547" t="s">
        <v>73</v>
      </c>
      <c r="F2547" t="s">
        <v>43</v>
      </c>
      <c r="G2547">
        <v>50</v>
      </c>
      <c r="H2547" t="s">
        <v>105</v>
      </c>
      <c r="I2547" t="s">
        <v>23</v>
      </c>
      <c r="J2547" t="s">
        <v>79</v>
      </c>
      <c r="K2547" t="s">
        <v>39</v>
      </c>
      <c r="L2547">
        <v>3.9</v>
      </c>
      <c r="M2547" t="s">
        <v>152</v>
      </c>
      <c r="N2547" t="s">
        <v>34</v>
      </c>
      <c r="O2547" t="s">
        <v>40</v>
      </c>
      <c r="P2547" t="s">
        <v>152</v>
      </c>
      <c r="Q2547" t="s">
        <v>152</v>
      </c>
      <c r="R2547">
        <v>10</v>
      </c>
      <c r="S2547" t="s">
        <v>59</v>
      </c>
      <c r="T2547" t="str">
        <f t="shared" si="78"/>
        <v>Annually</v>
      </c>
      <c r="U2547">
        <f>VLOOKUP(T2547,[1]tablescore!$B$3:$C$8, 2,FALSE)</f>
        <v>1</v>
      </c>
      <c r="V2547" t="str">
        <f t="shared" si="79"/>
        <v>Low Loyalty</v>
      </c>
      <c r="W2547" t="s">
        <v>50</v>
      </c>
    </row>
    <row r="2548" spans="1:23" x14ac:dyDescent="0.25">
      <c r="A2548">
        <v>2547</v>
      </c>
      <c r="B2548">
        <v>63</v>
      </c>
      <c r="C2548" t="str" cm="1">
        <f t="array" ref="C2548">_xlfn.IFS(
  AND(B2548&gt;=18, B2548&lt;=24), "18-24",
  AND(B2548&gt;=25, B2548&lt;=34), "25-34",
  AND(B2548&gt;=35, B2548&lt;=44), "35-44",
  AND(B2548&gt;=45, B2548&lt;=54), "45-54",
  B2548&gt;=55, "55+"
)</f>
        <v>55+</v>
      </c>
      <c r="D2548" t="s">
        <v>19</v>
      </c>
      <c r="E2548" t="s">
        <v>132</v>
      </c>
      <c r="F2548" t="s">
        <v>43</v>
      </c>
      <c r="G2548">
        <v>21</v>
      </c>
      <c r="H2548" t="s">
        <v>105</v>
      </c>
      <c r="I2548" t="s">
        <v>23</v>
      </c>
      <c r="J2548" t="s">
        <v>24</v>
      </c>
      <c r="K2548" t="s">
        <v>54</v>
      </c>
      <c r="L2548">
        <v>3</v>
      </c>
      <c r="M2548" t="s">
        <v>152</v>
      </c>
      <c r="N2548" t="s">
        <v>29</v>
      </c>
      <c r="O2548" t="s">
        <v>28</v>
      </c>
      <c r="P2548" t="s">
        <v>152</v>
      </c>
      <c r="Q2548" t="s">
        <v>152</v>
      </c>
      <c r="R2548">
        <v>4</v>
      </c>
      <c r="S2548" t="s">
        <v>27</v>
      </c>
      <c r="T2548" t="str">
        <f t="shared" si="78"/>
        <v>Quarterly</v>
      </c>
      <c r="U2548">
        <f>VLOOKUP(T2548,[1]tablescore!$B$3:$C$8, 2,FALSE)</f>
        <v>4</v>
      </c>
      <c r="V2548" t="str">
        <f t="shared" si="79"/>
        <v>Low Loyalty</v>
      </c>
      <c r="W2548" t="s">
        <v>60</v>
      </c>
    </row>
    <row r="2549" spans="1:23" x14ac:dyDescent="0.25">
      <c r="A2549">
        <v>2548</v>
      </c>
      <c r="B2549">
        <v>47</v>
      </c>
      <c r="C2549" t="str" cm="1">
        <f t="array" ref="C2549">_xlfn.IFS(
  AND(B2549&gt;=18, B2549&lt;=24), "18-24",
  AND(B2549&gt;=25, B2549&lt;=34), "25-34",
  AND(B2549&gt;=35, B2549&lt;=44), "35-44",
  AND(B2549&gt;=45, B2549&lt;=54), "45-54",
  B2549&gt;=55, "55+"
)</f>
        <v>45-54</v>
      </c>
      <c r="D2549" t="s">
        <v>19</v>
      </c>
      <c r="E2549" t="s">
        <v>102</v>
      </c>
      <c r="F2549" t="s">
        <v>65</v>
      </c>
      <c r="G2549">
        <v>97</v>
      </c>
      <c r="H2549" t="s">
        <v>91</v>
      </c>
      <c r="I2549" t="s">
        <v>45</v>
      </c>
      <c r="J2549" t="s">
        <v>118</v>
      </c>
      <c r="K2549" t="s">
        <v>54</v>
      </c>
      <c r="L2549">
        <v>3.2</v>
      </c>
      <c r="M2549" t="s">
        <v>152</v>
      </c>
      <c r="N2549" t="s">
        <v>34</v>
      </c>
      <c r="O2549" t="s">
        <v>72</v>
      </c>
      <c r="P2549" t="s">
        <v>152</v>
      </c>
      <c r="Q2549" t="s">
        <v>152</v>
      </c>
      <c r="R2549">
        <v>16</v>
      </c>
      <c r="S2549" t="s">
        <v>35</v>
      </c>
      <c r="T2549" t="str">
        <f t="shared" si="78"/>
        <v>Daily</v>
      </c>
      <c r="U2549">
        <f>VLOOKUP(T2549,[1]tablescore!$B$3:$C$8, 2,FALSE)</f>
        <v>30</v>
      </c>
      <c r="V2549" t="str">
        <f t="shared" si="79"/>
        <v>Highly Loyal</v>
      </c>
      <c r="W2549" t="s">
        <v>41</v>
      </c>
    </row>
    <row r="2550" spans="1:23" x14ac:dyDescent="0.25">
      <c r="A2550">
        <v>2549</v>
      </c>
      <c r="B2550">
        <v>42</v>
      </c>
      <c r="C2550" t="str" cm="1">
        <f t="array" ref="C2550">_xlfn.IFS(
  AND(B2550&gt;=18, B2550&lt;=24), "18-24",
  AND(B2550&gt;=25, B2550&lt;=34), "25-34",
  AND(B2550&gt;=35, B2550&lt;=44), "35-44",
  AND(B2550&gt;=45, B2550&lt;=54), "45-54",
  B2550&gt;=55, "55+"
)</f>
        <v>35-44</v>
      </c>
      <c r="D2550" t="s">
        <v>19</v>
      </c>
      <c r="E2550" t="s">
        <v>133</v>
      </c>
      <c r="F2550" t="s">
        <v>69</v>
      </c>
      <c r="G2550">
        <v>63</v>
      </c>
      <c r="H2550" t="s">
        <v>105</v>
      </c>
      <c r="I2550" t="s">
        <v>23</v>
      </c>
      <c r="J2550" t="s">
        <v>71</v>
      </c>
      <c r="K2550" t="s">
        <v>25</v>
      </c>
      <c r="L2550">
        <v>3.8</v>
      </c>
      <c r="M2550" t="s">
        <v>152</v>
      </c>
      <c r="N2550" t="s">
        <v>27</v>
      </c>
      <c r="O2550" t="s">
        <v>55</v>
      </c>
      <c r="P2550" t="s">
        <v>152</v>
      </c>
      <c r="Q2550" t="s">
        <v>152</v>
      </c>
      <c r="R2550">
        <v>34</v>
      </c>
      <c r="S2550" t="s">
        <v>27</v>
      </c>
      <c r="T2550" t="str">
        <f t="shared" si="78"/>
        <v>Month</v>
      </c>
      <c r="U2550">
        <f>VLOOKUP(T2550,[1]tablescore!$B$3:$C$8, 2,FALSE)</f>
        <v>12</v>
      </c>
      <c r="V2550" t="str">
        <f t="shared" si="79"/>
        <v>Moderate</v>
      </c>
      <c r="W2550" t="s">
        <v>88</v>
      </c>
    </row>
    <row r="2551" spans="1:23" x14ac:dyDescent="0.25">
      <c r="A2551">
        <v>2550</v>
      </c>
      <c r="B2551">
        <v>41</v>
      </c>
      <c r="C2551" t="str" cm="1">
        <f t="array" ref="C2551">_xlfn.IFS(
  AND(B2551&gt;=18, B2551&lt;=24), "18-24",
  AND(B2551&gt;=25, B2551&lt;=34), "25-34",
  AND(B2551&gt;=35, B2551&lt;=44), "35-44",
  AND(B2551&gt;=45, B2551&lt;=54), "45-54",
  B2551&gt;=55, "55+"
)</f>
        <v>35-44</v>
      </c>
      <c r="D2551" t="s">
        <v>19</v>
      </c>
      <c r="E2551" t="s">
        <v>102</v>
      </c>
      <c r="F2551" t="s">
        <v>65</v>
      </c>
      <c r="G2551">
        <v>60</v>
      </c>
      <c r="H2551" t="s">
        <v>128</v>
      </c>
      <c r="I2551" t="s">
        <v>45</v>
      </c>
      <c r="J2551" t="s">
        <v>108</v>
      </c>
      <c r="K2551" t="s">
        <v>58</v>
      </c>
      <c r="L2551">
        <v>2.7</v>
      </c>
      <c r="M2551" t="s">
        <v>152</v>
      </c>
      <c r="N2551" t="s">
        <v>27</v>
      </c>
      <c r="O2551" t="s">
        <v>55</v>
      </c>
      <c r="P2551" t="s">
        <v>152</v>
      </c>
      <c r="Q2551" t="s">
        <v>152</v>
      </c>
      <c r="R2551">
        <v>11</v>
      </c>
      <c r="S2551" t="s">
        <v>59</v>
      </c>
      <c r="T2551" t="str">
        <f t="shared" si="78"/>
        <v>Quarterly</v>
      </c>
      <c r="U2551">
        <f>VLOOKUP(T2551,[1]tablescore!$B$3:$C$8, 2,FALSE)</f>
        <v>4</v>
      </c>
      <c r="V2551" t="str">
        <f t="shared" si="79"/>
        <v>Low Loyalty</v>
      </c>
      <c r="W2551" t="s">
        <v>97</v>
      </c>
    </row>
    <row r="2552" spans="1:23" x14ac:dyDescent="0.25">
      <c r="A2552">
        <v>2551</v>
      </c>
      <c r="B2552">
        <v>53</v>
      </c>
      <c r="C2552" t="str" cm="1">
        <f t="array" ref="C2552">_xlfn.IFS(
  AND(B2552&gt;=18, B2552&lt;=24), "18-24",
  AND(B2552&gt;=25, B2552&lt;=34), "25-34",
  AND(B2552&gt;=35, B2552&lt;=44), "35-44",
  AND(B2552&gt;=45, B2552&lt;=54), "45-54",
  B2552&gt;=55, "55+"
)</f>
        <v>45-54</v>
      </c>
      <c r="D2552" t="s">
        <v>19</v>
      </c>
      <c r="E2552" t="s">
        <v>132</v>
      </c>
      <c r="F2552" t="s">
        <v>43</v>
      </c>
      <c r="G2552">
        <v>52</v>
      </c>
      <c r="H2552" t="s">
        <v>83</v>
      </c>
      <c r="I2552" t="s">
        <v>92</v>
      </c>
      <c r="J2552" t="s">
        <v>100</v>
      </c>
      <c r="K2552" t="s">
        <v>58</v>
      </c>
      <c r="L2552">
        <v>3</v>
      </c>
      <c r="M2552" t="s">
        <v>152</v>
      </c>
      <c r="N2552" t="s">
        <v>27</v>
      </c>
      <c r="O2552" t="s">
        <v>76</v>
      </c>
      <c r="P2552" t="s">
        <v>152</v>
      </c>
      <c r="Q2552" t="s">
        <v>152</v>
      </c>
      <c r="R2552">
        <v>30</v>
      </c>
      <c r="S2552" t="s">
        <v>59</v>
      </c>
      <c r="T2552" t="str">
        <f t="shared" si="78"/>
        <v>2-week</v>
      </c>
      <c r="U2552">
        <f>VLOOKUP(T2552,[1]tablescore!$B$3:$C$8, 2,FALSE)</f>
        <v>26</v>
      </c>
      <c r="V2552" t="str">
        <f t="shared" si="79"/>
        <v>Loyal</v>
      </c>
      <c r="W2552" t="s">
        <v>30</v>
      </c>
    </row>
    <row r="2553" spans="1:23" x14ac:dyDescent="0.25">
      <c r="A2553">
        <v>2552</v>
      </c>
      <c r="B2553">
        <v>29</v>
      </c>
      <c r="C2553" t="str" cm="1">
        <f t="array" ref="C2553">_xlfn.IFS(
  AND(B2553&gt;=18, B2553&lt;=24), "18-24",
  AND(B2553&gt;=25, B2553&lt;=34), "25-34",
  AND(B2553&gt;=35, B2553&lt;=44), "35-44",
  AND(B2553&gt;=45, B2553&lt;=54), "45-54",
  B2553&gt;=55, "55+"
)</f>
        <v>25-34</v>
      </c>
      <c r="D2553" t="s">
        <v>19</v>
      </c>
      <c r="E2553" t="s">
        <v>73</v>
      </c>
      <c r="F2553" t="s">
        <v>43</v>
      </c>
      <c r="G2553">
        <v>32</v>
      </c>
      <c r="H2553" t="s">
        <v>134</v>
      </c>
      <c r="I2553" t="s">
        <v>45</v>
      </c>
      <c r="J2553" t="s">
        <v>33</v>
      </c>
      <c r="K2553" t="s">
        <v>25</v>
      </c>
      <c r="L2553">
        <v>4.0999999999999996</v>
      </c>
      <c r="M2553" t="s">
        <v>152</v>
      </c>
      <c r="N2553" t="s">
        <v>35</v>
      </c>
      <c r="O2553" t="s">
        <v>47</v>
      </c>
      <c r="P2553" t="s">
        <v>152</v>
      </c>
      <c r="Q2553" t="s">
        <v>152</v>
      </c>
      <c r="R2553">
        <v>40</v>
      </c>
      <c r="S2553" t="s">
        <v>59</v>
      </c>
      <c r="T2553" t="str">
        <f t="shared" si="78"/>
        <v>Annually</v>
      </c>
      <c r="U2553">
        <f>VLOOKUP(T2553,[1]tablescore!$B$3:$C$8, 2,FALSE)</f>
        <v>1</v>
      </c>
      <c r="V2553" t="str">
        <f t="shared" si="79"/>
        <v>Low Loyalty</v>
      </c>
      <c r="W2553" t="s">
        <v>50</v>
      </c>
    </row>
    <row r="2554" spans="1:23" x14ac:dyDescent="0.25">
      <c r="A2554">
        <v>2553</v>
      </c>
      <c r="B2554">
        <v>61</v>
      </c>
      <c r="C2554" t="str" cm="1">
        <f t="array" ref="C2554">_xlfn.IFS(
  AND(B2554&gt;=18, B2554&lt;=24), "18-24",
  AND(B2554&gt;=25, B2554&lt;=34), "25-34",
  AND(B2554&gt;=35, B2554&lt;=44), "35-44",
  AND(B2554&gt;=45, B2554&lt;=54), "45-54",
  B2554&gt;=55, "55+"
)</f>
        <v>55+</v>
      </c>
      <c r="D2554" t="s">
        <v>19</v>
      </c>
      <c r="E2554" t="s">
        <v>136</v>
      </c>
      <c r="F2554" t="s">
        <v>69</v>
      </c>
      <c r="G2554">
        <v>48</v>
      </c>
      <c r="H2554" t="s">
        <v>135</v>
      </c>
      <c r="I2554" t="s">
        <v>92</v>
      </c>
      <c r="J2554" t="s">
        <v>75</v>
      </c>
      <c r="K2554" t="s">
        <v>39</v>
      </c>
      <c r="L2554">
        <v>3.2</v>
      </c>
      <c r="M2554" t="s">
        <v>152</v>
      </c>
      <c r="N2554" t="s">
        <v>35</v>
      </c>
      <c r="O2554" t="s">
        <v>72</v>
      </c>
      <c r="P2554" t="s">
        <v>152</v>
      </c>
      <c r="Q2554" t="s">
        <v>152</v>
      </c>
      <c r="R2554">
        <v>13</v>
      </c>
      <c r="S2554" t="s">
        <v>27</v>
      </c>
      <c r="T2554" t="str">
        <f t="shared" si="78"/>
        <v>Annually</v>
      </c>
      <c r="U2554">
        <f>VLOOKUP(T2554,[1]tablescore!$B$3:$C$8, 2,FALSE)</f>
        <v>1</v>
      </c>
      <c r="V2554" t="str">
        <f t="shared" si="79"/>
        <v>Low Loyalty</v>
      </c>
      <c r="W2554" t="s">
        <v>50</v>
      </c>
    </row>
    <row r="2555" spans="1:23" x14ac:dyDescent="0.25">
      <c r="A2555">
        <v>2554</v>
      </c>
      <c r="B2555">
        <v>69</v>
      </c>
      <c r="C2555" t="str" cm="1">
        <f t="array" ref="C2555">_xlfn.IFS(
  AND(B2555&gt;=18, B2555&lt;=24), "18-24",
  AND(B2555&gt;=25, B2555&lt;=34), "25-34",
  AND(B2555&gt;=35, B2555&lt;=44), "35-44",
  AND(B2555&gt;=45, B2555&lt;=54), "45-54",
  B2555&gt;=55, "55+"
)</f>
        <v>55+</v>
      </c>
      <c r="D2555" t="s">
        <v>19</v>
      </c>
      <c r="E2555" t="s">
        <v>106</v>
      </c>
      <c r="F2555" t="s">
        <v>69</v>
      </c>
      <c r="G2555">
        <v>25</v>
      </c>
      <c r="H2555" t="s">
        <v>145</v>
      </c>
      <c r="I2555" t="s">
        <v>45</v>
      </c>
      <c r="J2555" t="s">
        <v>33</v>
      </c>
      <c r="K2555" t="s">
        <v>54</v>
      </c>
      <c r="L2555">
        <v>4.5</v>
      </c>
      <c r="M2555" t="s">
        <v>152</v>
      </c>
      <c r="N2555" t="s">
        <v>35</v>
      </c>
      <c r="O2555" t="s">
        <v>76</v>
      </c>
      <c r="P2555" t="s">
        <v>152</v>
      </c>
      <c r="Q2555" t="s">
        <v>152</v>
      </c>
      <c r="R2555">
        <v>28</v>
      </c>
      <c r="S2555" t="s">
        <v>29</v>
      </c>
      <c r="T2555" t="str">
        <f t="shared" si="78"/>
        <v>Quarterly</v>
      </c>
      <c r="U2555">
        <f>VLOOKUP(T2555,[1]tablescore!$B$3:$C$8, 2,FALSE)</f>
        <v>4</v>
      </c>
      <c r="V2555" t="str">
        <f t="shared" si="79"/>
        <v>Low Loyalty</v>
      </c>
      <c r="W2555" t="s">
        <v>97</v>
      </c>
    </row>
    <row r="2556" spans="1:23" x14ac:dyDescent="0.25">
      <c r="A2556">
        <v>2555</v>
      </c>
      <c r="B2556">
        <v>51</v>
      </c>
      <c r="C2556" t="str" cm="1">
        <f t="array" ref="C2556">_xlfn.IFS(
  AND(B2556&gt;=18, B2556&lt;=24), "18-24",
  AND(B2556&gt;=25, B2556&lt;=34), "25-34",
  AND(B2556&gt;=35, B2556&lt;=44), "35-44",
  AND(B2556&gt;=45, B2556&lt;=54), "45-54",
  B2556&gt;=55, "55+"
)</f>
        <v>45-54</v>
      </c>
      <c r="D2556" t="s">
        <v>19</v>
      </c>
      <c r="E2556" t="s">
        <v>106</v>
      </c>
      <c r="F2556" t="s">
        <v>69</v>
      </c>
      <c r="G2556">
        <v>68</v>
      </c>
      <c r="H2556" t="s">
        <v>111</v>
      </c>
      <c r="I2556" t="s">
        <v>45</v>
      </c>
      <c r="J2556" t="s">
        <v>24</v>
      </c>
      <c r="K2556" t="s">
        <v>54</v>
      </c>
      <c r="L2556">
        <v>4.3</v>
      </c>
      <c r="M2556" t="s">
        <v>152</v>
      </c>
      <c r="N2556" t="s">
        <v>34</v>
      </c>
      <c r="O2556" t="s">
        <v>76</v>
      </c>
      <c r="P2556" t="s">
        <v>152</v>
      </c>
      <c r="Q2556" t="s">
        <v>152</v>
      </c>
      <c r="R2556">
        <v>49</v>
      </c>
      <c r="S2556" t="s">
        <v>59</v>
      </c>
      <c r="T2556" t="str">
        <f t="shared" si="78"/>
        <v>2-week</v>
      </c>
      <c r="U2556">
        <f>VLOOKUP(T2556,[1]tablescore!$B$3:$C$8, 2,FALSE)</f>
        <v>26</v>
      </c>
      <c r="V2556" t="str">
        <f t="shared" si="79"/>
        <v>Loyal</v>
      </c>
      <c r="W2556" t="s">
        <v>77</v>
      </c>
    </row>
    <row r="2557" spans="1:23" x14ac:dyDescent="0.25">
      <c r="A2557">
        <v>2556</v>
      </c>
      <c r="B2557">
        <v>24</v>
      </c>
      <c r="C2557" t="str" cm="1">
        <f t="array" ref="C2557">_xlfn.IFS(
  AND(B2557&gt;=18, B2557&lt;=24), "18-24",
  AND(B2557&gt;=25, B2557&lt;=34), "25-34",
  AND(B2557&gt;=35, B2557&lt;=44), "35-44",
  AND(B2557&gt;=45, B2557&lt;=54), "45-54",
  B2557&gt;=55, "55+"
)</f>
        <v>18-24</v>
      </c>
      <c r="D2557" t="s">
        <v>19</v>
      </c>
      <c r="E2557" t="s">
        <v>95</v>
      </c>
      <c r="F2557" t="s">
        <v>21</v>
      </c>
      <c r="G2557">
        <v>74</v>
      </c>
      <c r="H2557" t="s">
        <v>144</v>
      </c>
      <c r="I2557" t="s">
        <v>45</v>
      </c>
      <c r="J2557" t="s">
        <v>24</v>
      </c>
      <c r="K2557" t="s">
        <v>58</v>
      </c>
      <c r="L2557">
        <v>3.5</v>
      </c>
      <c r="M2557" t="s">
        <v>152</v>
      </c>
      <c r="N2557" t="s">
        <v>46</v>
      </c>
      <c r="O2557" t="s">
        <v>55</v>
      </c>
      <c r="P2557" t="s">
        <v>152</v>
      </c>
      <c r="Q2557" t="s">
        <v>152</v>
      </c>
      <c r="R2557">
        <v>23</v>
      </c>
      <c r="S2557" t="s">
        <v>27</v>
      </c>
      <c r="T2557" t="str">
        <f t="shared" si="78"/>
        <v>Daily</v>
      </c>
      <c r="U2557">
        <f>VLOOKUP(T2557,[1]tablescore!$B$3:$C$8, 2,FALSE)</f>
        <v>30</v>
      </c>
      <c r="V2557" t="str">
        <f t="shared" si="79"/>
        <v>Highly Loyal</v>
      </c>
      <c r="W2557" t="s">
        <v>41</v>
      </c>
    </row>
    <row r="2558" spans="1:23" x14ac:dyDescent="0.25">
      <c r="A2558">
        <v>2557</v>
      </c>
      <c r="B2558">
        <v>24</v>
      </c>
      <c r="C2558" t="str" cm="1">
        <f t="array" ref="C2558">_xlfn.IFS(
  AND(B2558&gt;=18, B2558&lt;=24), "18-24",
  AND(B2558&gt;=25, B2558&lt;=34), "25-34",
  AND(B2558&gt;=35, B2558&lt;=44), "35-44",
  AND(B2558&gt;=45, B2558&lt;=54), "45-54",
  B2558&gt;=55, "55+"
)</f>
        <v>18-24</v>
      </c>
      <c r="D2558" t="s">
        <v>19</v>
      </c>
      <c r="E2558" t="s">
        <v>113</v>
      </c>
      <c r="F2558" t="s">
        <v>21</v>
      </c>
      <c r="G2558">
        <v>88</v>
      </c>
      <c r="H2558" t="s">
        <v>57</v>
      </c>
      <c r="I2558" t="s">
        <v>92</v>
      </c>
      <c r="J2558" t="s">
        <v>147</v>
      </c>
      <c r="K2558" t="s">
        <v>58</v>
      </c>
      <c r="L2558">
        <v>3.1</v>
      </c>
      <c r="M2558" t="s">
        <v>152</v>
      </c>
      <c r="N2558" t="s">
        <v>46</v>
      </c>
      <c r="O2558" t="s">
        <v>55</v>
      </c>
      <c r="P2558" t="s">
        <v>152</v>
      </c>
      <c r="Q2558" t="s">
        <v>152</v>
      </c>
      <c r="R2558">
        <v>4</v>
      </c>
      <c r="S2558" t="s">
        <v>34</v>
      </c>
      <c r="T2558" t="str">
        <f t="shared" si="78"/>
        <v>Quarterly</v>
      </c>
      <c r="U2558">
        <f>VLOOKUP(T2558,[1]tablescore!$B$3:$C$8, 2,FALSE)</f>
        <v>4</v>
      </c>
      <c r="V2558" t="str">
        <f t="shared" si="79"/>
        <v>Low Loyalty</v>
      </c>
      <c r="W2558" t="s">
        <v>60</v>
      </c>
    </row>
    <row r="2559" spans="1:23" x14ac:dyDescent="0.25">
      <c r="A2559">
        <v>2558</v>
      </c>
      <c r="B2559">
        <v>70</v>
      </c>
      <c r="C2559" t="str" cm="1">
        <f t="array" ref="C2559">_xlfn.IFS(
  AND(B2559&gt;=18, B2559&lt;=24), "18-24",
  AND(B2559&gt;=25, B2559&lt;=34), "25-34",
  AND(B2559&gt;=35, B2559&lt;=44), "35-44",
  AND(B2559&gt;=45, B2559&lt;=54), "45-54",
  B2559&gt;=55, "55+"
)</f>
        <v>55+</v>
      </c>
      <c r="D2559" t="s">
        <v>19</v>
      </c>
      <c r="E2559" t="s">
        <v>61</v>
      </c>
      <c r="F2559" t="s">
        <v>21</v>
      </c>
      <c r="G2559">
        <v>23</v>
      </c>
      <c r="H2559" t="s">
        <v>101</v>
      </c>
      <c r="I2559" t="s">
        <v>23</v>
      </c>
      <c r="J2559" t="s">
        <v>109</v>
      </c>
      <c r="K2559" t="s">
        <v>39</v>
      </c>
      <c r="L2559">
        <v>3.9</v>
      </c>
      <c r="M2559" t="s">
        <v>152</v>
      </c>
      <c r="N2559" t="s">
        <v>29</v>
      </c>
      <c r="O2559" t="s">
        <v>55</v>
      </c>
      <c r="P2559" t="s">
        <v>152</v>
      </c>
      <c r="Q2559" t="s">
        <v>152</v>
      </c>
      <c r="R2559">
        <v>17</v>
      </c>
      <c r="S2559" t="s">
        <v>46</v>
      </c>
      <c r="T2559" t="str">
        <f t="shared" si="78"/>
        <v>2-week</v>
      </c>
      <c r="U2559">
        <f>VLOOKUP(T2559,[1]tablescore!$B$3:$C$8, 2,FALSE)</f>
        <v>26</v>
      </c>
      <c r="V2559" t="str">
        <f t="shared" si="79"/>
        <v>Loyal</v>
      </c>
      <c r="W2559" t="s">
        <v>30</v>
      </c>
    </row>
    <row r="2560" spans="1:23" x14ac:dyDescent="0.25">
      <c r="A2560">
        <v>2559</v>
      </c>
      <c r="B2560">
        <v>49</v>
      </c>
      <c r="C2560" t="str" cm="1">
        <f t="array" ref="C2560">_xlfn.IFS(
  AND(B2560&gt;=18, B2560&lt;=24), "18-24",
  AND(B2560&gt;=25, B2560&lt;=34), "25-34",
  AND(B2560&gt;=35, B2560&lt;=44), "35-44",
  AND(B2560&gt;=45, B2560&lt;=54), "45-54",
  B2560&gt;=55, "55+"
)</f>
        <v>45-54</v>
      </c>
      <c r="D2560" t="s">
        <v>19</v>
      </c>
      <c r="E2560" t="s">
        <v>104</v>
      </c>
      <c r="F2560" t="s">
        <v>21</v>
      </c>
      <c r="G2560">
        <v>32</v>
      </c>
      <c r="H2560" t="s">
        <v>99</v>
      </c>
      <c r="I2560" t="s">
        <v>45</v>
      </c>
      <c r="J2560" t="s">
        <v>67</v>
      </c>
      <c r="K2560" t="s">
        <v>58</v>
      </c>
      <c r="L2560">
        <v>2.7</v>
      </c>
      <c r="M2560" t="s">
        <v>152</v>
      </c>
      <c r="N2560" t="s">
        <v>35</v>
      </c>
      <c r="O2560" t="s">
        <v>28</v>
      </c>
      <c r="P2560" t="s">
        <v>152</v>
      </c>
      <c r="Q2560" t="s">
        <v>152</v>
      </c>
      <c r="R2560">
        <v>24</v>
      </c>
      <c r="S2560" t="s">
        <v>46</v>
      </c>
      <c r="T2560" t="str">
        <f t="shared" si="78"/>
        <v>2-week</v>
      </c>
      <c r="U2560">
        <f>VLOOKUP(T2560,[1]tablescore!$B$3:$C$8, 2,FALSE)</f>
        <v>26</v>
      </c>
      <c r="V2560" t="str">
        <f t="shared" si="79"/>
        <v>Loyal</v>
      </c>
      <c r="W2560" t="s">
        <v>30</v>
      </c>
    </row>
    <row r="2561" spans="1:23" x14ac:dyDescent="0.25">
      <c r="A2561">
        <v>2560</v>
      </c>
      <c r="B2561">
        <v>48</v>
      </c>
      <c r="C2561" t="str" cm="1">
        <f t="array" ref="C2561">_xlfn.IFS(
  AND(B2561&gt;=18, B2561&lt;=24), "18-24",
  AND(B2561&gt;=25, B2561&lt;=34), "25-34",
  AND(B2561&gt;=35, B2561&lt;=44), "35-44",
  AND(B2561&gt;=45, B2561&lt;=54), "45-54",
  B2561&gt;=55, "55+"
)</f>
        <v>45-54</v>
      </c>
      <c r="D2561" t="s">
        <v>19</v>
      </c>
      <c r="E2561" t="s">
        <v>136</v>
      </c>
      <c r="F2561" t="s">
        <v>69</v>
      </c>
      <c r="G2561">
        <v>71</v>
      </c>
      <c r="H2561" t="s">
        <v>91</v>
      </c>
      <c r="I2561" t="s">
        <v>38</v>
      </c>
      <c r="J2561" t="s">
        <v>96</v>
      </c>
      <c r="K2561" t="s">
        <v>25</v>
      </c>
      <c r="L2561">
        <v>4</v>
      </c>
      <c r="M2561" t="s">
        <v>152</v>
      </c>
      <c r="N2561" t="s">
        <v>29</v>
      </c>
      <c r="O2561" t="s">
        <v>40</v>
      </c>
      <c r="P2561" t="s">
        <v>152</v>
      </c>
      <c r="Q2561" t="s">
        <v>152</v>
      </c>
      <c r="R2561">
        <v>21</v>
      </c>
      <c r="S2561" t="s">
        <v>59</v>
      </c>
      <c r="T2561" t="str">
        <f t="shared" si="78"/>
        <v>Quarterly</v>
      </c>
      <c r="U2561">
        <f>VLOOKUP(T2561,[1]tablescore!$B$3:$C$8, 2,FALSE)</f>
        <v>4</v>
      </c>
      <c r="V2561" t="str">
        <f t="shared" si="79"/>
        <v>Low Loyalty</v>
      </c>
      <c r="W2561" t="s">
        <v>97</v>
      </c>
    </row>
    <row r="2562" spans="1:23" x14ac:dyDescent="0.25">
      <c r="A2562">
        <v>2561</v>
      </c>
      <c r="B2562">
        <v>58</v>
      </c>
      <c r="C2562" t="str" cm="1">
        <f t="array" ref="C2562">_xlfn.IFS(
  AND(B2562&gt;=18, B2562&lt;=24), "18-24",
  AND(B2562&gt;=25, B2562&lt;=34), "25-34",
  AND(B2562&gt;=35, B2562&lt;=44), "35-44",
  AND(B2562&gt;=45, B2562&lt;=54), "45-54",
  B2562&gt;=55, "55+"
)</f>
        <v>55+</v>
      </c>
      <c r="D2562" t="s">
        <v>19</v>
      </c>
      <c r="E2562" t="s">
        <v>132</v>
      </c>
      <c r="F2562" t="s">
        <v>43</v>
      </c>
      <c r="G2562">
        <v>62</v>
      </c>
      <c r="H2562" t="s">
        <v>99</v>
      </c>
      <c r="I2562" t="s">
        <v>45</v>
      </c>
      <c r="J2562" t="s">
        <v>84</v>
      </c>
      <c r="K2562" t="s">
        <v>39</v>
      </c>
      <c r="L2562">
        <v>2.7</v>
      </c>
      <c r="M2562" t="s">
        <v>152</v>
      </c>
      <c r="N2562" t="s">
        <v>59</v>
      </c>
      <c r="O2562" t="s">
        <v>47</v>
      </c>
      <c r="P2562" t="s">
        <v>152</v>
      </c>
      <c r="Q2562" t="s">
        <v>152</v>
      </c>
      <c r="R2562">
        <v>17</v>
      </c>
      <c r="S2562" t="s">
        <v>59</v>
      </c>
      <c r="T2562" t="str">
        <f t="shared" si="78"/>
        <v>2-week</v>
      </c>
      <c r="U2562">
        <f>VLOOKUP(T2562,[1]tablescore!$B$3:$C$8, 2,FALSE)</f>
        <v>26</v>
      </c>
      <c r="V2562" t="str">
        <f t="shared" si="79"/>
        <v>Loyal</v>
      </c>
      <c r="W2562" t="s">
        <v>77</v>
      </c>
    </row>
    <row r="2563" spans="1:23" x14ac:dyDescent="0.25">
      <c r="A2563">
        <v>2562</v>
      </c>
      <c r="B2563">
        <v>32</v>
      </c>
      <c r="C2563" t="str" cm="1">
        <f t="array" ref="C2563">_xlfn.IFS(
  AND(B2563&gt;=18, B2563&lt;=24), "18-24",
  AND(B2563&gt;=25, B2563&lt;=34), "25-34",
  AND(B2563&gt;=35, B2563&lt;=44), "35-44",
  AND(B2563&gt;=45, B2563&lt;=54), "45-54",
  B2563&gt;=55, "55+"
)</f>
        <v>25-34</v>
      </c>
      <c r="D2563" t="s">
        <v>19</v>
      </c>
      <c r="E2563" t="s">
        <v>104</v>
      </c>
      <c r="F2563" t="s">
        <v>21</v>
      </c>
      <c r="G2563">
        <v>20</v>
      </c>
      <c r="H2563" t="s">
        <v>85</v>
      </c>
      <c r="I2563" t="s">
        <v>23</v>
      </c>
      <c r="J2563" t="s">
        <v>147</v>
      </c>
      <c r="K2563" t="s">
        <v>39</v>
      </c>
      <c r="L2563">
        <v>2.7</v>
      </c>
      <c r="M2563" t="s">
        <v>152</v>
      </c>
      <c r="N2563" t="s">
        <v>27</v>
      </c>
      <c r="O2563" t="s">
        <v>40</v>
      </c>
      <c r="P2563" t="s">
        <v>152</v>
      </c>
      <c r="Q2563" t="s">
        <v>152</v>
      </c>
      <c r="R2563">
        <v>22</v>
      </c>
      <c r="S2563" t="s">
        <v>59</v>
      </c>
      <c r="T2563" t="str">
        <f t="shared" ref="T2563:T2626" si="80">IF(TRIM(W2563)="Every 3 months","Quarterly",IF(TRIM(W2563)="Fortnightly","2-week",IF(TRIM(W2563)="Bi-Weekly","2-week",IF(TRIM(W2563)="Weekly","Daily",IF(TRIM(W2563)="Monthly","Month",TRIM(W2563))))))</f>
        <v>Quarterly</v>
      </c>
      <c r="U2563">
        <f>VLOOKUP(T2563,[1]tablescore!$B$3:$C$8, 2,FALSE)</f>
        <v>4</v>
      </c>
      <c r="V2563" t="str">
        <f t="shared" ref="V2563:V2626" si="81">_xlfn.IFS(U2563&gt;=30, "Highly Loyal", U2563&gt;=26, "Loyal", U2563&gt;=12, "Moderate", U2563&lt;5, "Low Loyalty")</f>
        <v>Low Loyalty</v>
      </c>
      <c r="W2563" t="s">
        <v>60</v>
      </c>
    </row>
    <row r="2564" spans="1:23" x14ac:dyDescent="0.25">
      <c r="A2564">
        <v>2563</v>
      </c>
      <c r="B2564">
        <v>57</v>
      </c>
      <c r="C2564" t="str" cm="1">
        <f t="array" ref="C2564">_xlfn.IFS(
  AND(B2564&gt;=18, B2564&lt;=24), "18-24",
  AND(B2564&gt;=25, B2564&lt;=34), "25-34",
  AND(B2564&gt;=35, B2564&lt;=44), "35-44",
  AND(B2564&gt;=45, B2564&lt;=54), "45-54",
  B2564&gt;=55, "55+"
)</f>
        <v>55+</v>
      </c>
      <c r="D2564" t="s">
        <v>19</v>
      </c>
      <c r="E2564" t="s">
        <v>61</v>
      </c>
      <c r="F2564" t="s">
        <v>21</v>
      </c>
      <c r="G2564">
        <v>62</v>
      </c>
      <c r="H2564" t="s">
        <v>117</v>
      </c>
      <c r="I2564" t="s">
        <v>92</v>
      </c>
      <c r="J2564" t="s">
        <v>139</v>
      </c>
      <c r="K2564" t="s">
        <v>39</v>
      </c>
      <c r="L2564">
        <v>4.7</v>
      </c>
      <c r="M2564" t="s">
        <v>152</v>
      </c>
      <c r="N2564" t="s">
        <v>59</v>
      </c>
      <c r="O2564" t="s">
        <v>55</v>
      </c>
      <c r="P2564" t="s">
        <v>152</v>
      </c>
      <c r="Q2564" t="s">
        <v>152</v>
      </c>
      <c r="R2564">
        <v>27</v>
      </c>
      <c r="S2564" t="s">
        <v>35</v>
      </c>
      <c r="T2564" t="str">
        <f t="shared" si="80"/>
        <v>2-week</v>
      </c>
      <c r="U2564">
        <f>VLOOKUP(T2564,[1]tablescore!$B$3:$C$8, 2,FALSE)</f>
        <v>26</v>
      </c>
      <c r="V2564" t="str">
        <f t="shared" si="81"/>
        <v>Loyal</v>
      </c>
      <c r="W2564" t="s">
        <v>30</v>
      </c>
    </row>
    <row r="2565" spans="1:23" x14ac:dyDescent="0.25">
      <c r="A2565">
        <v>2564</v>
      </c>
      <c r="B2565">
        <v>69</v>
      </c>
      <c r="C2565" t="str" cm="1">
        <f t="array" ref="C2565">_xlfn.IFS(
  AND(B2565&gt;=18, B2565&lt;=24), "18-24",
  AND(B2565&gt;=25, B2565&lt;=34), "25-34",
  AND(B2565&gt;=35, B2565&lt;=44), "35-44",
  AND(B2565&gt;=45, B2565&lt;=54), "45-54",
  B2565&gt;=55, "55+"
)</f>
        <v>55+</v>
      </c>
      <c r="D2565" t="s">
        <v>19</v>
      </c>
      <c r="E2565" t="s">
        <v>133</v>
      </c>
      <c r="F2565" t="s">
        <v>69</v>
      </c>
      <c r="G2565">
        <v>81</v>
      </c>
      <c r="H2565" t="s">
        <v>37</v>
      </c>
      <c r="I2565" t="s">
        <v>92</v>
      </c>
      <c r="J2565" t="s">
        <v>24</v>
      </c>
      <c r="K2565" t="s">
        <v>25</v>
      </c>
      <c r="L2565">
        <v>4.5</v>
      </c>
      <c r="M2565" t="s">
        <v>152</v>
      </c>
      <c r="N2565" t="s">
        <v>46</v>
      </c>
      <c r="O2565" t="s">
        <v>55</v>
      </c>
      <c r="P2565" t="s">
        <v>152</v>
      </c>
      <c r="Q2565" t="s">
        <v>152</v>
      </c>
      <c r="R2565">
        <v>1</v>
      </c>
      <c r="S2565" t="s">
        <v>29</v>
      </c>
      <c r="T2565" t="str">
        <f t="shared" si="80"/>
        <v>Quarterly</v>
      </c>
      <c r="U2565">
        <f>VLOOKUP(T2565,[1]tablescore!$B$3:$C$8, 2,FALSE)</f>
        <v>4</v>
      </c>
      <c r="V2565" t="str">
        <f t="shared" si="81"/>
        <v>Low Loyalty</v>
      </c>
      <c r="W2565" t="s">
        <v>97</v>
      </c>
    </row>
    <row r="2566" spans="1:23" x14ac:dyDescent="0.25">
      <c r="A2566">
        <v>2565</v>
      </c>
      <c r="B2566">
        <v>42</v>
      </c>
      <c r="C2566" t="str" cm="1">
        <f t="array" ref="C2566">_xlfn.IFS(
  AND(B2566&gt;=18, B2566&lt;=24), "18-24",
  AND(B2566&gt;=25, B2566&lt;=34), "25-34",
  AND(B2566&gt;=35, B2566&lt;=44), "35-44",
  AND(B2566&gt;=45, B2566&lt;=54), "45-54",
  B2566&gt;=55, "55+"
)</f>
        <v>35-44</v>
      </c>
      <c r="D2566" t="s">
        <v>19</v>
      </c>
      <c r="E2566" t="s">
        <v>119</v>
      </c>
      <c r="F2566" t="s">
        <v>69</v>
      </c>
      <c r="G2566">
        <v>90</v>
      </c>
      <c r="H2566" t="s">
        <v>22</v>
      </c>
      <c r="I2566" t="s">
        <v>23</v>
      </c>
      <c r="J2566" t="s">
        <v>129</v>
      </c>
      <c r="K2566" t="s">
        <v>25</v>
      </c>
      <c r="L2566">
        <v>3</v>
      </c>
      <c r="M2566" t="s">
        <v>152</v>
      </c>
      <c r="N2566" t="s">
        <v>59</v>
      </c>
      <c r="O2566" t="s">
        <v>72</v>
      </c>
      <c r="P2566" t="s">
        <v>152</v>
      </c>
      <c r="Q2566" t="s">
        <v>152</v>
      </c>
      <c r="R2566">
        <v>27</v>
      </c>
      <c r="S2566" t="s">
        <v>34</v>
      </c>
      <c r="T2566" t="str">
        <f t="shared" si="80"/>
        <v>Daily</v>
      </c>
      <c r="U2566">
        <f>VLOOKUP(T2566,[1]tablescore!$B$3:$C$8, 2,FALSE)</f>
        <v>30</v>
      </c>
      <c r="V2566" t="str">
        <f t="shared" si="81"/>
        <v>Highly Loyal</v>
      </c>
      <c r="W2566" t="s">
        <v>41</v>
      </c>
    </row>
    <row r="2567" spans="1:23" x14ac:dyDescent="0.25">
      <c r="A2567">
        <v>2566</v>
      </c>
      <c r="B2567">
        <v>30</v>
      </c>
      <c r="C2567" t="str" cm="1">
        <f t="array" ref="C2567">_xlfn.IFS(
  AND(B2567&gt;=18, B2567&lt;=24), "18-24",
  AND(B2567&gt;=25, B2567&lt;=34), "25-34",
  AND(B2567&gt;=35, B2567&lt;=44), "35-44",
  AND(B2567&gt;=45, B2567&lt;=54), "45-54",
  B2567&gt;=55, "55+"
)</f>
        <v>25-34</v>
      </c>
      <c r="D2567" t="s">
        <v>19</v>
      </c>
      <c r="E2567" t="s">
        <v>131</v>
      </c>
      <c r="F2567" t="s">
        <v>21</v>
      </c>
      <c r="G2567">
        <v>43</v>
      </c>
      <c r="H2567" t="s">
        <v>145</v>
      </c>
      <c r="I2567" t="s">
        <v>38</v>
      </c>
      <c r="J2567" t="s">
        <v>129</v>
      </c>
      <c r="K2567" t="s">
        <v>58</v>
      </c>
      <c r="L2567">
        <v>3.6</v>
      </c>
      <c r="M2567" t="s">
        <v>152</v>
      </c>
      <c r="N2567" t="s">
        <v>59</v>
      </c>
      <c r="O2567" t="s">
        <v>76</v>
      </c>
      <c r="P2567" t="s">
        <v>152</v>
      </c>
      <c r="Q2567" t="s">
        <v>152</v>
      </c>
      <c r="R2567">
        <v>8</v>
      </c>
      <c r="S2567" t="s">
        <v>29</v>
      </c>
      <c r="T2567" t="str">
        <f t="shared" si="80"/>
        <v>Quarterly</v>
      </c>
      <c r="U2567">
        <f>VLOOKUP(T2567,[1]tablescore!$B$3:$C$8, 2,FALSE)</f>
        <v>4</v>
      </c>
      <c r="V2567" t="str">
        <f t="shared" si="81"/>
        <v>Low Loyalty</v>
      </c>
      <c r="W2567" t="s">
        <v>60</v>
      </c>
    </row>
    <row r="2568" spans="1:23" x14ac:dyDescent="0.25">
      <c r="A2568">
        <v>2567</v>
      </c>
      <c r="B2568">
        <v>35</v>
      </c>
      <c r="C2568" t="str" cm="1">
        <f t="array" ref="C2568">_xlfn.IFS(
  AND(B2568&gt;=18, B2568&lt;=24), "18-24",
  AND(B2568&gt;=25, B2568&lt;=34), "25-34",
  AND(B2568&gt;=35, B2568&lt;=44), "35-44",
  AND(B2568&gt;=45, B2568&lt;=54), "45-54",
  B2568&gt;=55, "55+"
)</f>
        <v>35-44</v>
      </c>
      <c r="D2568" t="s">
        <v>19</v>
      </c>
      <c r="E2568" t="s">
        <v>68</v>
      </c>
      <c r="F2568" t="s">
        <v>69</v>
      </c>
      <c r="G2568">
        <v>38</v>
      </c>
      <c r="H2568" t="s">
        <v>70</v>
      </c>
      <c r="I2568" t="s">
        <v>38</v>
      </c>
      <c r="J2568" t="s">
        <v>139</v>
      </c>
      <c r="K2568" t="s">
        <v>58</v>
      </c>
      <c r="L2568">
        <v>3.3</v>
      </c>
      <c r="M2568" t="s">
        <v>152</v>
      </c>
      <c r="N2568" t="s">
        <v>27</v>
      </c>
      <c r="O2568" t="s">
        <v>55</v>
      </c>
      <c r="P2568" t="s">
        <v>152</v>
      </c>
      <c r="Q2568" t="s">
        <v>152</v>
      </c>
      <c r="R2568">
        <v>43</v>
      </c>
      <c r="S2568" t="s">
        <v>46</v>
      </c>
      <c r="T2568" t="str">
        <f t="shared" si="80"/>
        <v>Quarterly</v>
      </c>
      <c r="U2568">
        <f>VLOOKUP(T2568,[1]tablescore!$B$3:$C$8, 2,FALSE)</f>
        <v>4</v>
      </c>
      <c r="V2568" t="str">
        <f t="shared" si="81"/>
        <v>Low Loyalty</v>
      </c>
      <c r="W2568" t="s">
        <v>60</v>
      </c>
    </row>
    <row r="2569" spans="1:23" x14ac:dyDescent="0.25">
      <c r="A2569">
        <v>2568</v>
      </c>
      <c r="B2569">
        <v>19</v>
      </c>
      <c r="C2569" t="str" cm="1">
        <f t="array" ref="C2569">_xlfn.IFS(
  AND(B2569&gt;=18, B2569&lt;=24), "18-24",
  AND(B2569&gt;=25, B2569&lt;=34), "25-34",
  AND(B2569&gt;=35, B2569&lt;=44), "35-44",
  AND(B2569&gt;=45, B2569&lt;=54), "45-54",
  B2569&gt;=55, "55+"
)</f>
        <v>18-24</v>
      </c>
      <c r="D2569" t="s">
        <v>19</v>
      </c>
      <c r="E2569" t="s">
        <v>89</v>
      </c>
      <c r="F2569" t="s">
        <v>69</v>
      </c>
      <c r="G2569">
        <v>25</v>
      </c>
      <c r="H2569" t="s">
        <v>151</v>
      </c>
      <c r="I2569" t="s">
        <v>92</v>
      </c>
      <c r="J2569" t="s">
        <v>81</v>
      </c>
      <c r="K2569" t="s">
        <v>39</v>
      </c>
      <c r="L2569">
        <v>4.3</v>
      </c>
      <c r="M2569" t="s">
        <v>152</v>
      </c>
      <c r="N2569" t="s">
        <v>29</v>
      </c>
      <c r="O2569" t="s">
        <v>76</v>
      </c>
      <c r="P2569" t="s">
        <v>152</v>
      </c>
      <c r="Q2569" t="s">
        <v>152</v>
      </c>
      <c r="R2569">
        <v>24</v>
      </c>
      <c r="S2569" t="s">
        <v>35</v>
      </c>
      <c r="T2569" t="str">
        <f t="shared" si="80"/>
        <v>2-week</v>
      </c>
      <c r="U2569">
        <f>VLOOKUP(T2569,[1]tablescore!$B$3:$C$8, 2,FALSE)</f>
        <v>26</v>
      </c>
      <c r="V2569" t="str">
        <f t="shared" si="81"/>
        <v>Loyal</v>
      </c>
      <c r="W2569" t="s">
        <v>30</v>
      </c>
    </row>
    <row r="2570" spans="1:23" x14ac:dyDescent="0.25">
      <c r="A2570">
        <v>2569</v>
      </c>
      <c r="B2570">
        <v>52</v>
      </c>
      <c r="C2570" t="str" cm="1">
        <f t="array" ref="C2570">_xlfn.IFS(
  AND(B2570&gt;=18, B2570&lt;=24), "18-24",
  AND(B2570&gt;=25, B2570&lt;=34), "25-34",
  AND(B2570&gt;=35, B2570&lt;=44), "35-44",
  AND(B2570&gt;=45, B2570&lt;=54), "45-54",
  B2570&gt;=55, "55+"
)</f>
        <v>45-54</v>
      </c>
      <c r="D2570" t="s">
        <v>19</v>
      </c>
      <c r="E2570" t="s">
        <v>113</v>
      </c>
      <c r="F2570" t="s">
        <v>21</v>
      </c>
      <c r="G2570">
        <v>98</v>
      </c>
      <c r="H2570" t="s">
        <v>105</v>
      </c>
      <c r="I2570" t="s">
        <v>92</v>
      </c>
      <c r="J2570" t="s">
        <v>96</v>
      </c>
      <c r="K2570" t="s">
        <v>25</v>
      </c>
      <c r="L2570">
        <v>4.3</v>
      </c>
      <c r="M2570" t="s">
        <v>152</v>
      </c>
      <c r="N2570" t="s">
        <v>35</v>
      </c>
      <c r="O2570" t="s">
        <v>28</v>
      </c>
      <c r="P2570" t="s">
        <v>152</v>
      </c>
      <c r="Q2570" t="s">
        <v>152</v>
      </c>
      <c r="R2570">
        <v>29</v>
      </c>
      <c r="S2570" t="s">
        <v>46</v>
      </c>
      <c r="T2570" t="str">
        <f t="shared" si="80"/>
        <v>2-week</v>
      </c>
      <c r="U2570">
        <f>VLOOKUP(T2570,[1]tablescore!$B$3:$C$8, 2,FALSE)</f>
        <v>26</v>
      </c>
      <c r="V2570" t="str">
        <f t="shared" si="81"/>
        <v>Loyal</v>
      </c>
      <c r="W2570" t="s">
        <v>30</v>
      </c>
    </row>
    <row r="2571" spans="1:23" x14ac:dyDescent="0.25">
      <c r="A2571">
        <v>2570</v>
      </c>
      <c r="B2571">
        <v>42</v>
      </c>
      <c r="C2571" t="str" cm="1">
        <f t="array" ref="C2571">_xlfn.IFS(
  AND(B2571&gt;=18, B2571&lt;=24), "18-24",
  AND(B2571&gt;=25, B2571&lt;=34), "25-34",
  AND(B2571&gt;=35, B2571&lt;=44), "35-44",
  AND(B2571&gt;=45, B2571&lt;=54), "45-54",
  B2571&gt;=55, "55+"
)</f>
        <v>35-44</v>
      </c>
      <c r="D2571" t="s">
        <v>19</v>
      </c>
      <c r="E2571" t="s">
        <v>82</v>
      </c>
      <c r="F2571" t="s">
        <v>21</v>
      </c>
      <c r="G2571">
        <v>75</v>
      </c>
      <c r="H2571" t="s">
        <v>85</v>
      </c>
      <c r="I2571" t="s">
        <v>45</v>
      </c>
      <c r="J2571" t="s">
        <v>63</v>
      </c>
      <c r="K2571" t="s">
        <v>39</v>
      </c>
      <c r="L2571">
        <v>4.8</v>
      </c>
      <c r="M2571" t="s">
        <v>152</v>
      </c>
      <c r="N2571" t="s">
        <v>59</v>
      </c>
      <c r="O2571" t="s">
        <v>40</v>
      </c>
      <c r="P2571" t="s">
        <v>152</v>
      </c>
      <c r="Q2571" t="s">
        <v>152</v>
      </c>
      <c r="R2571">
        <v>10</v>
      </c>
      <c r="S2571" t="s">
        <v>34</v>
      </c>
      <c r="T2571" t="str">
        <f t="shared" si="80"/>
        <v>2-week</v>
      </c>
      <c r="U2571">
        <f>VLOOKUP(T2571,[1]tablescore!$B$3:$C$8, 2,FALSE)</f>
        <v>26</v>
      </c>
      <c r="V2571" t="str">
        <f t="shared" si="81"/>
        <v>Loyal</v>
      </c>
      <c r="W2571" t="s">
        <v>77</v>
      </c>
    </row>
    <row r="2572" spans="1:23" x14ac:dyDescent="0.25">
      <c r="A2572">
        <v>2571</v>
      </c>
      <c r="B2572">
        <v>36</v>
      </c>
      <c r="C2572" t="str" cm="1">
        <f t="array" ref="C2572">_xlfn.IFS(
  AND(B2572&gt;=18, B2572&lt;=24), "18-24",
  AND(B2572&gt;=25, B2572&lt;=34), "25-34",
  AND(B2572&gt;=35, B2572&lt;=44), "35-44",
  AND(B2572&gt;=45, B2572&lt;=54), "45-54",
  B2572&gt;=55, "55+"
)</f>
        <v>35-44</v>
      </c>
      <c r="D2572" t="s">
        <v>19</v>
      </c>
      <c r="E2572" t="s">
        <v>51</v>
      </c>
      <c r="F2572" t="s">
        <v>43</v>
      </c>
      <c r="G2572">
        <v>27</v>
      </c>
      <c r="H2572" t="s">
        <v>123</v>
      </c>
      <c r="I2572" t="s">
        <v>92</v>
      </c>
      <c r="J2572" t="s">
        <v>79</v>
      </c>
      <c r="K2572" t="s">
        <v>39</v>
      </c>
      <c r="L2572">
        <v>4</v>
      </c>
      <c r="M2572" t="s">
        <v>152</v>
      </c>
      <c r="N2572" t="s">
        <v>34</v>
      </c>
      <c r="O2572" t="s">
        <v>76</v>
      </c>
      <c r="P2572" t="s">
        <v>152</v>
      </c>
      <c r="Q2572" t="s">
        <v>152</v>
      </c>
      <c r="R2572">
        <v>12</v>
      </c>
      <c r="S2572" t="s">
        <v>46</v>
      </c>
      <c r="T2572" t="str">
        <f t="shared" si="80"/>
        <v>2-week</v>
      </c>
      <c r="U2572">
        <f>VLOOKUP(T2572,[1]tablescore!$B$3:$C$8, 2,FALSE)</f>
        <v>26</v>
      </c>
      <c r="V2572" t="str">
        <f t="shared" si="81"/>
        <v>Loyal</v>
      </c>
      <c r="W2572" t="s">
        <v>30</v>
      </c>
    </row>
    <row r="2573" spans="1:23" x14ac:dyDescent="0.25">
      <c r="A2573">
        <v>2572</v>
      </c>
      <c r="B2573">
        <v>45</v>
      </c>
      <c r="C2573" t="str" cm="1">
        <f t="array" ref="C2573">_xlfn.IFS(
  AND(B2573&gt;=18, B2573&lt;=24), "18-24",
  AND(B2573&gt;=25, B2573&lt;=34), "25-34",
  AND(B2573&gt;=35, B2573&lt;=44), "35-44",
  AND(B2573&gt;=45, B2573&lt;=54), "45-54",
  B2573&gt;=55, "55+"
)</f>
        <v>45-54</v>
      </c>
      <c r="D2573" t="s">
        <v>19</v>
      </c>
      <c r="E2573" t="s">
        <v>89</v>
      </c>
      <c r="F2573" t="s">
        <v>69</v>
      </c>
      <c r="G2573">
        <v>27</v>
      </c>
      <c r="H2573" t="s">
        <v>91</v>
      </c>
      <c r="I2573" t="s">
        <v>23</v>
      </c>
      <c r="J2573" t="s">
        <v>94</v>
      </c>
      <c r="K2573" t="s">
        <v>25</v>
      </c>
      <c r="L2573">
        <v>3.5</v>
      </c>
      <c r="M2573" t="s">
        <v>152</v>
      </c>
      <c r="N2573" t="s">
        <v>27</v>
      </c>
      <c r="O2573" t="s">
        <v>55</v>
      </c>
      <c r="P2573" t="s">
        <v>152</v>
      </c>
      <c r="Q2573" t="s">
        <v>152</v>
      </c>
      <c r="R2573">
        <v>48</v>
      </c>
      <c r="S2573" t="s">
        <v>35</v>
      </c>
      <c r="T2573" t="str">
        <f t="shared" si="80"/>
        <v>2-week</v>
      </c>
      <c r="U2573">
        <f>VLOOKUP(T2573,[1]tablescore!$B$3:$C$8, 2,FALSE)</f>
        <v>26</v>
      </c>
      <c r="V2573" t="str">
        <f t="shared" si="81"/>
        <v>Loyal</v>
      </c>
      <c r="W2573" t="s">
        <v>30</v>
      </c>
    </row>
    <row r="2574" spans="1:23" x14ac:dyDescent="0.25">
      <c r="A2574">
        <v>2573</v>
      </c>
      <c r="B2574">
        <v>54</v>
      </c>
      <c r="C2574" t="str" cm="1">
        <f t="array" ref="C2574">_xlfn.IFS(
  AND(B2574&gt;=18, B2574&lt;=24), "18-24",
  AND(B2574&gt;=25, B2574&lt;=34), "25-34",
  AND(B2574&gt;=35, B2574&lt;=44), "35-44",
  AND(B2574&gt;=45, B2574&lt;=54), "45-54",
  B2574&gt;=55, "55+"
)</f>
        <v>45-54</v>
      </c>
      <c r="D2574" t="s">
        <v>19</v>
      </c>
      <c r="E2574" t="s">
        <v>20</v>
      </c>
      <c r="F2574" t="s">
        <v>21</v>
      </c>
      <c r="G2574">
        <v>42</v>
      </c>
      <c r="H2574" t="s">
        <v>140</v>
      </c>
      <c r="I2574" t="s">
        <v>45</v>
      </c>
      <c r="J2574" t="s">
        <v>67</v>
      </c>
      <c r="K2574" t="s">
        <v>58</v>
      </c>
      <c r="L2574">
        <v>3.9</v>
      </c>
      <c r="M2574" t="s">
        <v>152</v>
      </c>
      <c r="N2574" t="s">
        <v>59</v>
      </c>
      <c r="O2574" t="s">
        <v>47</v>
      </c>
      <c r="P2574" t="s">
        <v>152</v>
      </c>
      <c r="Q2574" t="s">
        <v>152</v>
      </c>
      <c r="R2574">
        <v>40</v>
      </c>
      <c r="S2574" t="s">
        <v>34</v>
      </c>
      <c r="T2574" t="str">
        <f t="shared" si="80"/>
        <v>Quarterly</v>
      </c>
      <c r="U2574">
        <f>VLOOKUP(T2574,[1]tablescore!$B$3:$C$8, 2,FALSE)</f>
        <v>4</v>
      </c>
      <c r="V2574" t="str">
        <f t="shared" si="81"/>
        <v>Low Loyalty</v>
      </c>
      <c r="W2574" t="s">
        <v>60</v>
      </c>
    </row>
    <row r="2575" spans="1:23" x14ac:dyDescent="0.25">
      <c r="A2575">
        <v>2574</v>
      </c>
      <c r="B2575">
        <v>54</v>
      </c>
      <c r="C2575" t="str" cm="1">
        <f t="array" ref="C2575">_xlfn.IFS(
  AND(B2575&gt;=18, B2575&lt;=24), "18-24",
  AND(B2575&gt;=25, B2575&lt;=34), "25-34",
  AND(B2575&gt;=35, B2575&lt;=44), "35-44",
  AND(B2575&gt;=45, B2575&lt;=54), "45-54",
  B2575&gt;=55, "55+"
)</f>
        <v>45-54</v>
      </c>
      <c r="D2575" t="s">
        <v>19</v>
      </c>
      <c r="E2575" t="s">
        <v>113</v>
      </c>
      <c r="F2575" t="s">
        <v>21</v>
      </c>
      <c r="G2575">
        <v>90</v>
      </c>
      <c r="H2575" t="s">
        <v>123</v>
      </c>
      <c r="I2575" t="s">
        <v>45</v>
      </c>
      <c r="J2575" t="s">
        <v>108</v>
      </c>
      <c r="K2575" t="s">
        <v>54</v>
      </c>
      <c r="L2575">
        <v>4.4000000000000004</v>
      </c>
      <c r="M2575" t="s">
        <v>152</v>
      </c>
      <c r="N2575" t="s">
        <v>34</v>
      </c>
      <c r="O2575" t="s">
        <v>76</v>
      </c>
      <c r="P2575" t="s">
        <v>152</v>
      </c>
      <c r="Q2575" t="s">
        <v>152</v>
      </c>
      <c r="R2575">
        <v>1</v>
      </c>
      <c r="S2575" t="s">
        <v>34</v>
      </c>
      <c r="T2575" t="str">
        <f t="shared" si="80"/>
        <v>Annually</v>
      </c>
      <c r="U2575">
        <f>VLOOKUP(T2575,[1]tablescore!$B$3:$C$8, 2,FALSE)</f>
        <v>1</v>
      </c>
      <c r="V2575" t="str">
        <f t="shared" si="81"/>
        <v>Low Loyalty</v>
      </c>
      <c r="W2575" t="s">
        <v>50</v>
      </c>
    </row>
    <row r="2576" spans="1:23" x14ac:dyDescent="0.25">
      <c r="A2576">
        <v>2575</v>
      </c>
      <c r="B2576">
        <v>27</v>
      </c>
      <c r="C2576" t="str" cm="1">
        <f t="array" ref="C2576">_xlfn.IFS(
  AND(B2576&gt;=18, B2576&lt;=24), "18-24",
  AND(B2576&gt;=25, B2576&lt;=34), "25-34",
  AND(B2576&gt;=35, B2576&lt;=44), "35-44",
  AND(B2576&gt;=45, B2576&lt;=54), "45-54",
  B2576&gt;=55, "55+"
)</f>
        <v>25-34</v>
      </c>
      <c r="D2576" t="s">
        <v>19</v>
      </c>
      <c r="E2576" t="s">
        <v>125</v>
      </c>
      <c r="F2576" t="s">
        <v>69</v>
      </c>
      <c r="G2576">
        <v>63</v>
      </c>
      <c r="H2576" t="s">
        <v>103</v>
      </c>
      <c r="I2576" t="s">
        <v>45</v>
      </c>
      <c r="J2576" t="s">
        <v>110</v>
      </c>
      <c r="K2576" t="s">
        <v>54</v>
      </c>
      <c r="L2576">
        <v>4.5999999999999996</v>
      </c>
      <c r="M2576" t="s">
        <v>152</v>
      </c>
      <c r="N2576" t="s">
        <v>27</v>
      </c>
      <c r="O2576" t="s">
        <v>72</v>
      </c>
      <c r="P2576" t="s">
        <v>152</v>
      </c>
      <c r="Q2576" t="s">
        <v>152</v>
      </c>
      <c r="R2576">
        <v>26</v>
      </c>
      <c r="S2576" t="s">
        <v>27</v>
      </c>
      <c r="T2576" t="str">
        <f t="shared" si="80"/>
        <v>2-week</v>
      </c>
      <c r="U2576">
        <f>VLOOKUP(T2576,[1]tablescore!$B$3:$C$8, 2,FALSE)</f>
        <v>26</v>
      </c>
      <c r="V2576" t="str">
        <f t="shared" si="81"/>
        <v>Loyal</v>
      </c>
      <c r="W2576" t="s">
        <v>30</v>
      </c>
    </row>
    <row r="2577" spans="1:23" x14ac:dyDescent="0.25">
      <c r="A2577">
        <v>2576</v>
      </c>
      <c r="B2577">
        <v>53</v>
      </c>
      <c r="C2577" t="str" cm="1">
        <f t="array" ref="C2577">_xlfn.IFS(
  AND(B2577&gt;=18, B2577&lt;=24), "18-24",
  AND(B2577&gt;=25, B2577&lt;=34), "25-34",
  AND(B2577&gt;=35, B2577&lt;=44), "35-44",
  AND(B2577&gt;=45, B2577&lt;=54), "45-54",
  B2577&gt;=55, "55+"
)</f>
        <v>45-54</v>
      </c>
      <c r="D2577" t="s">
        <v>19</v>
      </c>
      <c r="E2577" t="s">
        <v>61</v>
      </c>
      <c r="F2577" t="s">
        <v>21</v>
      </c>
      <c r="G2577">
        <v>96</v>
      </c>
      <c r="H2577" t="s">
        <v>134</v>
      </c>
      <c r="I2577" t="s">
        <v>45</v>
      </c>
      <c r="J2577" t="s">
        <v>67</v>
      </c>
      <c r="K2577" t="s">
        <v>58</v>
      </c>
      <c r="L2577">
        <v>4</v>
      </c>
      <c r="M2577" t="s">
        <v>152</v>
      </c>
      <c r="N2577" t="s">
        <v>35</v>
      </c>
      <c r="O2577" t="s">
        <v>28</v>
      </c>
      <c r="P2577" t="s">
        <v>152</v>
      </c>
      <c r="Q2577" t="s">
        <v>152</v>
      </c>
      <c r="R2577">
        <v>9</v>
      </c>
      <c r="S2577" t="s">
        <v>46</v>
      </c>
      <c r="T2577" t="str">
        <f t="shared" si="80"/>
        <v>Annually</v>
      </c>
      <c r="U2577">
        <f>VLOOKUP(T2577,[1]tablescore!$B$3:$C$8, 2,FALSE)</f>
        <v>1</v>
      </c>
      <c r="V2577" t="str">
        <f t="shared" si="81"/>
        <v>Low Loyalty</v>
      </c>
      <c r="W2577" t="s">
        <v>50</v>
      </c>
    </row>
    <row r="2578" spans="1:23" x14ac:dyDescent="0.25">
      <c r="A2578">
        <v>2577</v>
      </c>
      <c r="B2578">
        <v>20</v>
      </c>
      <c r="C2578" t="str" cm="1">
        <f t="array" ref="C2578">_xlfn.IFS(
  AND(B2578&gt;=18, B2578&lt;=24), "18-24",
  AND(B2578&gt;=25, B2578&lt;=34), "25-34",
  AND(B2578&gt;=35, B2578&lt;=44), "35-44",
  AND(B2578&gt;=45, B2578&lt;=54), "45-54",
  B2578&gt;=55, "55+"
)</f>
        <v>18-24</v>
      </c>
      <c r="D2578" t="s">
        <v>19</v>
      </c>
      <c r="E2578" t="s">
        <v>104</v>
      </c>
      <c r="F2578" t="s">
        <v>21</v>
      </c>
      <c r="G2578">
        <v>40</v>
      </c>
      <c r="H2578" t="s">
        <v>83</v>
      </c>
      <c r="I2578" t="s">
        <v>45</v>
      </c>
      <c r="J2578" t="s">
        <v>67</v>
      </c>
      <c r="K2578" t="s">
        <v>25</v>
      </c>
      <c r="L2578">
        <v>4.2</v>
      </c>
      <c r="M2578" t="s">
        <v>152</v>
      </c>
      <c r="N2578" t="s">
        <v>46</v>
      </c>
      <c r="O2578" t="s">
        <v>40</v>
      </c>
      <c r="P2578" t="s">
        <v>152</v>
      </c>
      <c r="Q2578" t="s">
        <v>152</v>
      </c>
      <c r="R2578">
        <v>19</v>
      </c>
      <c r="S2578" t="s">
        <v>59</v>
      </c>
      <c r="T2578" t="str">
        <f t="shared" si="80"/>
        <v>Quarterly</v>
      </c>
      <c r="U2578">
        <f>VLOOKUP(T2578,[1]tablescore!$B$3:$C$8, 2,FALSE)</f>
        <v>4</v>
      </c>
      <c r="V2578" t="str">
        <f t="shared" si="81"/>
        <v>Low Loyalty</v>
      </c>
      <c r="W2578" t="s">
        <v>60</v>
      </c>
    </row>
    <row r="2579" spans="1:23" x14ac:dyDescent="0.25">
      <c r="A2579">
        <v>2578</v>
      </c>
      <c r="B2579">
        <v>52</v>
      </c>
      <c r="C2579" t="str" cm="1">
        <f t="array" ref="C2579">_xlfn.IFS(
  AND(B2579&gt;=18, B2579&lt;=24), "18-24",
  AND(B2579&gt;=25, B2579&lt;=34), "25-34",
  AND(B2579&gt;=35, B2579&lt;=44), "35-44",
  AND(B2579&gt;=45, B2579&lt;=54), "45-54",
  B2579&gt;=55, "55+"
)</f>
        <v>45-54</v>
      </c>
      <c r="D2579" t="s">
        <v>19</v>
      </c>
      <c r="E2579" t="s">
        <v>131</v>
      </c>
      <c r="F2579" t="s">
        <v>21</v>
      </c>
      <c r="G2579">
        <v>39</v>
      </c>
      <c r="H2579" t="s">
        <v>134</v>
      </c>
      <c r="I2579" t="s">
        <v>23</v>
      </c>
      <c r="J2579" t="s">
        <v>94</v>
      </c>
      <c r="K2579" t="s">
        <v>58</v>
      </c>
      <c r="L2579">
        <v>4.5</v>
      </c>
      <c r="M2579" t="s">
        <v>152</v>
      </c>
      <c r="N2579" t="s">
        <v>59</v>
      </c>
      <c r="O2579" t="s">
        <v>47</v>
      </c>
      <c r="P2579" t="s">
        <v>152</v>
      </c>
      <c r="Q2579" t="s">
        <v>152</v>
      </c>
      <c r="R2579">
        <v>37</v>
      </c>
      <c r="S2579" t="s">
        <v>34</v>
      </c>
      <c r="T2579" t="str">
        <f t="shared" si="80"/>
        <v>Month</v>
      </c>
      <c r="U2579">
        <f>VLOOKUP(T2579,[1]tablescore!$B$3:$C$8, 2,FALSE)</f>
        <v>12</v>
      </c>
      <c r="V2579" t="str">
        <f t="shared" si="81"/>
        <v>Moderate</v>
      </c>
      <c r="W2579" t="s">
        <v>88</v>
      </c>
    </row>
    <row r="2580" spans="1:23" x14ac:dyDescent="0.25">
      <c r="A2580">
        <v>2579</v>
      </c>
      <c r="B2580">
        <v>54</v>
      </c>
      <c r="C2580" t="str" cm="1">
        <f t="array" ref="C2580">_xlfn.IFS(
  AND(B2580&gt;=18, B2580&lt;=24), "18-24",
  AND(B2580&gt;=25, B2580&lt;=34), "25-34",
  AND(B2580&gt;=35, B2580&lt;=44), "35-44",
  AND(B2580&gt;=45, B2580&lt;=54), "45-54",
  B2580&gt;=55, "55+"
)</f>
        <v>45-54</v>
      </c>
      <c r="D2580" t="s">
        <v>19</v>
      </c>
      <c r="E2580" t="s">
        <v>89</v>
      </c>
      <c r="F2580" t="s">
        <v>69</v>
      </c>
      <c r="G2580">
        <v>48</v>
      </c>
      <c r="H2580" t="s">
        <v>145</v>
      </c>
      <c r="I2580" t="s">
        <v>45</v>
      </c>
      <c r="J2580" t="s">
        <v>75</v>
      </c>
      <c r="K2580" t="s">
        <v>58</v>
      </c>
      <c r="L2580">
        <v>3.9</v>
      </c>
      <c r="M2580" t="s">
        <v>152</v>
      </c>
      <c r="N2580" t="s">
        <v>34</v>
      </c>
      <c r="O2580" t="s">
        <v>40</v>
      </c>
      <c r="P2580" t="s">
        <v>152</v>
      </c>
      <c r="Q2580" t="s">
        <v>152</v>
      </c>
      <c r="R2580">
        <v>3</v>
      </c>
      <c r="S2580" t="s">
        <v>35</v>
      </c>
      <c r="T2580" t="str">
        <f t="shared" si="80"/>
        <v>Quarterly</v>
      </c>
      <c r="U2580">
        <f>VLOOKUP(T2580,[1]tablescore!$B$3:$C$8, 2,FALSE)</f>
        <v>4</v>
      </c>
      <c r="V2580" t="str">
        <f t="shared" si="81"/>
        <v>Low Loyalty</v>
      </c>
      <c r="W2580" t="s">
        <v>60</v>
      </c>
    </row>
    <row r="2581" spans="1:23" x14ac:dyDescent="0.25">
      <c r="A2581">
        <v>2580</v>
      </c>
      <c r="B2581">
        <v>65</v>
      </c>
      <c r="C2581" t="str" cm="1">
        <f t="array" ref="C2581">_xlfn.IFS(
  AND(B2581&gt;=18, B2581&lt;=24), "18-24",
  AND(B2581&gt;=25, B2581&lt;=34), "25-34",
  AND(B2581&gt;=35, B2581&lt;=44), "35-44",
  AND(B2581&gt;=45, B2581&lt;=54), "45-54",
  B2581&gt;=55, "55+"
)</f>
        <v>55+</v>
      </c>
      <c r="D2581" t="s">
        <v>19</v>
      </c>
      <c r="E2581" t="s">
        <v>20</v>
      </c>
      <c r="F2581" t="s">
        <v>21</v>
      </c>
      <c r="G2581">
        <v>20</v>
      </c>
      <c r="H2581" t="s">
        <v>134</v>
      </c>
      <c r="I2581" t="s">
        <v>45</v>
      </c>
      <c r="J2581" t="s">
        <v>75</v>
      </c>
      <c r="K2581" t="s">
        <v>54</v>
      </c>
      <c r="L2581">
        <v>3.7</v>
      </c>
      <c r="M2581" t="s">
        <v>152</v>
      </c>
      <c r="N2581" t="s">
        <v>29</v>
      </c>
      <c r="O2581" t="s">
        <v>28</v>
      </c>
      <c r="P2581" t="s">
        <v>152</v>
      </c>
      <c r="Q2581" t="s">
        <v>152</v>
      </c>
      <c r="R2581">
        <v>40</v>
      </c>
      <c r="S2581" t="s">
        <v>29</v>
      </c>
      <c r="T2581" t="str">
        <f t="shared" si="80"/>
        <v>Daily</v>
      </c>
      <c r="U2581">
        <f>VLOOKUP(T2581,[1]tablescore!$B$3:$C$8, 2,FALSE)</f>
        <v>30</v>
      </c>
      <c r="V2581" t="str">
        <f t="shared" si="81"/>
        <v>Highly Loyal</v>
      </c>
      <c r="W2581" t="s">
        <v>41</v>
      </c>
    </row>
    <row r="2582" spans="1:23" x14ac:dyDescent="0.25">
      <c r="A2582">
        <v>2581</v>
      </c>
      <c r="B2582">
        <v>43</v>
      </c>
      <c r="C2582" t="str" cm="1">
        <f t="array" ref="C2582">_xlfn.IFS(
  AND(B2582&gt;=18, B2582&lt;=24), "18-24",
  AND(B2582&gt;=25, B2582&lt;=34), "25-34",
  AND(B2582&gt;=35, B2582&lt;=44), "35-44",
  AND(B2582&gt;=45, B2582&lt;=54), "45-54",
  B2582&gt;=55, "55+"
)</f>
        <v>35-44</v>
      </c>
      <c r="D2582" t="s">
        <v>19</v>
      </c>
      <c r="E2582" t="s">
        <v>36</v>
      </c>
      <c r="F2582" t="s">
        <v>21</v>
      </c>
      <c r="G2582">
        <v>29</v>
      </c>
      <c r="H2582" t="s">
        <v>37</v>
      </c>
      <c r="I2582" t="s">
        <v>38</v>
      </c>
      <c r="J2582" t="s">
        <v>49</v>
      </c>
      <c r="K2582" t="s">
        <v>54</v>
      </c>
      <c r="L2582">
        <v>3.6</v>
      </c>
      <c r="M2582" t="s">
        <v>152</v>
      </c>
      <c r="N2582" t="s">
        <v>35</v>
      </c>
      <c r="O2582" t="s">
        <v>76</v>
      </c>
      <c r="P2582" t="s">
        <v>152</v>
      </c>
      <c r="Q2582" t="s">
        <v>152</v>
      </c>
      <c r="R2582">
        <v>13</v>
      </c>
      <c r="S2582" t="s">
        <v>34</v>
      </c>
      <c r="T2582" t="str">
        <f t="shared" si="80"/>
        <v>Quarterly</v>
      </c>
      <c r="U2582">
        <f>VLOOKUP(T2582,[1]tablescore!$B$3:$C$8, 2,FALSE)</f>
        <v>4</v>
      </c>
      <c r="V2582" t="str">
        <f t="shared" si="81"/>
        <v>Low Loyalty</v>
      </c>
      <c r="W2582" t="s">
        <v>60</v>
      </c>
    </row>
    <row r="2583" spans="1:23" x14ac:dyDescent="0.25">
      <c r="A2583">
        <v>2582</v>
      </c>
      <c r="B2583">
        <v>57</v>
      </c>
      <c r="C2583" t="str" cm="1">
        <f t="array" ref="C2583">_xlfn.IFS(
  AND(B2583&gt;=18, B2583&lt;=24), "18-24",
  AND(B2583&gt;=25, B2583&lt;=34), "25-34",
  AND(B2583&gt;=35, B2583&lt;=44), "35-44",
  AND(B2583&gt;=45, B2583&lt;=54), "45-54",
  B2583&gt;=55, "55+"
)</f>
        <v>55+</v>
      </c>
      <c r="D2583" t="s">
        <v>19</v>
      </c>
      <c r="E2583" t="s">
        <v>82</v>
      </c>
      <c r="F2583" t="s">
        <v>21</v>
      </c>
      <c r="G2583">
        <v>81</v>
      </c>
      <c r="H2583" t="s">
        <v>52</v>
      </c>
      <c r="I2583" t="s">
        <v>45</v>
      </c>
      <c r="J2583" t="s">
        <v>81</v>
      </c>
      <c r="K2583" t="s">
        <v>25</v>
      </c>
      <c r="L2583">
        <v>4.7</v>
      </c>
      <c r="M2583" t="s">
        <v>152</v>
      </c>
      <c r="N2583" t="s">
        <v>34</v>
      </c>
      <c r="O2583" t="s">
        <v>28</v>
      </c>
      <c r="P2583" t="s">
        <v>152</v>
      </c>
      <c r="Q2583" t="s">
        <v>152</v>
      </c>
      <c r="R2583">
        <v>48</v>
      </c>
      <c r="S2583" t="s">
        <v>27</v>
      </c>
      <c r="T2583" t="str">
        <f t="shared" si="80"/>
        <v>Month</v>
      </c>
      <c r="U2583">
        <f>VLOOKUP(T2583,[1]tablescore!$B$3:$C$8, 2,FALSE)</f>
        <v>12</v>
      </c>
      <c r="V2583" t="str">
        <f t="shared" si="81"/>
        <v>Moderate</v>
      </c>
      <c r="W2583" t="s">
        <v>88</v>
      </c>
    </row>
    <row r="2584" spans="1:23" x14ac:dyDescent="0.25">
      <c r="A2584">
        <v>2583</v>
      </c>
      <c r="B2584">
        <v>19</v>
      </c>
      <c r="C2584" t="str" cm="1">
        <f t="array" ref="C2584">_xlfn.IFS(
  AND(B2584&gt;=18, B2584&lt;=24), "18-24",
  AND(B2584&gt;=25, B2584&lt;=34), "25-34",
  AND(B2584&gt;=35, B2584&lt;=44), "35-44",
  AND(B2584&gt;=45, B2584&lt;=54), "45-54",
  B2584&gt;=55, "55+"
)</f>
        <v>18-24</v>
      </c>
      <c r="D2584" t="s">
        <v>19</v>
      </c>
      <c r="E2584" t="s">
        <v>82</v>
      </c>
      <c r="F2584" t="s">
        <v>21</v>
      </c>
      <c r="G2584">
        <v>98</v>
      </c>
      <c r="H2584" t="s">
        <v>130</v>
      </c>
      <c r="I2584" t="s">
        <v>38</v>
      </c>
      <c r="J2584" t="s">
        <v>129</v>
      </c>
      <c r="K2584" t="s">
        <v>58</v>
      </c>
      <c r="L2584">
        <v>3.6</v>
      </c>
      <c r="M2584" t="s">
        <v>152</v>
      </c>
      <c r="N2584" t="s">
        <v>29</v>
      </c>
      <c r="O2584" t="s">
        <v>72</v>
      </c>
      <c r="P2584" t="s">
        <v>152</v>
      </c>
      <c r="Q2584" t="s">
        <v>152</v>
      </c>
      <c r="R2584">
        <v>4</v>
      </c>
      <c r="S2584" t="s">
        <v>29</v>
      </c>
      <c r="T2584" t="str">
        <f t="shared" si="80"/>
        <v>Quarterly</v>
      </c>
      <c r="U2584">
        <f>VLOOKUP(T2584,[1]tablescore!$B$3:$C$8, 2,FALSE)</f>
        <v>4</v>
      </c>
      <c r="V2584" t="str">
        <f t="shared" si="81"/>
        <v>Low Loyalty</v>
      </c>
      <c r="W2584" t="s">
        <v>97</v>
      </c>
    </row>
    <row r="2585" spans="1:23" x14ac:dyDescent="0.25">
      <c r="A2585">
        <v>2584</v>
      </c>
      <c r="B2585">
        <v>69</v>
      </c>
      <c r="C2585" t="str" cm="1">
        <f t="array" ref="C2585">_xlfn.IFS(
  AND(B2585&gt;=18, B2585&lt;=24), "18-24",
  AND(B2585&gt;=25, B2585&lt;=34), "25-34",
  AND(B2585&gt;=35, B2585&lt;=44), "35-44",
  AND(B2585&gt;=45, B2585&lt;=54), "45-54",
  B2585&gt;=55, "55+"
)</f>
        <v>55+</v>
      </c>
      <c r="D2585" t="s">
        <v>19</v>
      </c>
      <c r="E2585" t="s">
        <v>36</v>
      </c>
      <c r="F2585" t="s">
        <v>21</v>
      </c>
      <c r="G2585">
        <v>93</v>
      </c>
      <c r="H2585" t="s">
        <v>101</v>
      </c>
      <c r="I2585" t="s">
        <v>45</v>
      </c>
      <c r="J2585" t="s">
        <v>93</v>
      </c>
      <c r="K2585" t="s">
        <v>58</v>
      </c>
      <c r="L2585">
        <v>2.5</v>
      </c>
      <c r="M2585" t="s">
        <v>152</v>
      </c>
      <c r="N2585" t="s">
        <v>34</v>
      </c>
      <c r="O2585" t="s">
        <v>47</v>
      </c>
      <c r="P2585" t="s">
        <v>152</v>
      </c>
      <c r="Q2585" t="s">
        <v>152</v>
      </c>
      <c r="R2585">
        <v>9</v>
      </c>
      <c r="S2585" t="s">
        <v>35</v>
      </c>
      <c r="T2585" t="str">
        <f t="shared" si="80"/>
        <v>Daily</v>
      </c>
      <c r="U2585">
        <f>VLOOKUP(T2585,[1]tablescore!$B$3:$C$8, 2,FALSE)</f>
        <v>30</v>
      </c>
      <c r="V2585" t="str">
        <f t="shared" si="81"/>
        <v>Highly Loyal</v>
      </c>
      <c r="W2585" t="s">
        <v>41</v>
      </c>
    </row>
    <row r="2586" spans="1:23" x14ac:dyDescent="0.25">
      <c r="A2586">
        <v>2585</v>
      </c>
      <c r="B2586">
        <v>26</v>
      </c>
      <c r="C2586" t="str" cm="1">
        <f t="array" ref="C2586">_xlfn.IFS(
  AND(B2586&gt;=18, B2586&lt;=24), "18-24",
  AND(B2586&gt;=25, B2586&lt;=34), "25-34",
  AND(B2586&gt;=35, B2586&lt;=44), "35-44",
  AND(B2586&gt;=45, B2586&lt;=54), "45-54",
  B2586&gt;=55, "55+"
)</f>
        <v>25-34</v>
      </c>
      <c r="D2586" t="s">
        <v>19</v>
      </c>
      <c r="E2586" t="s">
        <v>131</v>
      </c>
      <c r="F2586" t="s">
        <v>21</v>
      </c>
      <c r="G2586">
        <v>30</v>
      </c>
      <c r="H2586" t="s">
        <v>103</v>
      </c>
      <c r="I2586" t="s">
        <v>23</v>
      </c>
      <c r="J2586" t="s">
        <v>138</v>
      </c>
      <c r="K2586" t="s">
        <v>54</v>
      </c>
      <c r="L2586">
        <v>2.9</v>
      </c>
      <c r="M2586" t="s">
        <v>152</v>
      </c>
      <c r="N2586" t="s">
        <v>46</v>
      </c>
      <c r="O2586" t="s">
        <v>76</v>
      </c>
      <c r="P2586" t="s">
        <v>152</v>
      </c>
      <c r="Q2586" t="s">
        <v>152</v>
      </c>
      <c r="R2586">
        <v>26</v>
      </c>
      <c r="S2586" t="s">
        <v>34</v>
      </c>
      <c r="T2586" t="str">
        <f t="shared" si="80"/>
        <v>2-week</v>
      </c>
      <c r="U2586">
        <f>VLOOKUP(T2586,[1]tablescore!$B$3:$C$8, 2,FALSE)</f>
        <v>26</v>
      </c>
      <c r="V2586" t="str">
        <f t="shared" si="81"/>
        <v>Loyal</v>
      </c>
      <c r="W2586" t="s">
        <v>77</v>
      </c>
    </row>
    <row r="2587" spans="1:23" x14ac:dyDescent="0.25">
      <c r="A2587">
        <v>2586</v>
      </c>
      <c r="B2587">
        <v>57</v>
      </c>
      <c r="C2587" t="str" cm="1">
        <f t="array" ref="C2587">_xlfn.IFS(
  AND(B2587&gt;=18, B2587&lt;=24), "18-24",
  AND(B2587&gt;=25, B2587&lt;=34), "25-34",
  AND(B2587&gt;=35, B2587&lt;=44), "35-44",
  AND(B2587&gt;=45, B2587&lt;=54), "45-54",
  B2587&gt;=55, "55+"
)</f>
        <v>55+</v>
      </c>
      <c r="D2587" t="s">
        <v>19</v>
      </c>
      <c r="E2587" t="s">
        <v>89</v>
      </c>
      <c r="F2587" t="s">
        <v>69</v>
      </c>
      <c r="G2587">
        <v>37</v>
      </c>
      <c r="H2587" t="s">
        <v>148</v>
      </c>
      <c r="I2587" t="s">
        <v>23</v>
      </c>
      <c r="J2587" t="s">
        <v>33</v>
      </c>
      <c r="K2587" t="s">
        <v>58</v>
      </c>
      <c r="L2587">
        <v>4.4000000000000004</v>
      </c>
      <c r="M2587" t="s">
        <v>152</v>
      </c>
      <c r="N2587" t="s">
        <v>29</v>
      </c>
      <c r="O2587" t="s">
        <v>40</v>
      </c>
      <c r="P2587" t="s">
        <v>152</v>
      </c>
      <c r="Q2587" t="s">
        <v>152</v>
      </c>
      <c r="R2587">
        <v>19</v>
      </c>
      <c r="S2587" t="s">
        <v>59</v>
      </c>
      <c r="T2587" t="str">
        <f t="shared" si="80"/>
        <v>Daily</v>
      </c>
      <c r="U2587">
        <f>VLOOKUP(T2587,[1]tablescore!$B$3:$C$8, 2,FALSE)</f>
        <v>30</v>
      </c>
      <c r="V2587" t="str">
        <f t="shared" si="81"/>
        <v>Highly Loyal</v>
      </c>
      <c r="W2587" t="s">
        <v>41</v>
      </c>
    </row>
    <row r="2588" spans="1:23" x14ac:dyDescent="0.25">
      <c r="A2588">
        <v>2587</v>
      </c>
      <c r="B2588">
        <v>20</v>
      </c>
      <c r="C2588" t="str" cm="1">
        <f t="array" ref="C2588">_xlfn.IFS(
  AND(B2588&gt;=18, B2588&lt;=24), "18-24",
  AND(B2588&gt;=25, B2588&lt;=34), "25-34",
  AND(B2588&gt;=35, B2588&lt;=44), "35-44",
  AND(B2588&gt;=45, B2588&lt;=54), "45-54",
  B2588&gt;=55, "55+"
)</f>
        <v>18-24</v>
      </c>
      <c r="D2588" t="s">
        <v>19</v>
      </c>
      <c r="E2588" t="s">
        <v>64</v>
      </c>
      <c r="F2588" t="s">
        <v>65</v>
      </c>
      <c r="G2588">
        <v>28</v>
      </c>
      <c r="H2588" t="s">
        <v>32</v>
      </c>
      <c r="I2588" t="s">
        <v>23</v>
      </c>
      <c r="J2588" t="s">
        <v>139</v>
      </c>
      <c r="K2588" t="s">
        <v>25</v>
      </c>
      <c r="L2588">
        <v>4.5999999999999996</v>
      </c>
      <c r="M2588" t="s">
        <v>152</v>
      </c>
      <c r="N2588" t="s">
        <v>29</v>
      </c>
      <c r="O2588" t="s">
        <v>28</v>
      </c>
      <c r="P2588" t="s">
        <v>152</v>
      </c>
      <c r="Q2588" t="s">
        <v>152</v>
      </c>
      <c r="R2588">
        <v>1</v>
      </c>
      <c r="S2588" t="s">
        <v>27</v>
      </c>
      <c r="T2588" t="str">
        <f t="shared" si="80"/>
        <v>Quarterly</v>
      </c>
      <c r="U2588">
        <f>VLOOKUP(T2588,[1]tablescore!$B$3:$C$8, 2,FALSE)</f>
        <v>4</v>
      </c>
      <c r="V2588" t="str">
        <f t="shared" si="81"/>
        <v>Low Loyalty</v>
      </c>
      <c r="W2588" t="s">
        <v>97</v>
      </c>
    </row>
    <row r="2589" spans="1:23" x14ac:dyDescent="0.25">
      <c r="A2589">
        <v>2588</v>
      </c>
      <c r="B2589">
        <v>55</v>
      </c>
      <c r="C2589" t="str" cm="1">
        <f t="array" ref="C2589">_xlfn.IFS(
  AND(B2589&gt;=18, B2589&lt;=24), "18-24",
  AND(B2589&gt;=25, B2589&lt;=34), "25-34",
  AND(B2589&gt;=35, B2589&lt;=44), "35-44",
  AND(B2589&gt;=45, B2589&lt;=54), "45-54",
  B2589&gt;=55, "55+"
)</f>
        <v>55+</v>
      </c>
      <c r="D2589" t="s">
        <v>19</v>
      </c>
      <c r="E2589" t="s">
        <v>119</v>
      </c>
      <c r="F2589" t="s">
        <v>69</v>
      </c>
      <c r="G2589">
        <v>29</v>
      </c>
      <c r="H2589" t="s">
        <v>146</v>
      </c>
      <c r="I2589" t="s">
        <v>45</v>
      </c>
      <c r="J2589" t="s">
        <v>75</v>
      </c>
      <c r="K2589" t="s">
        <v>25</v>
      </c>
      <c r="L2589">
        <v>3.7</v>
      </c>
      <c r="M2589" t="s">
        <v>152</v>
      </c>
      <c r="N2589" t="s">
        <v>46</v>
      </c>
      <c r="O2589" t="s">
        <v>28</v>
      </c>
      <c r="P2589" t="s">
        <v>152</v>
      </c>
      <c r="Q2589" t="s">
        <v>152</v>
      </c>
      <c r="R2589">
        <v>29</v>
      </c>
      <c r="S2589" t="s">
        <v>46</v>
      </c>
      <c r="T2589" t="str">
        <f t="shared" si="80"/>
        <v>Quarterly</v>
      </c>
      <c r="U2589">
        <f>VLOOKUP(T2589,[1]tablescore!$B$3:$C$8, 2,FALSE)</f>
        <v>4</v>
      </c>
      <c r="V2589" t="str">
        <f t="shared" si="81"/>
        <v>Low Loyalty</v>
      </c>
      <c r="W2589" t="s">
        <v>97</v>
      </c>
    </row>
    <row r="2590" spans="1:23" x14ac:dyDescent="0.25">
      <c r="A2590">
        <v>2589</v>
      </c>
      <c r="B2590">
        <v>44</v>
      </c>
      <c r="C2590" t="str" cm="1">
        <f t="array" ref="C2590">_xlfn.IFS(
  AND(B2590&gt;=18, B2590&lt;=24), "18-24",
  AND(B2590&gt;=25, B2590&lt;=34), "25-34",
  AND(B2590&gt;=35, B2590&lt;=44), "35-44",
  AND(B2590&gt;=45, B2590&lt;=54), "45-54",
  B2590&gt;=55, "55+"
)</f>
        <v>35-44</v>
      </c>
      <c r="D2590" t="s">
        <v>19</v>
      </c>
      <c r="E2590" t="s">
        <v>133</v>
      </c>
      <c r="F2590" t="s">
        <v>69</v>
      </c>
      <c r="G2590">
        <v>49</v>
      </c>
      <c r="H2590" t="s">
        <v>80</v>
      </c>
      <c r="I2590" t="s">
        <v>45</v>
      </c>
      <c r="J2590" t="s">
        <v>100</v>
      </c>
      <c r="K2590" t="s">
        <v>54</v>
      </c>
      <c r="L2590">
        <v>3.2</v>
      </c>
      <c r="M2590" t="s">
        <v>152</v>
      </c>
      <c r="N2590" t="s">
        <v>29</v>
      </c>
      <c r="O2590" t="s">
        <v>40</v>
      </c>
      <c r="P2590" t="s">
        <v>152</v>
      </c>
      <c r="Q2590" t="s">
        <v>152</v>
      </c>
      <c r="R2590">
        <v>38</v>
      </c>
      <c r="S2590" t="s">
        <v>29</v>
      </c>
      <c r="T2590" t="str">
        <f t="shared" si="80"/>
        <v>2-week</v>
      </c>
      <c r="U2590">
        <f>VLOOKUP(T2590,[1]tablescore!$B$3:$C$8, 2,FALSE)</f>
        <v>26</v>
      </c>
      <c r="V2590" t="str">
        <f t="shared" si="81"/>
        <v>Loyal</v>
      </c>
      <c r="W2590" t="s">
        <v>77</v>
      </c>
    </row>
    <row r="2591" spans="1:23" x14ac:dyDescent="0.25">
      <c r="A2591">
        <v>2590</v>
      </c>
      <c r="B2591">
        <v>52</v>
      </c>
      <c r="C2591" t="str" cm="1">
        <f t="array" ref="C2591">_xlfn.IFS(
  AND(B2591&gt;=18, B2591&lt;=24), "18-24",
  AND(B2591&gt;=25, B2591&lt;=34), "25-34",
  AND(B2591&gt;=35, B2591&lt;=44), "35-44",
  AND(B2591&gt;=45, B2591&lt;=54), "45-54",
  B2591&gt;=55, "55+"
)</f>
        <v>45-54</v>
      </c>
      <c r="D2591" t="s">
        <v>19</v>
      </c>
      <c r="E2591" t="s">
        <v>95</v>
      </c>
      <c r="F2591" t="s">
        <v>21</v>
      </c>
      <c r="G2591">
        <v>53</v>
      </c>
      <c r="H2591" t="s">
        <v>114</v>
      </c>
      <c r="I2591" t="s">
        <v>45</v>
      </c>
      <c r="J2591" t="s">
        <v>67</v>
      </c>
      <c r="K2591" t="s">
        <v>25</v>
      </c>
      <c r="L2591">
        <v>4.9000000000000004</v>
      </c>
      <c r="M2591" t="s">
        <v>152</v>
      </c>
      <c r="N2591" t="s">
        <v>34</v>
      </c>
      <c r="O2591" t="s">
        <v>72</v>
      </c>
      <c r="P2591" t="s">
        <v>152</v>
      </c>
      <c r="Q2591" t="s">
        <v>152</v>
      </c>
      <c r="R2591">
        <v>31</v>
      </c>
      <c r="S2591" t="s">
        <v>46</v>
      </c>
      <c r="T2591" t="str">
        <f t="shared" si="80"/>
        <v>Annually</v>
      </c>
      <c r="U2591">
        <f>VLOOKUP(T2591,[1]tablescore!$B$3:$C$8, 2,FALSE)</f>
        <v>1</v>
      </c>
      <c r="V2591" t="str">
        <f t="shared" si="81"/>
        <v>Low Loyalty</v>
      </c>
      <c r="W2591" t="s">
        <v>50</v>
      </c>
    </row>
    <row r="2592" spans="1:23" x14ac:dyDescent="0.25">
      <c r="A2592">
        <v>2591</v>
      </c>
      <c r="B2592">
        <v>57</v>
      </c>
      <c r="C2592" t="str" cm="1">
        <f t="array" ref="C2592">_xlfn.IFS(
  AND(B2592&gt;=18, B2592&lt;=24), "18-24",
  AND(B2592&gt;=25, B2592&lt;=34), "25-34",
  AND(B2592&gt;=35, B2592&lt;=44), "35-44",
  AND(B2592&gt;=45, B2592&lt;=54), "45-54",
  B2592&gt;=55, "55+"
)</f>
        <v>55+</v>
      </c>
      <c r="D2592" t="s">
        <v>19</v>
      </c>
      <c r="E2592" t="s">
        <v>127</v>
      </c>
      <c r="F2592" t="s">
        <v>69</v>
      </c>
      <c r="G2592">
        <v>66</v>
      </c>
      <c r="H2592" t="s">
        <v>99</v>
      </c>
      <c r="I2592" t="s">
        <v>45</v>
      </c>
      <c r="J2592" t="s">
        <v>49</v>
      </c>
      <c r="K2592" t="s">
        <v>54</v>
      </c>
      <c r="L2592">
        <v>5</v>
      </c>
      <c r="M2592" t="s">
        <v>152</v>
      </c>
      <c r="N2592" t="s">
        <v>46</v>
      </c>
      <c r="O2592" t="s">
        <v>40</v>
      </c>
      <c r="P2592" t="s">
        <v>152</v>
      </c>
      <c r="Q2592" t="s">
        <v>152</v>
      </c>
      <c r="R2592">
        <v>35</v>
      </c>
      <c r="S2592" t="s">
        <v>29</v>
      </c>
      <c r="T2592" t="str">
        <f t="shared" si="80"/>
        <v>Annually</v>
      </c>
      <c r="U2592">
        <f>VLOOKUP(T2592,[1]tablescore!$B$3:$C$8, 2,FALSE)</f>
        <v>1</v>
      </c>
      <c r="V2592" t="str">
        <f t="shared" si="81"/>
        <v>Low Loyalty</v>
      </c>
      <c r="W2592" t="s">
        <v>50</v>
      </c>
    </row>
    <row r="2593" spans="1:23" x14ac:dyDescent="0.25">
      <c r="A2593">
        <v>2592</v>
      </c>
      <c r="B2593">
        <v>40</v>
      </c>
      <c r="C2593" t="str" cm="1">
        <f t="array" ref="C2593">_xlfn.IFS(
  AND(B2593&gt;=18, B2593&lt;=24), "18-24",
  AND(B2593&gt;=25, B2593&lt;=34), "25-34",
  AND(B2593&gt;=35, B2593&lt;=44), "35-44",
  AND(B2593&gt;=45, B2593&lt;=54), "45-54",
  B2593&gt;=55, "55+"
)</f>
        <v>35-44</v>
      </c>
      <c r="D2593" t="s">
        <v>19</v>
      </c>
      <c r="E2593" t="s">
        <v>102</v>
      </c>
      <c r="F2593" t="s">
        <v>65</v>
      </c>
      <c r="G2593">
        <v>61</v>
      </c>
      <c r="H2593" t="s">
        <v>123</v>
      </c>
      <c r="I2593" t="s">
        <v>38</v>
      </c>
      <c r="J2593" t="s">
        <v>79</v>
      </c>
      <c r="K2593" t="s">
        <v>39</v>
      </c>
      <c r="L2593">
        <v>3.3</v>
      </c>
      <c r="M2593" t="s">
        <v>152</v>
      </c>
      <c r="N2593" t="s">
        <v>59</v>
      </c>
      <c r="O2593" t="s">
        <v>28</v>
      </c>
      <c r="P2593" t="s">
        <v>152</v>
      </c>
      <c r="Q2593" t="s">
        <v>152</v>
      </c>
      <c r="R2593">
        <v>40</v>
      </c>
      <c r="S2593" t="s">
        <v>35</v>
      </c>
      <c r="T2593" t="str">
        <f t="shared" si="80"/>
        <v>Quarterly</v>
      </c>
      <c r="U2593">
        <f>VLOOKUP(T2593,[1]tablescore!$B$3:$C$8, 2,FALSE)</f>
        <v>4</v>
      </c>
      <c r="V2593" t="str">
        <f t="shared" si="81"/>
        <v>Low Loyalty</v>
      </c>
      <c r="W2593" t="s">
        <v>60</v>
      </c>
    </row>
    <row r="2594" spans="1:23" x14ac:dyDescent="0.25">
      <c r="A2594">
        <v>2593</v>
      </c>
      <c r="B2594">
        <v>23</v>
      </c>
      <c r="C2594" t="str" cm="1">
        <f t="array" ref="C2594">_xlfn.IFS(
  AND(B2594&gt;=18, B2594&lt;=24), "18-24",
  AND(B2594&gt;=25, B2594&lt;=34), "25-34",
  AND(B2594&gt;=35, B2594&lt;=44), "35-44",
  AND(B2594&gt;=45, B2594&lt;=54), "45-54",
  B2594&gt;=55, "55+"
)</f>
        <v>18-24</v>
      </c>
      <c r="D2594" t="s">
        <v>19</v>
      </c>
      <c r="E2594" t="s">
        <v>61</v>
      </c>
      <c r="F2594" t="s">
        <v>21</v>
      </c>
      <c r="G2594">
        <v>23</v>
      </c>
      <c r="H2594" t="s">
        <v>150</v>
      </c>
      <c r="I2594" t="s">
        <v>92</v>
      </c>
      <c r="J2594" t="s">
        <v>100</v>
      </c>
      <c r="K2594" t="s">
        <v>54</v>
      </c>
      <c r="L2594">
        <v>4.4000000000000004</v>
      </c>
      <c r="M2594" t="s">
        <v>152</v>
      </c>
      <c r="N2594" t="s">
        <v>35</v>
      </c>
      <c r="O2594" t="s">
        <v>76</v>
      </c>
      <c r="P2594" t="s">
        <v>152</v>
      </c>
      <c r="Q2594" t="s">
        <v>152</v>
      </c>
      <c r="R2594">
        <v>13</v>
      </c>
      <c r="S2594" t="s">
        <v>29</v>
      </c>
      <c r="T2594" t="str">
        <f t="shared" si="80"/>
        <v>Quarterly</v>
      </c>
      <c r="U2594">
        <f>VLOOKUP(T2594,[1]tablescore!$B$3:$C$8, 2,FALSE)</f>
        <v>4</v>
      </c>
      <c r="V2594" t="str">
        <f t="shared" si="81"/>
        <v>Low Loyalty</v>
      </c>
      <c r="W2594" t="s">
        <v>60</v>
      </c>
    </row>
    <row r="2595" spans="1:23" x14ac:dyDescent="0.25">
      <c r="A2595">
        <v>2594</v>
      </c>
      <c r="B2595">
        <v>36</v>
      </c>
      <c r="C2595" t="str" cm="1">
        <f t="array" ref="C2595">_xlfn.IFS(
  AND(B2595&gt;=18, B2595&lt;=24), "18-24",
  AND(B2595&gt;=25, B2595&lt;=34), "25-34",
  AND(B2595&gt;=35, B2595&lt;=44), "35-44",
  AND(B2595&gt;=45, B2595&lt;=54), "45-54",
  B2595&gt;=55, "55+"
)</f>
        <v>35-44</v>
      </c>
      <c r="D2595" t="s">
        <v>19</v>
      </c>
      <c r="E2595" t="s">
        <v>95</v>
      </c>
      <c r="F2595" t="s">
        <v>21</v>
      </c>
      <c r="G2595">
        <v>36</v>
      </c>
      <c r="H2595" t="s">
        <v>112</v>
      </c>
      <c r="I2595" t="s">
        <v>38</v>
      </c>
      <c r="J2595" t="s">
        <v>129</v>
      </c>
      <c r="K2595" t="s">
        <v>58</v>
      </c>
      <c r="L2595">
        <v>4.7</v>
      </c>
      <c r="M2595" t="s">
        <v>152</v>
      </c>
      <c r="N2595" t="s">
        <v>59</v>
      </c>
      <c r="O2595" t="s">
        <v>76</v>
      </c>
      <c r="P2595" t="s">
        <v>152</v>
      </c>
      <c r="Q2595" t="s">
        <v>152</v>
      </c>
      <c r="R2595">
        <v>9</v>
      </c>
      <c r="S2595" t="s">
        <v>34</v>
      </c>
      <c r="T2595" t="str">
        <f t="shared" si="80"/>
        <v>Quarterly</v>
      </c>
      <c r="U2595">
        <f>VLOOKUP(T2595,[1]tablescore!$B$3:$C$8, 2,FALSE)</f>
        <v>4</v>
      </c>
      <c r="V2595" t="str">
        <f t="shared" si="81"/>
        <v>Low Loyalty</v>
      </c>
      <c r="W2595" t="s">
        <v>97</v>
      </c>
    </row>
    <row r="2596" spans="1:23" x14ac:dyDescent="0.25">
      <c r="A2596">
        <v>2595</v>
      </c>
      <c r="B2596">
        <v>59</v>
      </c>
      <c r="C2596" t="str" cm="1">
        <f t="array" ref="C2596">_xlfn.IFS(
  AND(B2596&gt;=18, B2596&lt;=24), "18-24",
  AND(B2596&gt;=25, B2596&lt;=34), "25-34",
  AND(B2596&gt;=35, B2596&lt;=44), "35-44",
  AND(B2596&gt;=45, B2596&lt;=54), "45-54",
  B2596&gt;=55, "55+"
)</f>
        <v>55+</v>
      </c>
      <c r="D2596" t="s">
        <v>19</v>
      </c>
      <c r="E2596" t="s">
        <v>87</v>
      </c>
      <c r="F2596" t="s">
        <v>21</v>
      </c>
      <c r="G2596">
        <v>81</v>
      </c>
      <c r="H2596" t="s">
        <v>57</v>
      </c>
      <c r="I2596" t="s">
        <v>23</v>
      </c>
      <c r="J2596" t="s">
        <v>129</v>
      </c>
      <c r="K2596" t="s">
        <v>58</v>
      </c>
      <c r="L2596">
        <v>3.6</v>
      </c>
      <c r="M2596" t="s">
        <v>152</v>
      </c>
      <c r="N2596" t="s">
        <v>27</v>
      </c>
      <c r="O2596" t="s">
        <v>40</v>
      </c>
      <c r="P2596" t="s">
        <v>152</v>
      </c>
      <c r="Q2596" t="s">
        <v>152</v>
      </c>
      <c r="R2596">
        <v>25</v>
      </c>
      <c r="S2596" t="s">
        <v>35</v>
      </c>
      <c r="T2596" t="str">
        <f t="shared" si="80"/>
        <v>Quarterly</v>
      </c>
      <c r="U2596">
        <f>VLOOKUP(T2596,[1]tablescore!$B$3:$C$8, 2,FALSE)</f>
        <v>4</v>
      </c>
      <c r="V2596" t="str">
        <f t="shared" si="81"/>
        <v>Low Loyalty</v>
      </c>
      <c r="W2596" t="s">
        <v>97</v>
      </c>
    </row>
    <row r="2597" spans="1:23" x14ac:dyDescent="0.25">
      <c r="A2597">
        <v>2596</v>
      </c>
      <c r="B2597">
        <v>29</v>
      </c>
      <c r="C2597" t="str" cm="1">
        <f t="array" ref="C2597">_xlfn.IFS(
  AND(B2597&gt;=18, B2597&lt;=24), "18-24",
  AND(B2597&gt;=25, B2597&lt;=34), "25-34",
  AND(B2597&gt;=35, B2597&lt;=44), "35-44",
  AND(B2597&gt;=45, B2597&lt;=54), "45-54",
  B2597&gt;=55, "55+"
)</f>
        <v>25-34</v>
      </c>
      <c r="D2597" t="s">
        <v>19</v>
      </c>
      <c r="E2597" t="s">
        <v>20</v>
      </c>
      <c r="F2597" t="s">
        <v>21</v>
      </c>
      <c r="G2597">
        <v>56</v>
      </c>
      <c r="H2597" t="s">
        <v>150</v>
      </c>
      <c r="I2597" t="s">
        <v>92</v>
      </c>
      <c r="J2597" t="s">
        <v>33</v>
      </c>
      <c r="K2597" t="s">
        <v>54</v>
      </c>
      <c r="L2597">
        <v>3.2</v>
      </c>
      <c r="M2597" t="s">
        <v>152</v>
      </c>
      <c r="N2597" t="s">
        <v>27</v>
      </c>
      <c r="O2597" t="s">
        <v>40</v>
      </c>
      <c r="P2597" t="s">
        <v>152</v>
      </c>
      <c r="Q2597" t="s">
        <v>152</v>
      </c>
      <c r="R2597">
        <v>3</v>
      </c>
      <c r="S2597" t="s">
        <v>34</v>
      </c>
      <c r="T2597" t="str">
        <f t="shared" si="80"/>
        <v>2-week</v>
      </c>
      <c r="U2597">
        <f>VLOOKUP(T2597,[1]tablescore!$B$3:$C$8, 2,FALSE)</f>
        <v>26</v>
      </c>
      <c r="V2597" t="str">
        <f t="shared" si="81"/>
        <v>Loyal</v>
      </c>
      <c r="W2597" t="s">
        <v>77</v>
      </c>
    </row>
    <row r="2598" spans="1:23" x14ac:dyDescent="0.25">
      <c r="A2598">
        <v>2597</v>
      </c>
      <c r="B2598">
        <v>63</v>
      </c>
      <c r="C2598" t="str" cm="1">
        <f t="array" ref="C2598">_xlfn.IFS(
  AND(B2598&gt;=18, B2598&lt;=24), "18-24",
  AND(B2598&gt;=25, B2598&lt;=34), "25-34",
  AND(B2598&gt;=35, B2598&lt;=44), "35-44",
  AND(B2598&gt;=45, B2598&lt;=54), "45-54",
  B2598&gt;=55, "55+"
)</f>
        <v>55+</v>
      </c>
      <c r="D2598" t="s">
        <v>19</v>
      </c>
      <c r="E2598" t="s">
        <v>56</v>
      </c>
      <c r="F2598" t="s">
        <v>21</v>
      </c>
      <c r="G2598">
        <v>78</v>
      </c>
      <c r="H2598" t="s">
        <v>62</v>
      </c>
      <c r="I2598" t="s">
        <v>23</v>
      </c>
      <c r="J2598" t="s">
        <v>94</v>
      </c>
      <c r="K2598" t="s">
        <v>39</v>
      </c>
      <c r="L2598">
        <v>3</v>
      </c>
      <c r="M2598" t="s">
        <v>152</v>
      </c>
      <c r="N2598" t="s">
        <v>29</v>
      </c>
      <c r="O2598" t="s">
        <v>47</v>
      </c>
      <c r="P2598" t="s">
        <v>152</v>
      </c>
      <c r="Q2598" t="s">
        <v>152</v>
      </c>
      <c r="R2598">
        <v>35</v>
      </c>
      <c r="S2598" t="s">
        <v>27</v>
      </c>
      <c r="T2598" t="str">
        <f t="shared" si="80"/>
        <v>Month</v>
      </c>
      <c r="U2598">
        <f>VLOOKUP(T2598,[1]tablescore!$B$3:$C$8, 2,FALSE)</f>
        <v>12</v>
      </c>
      <c r="V2598" t="str">
        <f t="shared" si="81"/>
        <v>Moderate</v>
      </c>
      <c r="W2598" t="s">
        <v>88</v>
      </c>
    </row>
    <row r="2599" spans="1:23" x14ac:dyDescent="0.25">
      <c r="A2599">
        <v>2598</v>
      </c>
      <c r="B2599">
        <v>60</v>
      </c>
      <c r="C2599" t="str" cm="1">
        <f t="array" ref="C2599">_xlfn.IFS(
  AND(B2599&gt;=18, B2599&lt;=24), "18-24",
  AND(B2599&gt;=25, B2599&lt;=34), "25-34",
  AND(B2599&gt;=35, B2599&lt;=44), "35-44",
  AND(B2599&gt;=45, B2599&lt;=54), "45-54",
  B2599&gt;=55, "55+"
)</f>
        <v>55+</v>
      </c>
      <c r="D2599" t="s">
        <v>19</v>
      </c>
      <c r="E2599" t="s">
        <v>106</v>
      </c>
      <c r="F2599" t="s">
        <v>69</v>
      </c>
      <c r="G2599">
        <v>25</v>
      </c>
      <c r="H2599" t="s">
        <v>90</v>
      </c>
      <c r="I2599" t="s">
        <v>92</v>
      </c>
      <c r="J2599" t="s">
        <v>86</v>
      </c>
      <c r="K2599" t="s">
        <v>54</v>
      </c>
      <c r="L2599">
        <v>4.4000000000000004</v>
      </c>
      <c r="M2599" t="s">
        <v>152</v>
      </c>
      <c r="N2599" t="s">
        <v>34</v>
      </c>
      <c r="O2599" t="s">
        <v>76</v>
      </c>
      <c r="P2599" t="s">
        <v>152</v>
      </c>
      <c r="Q2599" t="s">
        <v>152</v>
      </c>
      <c r="R2599">
        <v>13</v>
      </c>
      <c r="S2599" t="s">
        <v>29</v>
      </c>
      <c r="T2599" t="str">
        <f t="shared" si="80"/>
        <v>2-week</v>
      </c>
      <c r="U2599">
        <f>VLOOKUP(T2599,[1]tablescore!$B$3:$C$8, 2,FALSE)</f>
        <v>26</v>
      </c>
      <c r="V2599" t="str">
        <f t="shared" si="81"/>
        <v>Loyal</v>
      </c>
      <c r="W2599" t="s">
        <v>77</v>
      </c>
    </row>
    <row r="2600" spans="1:23" x14ac:dyDescent="0.25">
      <c r="A2600">
        <v>2599</v>
      </c>
      <c r="B2600">
        <v>64</v>
      </c>
      <c r="C2600" t="str" cm="1">
        <f t="array" ref="C2600">_xlfn.IFS(
  AND(B2600&gt;=18, B2600&lt;=24), "18-24",
  AND(B2600&gt;=25, B2600&lt;=34), "25-34",
  AND(B2600&gt;=35, B2600&lt;=44), "35-44",
  AND(B2600&gt;=45, B2600&lt;=54), "45-54",
  B2600&gt;=55, "55+"
)</f>
        <v>55+</v>
      </c>
      <c r="D2600" t="s">
        <v>19</v>
      </c>
      <c r="E2600" t="s">
        <v>133</v>
      </c>
      <c r="F2600" t="s">
        <v>69</v>
      </c>
      <c r="G2600">
        <v>86</v>
      </c>
      <c r="H2600" t="s">
        <v>107</v>
      </c>
      <c r="I2600" t="s">
        <v>92</v>
      </c>
      <c r="J2600" t="s">
        <v>79</v>
      </c>
      <c r="K2600" t="s">
        <v>58</v>
      </c>
      <c r="L2600">
        <v>3.3</v>
      </c>
      <c r="M2600" t="s">
        <v>152</v>
      </c>
      <c r="N2600" t="s">
        <v>27</v>
      </c>
      <c r="O2600" t="s">
        <v>28</v>
      </c>
      <c r="P2600" t="s">
        <v>152</v>
      </c>
      <c r="Q2600" t="s">
        <v>152</v>
      </c>
      <c r="R2600">
        <v>31</v>
      </c>
      <c r="S2600" t="s">
        <v>59</v>
      </c>
      <c r="T2600" t="str">
        <f t="shared" si="80"/>
        <v>Annually</v>
      </c>
      <c r="U2600">
        <f>VLOOKUP(T2600,[1]tablescore!$B$3:$C$8, 2,FALSE)</f>
        <v>1</v>
      </c>
      <c r="V2600" t="str">
        <f t="shared" si="81"/>
        <v>Low Loyalty</v>
      </c>
      <c r="W2600" t="s">
        <v>50</v>
      </c>
    </row>
    <row r="2601" spans="1:23" x14ac:dyDescent="0.25">
      <c r="A2601">
        <v>2600</v>
      </c>
      <c r="B2601">
        <v>63</v>
      </c>
      <c r="C2601" t="str" cm="1">
        <f t="array" ref="C2601">_xlfn.IFS(
  AND(B2601&gt;=18, B2601&lt;=24), "18-24",
  AND(B2601&gt;=25, B2601&lt;=34), "25-34",
  AND(B2601&gt;=35, B2601&lt;=44), "35-44",
  AND(B2601&gt;=45, B2601&lt;=54), "45-54",
  B2601&gt;=55, "55+"
)</f>
        <v>55+</v>
      </c>
      <c r="D2601" t="s">
        <v>19</v>
      </c>
      <c r="E2601" t="s">
        <v>106</v>
      </c>
      <c r="F2601" t="s">
        <v>69</v>
      </c>
      <c r="G2601">
        <v>99</v>
      </c>
      <c r="H2601" t="s">
        <v>145</v>
      </c>
      <c r="I2601" t="s">
        <v>45</v>
      </c>
      <c r="J2601" t="s">
        <v>81</v>
      </c>
      <c r="K2601" t="s">
        <v>25</v>
      </c>
      <c r="L2601">
        <v>3.4</v>
      </c>
      <c r="M2601" t="s">
        <v>152</v>
      </c>
      <c r="N2601" t="s">
        <v>27</v>
      </c>
      <c r="O2601" t="s">
        <v>28</v>
      </c>
      <c r="P2601" t="s">
        <v>152</v>
      </c>
      <c r="Q2601" t="s">
        <v>152</v>
      </c>
      <c r="R2601">
        <v>48</v>
      </c>
      <c r="S2601" t="s">
        <v>27</v>
      </c>
      <c r="T2601" t="str">
        <f t="shared" si="80"/>
        <v>Month</v>
      </c>
      <c r="U2601">
        <f>VLOOKUP(T2601,[1]tablescore!$B$3:$C$8, 2,FALSE)</f>
        <v>12</v>
      </c>
      <c r="V2601" t="str">
        <f t="shared" si="81"/>
        <v>Moderate</v>
      </c>
      <c r="W2601" t="s">
        <v>88</v>
      </c>
    </row>
    <row r="2602" spans="1:23" x14ac:dyDescent="0.25">
      <c r="A2602">
        <v>2601</v>
      </c>
      <c r="B2602">
        <v>21</v>
      </c>
      <c r="C2602" t="str" cm="1">
        <f t="array" ref="C2602">_xlfn.IFS(
  AND(B2602&gt;=18, B2602&lt;=24), "18-24",
  AND(B2602&gt;=25, B2602&lt;=34), "25-34",
  AND(B2602&gt;=35, B2602&lt;=44), "35-44",
  AND(B2602&gt;=45, B2602&lt;=54), "45-54",
  B2602&gt;=55, "55+"
)</f>
        <v>18-24</v>
      </c>
      <c r="D2602" t="s">
        <v>19</v>
      </c>
      <c r="E2602" t="s">
        <v>136</v>
      </c>
      <c r="F2602" t="s">
        <v>69</v>
      </c>
      <c r="G2602">
        <v>83</v>
      </c>
      <c r="H2602" t="s">
        <v>85</v>
      </c>
      <c r="I2602" t="s">
        <v>45</v>
      </c>
      <c r="J2602" t="s">
        <v>24</v>
      </c>
      <c r="K2602" t="s">
        <v>58</v>
      </c>
      <c r="L2602">
        <v>3.9</v>
      </c>
      <c r="M2602" t="s">
        <v>152</v>
      </c>
      <c r="N2602" t="s">
        <v>59</v>
      </c>
      <c r="O2602" t="s">
        <v>28</v>
      </c>
      <c r="P2602" t="s">
        <v>152</v>
      </c>
      <c r="Q2602" t="s">
        <v>152</v>
      </c>
      <c r="R2602">
        <v>6</v>
      </c>
      <c r="S2602" t="s">
        <v>34</v>
      </c>
      <c r="T2602" t="str">
        <f t="shared" si="80"/>
        <v>2-week</v>
      </c>
      <c r="U2602">
        <f>VLOOKUP(T2602,[1]tablescore!$B$3:$C$8, 2,FALSE)</f>
        <v>26</v>
      </c>
      <c r="V2602" t="str">
        <f t="shared" si="81"/>
        <v>Loyal</v>
      </c>
      <c r="W2602" t="s">
        <v>77</v>
      </c>
    </row>
    <row r="2603" spans="1:23" x14ac:dyDescent="0.25">
      <c r="A2603">
        <v>2602</v>
      </c>
      <c r="B2603">
        <v>61</v>
      </c>
      <c r="C2603" t="str" cm="1">
        <f t="array" ref="C2603">_xlfn.IFS(
  AND(B2603&gt;=18, B2603&lt;=24), "18-24",
  AND(B2603&gt;=25, B2603&lt;=34), "25-34",
  AND(B2603&gt;=35, B2603&lt;=44), "35-44",
  AND(B2603&gt;=45, B2603&lt;=54), "45-54",
  B2603&gt;=55, "55+"
)</f>
        <v>55+</v>
      </c>
      <c r="D2603" t="s">
        <v>19</v>
      </c>
      <c r="E2603" t="s">
        <v>82</v>
      </c>
      <c r="F2603" t="s">
        <v>21</v>
      </c>
      <c r="G2603">
        <v>33</v>
      </c>
      <c r="H2603" t="s">
        <v>91</v>
      </c>
      <c r="I2603" t="s">
        <v>23</v>
      </c>
      <c r="J2603" t="s">
        <v>121</v>
      </c>
      <c r="K2603" t="s">
        <v>25</v>
      </c>
      <c r="L2603">
        <v>2.9</v>
      </c>
      <c r="M2603" t="s">
        <v>152</v>
      </c>
      <c r="N2603" t="s">
        <v>46</v>
      </c>
      <c r="O2603" t="s">
        <v>76</v>
      </c>
      <c r="P2603" t="s">
        <v>152</v>
      </c>
      <c r="Q2603" t="s">
        <v>152</v>
      </c>
      <c r="R2603">
        <v>43</v>
      </c>
      <c r="S2603" t="s">
        <v>35</v>
      </c>
      <c r="T2603" t="str">
        <f t="shared" si="80"/>
        <v>Month</v>
      </c>
      <c r="U2603">
        <f>VLOOKUP(T2603,[1]tablescore!$B$3:$C$8, 2,FALSE)</f>
        <v>12</v>
      </c>
      <c r="V2603" t="str">
        <f t="shared" si="81"/>
        <v>Moderate</v>
      </c>
      <c r="W2603" t="s">
        <v>88</v>
      </c>
    </row>
    <row r="2604" spans="1:23" x14ac:dyDescent="0.25">
      <c r="A2604">
        <v>2603</v>
      </c>
      <c r="B2604">
        <v>65</v>
      </c>
      <c r="C2604" t="str" cm="1">
        <f t="array" ref="C2604">_xlfn.IFS(
  AND(B2604&gt;=18, B2604&lt;=24), "18-24",
  AND(B2604&gt;=25, B2604&lt;=34), "25-34",
  AND(B2604&gt;=35, B2604&lt;=44), "35-44",
  AND(B2604&gt;=45, B2604&lt;=54), "45-54",
  B2604&gt;=55, "55+"
)</f>
        <v>55+</v>
      </c>
      <c r="D2604" t="s">
        <v>19</v>
      </c>
      <c r="E2604" t="s">
        <v>64</v>
      </c>
      <c r="F2604" t="s">
        <v>65</v>
      </c>
      <c r="G2604">
        <v>44</v>
      </c>
      <c r="H2604" t="s">
        <v>126</v>
      </c>
      <c r="I2604" t="s">
        <v>45</v>
      </c>
      <c r="J2604" t="s">
        <v>94</v>
      </c>
      <c r="K2604" t="s">
        <v>58</v>
      </c>
      <c r="L2604">
        <v>2.9</v>
      </c>
      <c r="M2604" t="s">
        <v>152</v>
      </c>
      <c r="N2604" t="s">
        <v>29</v>
      </c>
      <c r="O2604" t="s">
        <v>40</v>
      </c>
      <c r="P2604" t="s">
        <v>152</v>
      </c>
      <c r="Q2604" t="s">
        <v>152</v>
      </c>
      <c r="R2604">
        <v>1</v>
      </c>
      <c r="S2604" t="s">
        <v>29</v>
      </c>
      <c r="T2604" t="str">
        <f t="shared" si="80"/>
        <v>Quarterly</v>
      </c>
      <c r="U2604">
        <f>VLOOKUP(T2604,[1]tablescore!$B$3:$C$8, 2,FALSE)</f>
        <v>4</v>
      </c>
      <c r="V2604" t="str">
        <f t="shared" si="81"/>
        <v>Low Loyalty</v>
      </c>
      <c r="W2604" t="s">
        <v>60</v>
      </c>
    </row>
    <row r="2605" spans="1:23" x14ac:dyDescent="0.25">
      <c r="A2605">
        <v>2604</v>
      </c>
      <c r="B2605">
        <v>69</v>
      </c>
      <c r="C2605" t="str" cm="1">
        <f t="array" ref="C2605">_xlfn.IFS(
  AND(B2605&gt;=18, B2605&lt;=24), "18-24",
  AND(B2605&gt;=25, B2605&lt;=34), "25-34",
  AND(B2605&gt;=35, B2605&lt;=44), "35-44",
  AND(B2605&gt;=45, B2605&lt;=54), "45-54",
  B2605&gt;=55, "55+"
)</f>
        <v>55+</v>
      </c>
      <c r="D2605" t="s">
        <v>19</v>
      </c>
      <c r="E2605" t="s">
        <v>82</v>
      </c>
      <c r="F2605" t="s">
        <v>21</v>
      </c>
      <c r="G2605">
        <v>58</v>
      </c>
      <c r="H2605" t="s">
        <v>140</v>
      </c>
      <c r="I2605" t="s">
        <v>45</v>
      </c>
      <c r="J2605" t="s">
        <v>86</v>
      </c>
      <c r="K2605" t="s">
        <v>39</v>
      </c>
      <c r="L2605">
        <v>2.7</v>
      </c>
      <c r="M2605" t="s">
        <v>152</v>
      </c>
      <c r="N2605" t="s">
        <v>59</v>
      </c>
      <c r="O2605" t="s">
        <v>72</v>
      </c>
      <c r="P2605" t="s">
        <v>152</v>
      </c>
      <c r="Q2605" t="s">
        <v>152</v>
      </c>
      <c r="R2605">
        <v>8</v>
      </c>
      <c r="S2605" t="s">
        <v>35</v>
      </c>
      <c r="T2605" t="str">
        <f t="shared" si="80"/>
        <v>Annually</v>
      </c>
      <c r="U2605">
        <f>VLOOKUP(T2605,[1]tablescore!$B$3:$C$8, 2,FALSE)</f>
        <v>1</v>
      </c>
      <c r="V2605" t="str">
        <f t="shared" si="81"/>
        <v>Low Loyalty</v>
      </c>
      <c r="W2605" t="s">
        <v>50</v>
      </c>
    </row>
    <row r="2606" spans="1:23" x14ac:dyDescent="0.25">
      <c r="A2606">
        <v>2605</v>
      </c>
      <c r="B2606">
        <v>47</v>
      </c>
      <c r="C2606" t="str" cm="1">
        <f t="array" ref="C2606">_xlfn.IFS(
  AND(B2606&gt;=18, B2606&lt;=24), "18-24",
  AND(B2606&gt;=25, B2606&lt;=34), "25-34",
  AND(B2606&gt;=35, B2606&lt;=44), "35-44",
  AND(B2606&gt;=45, B2606&lt;=54), "45-54",
  B2606&gt;=55, "55+"
)</f>
        <v>45-54</v>
      </c>
      <c r="D2606" t="s">
        <v>19</v>
      </c>
      <c r="E2606" t="s">
        <v>31</v>
      </c>
      <c r="F2606" t="s">
        <v>21</v>
      </c>
      <c r="G2606">
        <v>54</v>
      </c>
      <c r="H2606" t="s">
        <v>112</v>
      </c>
      <c r="I2606" t="s">
        <v>45</v>
      </c>
      <c r="J2606" t="s">
        <v>118</v>
      </c>
      <c r="K2606" t="s">
        <v>39</v>
      </c>
      <c r="L2606">
        <v>3.4</v>
      </c>
      <c r="M2606" t="s">
        <v>152</v>
      </c>
      <c r="N2606" t="s">
        <v>27</v>
      </c>
      <c r="O2606" t="s">
        <v>76</v>
      </c>
      <c r="P2606" t="s">
        <v>152</v>
      </c>
      <c r="Q2606" t="s">
        <v>152</v>
      </c>
      <c r="R2606">
        <v>6</v>
      </c>
      <c r="S2606" t="s">
        <v>59</v>
      </c>
      <c r="T2606" t="str">
        <f t="shared" si="80"/>
        <v>Daily</v>
      </c>
      <c r="U2606">
        <f>VLOOKUP(T2606,[1]tablescore!$B$3:$C$8, 2,FALSE)</f>
        <v>30</v>
      </c>
      <c r="V2606" t="str">
        <f t="shared" si="81"/>
        <v>Highly Loyal</v>
      </c>
      <c r="W2606" t="s">
        <v>41</v>
      </c>
    </row>
    <row r="2607" spans="1:23" x14ac:dyDescent="0.25">
      <c r="A2607">
        <v>2606</v>
      </c>
      <c r="B2607">
        <v>41</v>
      </c>
      <c r="C2607" t="str" cm="1">
        <f t="array" ref="C2607">_xlfn.IFS(
  AND(B2607&gt;=18, B2607&lt;=24), "18-24",
  AND(B2607&gt;=25, B2607&lt;=34), "25-34",
  AND(B2607&gt;=35, B2607&lt;=44), "35-44",
  AND(B2607&gt;=45, B2607&lt;=54), "45-54",
  B2607&gt;=55, "55+"
)</f>
        <v>35-44</v>
      </c>
      <c r="D2607" t="s">
        <v>19</v>
      </c>
      <c r="E2607" t="s">
        <v>104</v>
      </c>
      <c r="F2607" t="s">
        <v>21</v>
      </c>
      <c r="G2607">
        <v>93</v>
      </c>
      <c r="H2607" t="s">
        <v>107</v>
      </c>
      <c r="I2607" t="s">
        <v>45</v>
      </c>
      <c r="J2607" t="s">
        <v>53</v>
      </c>
      <c r="K2607" t="s">
        <v>39</v>
      </c>
      <c r="L2607">
        <v>3.7</v>
      </c>
      <c r="M2607" t="s">
        <v>152</v>
      </c>
      <c r="N2607" t="s">
        <v>59</v>
      </c>
      <c r="O2607" t="s">
        <v>72</v>
      </c>
      <c r="P2607" t="s">
        <v>152</v>
      </c>
      <c r="Q2607" t="s">
        <v>152</v>
      </c>
      <c r="R2607">
        <v>32</v>
      </c>
      <c r="S2607" t="s">
        <v>29</v>
      </c>
      <c r="T2607" t="str">
        <f t="shared" si="80"/>
        <v>2-week</v>
      </c>
      <c r="U2607">
        <f>VLOOKUP(T2607,[1]tablescore!$B$3:$C$8, 2,FALSE)</f>
        <v>26</v>
      </c>
      <c r="V2607" t="str">
        <f t="shared" si="81"/>
        <v>Loyal</v>
      </c>
      <c r="W2607" t="s">
        <v>30</v>
      </c>
    </row>
    <row r="2608" spans="1:23" x14ac:dyDescent="0.25">
      <c r="A2608">
        <v>2607</v>
      </c>
      <c r="B2608">
        <v>68</v>
      </c>
      <c r="C2608" t="str" cm="1">
        <f t="array" ref="C2608">_xlfn.IFS(
  AND(B2608&gt;=18, B2608&lt;=24), "18-24",
  AND(B2608&gt;=25, B2608&lt;=34), "25-34",
  AND(B2608&gt;=35, B2608&lt;=44), "35-44",
  AND(B2608&gt;=45, B2608&lt;=54), "45-54",
  B2608&gt;=55, "55+"
)</f>
        <v>55+</v>
      </c>
      <c r="D2608" t="s">
        <v>19</v>
      </c>
      <c r="E2608" t="s">
        <v>73</v>
      </c>
      <c r="F2608" t="s">
        <v>43</v>
      </c>
      <c r="G2608">
        <v>98</v>
      </c>
      <c r="H2608" t="s">
        <v>107</v>
      </c>
      <c r="I2608" t="s">
        <v>23</v>
      </c>
      <c r="J2608" t="s">
        <v>49</v>
      </c>
      <c r="K2608" t="s">
        <v>39</v>
      </c>
      <c r="L2608">
        <v>4.7</v>
      </c>
      <c r="M2608" t="s">
        <v>152</v>
      </c>
      <c r="N2608" t="s">
        <v>34</v>
      </c>
      <c r="O2608" t="s">
        <v>55</v>
      </c>
      <c r="P2608" t="s">
        <v>152</v>
      </c>
      <c r="Q2608" t="s">
        <v>152</v>
      </c>
      <c r="R2608">
        <v>46</v>
      </c>
      <c r="S2608" t="s">
        <v>34</v>
      </c>
      <c r="T2608" t="str">
        <f t="shared" si="80"/>
        <v>2-week</v>
      </c>
      <c r="U2608">
        <f>VLOOKUP(T2608,[1]tablescore!$B$3:$C$8, 2,FALSE)</f>
        <v>26</v>
      </c>
      <c r="V2608" t="str">
        <f t="shared" si="81"/>
        <v>Loyal</v>
      </c>
      <c r="W2608" t="s">
        <v>77</v>
      </c>
    </row>
    <row r="2609" spans="1:23" x14ac:dyDescent="0.25">
      <c r="A2609">
        <v>2608</v>
      </c>
      <c r="B2609">
        <v>41</v>
      </c>
      <c r="C2609" t="str" cm="1">
        <f t="array" ref="C2609">_xlfn.IFS(
  AND(B2609&gt;=18, B2609&lt;=24), "18-24",
  AND(B2609&gt;=25, B2609&lt;=34), "25-34",
  AND(B2609&gt;=35, B2609&lt;=44), "35-44",
  AND(B2609&gt;=45, B2609&lt;=54), "45-54",
  B2609&gt;=55, "55+"
)</f>
        <v>35-44</v>
      </c>
      <c r="D2609" t="s">
        <v>19</v>
      </c>
      <c r="E2609" t="s">
        <v>73</v>
      </c>
      <c r="F2609" t="s">
        <v>43</v>
      </c>
      <c r="G2609">
        <v>36</v>
      </c>
      <c r="H2609" t="s">
        <v>101</v>
      </c>
      <c r="I2609" t="s">
        <v>92</v>
      </c>
      <c r="J2609" t="s">
        <v>86</v>
      </c>
      <c r="K2609" t="s">
        <v>39</v>
      </c>
      <c r="L2609">
        <v>3.1</v>
      </c>
      <c r="M2609" t="s">
        <v>152</v>
      </c>
      <c r="N2609" t="s">
        <v>34</v>
      </c>
      <c r="O2609" t="s">
        <v>28</v>
      </c>
      <c r="P2609" t="s">
        <v>152</v>
      </c>
      <c r="Q2609" t="s">
        <v>152</v>
      </c>
      <c r="R2609">
        <v>38</v>
      </c>
      <c r="S2609" t="s">
        <v>46</v>
      </c>
      <c r="T2609" t="str">
        <f t="shared" si="80"/>
        <v>Quarterly</v>
      </c>
      <c r="U2609">
        <f>VLOOKUP(T2609,[1]tablescore!$B$3:$C$8, 2,FALSE)</f>
        <v>4</v>
      </c>
      <c r="V2609" t="str">
        <f t="shared" si="81"/>
        <v>Low Loyalty</v>
      </c>
      <c r="W2609" t="s">
        <v>97</v>
      </c>
    </row>
    <row r="2610" spans="1:23" x14ac:dyDescent="0.25">
      <c r="A2610">
        <v>2609</v>
      </c>
      <c r="B2610">
        <v>42</v>
      </c>
      <c r="C2610" t="str" cm="1">
        <f t="array" ref="C2610">_xlfn.IFS(
  AND(B2610&gt;=18, B2610&lt;=24), "18-24",
  AND(B2610&gt;=25, B2610&lt;=34), "25-34",
  AND(B2610&gt;=35, B2610&lt;=44), "35-44",
  AND(B2610&gt;=45, B2610&lt;=54), "45-54",
  B2610&gt;=55, "55+"
)</f>
        <v>35-44</v>
      </c>
      <c r="D2610" t="s">
        <v>19</v>
      </c>
      <c r="E2610" t="s">
        <v>102</v>
      </c>
      <c r="F2610" t="s">
        <v>65</v>
      </c>
      <c r="G2610">
        <v>68</v>
      </c>
      <c r="H2610" t="s">
        <v>91</v>
      </c>
      <c r="I2610" t="s">
        <v>23</v>
      </c>
      <c r="J2610" t="s">
        <v>121</v>
      </c>
      <c r="K2610" t="s">
        <v>58</v>
      </c>
      <c r="L2610">
        <v>4.2</v>
      </c>
      <c r="M2610" t="s">
        <v>152</v>
      </c>
      <c r="N2610" t="s">
        <v>46</v>
      </c>
      <c r="O2610" t="s">
        <v>72</v>
      </c>
      <c r="P2610" t="s">
        <v>152</v>
      </c>
      <c r="Q2610" t="s">
        <v>152</v>
      </c>
      <c r="R2610">
        <v>48</v>
      </c>
      <c r="S2610" t="s">
        <v>27</v>
      </c>
      <c r="T2610" t="str">
        <f t="shared" si="80"/>
        <v>2-week</v>
      </c>
      <c r="U2610">
        <f>VLOOKUP(T2610,[1]tablescore!$B$3:$C$8, 2,FALSE)</f>
        <v>26</v>
      </c>
      <c r="V2610" t="str">
        <f t="shared" si="81"/>
        <v>Loyal</v>
      </c>
      <c r="W2610" t="s">
        <v>30</v>
      </c>
    </row>
    <row r="2611" spans="1:23" x14ac:dyDescent="0.25">
      <c r="A2611">
        <v>2610</v>
      </c>
      <c r="B2611">
        <v>66</v>
      </c>
      <c r="C2611" t="str" cm="1">
        <f t="array" ref="C2611">_xlfn.IFS(
  AND(B2611&gt;=18, B2611&lt;=24), "18-24",
  AND(B2611&gt;=25, B2611&lt;=34), "25-34",
  AND(B2611&gt;=35, B2611&lt;=44), "35-44",
  AND(B2611&gt;=45, B2611&lt;=54), "45-54",
  B2611&gt;=55, "55+"
)</f>
        <v>55+</v>
      </c>
      <c r="D2611" t="s">
        <v>19</v>
      </c>
      <c r="E2611" t="s">
        <v>133</v>
      </c>
      <c r="F2611" t="s">
        <v>69</v>
      </c>
      <c r="G2611">
        <v>95</v>
      </c>
      <c r="H2611" t="s">
        <v>74</v>
      </c>
      <c r="I2611" t="s">
        <v>45</v>
      </c>
      <c r="J2611" t="s">
        <v>94</v>
      </c>
      <c r="K2611" t="s">
        <v>54</v>
      </c>
      <c r="L2611">
        <v>3</v>
      </c>
      <c r="M2611" t="s">
        <v>152</v>
      </c>
      <c r="N2611" t="s">
        <v>27</v>
      </c>
      <c r="O2611" t="s">
        <v>76</v>
      </c>
      <c r="P2611" t="s">
        <v>152</v>
      </c>
      <c r="Q2611" t="s">
        <v>152</v>
      </c>
      <c r="R2611">
        <v>18</v>
      </c>
      <c r="S2611" t="s">
        <v>59</v>
      </c>
      <c r="T2611" t="str">
        <f t="shared" si="80"/>
        <v>2-week</v>
      </c>
      <c r="U2611">
        <f>VLOOKUP(T2611,[1]tablescore!$B$3:$C$8, 2,FALSE)</f>
        <v>26</v>
      </c>
      <c r="V2611" t="str">
        <f t="shared" si="81"/>
        <v>Loyal</v>
      </c>
      <c r="W2611" t="s">
        <v>77</v>
      </c>
    </row>
    <row r="2612" spans="1:23" x14ac:dyDescent="0.25">
      <c r="A2612">
        <v>2611</v>
      </c>
      <c r="B2612">
        <v>66</v>
      </c>
      <c r="C2612" t="str" cm="1">
        <f t="array" ref="C2612">_xlfn.IFS(
  AND(B2612&gt;=18, B2612&lt;=24), "18-24",
  AND(B2612&gt;=25, B2612&lt;=34), "25-34",
  AND(B2612&gt;=35, B2612&lt;=44), "35-44",
  AND(B2612&gt;=45, B2612&lt;=54), "45-54",
  B2612&gt;=55, "55+"
)</f>
        <v>55+</v>
      </c>
      <c r="D2612" t="s">
        <v>19</v>
      </c>
      <c r="E2612" t="s">
        <v>36</v>
      </c>
      <c r="F2612" t="s">
        <v>21</v>
      </c>
      <c r="G2612">
        <v>93</v>
      </c>
      <c r="H2612" t="s">
        <v>66</v>
      </c>
      <c r="I2612" t="s">
        <v>45</v>
      </c>
      <c r="J2612" t="s">
        <v>84</v>
      </c>
      <c r="K2612" t="s">
        <v>39</v>
      </c>
      <c r="L2612">
        <v>3.1</v>
      </c>
      <c r="M2612" t="s">
        <v>152</v>
      </c>
      <c r="N2612" t="s">
        <v>34</v>
      </c>
      <c r="O2612" t="s">
        <v>28</v>
      </c>
      <c r="P2612" t="s">
        <v>152</v>
      </c>
      <c r="Q2612" t="s">
        <v>152</v>
      </c>
      <c r="R2612">
        <v>25</v>
      </c>
      <c r="S2612" t="s">
        <v>35</v>
      </c>
      <c r="T2612" t="str">
        <f t="shared" si="80"/>
        <v>Quarterly</v>
      </c>
      <c r="U2612">
        <f>VLOOKUP(T2612,[1]tablescore!$B$3:$C$8, 2,FALSE)</f>
        <v>4</v>
      </c>
      <c r="V2612" t="str">
        <f t="shared" si="81"/>
        <v>Low Loyalty</v>
      </c>
      <c r="W2612" t="s">
        <v>60</v>
      </c>
    </row>
    <row r="2613" spans="1:23" x14ac:dyDescent="0.25">
      <c r="A2613">
        <v>2612</v>
      </c>
      <c r="B2613">
        <v>33</v>
      </c>
      <c r="C2613" t="str" cm="1">
        <f t="array" ref="C2613">_xlfn.IFS(
  AND(B2613&gt;=18, B2613&lt;=24), "18-24",
  AND(B2613&gt;=25, B2613&lt;=34), "25-34",
  AND(B2613&gt;=35, B2613&lt;=44), "35-44",
  AND(B2613&gt;=45, B2613&lt;=54), "45-54",
  B2613&gt;=55, "55+"
)</f>
        <v>25-34</v>
      </c>
      <c r="D2613" t="s">
        <v>19</v>
      </c>
      <c r="E2613" t="s">
        <v>102</v>
      </c>
      <c r="F2613" t="s">
        <v>65</v>
      </c>
      <c r="G2613">
        <v>99</v>
      </c>
      <c r="H2613" t="s">
        <v>151</v>
      </c>
      <c r="I2613" t="s">
        <v>23</v>
      </c>
      <c r="J2613" t="s">
        <v>33</v>
      </c>
      <c r="K2613" t="s">
        <v>58</v>
      </c>
      <c r="L2613">
        <v>4.2</v>
      </c>
      <c r="M2613" t="s">
        <v>152</v>
      </c>
      <c r="N2613" t="s">
        <v>35</v>
      </c>
      <c r="O2613" t="s">
        <v>72</v>
      </c>
      <c r="P2613" t="s">
        <v>152</v>
      </c>
      <c r="Q2613" t="s">
        <v>152</v>
      </c>
      <c r="R2613">
        <v>4</v>
      </c>
      <c r="S2613" t="s">
        <v>35</v>
      </c>
      <c r="T2613" t="str">
        <f t="shared" si="80"/>
        <v>2-week</v>
      </c>
      <c r="U2613">
        <f>VLOOKUP(T2613,[1]tablescore!$B$3:$C$8, 2,FALSE)</f>
        <v>26</v>
      </c>
      <c r="V2613" t="str">
        <f t="shared" si="81"/>
        <v>Loyal</v>
      </c>
      <c r="W2613" t="s">
        <v>30</v>
      </c>
    </row>
    <row r="2614" spans="1:23" x14ac:dyDescent="0.25">
      <c r="A2614">
        <v>2613</v>
      </c>
      <c r="B2614">
        <v>55</v>
      </c>
      <c r="C2614" t="str" cm="1">
        <f t="array" ref="C2614">_xlfn.IFS(
  AND(B2614&gt;=18, B2614&lt;=24), "18-24",
  AND(B2614&gt;=25, B2614&lt;=34), "25-34",
  AND(B2614&gt;=35, B2614&lt;=44), "35-44",
  AND(B2614&gt;=45, B2614&lt;=54), "45-54",
  B2614&gt;=55, "55+"
)</f>
        <v>55+</v>
      </c>
      <c r="D2614" t="s">
        <v>19</v>
      </c>
      <c r="E2614" t="s">
        <v>89</v>
      </c>
      <c r="F2614" t="s">
        <v>69</v>
      </c>
      <c r="G2614">
        <v>22</v>
      </c>
      <c r="H2614" t="s">
        <v>62</v>
      </c>
      <c r="I2614" t="s">
        <v>45</v>
      </c>
      <c r="J2614" t="s">
        <v>49</v>
      </c>
      <c r="K2614" t="s">
        <v>25</v>
      </c>
      <c r="L2614">
        <v>3.8</v>
      </c>
      <c r="M2614" t="s">
        <v>152</v>
      </c>
      <c r="N2614" t="s">
        <v>35</v>
      </c>
      <c r="O2614" t="s">
        <v>47</v>
      </c>
      <c r="P2614" t="s">
        <v>152</v>
      </c>
      <c r="Q2614" t="s">
        <v>152</v>
      </c>
      <c r="R2614">
        <v>27</v>
      </c>
      <c r="S2614" t="s">
        <v>29</v>
      </c>
      <c r="T2614" t="str">
        <f t="shared" si="80"/>
        <v>Quarterly</v>
      </c>
      <c r="U2614">
        <f>VLOOKUP(T2614,[1]tablescore!$B$3:$C$8, 2,FALSE)</f>
        <v>4</v>
      </c>
      <c r="V2614" t="str">
        <f t="shared" si="81"/>
        <v>Low Loyalty</v>
      </c>
      <c r="W2614" t="s">
        <v>60</v>
      </c>
    </row>
    <row r="2615" spans="1:23" x14ac:dyDescent="0.25">
      <c r="A2615">
        <v>2614</v>
      </c>
      <c r="B2615">
        <v>58</v>
      </c>
      <c r="C2615" t="str" cm="1">
        <f t="array" ref="C2615">_xlfn.IFS(
  AND(B2615&gt;=18, B2615&lt;=24), "18-24",
  AND(B2615&gt;=25, B2615&lt;=34), "25-34",
  AND(B2615&gt;=35, B2615&lt;=44), "35-44",
  AND(B2615&gt;=45, B2615&lt;=54), "45-54",
  B2615&gt;=55, "55+"
)</f>
        <v>55+</v>
      </c>
      <c r="D2615" t="s">
        <v>19</v>
      </c>
      <c r="E2615" t="s">
        <v>127</v>
      </c>
      <c r="F2615" t="s">
        <v>69</v>
      </c>
      <c r="G2615">
        <v>88</v>
      </c>
      <c r="H2615" t="s">
        <v>130</v>
      </c>
      <c r="I2615" t="s">
        <v>45</v>
      </c>
      <c r="J2615" t="s">
        <v>81</v>
      </c>
      <c r="K2615" t="s">
        <v>58</v>
      </c>
      <c r="L2615">
        <v>2.9</v>
      </c>
      <c r="M2615" t="s">
        <v>152</v>
      </c>
      <c r="N2615" t="s">
        <v>35</v>
      </c>
      <c r="O2615" t="s">
        <v>28</v>
      </c>
      <c r="P2615" t="s">
        <v>152</v>
      </c>
      <c r="Q2615" t="s">
        <v>152</v>
      </c>
      <c r="R2615">
        <v>14</v>
      </c>
      <c r="S2615" t="s">
        <v>34</v>
      </c>
      <c r="T2615" t="str">
        <f t="shared" si="80"/>
        <v>Month</v>
      </c>
      <c r="U2615">
        <f>VLOOKUP(T2615,[1]tablescore!$B$3:$C$8, 2,FALSE)</f>
        <v>12</v>
      </c>
      <c r="V2615" t="str">
        <f t="shared" si="81"/>
        <v>Moderate</v>
      </c>
      <c r="W2615" t="s">
        <v>88</v>
      </c>
    </row>
    <row r="2616" spans="1:23" x14ac:dyDescent="0.25">
      <c r="A2616">
        <v>2615</v>
      </c>
      <c r="B2616">
        <v>18</v>
      </c>
      <c r="C2616" t="str" cm="1">
        <f t="array" ref="C2616">_xlfn.IFS(
  AND(B2616&gt;=18, B2616&lt;=24), "18-24",
  AND(B2616&gt;=25, B2616&lt;=34), "25-34",
  AND(B2616&gt;=35, B2616&lt;=44), "35-44",
  AND(B2616&gt;=45, B2616&lt;=54), "45-54",
  B2616&gt;=55, "55+"
)</f>
        <v>18-24</v>
      </c>
      <c r="D2616" t="s">
        <v>19</v>
      </c>
      <c r="E2616" t="s">
        <v>102</v>
      </c>
      <c r="F2616" t="s">
        <v>65</v>
      </c>
      <c r="G2616">
        <v>65</v>
      </c>
      <c r="H2616" t="s">
        <v>114</v>
      </c>
      <c r="I2616" t="s">
        <v>45</v>
      </c>
      <c r="J2616" t="s">
        <v>49</v>
      </c>
      <c r="K2616" t="s">
        <v>39</v>
      </c>
      <c r="L2616">
        <v>4.2</v>
      </c>
      <c r="M2616" t="s">
        <v>152</v>
      </c>
      <c r="N2616" t="s">
        <v>27</v>
      </c>
      <c r="O2616" t="s">
        <v>28</v>
      </c>
      <c r="P2616" t="s">
        <v>152</v>
      </c>
      <c r="Q2616" t="s">
        <v>152</v>
      </c>
      <c r="R2616">
        <v>36</v>
      </c>
      <c r="S2616" t="s">
        <v>34</v>
      </c>
      <c r="T2616" t="str">
        <f t="shared" si="80"/>
        <v>2-week</v>
      </c>
      <c r="U2616">
        <f>VLOOKUP(T2616,[1]tablescore!$B$3:$C$8, 2,FALSE)</f>
        <v>26</v>
      </c>
      <c r="V2616" t="str">
        <f t="shared" si="81"/>
        <v>Loyal</v>
      </c>
      <c r="W2616" t="s">
        <v>30</v>
      </c>
    </row>
    <row r="2617" spans="1:23" x14ac:dyDescent="0.25">
      <c r="A2617">
        <v>2616</v>
      </c>
      <c r="B2617">
        <v>49</v>
      </c>
      <c r="C2617" t="str" cm="1">
        <f t="array" ref="C2617">_xlfn.IFS(
  AND(B2617&gt;=18, B2617&lt;=24), "18-24",
  AND(B2617&gt;=25, B2617&lt;=34), "25-34",
  AND(B2617&gt;=35, B2617&lt;=44), "35-44",
  AND(B2617&gt;=45, B2617&lt;=54), "45-54",
  B2617&gt;=55, "55+"
)</f>
        <v>45-54</v>
      </c>
      <c r="D2617" t="s">
        <v>19</v>
      </c>
      <c r="E2617" t="s">
        <v>113</v>
      </c>
      <c r="F2617" t="s">
        <v>21</v>
      </c>
      <c r="G2617">
        <v>62</v>
      </c>
      <c r="H2617" t="s">
        <v>117</v>
      </c>
      <c r="I2617" t="s">
        <v>45</v>
      </c>
      <c r="J2617" t="s">
        <v>33</v>
      </c>
      <c r="K2617" t="s">
        <v>58</v>
      </c>
      <c r="L2617">
        <v>3.1</v>
      </c>
      <c r="M2617" t="s">
        <v>152</v>
      </c>
      <c r="N2617" t="s">
        <v>29</v>
      </c>
      <c r="O2617" t="s">
        <v>72</v>
      </c>
      <c r="P2617" t="s">
        <v>152</v>
      </c>
      <c r="Q2617" t="s">
        <v>152</v>
      </c>
      <c r="R2617">
        <v>6</v>
      </c>
      <c r="S2617" t="s">
        <v>59</v>
      </c>
      <c r="T2617" t="str">
        <f t="shared" si="80"/>
        <v>Quarterly</v>
      </c>
      <c r="U2617">
        <f>VLOOKUP(T2617,[1]tablescore!$B$3:$C$8, 2,FALSE)</f>
        <v>4</v>
      </c>
      <c r="V2617" t="str">
        <f t="shared" si="81"/>
        <v>Low Loyalty</v>
      </c>
      <c r="W2617" t="s">
        <v>60</v>
      </c>
    </row>
    <row r="2618" spans="1:23" x14ac:dyDescent="0.25">
      <c r="A2618">
        <v>2617</v>
      </c>
      <c r="B2618">
        <v>61</v>
      </c>
      <c r="C2618" t="str" cm="1">
        <f t="array" ref="C2618">_xlfn.IFS(
  AND(B2618&gt;=18, B2618&lt;=24), "18-24",
  AND(B2618&gt;=25, B2618&lt;=34), "25-34",
  AND(B2618&gt;=35, B2618&lt;=44), "35-44",
  AND(B2618&gt;=45, B2618&lt;=54), "45-54",
  B2618&gt;=55, "55+"
)</f>
        <v>55+</v>
      </c>
      <c r="D2618" t="s">
        <v>19</v>
      </c>
      <c r="E2618" t="s">
        <v>42</v>
      </c>
      <c r="F2618" t="s">
        <v>43</v>
      </c>
      <c r="G2618">
        <v>55</v>
      </c>
      <c r="H2618" t="s">
        <v>142</v>
      </c>
      <c r="I2618" t="s">
        <v>92</v>
      </c>
      <c r="J2618" t="s">
        <v>75</v>
      </c>
      <c r="K2618" t="s">
        <v>39</v>
      </c>
      <c r="L2618">
        <v>3.6</v>
      </c>
      <c r="M2618" t="s">
        <v>152</v>
      </c>
      <c r="N2618" t="s">
        <v>34</v>
      </c>
      <c r="O2618" t="s">
        <v>28</v>
      </c>
      <c r="P2618" t="s">
        <v>152</v>
      </c>
      <c r="Q2618" t="s">
        <v>152</v>
      </c>
      <c r="R2618">
        <v>46</v>
      </c>
      <c r="S2618" t="s">
        <v>35</v>
      </c>
      <c r="T2618" t="str">
        <f t="shared" si="80"/>
        <v>Annually</v>
      </c>
      <c r="U2618">
        <f>VLOOKUP(T2618,[1]tablescore!$B$3:$C$8, 2,FALSE)</f>
        <v>1</v>
      </c>
      <c r="V2618" t="str">
        <f t="shared" si="81"/>
        <v>Low Loyalty</v>
      </c>
      <c r="W2618" t="s">
        <v>50</v>
      </c>
    </row>
    <row r="2619" spans="1:23" x14ac:dyDescent="0.25">
      <c r="A2619">
        <v>2618</v>
      </c>
      <c r="B2619">
        <v>31</v>
      </c>
      <c r="C2619" t="str" cm="1">
        <f t="array" ref="C2619">_xlfn.IFS(
  AND(B2619&gt;=18, B2619&lt;=24), "18-24",
  AND(B2619&gt;=25, B2619&lt;=34), "25-34",
  AND(B2619&gt;=35, B2619&lt;=44), "35-44",
  AND(B2619&gt;=45, B2619&lt;=54), "45-54",
  B2619&gt;=55, "55+"
)</f>
        <v>25-34</v>
      </c>
      <c r="D2619" t="s">
        <v>19</v>
      </c>
      <c r="E2619" t="s">
        <v>61</v>
      </c>
      <c r="F2619" t="s">
        <v>21</v>
      </c>
      <c r="G2619">
        <v>97</v>
      </c>
      <c r="H2619" t="s">
        <v>144</v>
      </c>
      <c r="I2619" t="s">
        <v>38</v>
      </c>
      <c r="J2619" t="s">
        <v>33</v>
      </c>
      <c r="K2619" t="s">
        <v>39</v>
      </c>
      <c r="L2619">
        <v>4.8</v>
      </c>
      <c r="M2619" t="s">
        <v>152</v>
      </c>
      <c r="N2619" t="s">
        <v>34</v>
      </c>
      <c r="O2619" t="s">
        <v>55</v>
      </c>
      <c r="P2619" t="s">
        <v>152</v>
      </c>
      <c r="Q2619" t="s">
        <v>152</v>
      </c>
      <c r="R2619">
        <v>29</v>
      </c>
      <c r="S2619" t="s">
        <v>34</v>
      </c>
      <c r="T2619" t="str">
        <f t="shared" si="80"/>
        <v>Annually</v>
      </c>
      <c r="U2619">
        <f>VLOOKUP(T2619,[1]tablescore!$B$3:$C$8, 2,FALSE)</f>
        <v>1</v>
      </c>
      <c r="V2619" t="str">
        <f t="shared" si="81"/>
        <v>Low Loyalty</v>
      </c>
      <c r="W2619" t="s">
        <v>50</v>
      </c>
    </row>
    <row r="2620" spans="1:23" x14ac:dyDescent="0.25">
      <c r="A2620">
        <v>2619</v>
      </c>
      <c r="B2620">
        <v>70</v>
      </c>
      <c r="C2620" t="str" cm="1">
        <f t="array" ref="C2620">_xlfn.IFS(
  AND(B2620&gt;=18, B2620&lt;=24), "18-24",
  AND(B2620&gt;=25, B2620&lt;=34), "25-34",
  AND(B2620&gt;=35, B2620&lt;=44), "35-44",
  AND(B2620&gt;=45, B2620&lt;=54), "45-54",
  B2620&gt;=55, "55+"
)</f>
        <v>55+</v>
      </c>
      <c r="D2620" t="s">
        <v>19</v>
      </c>
      <c r="E2620" t="s">
        <v>68</v>
      </c>
      <c r="F2620" t="s">
        <v>69</v>
      </c>
      <c r="G2620">
        <v>77</v>
      </c>
      <c r="H2620" t="s">
        <v>62</v>
      </c>
      <c r="I2620" t="s">
        <v>23</v>
      </c>
      <c r="J2620" t="s">
        <v>110</v>
      </c>
      <c r="K2620" t="s">
        <v>58</v>
      </c>
      <c r="L2620">
        <v>4.0999999999999996</v>
      </c>
      <c r="M2620" t="s">
        <v>152</v>
      </c>
      <c r="N2620" t="s">
        <v>27</v>
      </c>
      <c r="O2620" t="s">
        <v>28</v>
      </c>
      <c r="P2620" t="s">
        <v>152</v>
      </c>
      <c r="Q2620" t="s">
        <v>152</v>
      </c>
      <c r="R2620">
        <v>12</v>
      </c>
      <c r="S2620" t="s">
        <v>29</v>
      </c>
      <c r="T2620" t="str">
        <f t="shared" si="80"/>
        <v>Month</v>
      </c>
      <c r="U2620">
        <f>VLOOKUP(T2620,[1]tablescore!$B$3:$C$8, 2,FALSE)</f>
        <v>12</v>
      </c>
      <c r="V2620" t="str">
        <f t="shared" si="81"/>
        <v>Moderate</v>
      </c>
      <c r="W2620" t="s">
        <v>88</v>
      </c>
    </row>
    <row r="2621" spans="1:23" x14ac:dyDescent="0.25">
      <c r="A2621">
        <v>2620</v>
      </c>
      <c r="B2621">
        <v>68</v>
      </c>
      <c r="C2621" t="str" cm="1">
        <f t="array" ref="C2621">_xlfn.IFS(
  AND(B2621&gt;=18, B2621&lt;=24), "18-24",
  AND(B2621&gt;=25, B2621&lt;=34), "25-34",
  AND(B2621&gt;=35, B2621&lt;=44), "35-44",
  AND(B2621&gt;=45, B2621&lt;=54), "45-54",
  B2621&gt;=55, "55+"
)</f>
        <v>55+</v>
      </c>
      <c r="D2621" t="s">
        <v>19</v>
      </c>
      <c r="E2621" t="s">
        <v>95</v>
      </c>
      <c r="F2621" t="s">
        <v>21</v>
      </c>
      <c r="G2621">
        <v>40</v>
      </c>
      <c r="H2621" t="s">
        <v>146</v>
      </c>
      <c r="I2621" t="s">
        <v>23</v>
      </c>
      <c r="J2621" t="s">
        <v>129</v>
      </c>
      <c r="K2621" t="s">
        <v>25</v>
      </c>
      <c r="L2621">
        <v>3.9</v>
      </c>
      <c r="M2621" t="s">
        <v>152</v>
      </c>
      <c r="N2621" t="s">
        <v>27</v>
      </c>
      <c r="O2621" t="s">
        <v>40</v>
      </c>
      <c r="P2621" t="s">
        <v>152</v>
      </c>
      <c r="Q2621" t="s">
        <v>152</v>
      </c>
      <c r="R2621">
        <v>47</v>
      </c>
      <c r="S2621" t="s">
        <v>27</v>
      </c>
      <c r="T2621" t="str">
        <f t="shared" si="80"/>
        <v>Daily</v>
      </c>
      <c r="U2621">
        <f>VLOOKUP(T2621,[1]tablescore!$B$3:$C$8, 2,FALSE)</f>
        <v>30</v>
      </c>
      <c r="V2621" t="str">
        <f t="shared" si="81"/>
        <v>Highly Loyal</v>
      </c>
      <c r="W2621" t="s">
        <v>41</v>
      </c>
    </row>
    <row r="2622" spans="1:23" x14ac:dyDescent="0.25">
      <c r="A2622">
        <v>2621</v>
      </c>
      <c r="B2622">
        <v>27</v>
      </c>
      <c r="C2622" t="str" cm="1">
        <f t="array" ref="C2622">_xlfn.IFS(
  AND(B2622&gt;=18, B2622&lt;=24), "18-24",
  AND(B2622&gt;=25, B2622&lt;=34), "25-34",
  AND(B2622&gt;=35, B2622&lt;=44), "35-44",
  AND(B2622&gt;=45, B2622&lt;=54), "45-54",
  B2622&gt;=55, "55+"
)</f>
        <v>25-34</v>
      </c>
      <c r="D2622" t="s">
        <v>19</v>
      </c>
      <c r="E2622" t="s">
        <v>20</v>
      </c>
      <c r="F2622" t="s">
        <v>21</v>
      </c>
      <c r="G2622">
        <v>23</v>
      </c>
      <c r="H2622" t="s">
        <v>124</v>
      </c>
      <c r="I2622" t="s">
        <v>38</v>
      </c>
      <c r="J2622" t="s">
        <v>93</v>
      </c>
      <c r="K2622" t="s">
        <v>25</v>
      </c>
      <c r="L2622">
        <v>3</v>
      </c>
      <c r="M2622" t="s">
        <v>152</v>
      </c>
      <c r="N2622" t="s">
        <v>29</v>
      </c>
      <c r="O2622" t="s">
        <v>55</v>
      </c>
      <c r="P2622" t="s">
        <v>152</v>
      </c>
      <c r="Q2622" t="s">
        <v>152</v>
      </c>
      <c r="R2622">
        <v>28</v>
      </c>
      <c r="S2622" t="s">
        <v>59</v>
      </c>
      <c r="T2622" t="str">
        <f t="shared" si="80"/>
        <v>Annually</v>
      </c>
      <c r="U2622">
        <f>VLOOKUP(T2622,[1]tablescore!$B$3:$C$8, 2,FALSE)</f>
        <v>1</v>
      </c>
      <c r="V2622" t="str">
        <f t="shared" si="81"/>
        <v>Low Loyalty</v>
      </c>
      <c r="W2622" t="s">
        <v>50</v>
      </c>
    </row>
    <row r="2623" spans="1:23" x14ac:dyDescent="0.25">
      <c r="A2623">
        <v>2622</v>
      </c>
      <c r="B2623">
        <v>48</v>
      </c>
      <c r="C2623" t="str" cm="1">
        <f t="array" ref="C2623">_xlfn.IFS(
  AND(B2623&gt;=18, B2623&lt;=24), "18-24",
  AND(B2623&gt;=25, B2623&lt;=34), "25-34",
  AND(B2623&gt;=35, B2623&lt;=44), "35-44",
  AND(B2623&gt;=45, B2623&lt;=54), "45-54",
  B2623&gt;=55, "55+"
)</f>
        <v>45-54</v>
      </c>
      <c r="D2623" t="s">
        <v>19</v>
      </c>
      <c r="E2623" t="s">
        <v>73</v>
      </c>
      <c r="F2623" t="s">
        <v>43</v>
      </c>
      <c r="G2623">
        <v>46</v>
      </c>
      <c r="H2623" t="s">
        <v>32</v>
      </c>
      <c r="I2623" t="s">
        <v>45</v>
      </c>
      <c r="J2623" t="s">
        <v>118</v>
      </c>
      <c r="K2623" t="s">
        <v>25</v>
      </c>
      <c r="L2623">
        <v>3</v>
      </c>
      <c r="M2623" t="s">
        <v>152</v>
      </c>
      <c r="N2623" t="s">
        <v>46</v>
      </c>
      <c r="O2623" t="s">
        <v>28</v>
      </c>
      <c r="P2623" t="s">
        <v>152</v>
      </c>
      <c r="Q2623" t="s">
        <v>152</v>
      </c>
      <c r="R2623">
        <v>21</v>
      </c>
      <c r="S2623" t="s">
        <v>34</v>
      </c>
      <c r="T2623" t="str">
        <f t="shared" si="80"/>
        <v>Annually</v>
      </c>
      <c r="U2623">
        <f>VLOOKUP(T2623,[1]tablescore!$B$3:$C$8, 2,FALSE)</f>
        <v>1</v>
      </c>
      <c r="V2623" t="str">
        <f t="shared" si="81"/>
        <v>Low Loyalty</v>
      </c>
      <c r="W2623" t="s">
        <v>50</v>
      </c>
    </row>
    <row r="2624" spans="1:23" x14ac:dyDescent="0.25">
      <c r="A2624">
        <v>2623</v>
      </c>
      <c r="B2624">
        <v>63</v>
      </c>
      <c r="C2624" t="str" cm="1">
        <f t="array" ref="C2624">_xlfn.IFS(
  AND(B2624&gt;=18, B2624&lt;=24), "18-24",
  AND(B2624&gt;=25, B2624&lt;=34), "25-34",
  AND(B2624&gt;=35, B2624&lt;=44), "35-44",
  AND(B2624&gt;=45, B2624&lt;=54), "45-54",
  B2624&gt;=55, "55+"
)</f>
        <v>55+</v>
      </c>
      <c r="D2624" t="s">
        <v>19</v>
      </c>
      <c r="E2624" t="s">
        <v>133</v>
      </c>
      <c r="F2624" t="s">
        <v>69</v>
      </c>
      <c r="G2624">
        <v>75</v>
      </c>
      <c r="H2624" t="s">
        <v>83</v>
      </c>
      <c r="I2624" t="s">
        <v>45</v>
      </c>
      <c r="J2624" t="s">
        <v>139</v>
      </c>
      <c r="K2624" t="s">
        <v>39</v>
      </c>
      <c r="L2624">
        <v>4.9000000000000004</v>
      </c>
      <c r="M2624" t="s">
        <v>152</v>
      </c>
      <c r="N2624" t="s">
        <v>29</v>
      </c>
      <c r="O2624" t="s">
        <v>72</v>
      </c>
      <c r="P2624" t="s">
        <v>152</v>
      </c>
      <c r="Q2624" t="s">
        <v>152</v>
      </c>
      <c r="R2624">
        <v>15</v>
      </c>
      <c r="S2624" t="s">
        <v>27</v>
      </c>
      <c r="T2624" t="str">
        <f t="shared" si="80"/>
        <v>Annually</v>
      </c>
      <c r="U2624">
        <f>VLOOKUP(T2624,[1]tablescore!$B$3:$C$8, 2,FALSE)</f>
        <v>1</v>
      </c>
      <c r="V2624" t="str">
        <f t="shared" si="81"/>
        <v>Low Loyalty</v>
      </c>
      <c r="W2624" t="s">
        <v>50</v>
      </c>
    </row>
    <row r="2625" spans="1:23" x14ac:dyDescent="0.25">
      <c r="A2625">
        <v>2624</v>
      </c>
      <c r="B2625">
        <v>49</v>
      </c>
      <c r="C2625" t="str" cm="1">
        <f t="array" ref="C2625">_xlfn.IFS(
  AND(B2625&gt;=18, B2625&lt;=24), "18-24",
  AND(B2625&gt;=25, B2625&lt;=34), "25-34",
  AND(B2625&gt;=35, B2625&lt;=44), "35-44",
  AND(B2625&gt;=45, B2625&lt;=54), "45-54",
  B2625&gt;=55, "55+"
)</f>
        <v>45-54</v>
      </c>
      <c r="D2625" t="s">
        <v>19</v>
      </c>
      <c r="E2625" t="s">
        <v>73</v>
      </c>
      <c r="F2625" t="s">
        <v>43</v>
      </c>
      <c r="G2625">
        <v>76</v>
      </c>
      <c r="H2625" t="s">
        <v>37</v>
      </c>
      <c r="I2625" t="s">
        <v>45</v>
      </c>
      <c r="J2625" t="s">
        <v>81</v>
      </c>
      <c r="K2625" t="s">
        <v>58</v>
      </c>
      <c r="L2625">
        <v>4.8</v>
      </c>
      <c r="M2625" t="s">
        <v>152</v>
      </c>
      <c r="N2625" t="s">
        <v>35</v>
      </c>
      <c r="O2625" t="s">
        <v>47</v>
      </c>
      <c r="P2625" t="s">
        <v>152</v>
      </c>
      <c r="Q2625" t="s">
        <v>152</v>
      </c>
      <c r="R2625">
        <v>38</v>
      </c>
      <c r="S2625" t="s">
        <v>35</v>
      </c>
      <c r="T2625" t="str">
        <f t="shared" si="80"/>
        <v>Annually</v>
      </c>
      <c r="U2625">
        <f>VLOOKUP(T2625,[1]tablescore!$B$3:$C$8, 2,FALSE)</f>
        <v>1</v>
      </c>
      <c r="V2625" t="str">
        <f t="shared" si="81"/>
        <v>Low Loyalty</v>
      </c>
      <c r="W2625" t="s">
        <v>50</v>
      </c>
    </row>
    <row r="2626" spans="1:23" x14ac:dyDescent="0.25">
      <c r="A2626">
        <v>2625</v>
      </c>
      <c r="B2626">
        <v>19</v>
      </c>
      <c r="C2626" t="str" cm="1">
        <f t="array" ref="C2626">_xlfn.IFS(
  AND(B2626&gt;=18, B2626&lt;=24), "18-24",
  AND(B2626&gt;=25, B2626&lt;=34), "25-34",
  AND(B2626&gt;=35, B2626&lt;=44), "35-44",
  AND(B2626&gt;=45, B2626&lt;=54), "45-54",
  B2626&gt;=55, "55+"
)</f>
        <v>18-24</v>
      </c>
      <c r="D2626" t="s">
        <v>19</v>
      </c>
      <c r="E2626" t="s">
        <v>82</v>
      </c>
      <c r="F2626" t="s">
        <v>21</v>
      </c>
      <c r="G2626">
        <v>59</v>
      </c>
      <c r="H2626" t="s">
        <v>130</v>
      </c>
      <c r="I2626" t="s">
        <v>45</v>
      </c>
      <c r="J2626" t="s">
        <v>129</v>
      </c>
      <c r="K2626" t="s">
        <v>54</v>
      </c>
      <c r="L2626">
        <v>3.3</v>
      </c>
      <c r="M2626" t="s">
        <v>152</v>
      </c>
      <c r="N2626" t="s">
        <v>59</v>
      </c>
      <c r="O2626" t="s">
        <v>55</v>
      </c>
      <c r="P2626" t="s">
        <v>152</v>
      </c>
      <c r="Q2626" t="s">
        <v>152</v>
      </c>
      <c r="R2626">
        <v>19</v>
      </c>
      <c r="S2626" t="s">
        <v>27</v>
      </c>
      <c r="T2626" t="str">
        <f t="shared" si="80"/>
        <v>Annually</v>
      </c>
      <c r="U2626">
        <f>VLOOKUP(T2626,[1]tablescore!$B$3:$C$8, 2,FALSE)</f>
        <v>1</v>
      </c>
      <c r="V2626" t="str">
        <f t="shared" si="81"/>
        <v>Low Loyalty</v>
      </c>
      <c r="W2626" t="s">
        <v>50</v>
      </c>
    </row>
    <row r="2627" spans="1:23" x14ac:dyDescent="0.25">
      <c r="A2627">
        <v>2626</v>
      </c>
      <c r="B2627">
        <v>30</v>
      </c>
      <c r="C2627" t="str" cm="1">
        <f t="array" ref="C2627">_xlfn.IFS(
  AND(B2627&gt;=18, B2627&lt;=24), "18-24",
  AND(B2627&gt;=25, B2627&lt;=34), "25-34",
  AND(B2627&gt;=35, B2627&lt;=44), "35-44",
  AND(B2627&gt;=45, B2627&lt;=54), "45-54",
  B2627&gt;=55, "55+"
)</f>
        <v>25-34</v>
      </c>
      <c r="D2627" t="s">
        <v>19</v>
      </c>
      <c r="E2627" t="s">
        <v>87</v>
      </c>
      <c r="F2627" t="s">
        <v>21</v>
      </c>
      <c r="G2627">
        <v>51</v>
      </c>
      <c r="H2627" t="s">
        <v>112</v>
      </c>
      <c r="I2627" t="s">
        <v>23</v>
      </c>
      <c r="J2627" t="s">
        <v>109</v>
      </c>
      <c r="K2627" t="s">
        <v>54</v>
      </c>
      <c r="L2627">
        <v>2.7</v>
      </c>
      <c r="M2627" t="s">
        <v>152</v>
      </c>
      <c r="N2627" t="s">
        <v>34</v>
      </c>
      <c r="O2627" t="s">
        <v>55</v>
      </c>
      <c r="P2627" t="s">
        <v>152</v>
      </c>
      <c r="Q2627" t="s">
        <v>152</v>
      </c>
      <c r="R2627">
        <v>31</v>
      </c>
      <c r="S2627" t="s">
        <v>27</v>
      </c>
      <c r="T2627" t="str">
        <f t="shared" ref="T2627:T2690" si="82">IF(TRIM(W2627)="Every 3 months","Quarterly",IF(TRIM(W2627)="Fortnightly","2-week",IF(TRIM(W2627)="Bi-Weekly","2-week",IF(TRIM(W2627)="Weekly","Daily",IF(TRIM(W2627)="Monthly","Month",TRIM(W2627))))))</f>
        <v>Daily</v>
      </c>
      <c r="U2627">
        <f>VLOOKUP(T2627,[1]tablescore!$B$3:$C$8, 2,FALSE)</f>
        <v>30</v>
      </c>
      <c r="V2627" t="str">
        <f t="shared" ref="V2627:V2690" si="83">_xlfn.IFS(U2627&gt;=30, "Highly Loyal", U2627&gt;=26, "Loyal", U2627&gt;=12, "Moderate", U2627&lt;5, "Low Loyalty")</f>
        <v>Highly Loyal</v>
      </c>
      <c r="W2627" t="s">
        <v>41</v>
      </c>
    </row>
    <row r="2628" spans="1:23" x14ac:dyDescent="0.25">
      <c r="A2628">
        <v>2627</v>
      </c>
      <c r="B2628">
        <v>50</v>
      </c>
      <c r="C2628" t="str" cm="1">
        <f t="array" ref="C2628">_xlfn.IFS(
  AND(B2628&gt;=18, B2628&lt;=24), "18-24",
  AND(B2628&gt;=25, B2628&lt;=34), "25-34",
  AND(B2628&gt;=35, B2628&lt;=44), "35-44",
  AND(B2628&gt;=45, B2628&lt;=54), "45-54",
  B2628&gt;=55, "55+"
)</f>
        <v>45-54</v>
      </c>
      <c r="D2628" t="s">
        <v>19</v>
      </c>
      <c r="E2628" t="s">
        <v>102</v>
      </c>
      <c r="F2628" t="s">
        <v>65</v>
      </c>
      <c r="G2628">
        <v>46</v>
      </c>
      <c r="H2628" t="s">
        <v>44</v>
      </c>
      <c r="I2628" t="s">
        <v>92</v>
      </c>
      <c r="J2628" t="s">
        <v>67</v>
      </c>
      <c r="K2628" t="s">
        <v>58</v>
      </c>
      <c r="L2628">
        <v>4.2</v>
      </c>
      <c r="M2628" t="s">
        <v>152</v>
      </c>
      <c r="N2628" t="s">
        <v>34</v>
      </c>
      <c r="O2628" t="s">
        <v>28</v>
      </c>
      <c r="P2628" t="s">
        <v>152</v>
      </c>
      <c r="Q2628" t="s">
        <v>152</v>
      </c>
      <c r="R2628">
        <v>30</v>
      </c>
      <c r="S2628" t="s">
        <v>27</v>
      </c>
      <c r="T2628" t="str">
        <f t="shared" si="82"/>
        <v>Quarterly</v>
      </c>
      <c r="U2628">
        <f>VLOOKUP(T2628,[1]tablescore!$B$3:$C$8, 2,FALSE)</f>
        <v>4</v>
      </c>
      <c r="V2628" t="str">
        <f t="shared" si="83"/>
        <v>Low Loyalty</v>
      </c>
      <c r="W2628" t="s">
        <v>97</v>
      </c>
    </row>
    <row r="2629" spans="1:23" x14ac:dyDescent="0.25">
      <c r="A2629">
        <v>2628</v>
      </c>
      <c r="B2629">
        <v>66</v>
      </c>
      <c r="C2629" t="str" cm="1">
        <f t="array" ref="C2629">_xlfn.IFS(
  AND(B2629&gt;=18, B2629&lt;=24), "18-24",
  AND(B2629&gt;=25, B2629&lt;=34), "25-34",
  AND(B2629&gt;=35, B2629&lt;=44), "35-44",
  AND(B2629&gt;=45, B2629&lt;=54), "45-54",
  B2629&gt;=55, "55+"
)</f>
        <v>55+</v>
      </c>
      <c r="D2629" t="s">
        <v>19</v>
      </c>
      <c r="E2629" t="s">
        <v>56</v>
      </c>
      <c r="F2629" t="s">
        <v>21</v>
      </c>
      <c r="G2629">
        <v>26</v>
      </c>
      <c r="H2629" t="s">
        <v>70</v>
      </c>
      <c r="I2629" t="s">
        <v>23</v>
      </c>
      <c r="J2629" t="s">
        <v>67</v>
      </c>
      <c r="K2629" t="s">
        <v>58</v>
      </c>
      <c r="L2629">
        <v>3.6</v>
      </c>
      <c r="M2629" t="s">
        <v>152</v>
      </c>
      <c r="N2629" t="s">
        <v>46</v>
      </c>
      <c r="O2629" t="s">
        <v>47</v>
      </c>
      <c r="P2629" t="s">
        <v>152</v>
      </c>
      <c r="Q2629" t="s">
        <v>152</v>
      </c>
      <c r="R2629">
        <v>40</v>
      </c>
      <c r="S2629" t="s">
        <v>34</v>
      </c>
      <c r="T2629" t="str">
        <f t="shared" si="82"/>
        <v>Quarterly</v>
      </c>
      <c r="U2629">
        <f>VLOOKUP(T2629,[1]tablescore!$B$3:$C$8, 2,FALSE)</f>
        <v>4</v>
      </c>
      <c r="V2629" t="str">
        <f t="shared" si="83"/>
        <v>Low Loyalty</v>
      </c>
      <c r="W2629" t="s">
        <v>60</v>
      </c>
    </row>
    <row r="2630" spans="1:23" x14ac:dyDescent="0.25">
      <c r="A2630">
        <v>2629</v>
      </c>
      <c r="B2630">
        <v>25</v>
      </c>
      <c r="C2630" t="str" cm="1">
        <f t="array" ref="C2630">_xlfn.IFS(
  AND(B2630&gt;=18, B2630&lt;=24), "18-24",
  AND(B2630&gt;=25, B2630&lt;=34), "25-34",
  AND(B2630&gt;=35, B2630&lt;=44), "35-44",
  AND(B2630&gt;=45, B2630&lt;=54), "45-54",
  B2630&gt;=55, "55+"
)</f>
        <v>25-34</v>
      </c>
      <c r="D2630" t="s">
        <v>19</v>
      </c>
      <c r="E2630" t="s">
        <v>104</v>
      </c>
      <c r="F2630" t="s">
        <v>21</v>
      </c>
      <c r="G2630">
        <v>51</v>
      </c>
      <c r="H2630" t="s">
        <v>52</v>
      </c>
      <c r="I2630" t="s">
        <v>45</v>
      </c>
      <c r="J2630" t="s">
        <v>67</v>
      </c>
      <c r="K2630" t="s">
        <v>54</v>
      </c>
      <c r="L2630">
        <v>3.8</v>
      </c>
      <c r="M2630" t="s">
        <v>152</v>
      </c>
      <c r="N2630" t="s">
        <v>29</v>
      </c>
      <c r="O2630" t="s">
        <v>47</v>
      </c>
      <c r="P2630" t="s">
        <v>152</v>
      </c>
      <c r="Q2630" t="s">
        <v>152</v>
      </c>
      <c r="R2630">
        <v>42</v>
      </c>
      <c r="S2630" t="s">
        <v>27</v>
      </c>
      <c r="T2630" t="str">
        <f t="shared" si="82"/>
        <v>2-week</v>
      </c>
      <c r="U2630">
        <f>VLOOKUP(T2630,[1]tablescore!$B$3:$C$8, 2,FALSE)</f>
        <v>26</v>
      </c>
      <c r="V2630" t="str">
        <f t="shared" si="83"/>
        <v>Loyal</v>
      </c>
      <c r="W2630" t="s">
        <v>77</v>
      </c>
    </row>
    <row r="2631" spans="1:23" x14ac:dyDescent="0.25">
      <c r="A2631">
        <v>2630</v>
      </c>
      <c r="B2631">
        <v>61</v>
      </c>
      <c r="C2631" t="str" cm="1">
        <f t="array" ref="C2631">_xlfn.IFS(
  AND(B2631&gt;=18, B2631&lt;=24), "18-24",
  AND(B2631&gt;=25, B2631&lt;=34), "25-34",
  AND(B2631&gt;=35, B2631&lt;=44), "35-44",
  AND(B2631&gt;=45, B2631&lt;=54), "45-54",
  B2631&gt;=55, "55+"
)</f>
        <v>55+</v>
      </c>
      <c r="D2631" t="s">
        <v>19</v>
      </c>
      <c r="E2631" t="s">
        <v>119</v>
      </c>
      <c r="F2631" t="s">
        <v>69</v>
      </c>
      <c r="G2631">
        <v>44</v>
      </c>
      <c r="H2631" t="s">
        <v>83</v>
      </c>
      <c r="I2631" t="s">
        <v>45</v>
      </c>
      <c r="J2631" t="s">
        <v>100</v>
      </c>
      <c r="K2631" t="s">
        <v>25</v>
      </c>
      <c r="L2631">
        <v>3.8</v>
      </c>
      <c r="M2631" t="s">
        <v>152</v>
      </c>
      <c r="N2631" t="s">
        <v>29</v>
      </c>
      <c r="O2631" t="s">
        <v>40</v>
      </c>
      <c r="P2631" t="s">
        <v>152</v>
      </c>
      <c r="Q2631" t="s">
        <v>152</v>
      </c>
      <c r="R2631">
        <v>25</v>
      </c>
      <c r="S2631" t="s">
        <v>29</v>
      </c>
      <c r="T2631" t="str">
        <f t="shared" si="82"/>
        <v>Annually</v>
      </c>
      <c r="U2631">
        <f>VLOOKUP(T2631,[1]tablescore!$B$3:$C$8, 2,FALSE)</f>
        <v>1</v>
      </c>
      <c r="V2631" t="str">
        <f t="shared" si="83"/>
        <v>Low Loyalty</v>
      </c>
      <c r="W2631" t="s">
        <v>50</v>
      </c>
    </row>
    <row r="2632" spans="1:23" x14ac:dyDescent="0.25">
      <c r="A2632">
        <v>2631</v>
      </c>
      <c r="B2632">
        <v>29</v>
      </c>
      <c r="C2632" t="str" cm="1">
        <f t="array" ref="C2632">_xlfn.IFS(
  AND(B2632&gt;=18, B2632&lt;=24), "18-24",
  AND(B2632&gt;=25, B2632&lt;=34), "25-34",
  AND(B2632&gt;=35, B2632&lt;=44), "35-44",
  AND(B2632&gt;=45, B2632&lt;=54), "45-54",
  B2632&gt;=55, "55+"
)</f>
        <v>25-34</v>
      </c>
      <c r="D2632" t="s">
        <v>19</v>
      </c>
      <c r="E2632" t="s">
        <v>87</v>
      </c>
      <c r="F2632" t="s">
        <v>21</v>
      </c>
      <c r="G2632">
        <v>82</v>
      </c>
      <c r="H2632" t="s">
        <v>32</v>
      </c>
      <c r="I2632" t="s">
        <v>38</v>
      </c>
      <c r="J2632" t="s">
        <v>71</v>
      </c>
      <c r="K2632" t="s">
        <v>39</v>
      </c>
      <c r="L2632">
        <v>4.2</v>
      </c>
      <c r="M2632" t="s">
        <v>152</v>
      </c>
      <c r="N2632" t="s">
        <v>34</v>
      </c>
      <c r="O2632" t="s">
        <v>40</v>
      </c>
      <c r="P2632" t="s">
        <v>152</v>
      </c>
      <c r="Q2632" t="s">
        <v>152</v>
      </c>
      <c r="R2632">
        <v>20</v>
      </c>
      <c r="S2632" t="s">
        <v>35</v>
      </c>
      <c r="T2632" t="str">
        <f t="shared" si="82"/>
        <v>Quarterly</v>
      </c>
      <c r="U2632">
        <f>VLOOKUP(T2632,[1]tablescore!$B$3:$C$8, 2,FALSE)</f>
        <v>4</v>
      </c>
      <c r="V2632" t="str">
        <f t="shared" si="83"/>
        <v>Low Loyalty</v>
      </c>
      <c r="W2632" t="s">
        <v>60</v>
      </c>
    </row>
    <row r="2633" spans="1:23" x14ac:dyDescent="0.25">
      <c r="A2633">
        <v>2632</v>
      </c>
      <c r="B2633">
        <v>53</v>
      </c>
      <c r="C2633" t="str" cm="1">
        <f t="array" ref="C2633">_xlfn.IFS(
  AND(B2633&gt;=18, B2633&lt;=24), "18-24",
  AND(B2633&gt;=25, B2633&lt;=34), "25-34",
  AND(B2633&gt;=35, B2633&lt;=44), "35-44",
  AND(B2633&gt;=45, B2633&lt;=54), "45-54",
  B2633&gt;=55, "55+"
)</f>
        <v>45-54</v>
      </c>
      <c r="D2633" t="s">
        <v>19</v>
      </c>
      <c r="E2633" t="s">
        <v>87</v>
      </c>
      <c r="F2633" t="s">
        <v>21</v>
      </c>
      <c r="G2633">
        <v>44</v>
      </c>
      <c r="H2633" t="s">
        <v>146</v>
      </c>
      <c r="I2633" t="s">
        <v>38</v>
      </c>
      <c r="J2633" t="s">
        <v>84</v>
      </c>
      <c r="K2633" t="s">
        <v>54</v>
      </c>
      <c r="L2633">
        <v>2.7</v>
      </c>
      <c r="M2633" t="s">
        <v>152</v>
      </c>
      <c r="N2633" t="s">
        <v>46</v>
      </c>
      <c r="O2633" t="s">
        <v>28</v>
      </c>
      <c r="P2633" t="s">
        <v>152</v>
      </c>
      <c r="Q2633" t="s">
        <v>152</v>
      </c>
      <c r="R2633">
        <v>3</v>
      </c>
      <c r="S2633" t="s">
        <v>35</v>
      </c>
      <c r="T2633" t="str">
        <f t="shared" si="82"/>
        <v>Daily</v>
      </c>
      <c r="U2633">
        <f>VLOOKUP(T2633,[1]tablescore!$B$3:$C$8, 2,FALSE)</f>
        <v>30</v>
      </c>
      <c r="V2633" t="str">
        <f t="shared" si="83"/>
        <v>Highly Loyal</v>
      </c>
      <c r="W2633" t="s">
        <v>41</v>
      </c>
    </row>
    <row r="2634" spans="1:23" x14ac:dyDescent="0.25">
      <c r="A2634">
        <v>2633</v>
      </c>
      <c r="B2634">
        <v>24</v>
      </c>
      <c r="C2634" t="str" cm="1">
        <f t="array" ref="C2634">_xlfn.IFS(
  AND(B2634&gt;=18, B2634&lt;=24), "18-24",
  AND(B2634&gt;=25, B2634&lt;=34), "25-34",
  AND(B2634&gt;=35, B2634&lt;=44), "35-44",
  AND(B2634&gt;=45, B2634&lt;=54), "45-54",
  B2634&gt;=55, "55+"
)</f>
        <v>18-24</v>
      </c>
      <c r="D2634" t="s">
        <v>19</v>
      </c>
      <c r="E2634" t="s">
        <v>119</v>
      </c>
      <c r="F2634" t="s">
        <v>69</v>
      </c>
      <c r="G2634">
        <v>27</v>
      </c>
      <c r="H2634" t="s">
        <v>120</v>
      </c>
      <c r="I2634" t="s">
        <v>45</v>
      </c>
      <c r="J2634" t="s">
        <v>94</v>
      </c>
      <c r="K2634" t="s">
        <v>58</v>
      </c>
      <c r="L2634">
        <v>5</v>
      </c>
      <c r="M2634" t="s">
        <v>152</v>
      </c>
      <c r="N2634" t="s">
        <v>29</v>
      </c>
      <c r="O2634" t="s">
        <v>47</v>
      </c>
      <c r="P2634" t="s">
        <v>152</v>
      </c>
      <c r="Q2634" t="s">
        <v>152</v>
      </c>
      <c r="R2634">
        <v>14</v>
      </c>
      <c r="S2634" t="s">
        <v>35</v>
      </c>
      <c r="T2634" t="str">
        <f t="shared" si="82"/>
        <v>Annually</v>
      </c>
      <c r="U2634">
        <f>VLOOKUP(T2634,[1]tablescore!$B$3:$C$8, 2,FALSE)</f>
        <v>1</v>
      </c>
      <c r="V2634" t="str">
        <f t="shared" si="83"/>
        <v>Low Loyalty</v>
      </c>
      <c r="W2634" t="s">
        <v>50</v>
      </c>
    </row>
    <row r="2635" spans="1:23" x14ac:dyDescent="0.25">
      <c r="A2635">
        <v>2634</v>
      </c>
      <c r="B2635">
        <v>51</v>
      </c>
      <c r="C2635" t="str" cm="1">
        <f t="array" ref="C2635">_xlfn.IFS(
  AND(B2635&gt;=18, B2635&lt;=24), "18-24",
  AND(B2635&gt;=25, B2635&lt;=34), "25-34",
  AND(B2635&gt;=35, B2635&lt;=44), "35-44",
  AND(B2635&gt;=45, B2635&lt;=54), "45-54",
  B2635&gt;=55, "55+"
)</f>
        <v>45-54</v>
      </c>
      <c r="D2635" t="s">
        <v>19</v>
      </c>
      <c r="E2635" t="s">
        <v>89</v>
      </c>
      <c r="F2635" t="s">
        <v>69</v>
      </c>
      <c r="G2635">
        <v>90</v>
      </c>
      <c r="H2635" t="s">
        <v>120</v>
      </c>
      <c r="I2635" t="s">
        <v>45</v>
      </c>
      <c r="J2635" t="s">
        <v>75</v>
      </c>
      <c r="K2635" t="s">
        <v>58</v>
      </c>
      <c r="L2635">
        <v>4.7</v>
      </c>
      <c r="M2635" t="s">
        <v>152</v>
      </c>
      <c r="N2635" t="s">
        <v>46</v>
      </c>
      <c r="O2635" t="s">
        <v>47</v>
      </c>
      <c r="P2635" t="s">
        <v>152</v>
      </c>
      <c r="Q2635" t="s">
        <v>152</v>
      </c>
      <c r="R2635">
        <v>32</v>
      </c>
      <c r="S2635" t="s">
        <v>27</v>
      </c>
      <c r="T2635" t="str">
        <f t="shared" si="82"/>
        <v>2-week</v>
      </c>
      <c r="U2635">
        <f>VLOOKUP(T2635,[1]tablescore!$B$3:$C$8, 2,FALSE)</f>
        <v>26</v>
      </c>
      <c r="V2635" t="str">
        <f t="shared" si="83"/>
        <v>Loyal</v>
      </c>
      <c r="W2635" t="s">
        <v>30</v>
      </c>
    </row>
    <row r="2636" spans="1:23" x14ac:dyDescent="0.25">
      <c r="A2636">
        <v>2635</v>
      </c>
      <c r="B2636">
        <v>26</v>
      </c>
      <c r="C2636" t="str" cm="1">
        <f t="array" ref="C2636">_xlfn.IFS(
  AND(B2636&gt;=18, B2636&lt;=24), "18-24",
  AND(B2636&gt;=25, B2636&lt;=34), "25-34",
  AND(B2636&gt;=35, B2636&lt;=44), "35-44",
  AND(B2636&gt;=45, B2636&lt;=54), "45-54",
  B2636&gt;=55, "55+"
)</f>
        <v>25-34</v>
      </c>
      <c r="D2636" t="s">
        <v>19</v>
      </c>
      <c r="E2636" t="s">
        <v>42</v>
      </c>
      <c r="F2636" t="s">
        <v>43</v>
      </c>
      <c r="G2636">
        <v>58</v>
      </c>
      <c r="H2636" t="s">
        <v>98</v>
      </c>
      <c r="I2636" t="s">
        <v>38</v>
      </c>
      <c r="J2636" t="s">
        <v>94</v>
      </c>
      <c r="K2636" t="s">
        <v>54</v>
      </c>
      <c r="L2636">
        <v>3.2</v>
      </c>
      <c r="M2636" t="s">
        <v>152</v>
      </c>
      <c r="N2636" t="s">
        <v>35</v>
      </c>
      <c r="O2636" t="s">
        <v>76</v>
      </c>
      <c r="P2636" t="s">
        <v>152</v>
      </c>
      <c r="Q2636" t="s">
        <v>152</v>
      </c>
      <c r="R2636">
        <v>20</v>
      </c>
      <c r="S2636" t="s">
        <v>46</v>
      </c>
      <c r="T2636" t="str">
        <f t="shared" si="82"/>
        <v>Quarterly</v>
      </c>
      <c r="U2636">
        <f>VLOOKUP(T2636,[1]tablescore!$B$3:$C$8, 2,FALSE)</f>
        <v>4</v>
      </c>
      <c r="V2636" t="str">
        <f t="shared" si="83"/>
        <v>Low Loyalty</v>
      </c>
      <c r="W2636" t="s">
        <v>97</v>
      </c>
    </row>
    <row r="2637" spans="1:23" x14ac:dyDescent="0.25">
      <c r="A2637">
        <v>2636</v>
      </c>
      <c r="B2637">
        <v>59</v>
      </c>
      <c r="C2637" t="str" cm="1">
        <f t="array" ref="C2637">_xlfn.IFS(
  AND(B2637&gt;=18, B2637&lt;=24), "18-24",
  AND(B2637&gt;=25, B2637&lt;=34), "25-34",
  AND(B2637&gt;=35, B2637&lt;=44), "35-44",
  AND(B2637&gt;=45, B2637&lt;=54), "45-54",
  B2637&gt;=55, "55+"
)</f>
        <v>55+</v>
      </c>
      <c r="D2637" t="s">
        <v>19</v>
      </c>
      <c r="E2637" t="s">
        <v>104</v>
      </c>
      <c r="F2637" t="s">
        <v>21</v>
      </c>
      <c r="G2637">
        <v>80</v>
      </c>
      <c r="H2637" t="s">
        <v>112</v>
      </c>
      <c r="I2637" t="s">
        <v>92</v>
      </c>
      <c r="J2637" t="s">
        <v>100</v>
      </c>
      <c r="K2637" t="s">
        <v>39</v>
      </c>
      <c r="L2637">
        <v>2.9</v>
      </c>
      <c r="M2637" t="s">
        <v>152</v>
      </c>
      <c r="N2637" t="s">
        <v>46</v>
      </c>
      <c r="O2637" t="s">
        <v>72</v>
      </c>
      <c r="P2637" t="s">
        <v>152</v>
      </c>
      <c r="Q2637" t="s">
        <v>152</v>
      </c>
      <c r="R2637">
        <v>34</v>
      </c>
      <c r="S2637" t="s">
        <v>46</v>
      </c>
      <c r="T2637" t="str">
        <f t="shared" si="82"/>
        <v>2-week</v>
      </c>
      <c r="U2637">
        <f>VLOOKUP(T2637,[1]tablescore!$B$3:$C$8, 2,FALSE)</f>
        <v>26</v>
      </c>
      <c r="V2637" t="str">
        <f t="shared" si="83"/>
        <v>Loyal</v>
      </c>
      <c r="W2637" t="s">
        <v>30</v>
      </c>
    </row>
    <row r="2638" spans="1:23" x14ac:dyDescent="0.25">
      <c r="A2638">
        <v>2637</v>
      </c>
      <c r="B2638">
        <v>41</v>
      </c>
      <c r="C2638" t="str" cm="1">
        <f t="array" ref="C2638">_xlfn.IFS(
  AND(B2638&gt;=18, B2638&lt;=24), "18-24",
  AND(B2638&gt;=25, B2638&lt;=34), "25-34",
  AND(B2638&gt;=35, B2638&lt;=44), "35-44",
  AND(B2638&gt;=45, B2638&lt;=54), "45-54",
  B2638&gt;=55, "55+"
)</f>
        <v>35-44</v>
      </c>
      <c r="D2638" t="s">
        <v>19</v>
      </c>
      <c r="E2638" t="s">
        <v>102</v>
      </c>
      <c r="F2638" t="s">
        <v>65</v>
      </c>
      <c r="G2638">
        <v>40</v>
      </c>
      <c r="H2638" t="s">
        <v>149</v>
      </c>
      <c r="I2638" t="s">
        <v>38</v>
      </c>
      <c r="J2638" t="s">
        <v>147</v>
      </c>
      <c r="K2638" t="s">
        <v>25</v>
      </c>
      <c r="L2638">
        <v>4.2</v>
      </c>
      <c r="M2638" t="s">
        <v>152</v>
      </c>
      <c r="N2638" t="s">
        <v>46</v>
      </c>
      <c r="O2638" t="s">
        <v>76</v>
      </c>
      <c r="P2638" t="s">
        <v>152</v>
      </c>
      <c r="Q2638" t="s">
        <v>152</v>
      </c>
      <c r="R2638">
        <v>6</v>
      </c>
      <c r="S2638" t="s">
        <v>29</v>
      </c>
      <c r="T2638" t="str">
        <f t="shared" si="82"/>
        <v>Annually</v>
      </c>
      <c r="U2638">
        <f>VLOOKUP(T2638,[1]tablescore!$B$3:$C$8, 2,FALSE)</f>
        <v>1</v>
      </c>
      <c r="V2638" t="str">
        <f t="shared" si="83"/>
        <v>Low Loyalty</v>
      </c>
      <c r="W2638" t="s">
        <v>50</v>
      </c>
    </row>
    <row r="2639" spans="1:23" x14ac:dyDescent="0.25">
      <c r="A2639">
        <v>2638</v>
      </c>
      <c r="B2639">
        <v>20</v>
      </c>
      <c r="C2639" t="str" cm="1">
        <f t="array" ref="C2639">_xlfn.IFS(
  AND(B2639&gt;=18, B2639&lt;=24), "18-24",
  AND(B2639&gt;=25, B2639&lt;=34), "25-34",
  AND(B2639&gt;=35, B2639&lt;=44), "35-44",
  AND(B2639&gt;=45, B2639&lt;=54), "45-54",
  B2639&gt;=55, "55+"
)</f>
        <v>18-24</v>
      </c>
      <c r="D2639" t="s">
        <v>19</v>
      </c>
      <c r="E2639" t="s">
        <v>95</v>
      </c>
      <c r="F2639" t="s">
        <v>21</v>
      </c>
      <c r="G2639">
        <v>23</v>
      </c>
      <c r="H2639" t="s">
        <v>90</v>
      </c>
      <c r="I2639" t="s">
        <v>45</v>
      </c>
      <c r="J2639" t="s">
        <v>147</v>
      </c>
      <c r="K2639" t="s">
        <v>39</v>
      </c>
      <c r="L2639">
        <v>3.7</v>
      </c>
      <c r="M2639" t="s">
        <v>152</v>
      </c>
      <c r="N2639" t="s">
        <v>27</v>
      </c>
      <c r="O2639" t="s">
        <v>76</v>
      </c>
      <c r="P2639" t="s">
        <v>152</v>
      </c>
      <c r="Q2639" t="s">
        <v>152</v>
      </c>
      <c r="R2639">
        <v>2</v>
      </c>
      <c r="S2639" t="s">
        <v>46</v>
      </c>
      <c r="T2639" t="str">
        <f t="shared" si="82"/>
        <v>Annually</v>
      </c>
      <c r="U2639">
        <f>VLOOKUP(T2639,[1]tablescore!$B$3:$C$8, 2,FALSE)</f>
        <v>1</v>
      </c>
      <c r="V2639" t="str">
        <f t="shared" si="83"/>
        <v>Low Loyalty</v>
      </c>
      <c r="W2639" t="s">
        <v>50</v>
      </c>
    </row>
    <row r="2640" spans="1:23" x14ac:dyDescent="0.25">
      <c r="A2640">
        <v>2639</v>
      </c>
      <c r="B2640">
        <v>22</v>
      </c>
      <c r="C2640" t="str" cm="1">
        <f t="array" ref="C2640">_xlfn.IFS(
  AND(B2640&gt;=18, B2640&lt;=24), "18-24",
  AND(B2640&gt;=25, B2640&lt;=34), "25-34",
  AND(B2640&gt;=35, B2640&lt;=44), "35-44",
  AND(B2640&gt;=45, B2640&lt;=54), "45-54",
  B2640&gt;=55, "55+"
)</f>
        <v>18-24</v>
      </c>
      <c r="D2640" t="s">
        <v>19</v>
      </c>
      <c r="E2640" t="s">
        <v>56</v>
      </c>
      <c r="F2640" t="s">
        <v>21</v>
      </c>
      <c r="G2640">
        <v>34</v>
      </c>
      <c r="H2640" t="s">
        <v>78</v>
      </c>
      <c r="I2640" t="s">
        <v>38</v>
      </c>
      <c r="J2640" t="s">
        <v>94</v>
      </c>
      <c r="K2640" t="s">
        <v>39</v>
      </c>
      <c r="L2640">
        <v>4.2</v>
      </c>
      <c r="M2640" t="s">
        <v>152</v>
      </c>
      <c r="N2640" t="s">
        <v>46</v>
      </c>
      <c r="O2640" t="s">
        <v>76</v>
      </c>
      <c r="P2640" t="s">
        <v>152</v>
      </c>
      <c r="Q2640" t="s">
        <v>152</v>
      </c>
      <c r="R2640">
        <v>35</v>
      </c>
      <c r="S2640" t="s">
        <v>27</v>
      </c>
      <c r="T2640" t="str">
        <f t="shared" si="82"/>
        <v>Annually</v>
      </c>
      <c r="U2640">
        <f>VLOOKUP(T2640,[1]tablescore!$B$3:$C$8, 2,FALSE)</f>
        <v>1</v>
      </c>
      <c r="V2640" t="str">
        <f t="shared" si="83"/>
        <v>Low Loyalty</v>
      </c>
      <c r="W2640" t="s">
        <v>50</v>
      </c>
    </row>
    <row r="2641" spans="1:23" x14ac:dyDescent="0.25">
      <c r="A2641">
        <v>2640</v>
      </c>
      <c r="B2641">
        <v>18</v>
      </c>
      <c r="C2641" t="str" cm="1">
        <f t="array" ref="C2641">_xlfn.IFS(
  AND(B2641&gt;=18, B2641&lt;=24), "18-24",
  AND(B2641&gt;=25, B2641&lt;=34), "25-34",
  AND(B2641&gt;=35, B2641&lt;=44), "35-44",
  AND(B2641&gt;=45, B2641&lt;=54), "45-54",
  B2641&gt;=55, "55+"
)</f>
        <v>18-24</v>
      </c>
      <c r="D2641" t="s">
        <v>19</v>
      </c>
      <c r="E2641" t="s">
        <v>20</v>
      </c>
      <c r="F2641" t="s">
        <v>21</v>
      </c>
      <c r="G2641">
        <v>35</v>
      </c>
      <c r="H2641" t="s">
        <v>83</v>
      </c>
      <c r="I2641" t="s">
        <v>92</v>
      </c>
      <c r="J2641" t="s">
        <v>71</v>
      </c>
      <c r="K2641" t="s">
        <v>25</v>
      </c>
      <c r="L2641">
        <v>2.6</v>
      </c>
      <c r="M2641" t="s">
        <v>152</v>
      </c>
      <c r="N2641" t="s">
        <v>59</v>
      </c>
      <c r="O2641" t="s">
        <v>40</v>
      </c>
      <c r="P2641" t="s">
        <v>152</v>
      </c>
      <c r="Q2641" t="s">
        <v>152</v>
      </c>
      <c r="R2641">
        <v>33</v>
      </c>
      <c r="S2641" t="s">
        <v>59</v>
      </c>
      <c r="T2641" t="str">
        <f t="shared" si="82"/>
        <v>Quarterly</v>
      </c>
      <c r="U2641">
        <f>VLOOKUP(T2641,[1]tablescore!$B$3:$C$8, 2,FALSE)</f>
        <v>4</v>
      </c>
      <c r="V2641" t="str">
        <f t="shared" si="83"/>
        <v>Low Loyalty</v>
      </c>
      <c r="W2641" t="s">
        <v>60</v>
      </c>
    </row>
    <row r="2642" spans="1:23" x14ac:dyDescent="0.25">
      <c r="A2642">
        <v>2641</v>
      </c>
      <c r="B2642">
        <v>30</v>
      </c>
      <c r="C2642" t="str" cm="1">
        <f t="array" ref="C2642">_xlfn.IFS(
  AND(B2642&gt;=18, B2642&lt;=24), "18-24",
  AND(B2642&gt;=25, B2642&lt;=34), "25-34",
  AND(B2642&gt;=35, B2642&lt;=44), "35-44",
  AND(B2642&gt;=45, B2642&lt;=54), "45-54",
  B2642&gt;=55, "55+"
)</f>
        <v>25-34</v>
      </c>
      <c r="D2642" t="s">
        <v>19</v>
      </c>
      <c r="E2642" t="s">
        <v>87</v>
      </c>
      <c r="F2642" t="s">
        <v>21</v>
      </c>
      <c r="G2642">
        <v>75</v>
      </c>
      <c r="H2642" t="s">
        <v>116</v>
      </c>
      <c r="I2642" t="s">
        <v>23</v>
      </c>
      <c r="J2642" t="s">
        <v>79</v>
      </c>
      <c r="K2642" t="s">
        <v>54</v>
      </c>
      <c r="L2642">
        <v>4</v>
      </c>
      <c r="M2642" t="s">
        <v>152</v>
      </c>
      <c r="N2642" t="s">
        <v>59</v>
      </c>
      <c r="O2642" t="s">
        <v>76</v>
      </c>
      <c r="P2642" t="s">
        <v>152</v>
      </c>
      <c r="Q2642" t="s">
        <v>152</v>
      </c>
      <c r="R2642">
        <v>45</v>
      </c>
      <c r="S2642" t="s">
        <v>29</v>
      </c>
      <c r="T2642" t="str">
        <f t="shared" si="82"/>
        <v>2-week</v>
      </c>
      <c r="U2642">
        <f>VLOOKUP(T2642,[1]tablescore!$B$3:$C$8, 2,FALSE)</f>
        <v>26</v>
      </c>
      <c r="V2642" t="str">
        <f t="shared" si="83"/>
        <v>Loyal</v>
      </c>
      <c r="W2642" t="s">
        <v>77</v>
      </c>
    </row>
    <row r="2643" spans="1:23" x14ac:dyDescent="0.25">
      <c r="A2643">
        <v>2642</v>
      </c>
      <c r="B2643">
        <v>25</v>
      </c>
      <c r="C2643" t="str" cm="1">
        <f t="array" ref="C2643">_xlfn.IFS(
  AND(B2643&gt;=18, B2643&lt;=24), "18-24",
  AND(B2643&gt;=25, B2643&lt;=34), "25-34",
  AND(B2643&gt;=35, B2643&lt;=44), "35-44",
  AND(B2643&gt;=45, B2643&lt;=54), "45-54",
  B2643&gt;=55, "55+"
)</f>
        <v>25-34</v>
      </c>
      <c r="D2643" t="s">
        <v>19</v>
      </c>
      <c r="E2643" t="s">
        <v>89</v>
      </c>
      <c r="F2643" t="s">
        <v>69</v>
      </c>
      <c r="G2643">
        <v>60</v>
      </c>
      <c r="H2643" t="s">
        <v>145</v>
      </c>
      <c r="I2643" t="s">
        <v>92</v>
      </c>
      <c r="J2643" t="s">
        <v>79</v>
      </c>
      <c r="K2643" t="s">
        <v>25</v>
      </c>
      <c r="L2643">
        <v>2.7</v>
      </c>
      <c r="M2643" t="s">
        <v>152</v>
      </c>
      <c r="N2643" t="s">
        <v>59</v>
      </c>
      <c r="O2643" t="s">
        <v>47</v>
      </c>
      <c r="P2643" t="s">
        <v>152</v>
      </c>
      <c r="Q2643" t="s">
        <v>152</v>
      </c>
      <c r="R2643">
        <v>20</v>
      </c>
      <c r="S2643" t="s">
        <v>34</v>
      </c>
      <c r="T2643" t="str">
        <f t="shared" si="82"/>
        <v>Quarterly</v>
      </c>
      <c r="U2643">
        <f>VLOOKUP(T2643,[1]tablescore!$B$3:$C$8, 2,FALSE)</f>
        <v>4</v>
      </c>
      <c r="V2643" t="str">
        <f t="shared" si="83"/>
        <v>Low Loyalty</v>
      </c>
      <c r="W2643" t="s">
        <v>97</v>
      </c>
    </row>
    <row r="2644" spans="1:23" x14ac:dyDescent="0.25">
      <c r="A2644">
        <v>2643</v>
      </c>
      <c r="B2644">
        <v>39</v>
      </c>
      <c r="C2644" t="str" cm="1">
        <f t="array" ref="C2644">_xlfn.IFS(
  AND(B2644&gt;=18, B2644&lt;=24), "18-24",
  AND(B2644&gt;=25, B2644&lt;=34), "25-34",
  AND(B2644&gt;=35, B2644&lt;=44), "35-44",
  AND(B2644&gt;=45, B2644&lt;=54), "45-54",
  B2644&gt;=55, "55+"
)</f>
        <v>35-44</v>
      </c>
      <c r="D2644" t="s">
        <v>19</v>
      </c>
      <c r="E2644" t="s">
        <v>136</v>
      </c>
      <c r="F2644" t="s">
        <v>69</v>
      </c>
      <c r="G2644">
        <v>87</v>
      </c>
      <c r="H2644" t="s">
        <v>150</v>
      </c>
      <c r="I2644" t="s">
        <v>23</v>
      </c>
      <c r="J2644" t="s">
        <v>100</v>
      </c>
      <c r="K2644" t="s">
        <v>54</v>
      </c>
      <c r="L2644">
        <v>4</v>
      </c>
      <c r="M2644" t="s">
        <v>152</v>
      </c>
      <c r="N2644" t="s">
        <v>59</v>
      </c>
      <c r="O2644" t="s">
        <v>76</v>
      </c>
      <c r="P2644" t="s">
        <v>152</v>
      </c>
      <c r="Q2644" t="s">
        <v>152</v>
      </c>
      <c r="R2644">
        <v>48</v>
      </c>
      <c r="S2644" t="s">
        <v>34</v>
      </c>
      <c r="T2644" t="str">
        <f t="shared" si="82"/>
        <v>Annually</v>
      </c>
      <c r="U2644">
        <f>VLOOKUP(T2644,[1]tablescore!$B$3:$C$8, 2,FALSE)</f>
        <v>1</v>
      </c>
      <c r="V2644" t="str">
        <f t="shared" si="83"/>
        <v>Low Loyalty</v>
      </c>
      <c r="W2644" t="s">
        <v>50</v>
      </c>
    </row>
    <row r="2645" spans="1:23" x14ac:dyDescent="0.25">
      <c r="A2645">
        <v>2644</v>
      </c>
      <c r="B2645">
        <v>49</v>
      </c>
      <c r="C2645" t="str" cm="1">
        <f t="array" ref="C2645">_xlfn.IFS(
  AND(B2645&gt;=18, B2645&lt;=24), "18-24",
  AND(B2645&gt;=25, B2645&lt;=34), "25-34",
  AND(B2645&gt;=35, B2645&lt;=44), "35-44",
  AND(B2645&gt;=45, B2645&lt;=54), "45-54",
  B2645&gt;=55, "55+"
)</f>
        <v>45-54</v>
      </c>
      <c r="D2645" t="s">
        <v>19</v>
      </c>
      <c r="E2645" t="s">
        <v>127</v>
      </c>
      <c r="F2645" t="s">
        <v>69</v>
      </c>
      <c r="G2645">
        <v>41</v>
      </c>
      <c r="H2645" t="s">
        <v>135</v>
      </c>
      <c r="I2645" t="s">
        <v>38</v>
      </c>
      <c r="J2645" t="s">
        <v>67</v>
      </c>
      <c r="K2645" t="s">
        <v>39</v>
      </c>
      <c r="L2645">
        <v>2.9</v>
      </c>
      <c r="M2645" t="s">
        <v>152</v>
      </c>
      <c r="N2645" t="s">
        <v>27</v>
      </c>
      <c r="O2645" t="s">
        <v>47</v>
      </c>
      <c r="P2645" t="s">
        <v>152</v>
      </c>
      <c r="Q2645" t="s">
        <v>152</v>
      </c>
      <c r="R2645">
        <v>37</v>
      </c>
      <c r="S2645" t="s">
        <v>35</v>
      </c>
      <c r="T2645" t="str">
        <f t="shared" si="82"/>
        <v>Month</v>
      </c>
      <c r="U2645">
        <f>VLOOKUP(T2645,[1]tablescore!$B$3:$C$8, 2,FALSE)</f>
        <v>12</v>
      </c>
      <c r="V2645" t="str">
        <f t="shared" si="83"/>
        <v>Moderate</v>
      </c>
      <c r="W2645" t="s">
        <v>88</v>
      </c>
    </row>
    <row r="2646" spans="1:23" x14ac:dyDescent="0.25">
      <c r="A2646">
        <v>2645</v>
      </c>
      <c r="B2646">
        <v>25</v>
      </c>
      <c r="C2646" t="str" cm="1">
        <f t="array" ref="C2646">_xlfn.IFS(
  AND(B2646&gt;=18, B2646&lt;=24), "18-24",
  AND(B2646&gt;=25, B2646&lt;=34), "25-34",
  AND(B2646&gt;=35, B2646&lt;=44), "35-44",
  AND(B2646&gt;=45, B2646&lt;=54), "45-54",
  B2646&gt;=55, "55+"
)</f>
        <v>25-34</v>
      </c>
      <c r="D2646" t="s">
        <v>19</v>
      </c>
      <c r="E2646" t="s">
        <v>95</v>
      </c>
      <c r="F2646" t="s">
        <v>21</v>
      </c>
      <c r="G2646">
        <v>83</v>
      </c>
      <c r="H2646" t="s">
        <v>123</v>
      </c>
      <c r="I2646" t="s">
        <v>45</v>
      </c>
      <c r="J2646" t="s">
        <v>49</v>
      </c>
      <c r="K2646" t="s">
        <v>39</v>
      </c>
      <c r="L2646">
        <v>3.3</v>
      </c>
      <c r="M2646" t="s">
        <v>152</v>
      </c>
      <c r="N2646" t="s">
        <v>46</v>
      </c>
      <c r="O2646" t="s">
        <v>55</v>
      </c>
      <c r="P2646" t="s">
        <v>152</v>
      </c>
      <c r="Q2646" t="s">
        <v>152</v>
      </c>
      <c r="R2646">
        <v>4</v>
      </c>
      <c r="S2646" t="s">
        <v>34</v>
      </c>
      <c r="T2646" t="str">
        <f t="shared" si="82"/>
        <v>Quarterly</v>
      </c>
      <c r="U2646">
        <f>VLOOKUP(T2646,[1]tablescore!$B$3:$C$8, 2,FALSE)</f>
        <v>4</v>
      </c>
      <c r="V2646" t="str">
        <f t="shared" si="83"/>
        <v>Low Loyalty</v>
      </c>
      <c r="W2646" t="s">
        <v>97</v>
      </c>
    </row>
    <row r="2647" spans="1:23" x14ac:dyDescent="0.25">
      <c r="A2647">
        <v>2646</v>
      </c>
      <c r="B2647">
        <v>23</v>
      </c>
      <c r="C2647" t="str" cm="1">
        <f t="array" ref="C2647">_xlfn.IFS(
  AND(B2647&gt;=18, B2647&lt;=24), "18-24",
  AND(B2647&gt;=25, B2647&lt;=34), "25-34",
  AND(B2647&gt;=35, B2647&lt;=44), "35-44",
  AND(B2647&gt;=45, B2647&lt;=54), "45-54",
  B2647&gt;=55, "55+"
)</f>
        <v>18-24</v>
      </c>
      <c r="D2647" t="s">
        <v>19</v>
      </c>
      <c r="E2647" t="s">
        <v>119</v>
      </c>
      <c r="F2647" t="s">
        <v>69</v>
      </c>
      <c r="G2647">
        <v>81</v>
      </c>
      <c r="H2647" t="s">
        <v>62</v>
      </c>
      <c r="I2647" t="s">
        <v>23</v>
      </c>
      <c r="J2647" t="s">
        <v>79</v>
      </c>
      <c r="K2647" t="s">
        <v>39</v>
      </c>
      <c r="L2647">
        <v>4</v>
      </c>
      <c r="M2647" t="s">
        <v>152</v>
      </c>
      <c r="N2647" t="s">
        <v>34</v>
      </c>
      <c r="O2647" t="s">
        <v>76</v>
      </c>
      <c r="P2647" t="s">
        <v>152</v>
      </c>
      <c r="Q2647" t="s">
        <v>152</v>
      </c>
      <c r="R2647">
        <v>24</v>
      </c>
      <c r="S2647" t="s">
        <v>34</v>
      </c>
      <c r="T2647" t="str">
        <f t="shared" si="82"/>
        <v>2-week</v>
      </c>
      <c r="U2647">
        <f>VLOOKUP(T2647,[1]tablescore!$B$3:$C$8, 2,FALSE)</f>
        <v>26</v>
      </c>
      <c r="V2647" t="str">
        <f t="shared" si="83"/>
        <v>Loyal</v>
      </c>
      <c r="W2647" t="s">
        <v>77</v>
      </c>
    </row>
    <row r="2648" spans="1:23" x14ac:dyDescent="0.25">
      <c r="A2648">
        <v>2647</v>
      </c>
      <c r="B2648">
        <v>33</v>
      </c>
      <c r="C2648" t="str" cm="1">
        <f t="array" ref="C2648">_xlfn.IFS(
  AND(B2648&gt;=18, B2648&lt;=24), "18-24",
  AND(B2648&gt;=25, B2648&lt;=34), "25-34",
  AND(B2648&gt;=35, B2648&lt;=44), "35-44",
  AND(B2648&gt;=45, B2648&lt;=54), "45-54",
  B2648&gt;=55, "55+"
)</f>
        <v>25-34</v>
      </c>
      <c r="D2648" t="s">
        <v>19</v>
      </c>
      <c r="E2648" t="s">
        <v>113</v>
      </c>
      <c r="F2648" t="s">
        <v>21</v>
      </c>
      <c r="G2648">
        <v>56</v>
      </c>
      <c r="H2648" t="s">
        <v>123</v>
      </c>
      <c r="I2648" t="s">
        <v>38</v>
      </c>
      <c r="J2648" t="s">
        <v>93</v>
      </c>
      <c r="K2648" t="s">
        <v>54</v>
      </c>
      <c r="L2648">
        <v>3.9</v>
      </c>
      <c r="M2648" t="s">
        <v>152</v>
      </c>
      <c r="N2648" t="s">
        <v>35</v>
      </c>
      <c r="O2648" t="s">
        <v>47</v>
      </c>
      <c r="P2648" t="s">
        <v>152</v>
      </c>
      <c r="Q2648" t="s">
        <v>152</v>
      </c>
      <c r="R2648">
        <v>4</v>
      </c>
      <c r="S2648" t="s">
        <v>59</v>
      </c>
      <c r="T2648" t="str">
        <f t="shared" si="82"/>
        <v>Quarterly</v>
      </c>
      <c r="U2648">
        <f>VLOOKUP(T2648,[1]tablescore!$B$3:$C$8, 2,FALSE)</f>
        <v>4</v>
      </c>
      <c r="V2648" t="str">
        <f t="shared" si="83"/>
        <v>Low Loyalty</v>
      </c>
      <c r="W2648" t="s">
        <v>97</v>
      </c>
    </row>
    <row r="2649" spans="1:23" x14ac:dyDescent="0.25">
      <c r="A2649">
        <v>2648</v>
      </c>
      <c r="B2649">
        <v>60</v>
      </c>
      <c r="C2649" t="str" cm="1">
        <f t="array" ref="C2649">_xlfn.IFS(
  AND(B2649&gt;=18, B2649&lt;=24), "18-24",
  AND(B2649&gt;=25, B2649&lt;=34), "25-34",
  AND(B2649&gt;=35, B2649&lt;=44), "35-44",
  AND(B2649&gt;=45, B2649&lt;=54), "45-54",
  B2649&gt;=55, "55+"
)</f>
        <v>55+</v>
      </c>
      <c r="D2649" t="s">
        <v>19</v>
      </c>
      <c r="E2649" t="s">
        <v>73</v>
      </c>
      <c r="F2649" t="s">
        <v>43</v>
      </c>
      <c r="G2649">
        <v>58</v>
      </c>
      <c r="H2649" t="s">
        <v>126</v>
      </c>
      <c r="I2649" t="s">
        <v>45</v>
      </c>
      <c r="J2649" t="s">
        <v>108</v>
      </c>
      <c r="K2649" t="s">
        <v>54</v>
      </c>
      <c r="L2649">
        <v>3.3</v>
      </c>
      <c r="M2649" t="s">
        <v>152</v>
      </c>
      <c r="N2649" t="s">
        <v>59</v>
      </c>
      <c r="O2649" t="s">
        <v>72</v>
      </c>
      <c r="P2649" t="s">
        <v>152</v>
      </c>
      <c r="Q2649" t="s">
        <v>152</v>
      </c>
      <c r="R2649">
        <v>25</v>
      </c>
      <c r="S2649" t="s">
        <v>59</v>
      </c>
      <c r="T2649" t="str">
        <f t="shared" si="82"/>
        <v>Annually</v>
      </c>
      <c r="U2649">
        <f>VLOOKUP(T2649,[1]tablescore!$B$3:$C$8, 2,FALSE)</f>
        <v>1</v>
      </c>
      <c r="V2649" t="str">
        <f t="shared" si="83"/>
        <v>Low Loyalty</v>
      </c>
      <c r="W2649" t="s">
        <v>50</v>
      </c>
    </row>
    <row r="2650" spans="1:23" x14ac:dyDescent="0.25">
      <c r="A2650">
        <v>2649</v>
      </c>
      <c r="B2650">
        <v>51</v>
      </c>
      <c r="C2650" t="str" cm="1">
        <f t="array" ref="C2650">_xlfn.IFS(
  AND(B2650&gt;=18, B2650&lt;=24), "18-24",
  AND(B2650&gt;=25, B2650&lt;=34), "25-34",
  AND(B2650&gt;=35, B2650&lt;=44), "35-44",
  AND(B2650&gt;=45, B2650&lt;=54), "45-54",
  B2650&gt;=55, "55+"
)</f>
        <v>45-54</v>
      </c>
      <c r="D2650" t="s">
        <v>19</v>
      </c>
      <c r="E2650" t="s">
        <v>95</v>
      </c>
      <c r="F2650" t="s">
        <v>21</v>
      </c>
      <c r="G2650">
        <v>84</v>
      </c>
      <c r="H2650" t="s">
        <v>115</v>
      </c>
      <c r="I2650" t="s">
        <v>45</v>
      </c>
      <c r="J2650" t="s">
        <v>24</v>
      </c>
      <c r="K2650" t="s">
        <v>39</v>
      </c>
      <c r="L2650">
        <v>3.9</v>
      </c>
      <c r="M2650" t="s">
        <v>152</v>
      </c>
      <c r="N2650" t="s">
        <v>29</v>
      </c>
      <c r="O2650" t="s">
        <v>47</v>
      </c>
      <c r="P2650" t="s">
        <v>152</v>
      </c>
      <c r="Q2650" t="s">
        <v>152</v>
      </c>
      <c r="R2650">
        <v>14</v>
      </c>
      <c r="S2650" t="s">
        <v>46</v>
      </c>
      <c r="T2650" t="str">
        <f t="shared" si="82"/>
        <v>2-week</v>
      </c>
      <c r="U2650">
        <f>VLOOKUP(T2650,[1]tablescore!$B$3:$C$8, 2,FALSE)</f>
        <v>26</v>
      </c>
      <c r="V2650" t="str">
        <f t="shared" si="83"/>
        <v>Loyal</v>
      </c>
      <c r="W2650" t="s">
        <v>77</v>
      </c>
    </row>
    <row r="2651" spans="1:23" x14ac:dyDescent="0.25">
      <c r="A2651">
        <v>2650</v>
      </c>
      <c r="B2651">
        <v>23</v>
      </c>
      <c r="C2651" t="str" cm="1">
        <f t="array" ref="C2651">_xlfn.IFS(
  AND(B2651&gt;=18, B2651&lt;=24), "18-24",
  AND(B2651&gt;=25, B2651&lt;=34), "25-34",
  AND(B2651&gt;=35, B2651&lt;=44), "35-44",
  AND(B2651&gt;=45, B2651&lt;=54), "45-54",
  B2651&gt;=55, "55+"
)</f>
        <v>18-24</v>
      </c>
      <c r="D2651" t="s">
        <v>19</v>
      </c>
      <c r="E2651" t="s">
        <v>127</v>
      </c>
      <c r="F2651" t="s">
        <v>69</v>
      </c>
      <c r="G2651">
        <v>21</v>
      </c>
      <c r="H2651" t="s">
        <v>134</v>
      </c>
      <c r="I2651" t="s">
        <v>45</v>
      </c>
      <c r="J2651" t="s">
        <v>147</v>
      </c>
      <c r="K2651" t="s">
        <v>58</v>
      </c>
      <c r="L2651">
        <v>3.9</v>
      </c>
      <c r="M2651" t="s">
        <v>152</v>
      </c>
      <c r="N2651" t="s">
        <v>27</v>
      </c>
      <c r="O2651" t="s">
        <v>76</v>
      </c>
      <c r="P2651" t="s">
        <v>152</v>
      </c>
      <c r="Q2651" t="s">
        <v>152</v>
      </c>
      <c r="R2651">
        <v>14</v>
      </c>
      <c r="S2651" t="s">
        <v>34</v>
      </c>
      <c r="T2651" t="str">
        <f t="shared" si="82"/>
        <v>2-week</v>
      </c>
      <c r="U2651">
        <f>VLOOKUP(T2651,[1]tablescore!$B$3:$C$8, 2,FALSE)</f>
        <v>26</v>
      </c>
      <c r="V2651" t="str">
        <f t="shared" si="83"/>
        <v>Loyal</v>
      </c>
      <c r="W2651" t="s">
        <v>30</v>
      </c>
    </row>
    <row r="2652" spans="1:23" x14ac:dyDescent="0.25">
      <c r="A2652">
        <v>2651</v>
      </c>
      <c r="B2652">
        <v>20</v>
      </c>
      <c r="C2652" t="str" cm="1">
        <f t="array" ref="C2652">_xlfn.IFS(
  AND(B2652&gt;=18, B2652&lt;=24), "18-24",
  AND(B2652&gt;=25, B2652&lt;=34), "25-34",
  AND(B2652&gt;=35, B2652&lt;=44), "35-44",
  AND(B2652&gt;=45, B2652&lt;=54), "45-54",
  B2652&gt;=55, "55+"
)</f>
        <v>18-24</v>
      </c>
      <c r="D2652" t="s">
        <v>19</v>
      </c>
      <c r="E2652" t="s">
        <v>131</v>
      </c>
      <c r="F2652" t="s">
        <v>21</v>
      </c>
      <c r="G2652">
        <v>35</v>
      </c>
      <c r="H2652" t="s">
        <v>48</v>
      </c>
      <c r="I2652" t="s">
        <v>23</v>
      </c>
      <c r="J2652" t="s">
        <v>33</v>
      </c>
      <c r="K2652" t="s">
        <v>54</v>
      </c>
      <c r="L2652">
        <v>4.2</v>
      </c>
      <c r="M2652" t="s">
        <v>152</v>
      </c>
      <c r="N2652" t="s">
        <v>46</v>
      </c>
      <c r="O2652" t="s">
        <v>55</v>
      </c>
      <c r="P2652" t="s">
        <v>152</v>
      </c>
      <c r="Q2652" t="s">
        <v>152</v>
      </c>
      <c r="R2652">
        <v>46</v>
      </c>
      <c r="S2652" t="s">
        <v>27</v>
      </c>
      <c r="T2652" t="str">
        <f t="shared" si="82"/>
        <v>Quarterly</v>
      </c>
      <c r="U2652">
        <f>VLOOKUP(T2652,[1]tablescore!$B$3:$C$8, 2,FALSE)</f>
        <v>4</v>
      </c>
      <c r="V2652" t="str">
        <f t="shared" si="83"/>
        <v>Low Loyalty</v>
      </c>
      <c r="W2652" t="s">
        <v>97</v>
      </c>
    </row>
    <row r="2653" spans="1:23" x14ac:dyDescent="0.25">
      <c r="A2653">
        <v>2652</v>
      </c>
      <c r="B2653">
        <v>51</v>
      </c>
      <c r="C2653" t="str" cm="1">
        <f t="array" ref="C2653">_xlfn.IFS(
  AND(B2653&gt;=18, B2653&lt;=24), "18-24",
  AND(B2653&gt;=25, B2653&lt;=34), "25-34",
  AND(B2653&gt;=35, B2653&lt;=44), "35-44",
  AND(B2653&gt;=45, B2653&lt;=54), "45-54",
  B2653&gt;=55, "55+"
)</f>
        <v>45-54</v>
      </c>
      <c r="D2653" t="s">
        <v>19</v>
      </c>
      <c r="E2653" t="s">
        <v>51</v>
      </c>
      <c r="F2653" t="s">
        <v>43</v>
      </c>
      <c r="G2653">
        <v>43</v>
      </c>
      <c r="H2653" t="s">
        <v>122</v>
      </c>
      <c r="I2653" t="s">
        <v>45</v>
      </c>
      <c r="J2653" t="s">
        <v>109</v>
      </c>
      <c r="K2653" t="s">
        <v>54</v>
      </c>
      <c r="L2653">
        <v>4.5999999999999996</v>
      </c>
      <c r="M2653" t="s">
        <v>152</v>
      </c>
      <c r="N2653" t="s">
        <v>29</v>
      </c>
      <c r="O2653" t="s">
        <v>76</v>
      </c>
      <c r="P2653" t="s">
        <v>152</v>
      </c>
      <c r="Q2653" t="s">
        <v>152</v>
      </c>
      <c r="R2653">
        <v>27</v>
      </c>
      <c r="S2653" t="s">
        <v>46</v>
      </c>
      <c r="T2653" t="str">
        <f t="shared" si="82"/>
        <v>Quarterly</v>
      </c>
      <c r="U2653">
        <f>VLOOKUP(T2653,[1]tablescore!$B$3:$C$8, 2,FALSE)</f>
        <v>4</v>
      </c>
      <c r="V2653" t="str">
        <f t="shared" si="83"/>
        <v>Low Loyalty</v>
      </c>
      <c r="W2653" t="s">
        <v>60</v>
      </c>
    </row>
    <row r="2654" spans="1:23" x14ac:dyDescent="0.25">
      <c r="A2654">
        <v>2653</v>
      </c>
      <c r="B2654">
        <v>23</v>
      </c>
      <c r="C2654" t="str" cm="1">
        <f t="array" ref="C2654">_xlfn.IFS(
  AND(B2654&gt;=18, B2654&lt;=24), "18-24",
  AND(B2654&gt;=25, B2654&lt;=34), "25-34",
  AND(B2654&gt;=35, B2654&lt;=44), "35-44",
  AND(B2654&gt;=45, B2654&lt;=54), "45-54",
  B2654&gt;=55, "55+"
)</f>
        <v>18-24</v>
      </c>
      <c r="D2654" t="s">
        <v>153</v>
      </c>
      <c r="E2654" t="s">
        <v>61</v>
      </c>
      <c r="F2654" t="s">
        <v>21</v>
      </c>
      <c r="G2654">
        <v>20</v>
      </c>
      <c r="H2654" t="s">
        <v>135</v>
      </c>
      <c r="I2654" t="s">
        <v>23</v>
      </c>
      <c r="J2654" t="s">
        <v>109</v>
      </c>
      <c r="K2654" t="s">
        <v>54</v>
      </c>
      <c r="L2654">
        <v>3.3</v>
      </c>
      <c r="M2654" t="s">
        <v>152</v>
      </c>
      <c r="N2654" t="s">
        <v>59</v>
      </c>
      <c r="O2654" t="s">
        <v>72</v>
      </c>
      <c r="P2654" t="s">
        <v>152</v>
      </c>
      <c r="Q2654" t="s">
        <v>152</v>
      </c>
      <c r="R2654">
        <v>46</v>
      </c>
      <c r="S2654" t="s">
        <v>27</v>
      </c>
      <c r="T2654" t="str">
        <f t="shared" si="82"/>
        <v>Month</v>
      </c>
      <c r="U2654">
        <f>VLOOKUP(T2654,[1]tablescore!$B$3:$C$8, 2,FALSE)</f>
        <v>12</v>
      </c>
      <c r="V2654" t="str">
        <f t="shared" si="83"/>
        <v>Moderate</v>
      </c>
      <c r="W2654" t="s">
        <v>88</v>
      </c>
    </row>
    <row r="2655" spans="1:23" x14ac:dyDescent="0.25">
      <c r="A2655">
        <v>2654</v>
      </c>
      <c r="B2655">
        <v>67</v>
      </c>
      <c r="C2655" t="str" cm="1">
        <f t="array" ref="C2655">_xlfn.IFS(
  AND(B2655&gt;=18, B2655&lt;=24), "18-24",
  AND(B2655&gt;=25, B2655&lt;=34), "25-34",
  AND(B2655&gt;=35, B2655&lt;=44), "35-44",
  AND(B2655&gt;=45, B2655&lt;=54), "45-54",
  B2655&gt;=55, "55+"
)</f>
        <v>55+</v>
      </c>
      <c r="D2655" t="s">
        <v>153</v>
      </c>
      <c r="E2655" t="s">
        <v>20</v>
      </c>
      <c r="F2655" t="s">
        <v>21</v>
      </c>
      <c r="G2655">
        <v>36</v>
      </c>
      <c r="H2655" t="s">
        <v>148</v>
      </c>
      <c r="I2655" t="s">
        <v>23</v>
      </c>
      <c r="J2655" t="s">
        <v>93</v>
      </c>
      <c r="K2655" t="s">
        <v>58</v>
      </c>
      <c r="L2655">
        <v>4.8</v>
      </c>
      <c r="M2655" t="s">
        <v>152</v>
      </c>
      <c r="N2655" t="s">
        <v>27</v>
      </c>
      <c r="O2655" t="s">
        <v>28</v>
      </c>
      <c r="P2655" t="s">
        <v>152</v>
      </c>
      <c r="Q2655" t="s">
        <v>152</v>
      </c>
      <c r="R2655">
        <v>24</v>
      </c>
      <c r="S2655" t="s">
        <v>29</v>
      </c>
      <c r="T2655" t="str">
        <f t="shared" si="82"/>
        <v>Quarterly</v>
      </c>
      <c r="U2655">
        <f>VLOOKUP(T2655,[1]tablescore!$B$3:$C$8, 2,FALSE)</f>
        <v>4</v>
      </c>
      <c r="V2655" t="str">
        <f t="shared" si="83"/>
        <v>Low Loyalty</v>
      </c>
      <c r="W2655" t="s">
        <v>97</v>
      </c>
    </row>
    <row r="2656" spans="1:23" x14ac:dyDescent="0.25">
      <c r="A2656">
        <v>2655</v>
      </c>
      <c r="B2656">
        <v>23</v>
      </c>
      <c r="C2656" t="str" cm="1">
        <f t="array" ref="C2656">_xlfn.IFS(
  AND(B2656&gt;=18, B2656&lt;=24), "18-24",
  AND(B2656&gt;=25, B2656&lt;=34), "25-34",
  AND(B2656&gt;=35, B2656&lt;=44), "35-44",
  AND(B2656&gt;=45, B2656&lt;=54), "45-54",
  B2656&gt;=55, "55+"
)</f>
        <v>18-24</v>
      </c>
      <c r="D2656" t="s">
        <v>153</v>
      </c>
      <c r="E2656" t="s">
        <v>64</v>
      </c>
      <c r="F2656" t="s">
        <v>65</v>
      </c>
      <c r="G2656">
        <v>70</v>
      </c>
      <c r="H2656" t="s">
        <v>144</v>
      </c>
      <c r="I2656" t="s">
        <v>38</v>
      </c>
      <c r="J2656" t="s">
        <v>71</v>
      </c>
      <c r="K2656" t="s">
        <v>58</v>
      </c>
      <c r="L2656">
        <v>4.0999999999999996</v>
      </c>
      <c r="M2656" t="s">
        <v>152</v>
      </c>
      <c r="N2656" t="s">
        <v>59</v>
      </c>
      <c r="O2656" t="s">
        <v>47</v>
      </c>
      <c r="P2656" t="s">
        <v>152</v>
      </c>
      <c r="Q2656" t="s">
        <v>152</v>
      </c>
      <c r="R2656">
        <v>4</v>
      </c>
      <c r="S2656" t="s">
        <v>46</v>
      </c>
      <c r="T2656" t="str">
        <f t="shared" si="82"/>
        <v>Annually</v>
      </c>
      <c r="U2656">
        <f>VLOOKUP(T2656,[1]tablescore!$B$3:$C$8, 2,FALSE)</f>
        <v>1</v>
      </c>
      <c r="V2656" t="str">
        <f t="shared" si="83"/>
        <v>Low Loyalty</v>
      </c>
      <c r="W2656" t="s">
        <v>50</v>
      </c>
    </row>
    <row r="2657" spans="1:23" x14ac:dyDescent="0.25">
      <c r="A2657">
        <v>2656</v>
      </c>
      <c r="B2657">
        <v>26</v>
      </c>
      <c r="C2657" t="str" cm="1">
        <f t="array" ref="C2657">_xlfn.IFS(
  AND(B2657&gt;=18, B2657&lt;=24), "18-24",
  AND(B2657&gt;=25, B2657&lt;=34), "25-34",
  AND(B2657&gt;=35, B2657&lt;=44), "35-44",
  AND(B2657&gt;=45, B2657&lt;=54), "45-54",
  B2657&gt;=55, "55+"
)</f>
        <v>25-34</v>
      </c>
      <c r="D2657" t="s">
        <v>153</v>
      </c>
      <c r="E2657" t="s">
        <v>89</v>
      </c>
      <c r="F2657" t="s">
        <v>69</v>
      </c>
      <c r="G2657">
        <v>83</v>
      </c>
      <c r="H2657" t="s">
        <v>52</v>
      </c>
      <c r="I2657" t="s">
        <v>45</v>
      </c>
      <c r="J2657" t="s">
        <v>24</v>
      </c>
      <c r="K2657" t="s">
        <v>54</v>
      </c>
      <c r="L2657">
        <v>3.4</v>
      </c>
      <c r="M2657" t="s">
        <v>152</v>
      </c>
      <c r="N2657" t="s">
        <v>27</v>
      </c>
      <c r="O2657" t="s">
        <v>55</v>
      </c>
      <c r="P2657" t="s">
        <v>152</v>
      </c>
      <c r="Q2657" t="s">
        <v>152</v>
      </c>
      <c r="R2657">
        <v>2</v>
      </c>
      <c r="S2657" t="s">
        <v>27</v>
      </c>
      <c r="T2657" t="str">
        <f t="shared" si="82"/>
        <v>2-week</v>
      </c>
      <c r="U2657">
        <f>VLOOKUP(T2657,[1]tablescore!$B$3:$C$8, 2,FALSE)</f>
        <v>26</v>
      </c>
      <c r="V2657" t="str">
        <f t="shared" si="83"/>
        <v>Loyal</v>
      </c>
      <c r="W2657" t="s">
        <v>30</v>
      </c>
    </row>
    <row r="2658" spans="1:23" x14ac:dyDescent="0.25">
      <c r="A2658">
        <v>2657</v>
      </c>
      <c r="B2658">
        <v>52</v>
      </c>
      <c r="C2658" t="str" cm="1">
        <f t="array" ref="C2658">_xlfn.IFS(
  AND(B2658&gt;=18, B2658&lt;=24), "18-24",
  AND(B2658&gt;=25, B2658&lt;=34), "25-34",
  AND(B2658&gt;=35, B2658&lt;=44), "35-44",
  AND(B2658&gt;=45, B2658&lt;=54), "45-54",
  B2658&gt;=55, "55+"
)</f>
        <v>45-54</v>
      </c>
      <c r="D2658" t="s">
        <v>153</v>
      </c>
      <c r="E2658" t="s">
        <v>61</v>
      </c>
      <c r="F2658" t="s">
        <v>21</v>
      </c>
      <c r="G2658">
        <v>76</v>
      </c>
      <c r="H2658" t="s">
        <v>116</v>
      </c>
      <c r="I2658" t="s">
        <v>23</v>
      </c>
      <c r="J2658" t="s">
        <v>139</v>
      </c>
      <c r="K2658" t="s">
        <v>25</v>
      </c>
      <c r="L2658">
        <v>3.6</v>
      </c>
      <c r="M2658" t="s">
        <v>152</v>
      </c>
      <c r="N2658" t="s">
        <v>34</v>
      </c>
      <c r="O2658" t="s">
        <v>28</v>
      </c>
      <c r="P2658" t="s">
        <v>152</v>
      </c>
      <c r="Q2658" t="s">
        <v>152</v>
      </c>
      <c r="R2658">
        <v>29</v>
      </c>
      <c r="S2658" t="s">
        <v>34</v>
      </c>
      <c r="T2658" t="str">
        <f t="shared" si="82"/>
        <v>2-week</v>
      </c>
      <c r="U2658">
        <f>VLOOKUP(T2658,[1]tablescore!$B$3:$C$8, 2,FALSE)</f>
        <v>26</v>
      </c>
      <c r="V2658" t="str">
        <f t="shared" si="83"/>
        <v>Loyal</v>
      </c>
      <c r="W2658" t="s">
        <v>30</v>
      </c>
    </row>
    <row r="2659" spans="1:23" x14ac:dyDescent="0.25">
      <c r="A2659">
        <v>2658</v>
      </c>
      <c r="B2659">
        <v>52</v>
      </c>
      <c r="C2659" t="str" cm="1">
        <f t="array" ref="C2659">_xlfn.IFS(
  AND(B2659&gt;=18, B2659&lt;=24), "18-24",
  AND(B2659&gt;=25, B2659&lt;=34), "25-34",
  AND(B2659&gt;=35, B2659&lt;=44), "35-44",
  AND(B2659&gt;=45, B2659&lt;=54), "45-54",
  B2659&gt;=55, "55+"
)</f>
        <v>45-54</v>
      </c>
      <c r="D2659" t="s">
        <v>153</v>
      </c>
      <c r="E2659" t="s">
        <v>82</v>
      </c>
      <c r="F2659" t="s">
        <v>21</v>
      </c>
      <c r="G2659">
        <v>81</v>
      </c>
      <c r="H2659" t="s">
        <v>105</v>
      </c>
      <c r="I2659" t="s">
        <v>45</v>
      </c>
      <c r="J2659" t="s">
        <v>71</v>
      </c>
      <c r="K2659" t="s">
        <v>54</v>
      </c>
      <c r="L2659">
        <v>2.7</v>
      </c>
      <c r="M2659" t="s">
        <v>152</v>
      </c>
      <c r="N2659" t="s">
        <v>46</v>
      </c>
      <c r="O2659" t="s">
        <v>28</v>
      </c>
      <c r="P2659" t="s">
        <v>152</v>
      </c>
      <c r="Q2659" t="s">
        <v>152</v>
      </c>
      <c r="R2659">
        <v>7</v>
      </c>
      <c r="S2659" t="s">
        <v>27</v>
      </c>
      <c r="T2659" t="str">
        <f t="shared" si="82"/>
        <v>2-week</v>
      </c>
      <c r="U2659">
        <f>VLOOKUP(T2659,[1]tablescore!$B$3:$C$8, 2,FALSE)</f>
        <v>26</v>
      </c>
      <c r="V2659" t="str">
        <f t="shared" si="83"/>
        <v>Loyal</v>
      </c>
      <c r="W2659" t="s">
        <v>30</v>
      </c>
    </row>
    <row r="2660" spans="1:23" x14ac:dyDescent="0.25">
      <c r="A2660">
        <v>2659</v>
      </c>
      <c r="B2660">
        <v>52</v>
      </c>
      <c r="C2660" t="str" cm="1">
        <f t="array" ref="C2660">_xlfn.IFS(
  AND(B2660&gt;=18, B2660&lt;=24), "18-24",
  AND(B2660&gt;=25, B2660&lt;=34), "25-34",
  AND(B2660&gt;=35, B2660&lt;=44), "35-44",
  AND(B2660&gt;=45, B2660&lt;=54), "45-54",
  B2660&gt;=55, "55+"
)</f>
        <v>45-54</v>
      </c>
      <c r="D2660" t="s">
        <v>153</v>
      </c>
      <c r="E2660" t="s">
        <v>68</v>
      </c>
      <c r="F2660" t="s">
        <v>69</v>
      </c>
      <c r="G2660">
        <v>47</v>
      </c>
      <c r="H2660" t="s">
        <v>124</v>
      </c>
      <c r="I2660" t="s">
        <v>92</v>
      </c>
      <c r="J2660" t="s">
        <v>129</v>
      </c>
      <c r="K2660" t="s">
        <v>54</v>
      </c>
      <c r="L2660">
        <v>3.2</v>
      </c>
      <c r="M2660" t="s">
        <v>152</v>
      </c>
      <c r="N2660" t="s">
        <v>34</v>
      </c>
      <c r="O2660" t="s">
        <v>47</v>
      </c>
      <c r="P2660" t="s">
        <v>152</v>
      </c>
      <c r="Q2660" t="s">
        <v>152</v>
      </c>
      <c r="R2660">
        <v>39</v>
      </c>
      <c r="S2660" t="s">
        <v>46</v>
      </c>
      <c r="T2660" t="str">
        <f t="shared" si="82"/>
        <v>Month</v>
      </c>
      <c r="U2660">
        <f>VLOOKUP(T2660,[1]tablescore!$B$3:$C$8, 2,FALSE)</f>
        <v>12</v>
      </c>
      <c r="V2660" t="str">
        <f t="shared" si="83"/>
        <v>Moderate</v>
      </c>
      <c r="W2660" t="s">
        <v>88</v>
      </c>
    </row>
    <row r="2661" spans="1:23" x14ac:dyDescent="0.25">
      <c r="A2661">
        <v>2660</v>
      </c>
      <c r="B2661">
        <v>35</v>
      </c>
      <c r="C2661" t="str" cm="1">
        <f t="array" ref="C2661">_xlfn.IFS(
  AND(B2661&gt;=18, B2661&lt;=24), "18-24",
  AND(B2661&gt;=25, B2661&lt;=34), "25-34",
  AND(B2661&gt;=35, B2661&lt;=44), "35-44",
  AND(B2661&gt;=45, B2661&lt;=54), "45-54",
  B2661&gt;=55, "55+"
)</f>
        <v>35-44</v>
      </c>
      <c r="D2661" t="s">
        <v>153</v>
      </c>
      <c r="E2661" t="s">
        <v>132</v>
      </c>
      <c r="F2661" t="s">
        <v>43</v>
      </c>
      <c r="G2661">
        <v>35</v>
      </c>
      <c r="H2661" t="s">
        <v>111</v>
      </c>
      <c r="I2661" t="s">
        <v>23</v>
      </c>
      <c r="J2661" t="s">
        <v>24</v>
      </c>
      <c r="K2661" t="s">
        <v>54</v>
      </c>
      <c r="L2661">
        <v>4.4000000000000004</v>
      </c>
      <c r="M2661" t="s">
        <v>152</v>
      </c>
      <c r="N2661" t="s">
        <v>34</v>
      </c>
      <c r="O2661" t="s">
        <v>72</v>
      </c>
      <c r="P2661" t="s">
        <v>152</v>
      </c>
      <c r="Q2661" t="s">
        <v>152</v>
      </c>
      <c r="R2661">
        <v>46</v>
      </c>
      <c r="S2661" t="s">
        <v>27</v>
      </c>
      <c r="T2661" t="str">
        <f t="shared" si="82"/>
        <v>2-week</v>
      </c>
      <c r="U2661">
        <f>VLOOKUP(T2661,[1]tablescore!$B$3:$C$8, 2,FALSE)</f>
        <v>26</v>
      </c>
      <c r="V2661" t="str">
        <f t="shared" si="83"/>
        <v>Loyal</v>
      </c>
      <c r="W2661" t="s">
        <v>30</v>
      </c>
    </row>
    <row r="2662" spans="1:23" x14ac:dyDescent="0.25">
      <c r="A2662">
        <v>2661</v>
      </c>
      <c r="B2662">
        <v>24</v>
      </c>
      <c r="C2662" t="str" cm="1">
        <f t="array" ref="C2662">_xlfn.IFS(
  AND(B2662&gt;=18, B2662&lt;=24), "18-24",
  AND(B2662&gt;=25, B2662&lt;=34), "25-34",
  AND(B2662&gt;=35, B2662&lt;=44), "35-44",
  AND(B2662&gt;=45, B2662&lt;=54), "45-54",
  B2662&gt;=55, "55+"
)</f>
        <v>18-24</v>
      </c>
      <c r="D2662" t="s">
        <v>153</v>
      </c>
      <c r="E2662" t="s">
        <v>95</v>
      </c>
      <c r="F2662" t="s">
        <v>21</v>
      </c>
      <c r="G2662">
        <v>85</v>
      </c>
      <c r="H2662" t="s">
        <v>126</v>
      </c>
      <c r="I2662" t="s">
        <v>23</v>
      </c>
      <c r="J2662" t="s">
        <v>139</v>
      </c>
      <c r="K2662" t="s">
        <v>39</v>
      </c>
      <c r="L2662">
        <v>4.9000000000000004</v>
      </c>
      <c r="M2662" t="s">
        <v>152</v>
      </c>
      <c r="N2662" t="s">
        <v>59</v>
      </c>
      <c r="O2662" t="s">
        <v>28</v>
      </c>
      <c r="P2662" t="s">
        <v>152</v>
      </c>
      <c r="Q2662" t="s">
        <v>152</v>
      </c>
      <c r="R2662">
        <v>44</v>
      </c>
      <c r="S2662" t="s">
        <v>29</v>
      </c>
      <c r="T2662" t="str">
        <f t="shared" si="82"/>
        <v>Annually</v>
      </c>
      <c r="U2662">
        <f>VLOOKUP(T2662,[1]tablescore!$B$3:$C$8, 2,FALSE)</f>
        <v>1</v>
      </c>
      <c r="V2662" t="str">
        <f t="shared" si="83"/>
        <v>Low Loyalty</v>
      </c>
      <c r="W2662" t="s">
        <v>50</v>
      </c>
    </row>
    <row r="2663" spans="1:23" x14ac:dyDescent="0.25">
      <c r="A2663">
        <v>2662</v>
      </c>
      <c r="B2663">
        <v>43</v>
      </c>
      <c r="C2663" t="str" cm="1">
        <f t="array" ref="C2663">_xlfn.IFS(
  AND(B2663&gt;=18, B2663&lt;=24), "18-24",
  AND(B2663&gt;=25, B2663&lt;=34), "25-34",
  AND(B2663&gt;=35, B2663&lt;=44), "35-44",
  AND(B2663&gt;=45, B2663&lt;=54), "45-54",
  B2663&gt;=55, "55+"
)</f>
        <v>35-44</v>
      </c>
      <c r="D2663" t="s">
        <v>153</v>
      </c>
      <c r="E2663" t="s">
        <v>132</v>
      </c>
      <c r="F2663" t="s">
        <v>43</v>
      </c>
      <c r="G2663">
        <v>96</v>
      </c>
      <c r="H2663" t="s">
        <v>151</v>
      </c>
      <c r="I2663" t="s">
        <v>92</v>
      </c>
      <c r="J2663" t="s">
        <v>79</v>
      </c>
      <c r="K2663" t="s">
        <v>58</v>
      </c>
      <c r="L2663">
        <v>4.8</v>
      </c>
      <c r="M2663" t="s">
        <v>152</v>
      </c>
      <c r="N2663" t="s">
        <v>59</v>
      </c>
      <c r="O2663" t="s">
        <v>28</v>
      </c>
      <c r="P2663" t="s">
        <v>152</v>
      </c>
      <c r="Q2663" t="s">
        <v>152</v>
      </c>
      <c r="R2663">
        <v>20</v>
      </c>
      <c r="S2663" t="s">
        <v>34</v>
      </c>
      <c r="T2663" t="str">
        <f t="shared" si="82"/>
        <v>Annually</v>
      </c>
      <c r="U2663">
        <f>VLOOKUP(T2663,[1]tablescore!$B$3:$C$8, 2,FALSE)</f>
        <v>1</v>
      </c>
      <c r="V2663" t="str">
        <f t="shared" si="83"/>
        <v>Low Loyalty</v>
      </c>
      <c r="W2663" t="s">
        <v>50</v>
      </c>
    </row>
    <row r="2664" spans="1:23" x14ac:dyDescent="0.25">
      <c r="A2664">
        <v>2663</v>
      </c>
      <c r="B2664">
        <v>25</v>
      </c>
      <c r="C2664" t="str" cm="1">
        <f t="array" ref="C2664">_xlfn.IFS(
  AND(B2664&gt;=18, B2664&lt;=24), "18-24",
  AND(B2664&gt;=25, B2664&lt;=34), "25-34",
  AND(B2664&gt;=35, B2664&lt;=44), "35-44",
  AND(B2664&gt;=45, B2664&lt;=54), "45-54",
  B2664&gt;=55, "55+"
)</f>
        <v>25-34</v>
      </c>
      <c r="D2664" t="s">
        <v>153</v>
      </c>
      <c r="E2664" t="s">
        <v>87</v>
      </c>
      <c r="F2664" t="s">
        <v>21</v>
      </c>
      <c r="G2664">
        <v>98</v>
      </c>
      <c r="H2664" t="s">
        <v>143</v>
      </c>
      <c r="I2664" t="s">
        <v>45</v>
      </c>
      <c r="J2664" t="s">
        <v>109</v>
      </c>
      <c r="K2664" t="s">
        <v>54</v>
      </c>
      <c r="L2664">
        <v>2.8</v>
      </c>
      <c r="M2664" t="s">
        <v>152</v>
      </c>
      <c r="N2664" t="s">
        <v>46</v>
      </c>
      <c r="O2664" t="s">
        <v>72</v>
      </c>
      <c r="P2664" t="s">
        <v>152</v>
      </c>
      <c r="Q2664" t="s">
        <v>152</v>
      </c>
      <c r="R2664">
        <v>44</v>
      </c>
      <c r="S2664" t="s">
        <v>46</v>
      </c>
      <c r="T2664" t="str">
        <f t="shared" si="82"/>
        <v>2-week</v>
      </c>
      <c r="U2664">
        <f>VLOOKUP(T2664,[1]tablescore!$B$3:$C$8, 2,FALSE)</f>
        <v>26</v>
      </c>
      <c r="V2664" t="str">
        <f t="shared" si="83"/>
        <v>Loyal</v>
      </c>
      <c r="W2664" t="s">
        <v>30</v>
      </c>
    </row>
    <row r="2665" spans="1:23" x14ac:dyDescent="0.25">
      <c r="A2665">
        <v>2664</v>
      </c>
      <c r="B2665">
        <v>46</v>
      </c>
      <c r="C2665" t="str" cm="1">
        <f t="array" ref="C2665">_xlfn.IFS(
  AND(B2665&gt;=18, B2665&lt;=24), "18-24",
  AND(B2665&gt;=25, B2665&lt;=34), "25-34",
  AND(B2665&gt;=35, B2665&lt;=44), "35-44",
  AND(B2665&gt;=45, B2665&lt;=54), "45-54",
  B2665&gt;=55, "55+"
)</f>
        <v>45-54</v>
      </c>
      <c r="D2665" t="s">
        <v>153</v>
      </c>
      <c r="E2665" t="s">
        <v>51</v>
      </c>
      <c r="F2665" t="s">
        <v>43</v>
      </c>
      <c r="G2665">
        <v>52</v>
      </c>
      <c r="H2665" t="s">
        <v>148</v>
      </c>
      <c r="I2665" t="s">
        <v>23</v>
      </c>
      <c r="J2665" t="s">
        <v>67</v>
      </c>
      <c r="K2665" t="s">
        <v>58</v>
      </c>
      <c r="L2665">
        <v>2.9</v>
      </c>
      <c r="M2665" t="s">
        <v>152</v>
      </c>
      <c r="N2665" t="s">
        <v>27</v>
      </c>
      <c r="O2665" t="s">
        <v>40</v>
      </c>
      <c r="P2665" t="s">
        <v>152</v>
      </c>
      <c r="Q2665" t="s">
        <v>152</v>
      </c>
      <c r="R2665">
        <v>23</v>
      </c>
      <c r="S2665" t="s">
        <v>34</v>
      </c>
      <c r="T2665" t="str">
        <f t="shared" si="82"/>
        <v>Annually</v>
      </c>
      <c r="U2665">
        <f>VLOOKUP(T2665,[1]tablescore!$B$3:$C$8, 2,FALSE)</f>
        <v>1</v>
      </c>
      <c r="V2665" t="str">
        <f t="shared" si="83"/>
        <v>Low Loyalty</v>
      </c>
      <c r="W2665" t="s">
        <v>50</v>
      </c>
    </row>
    <row r="2666" spans="1:23" x14ac:dyDescent="0.25">
      <c r="A2666">
        <v>2665</v>
      </c>
      <c r="B2666">
        <v>22</v>
      </c>
      <c r="C2666" t="str" cm="1">
        <f t="array" ref="C2666">_xlfn.IFS(
  AND(B2666&gt;=18, B2666&lt;=24), "18-24",
  AND(B2666&gt;=25, B2666&lt;=34), "25-34",
  AND(B2666&gt;=35, B2666&lt;=44), "35-44",
  AND(B2666&gt;=45, B2666&lt;=54), "45-54",
  B2666&gt;=55, "55+"
)</f>
        <v>18-24</v>
      </c>
      <c r="D2666" t="s">
        <v>153</v>
      </c>
      <c r="E2666" t="s">
        <v>106</v>
      </c>
      <c r="F2666" t="s">
        <v>69</v>
      </c>
      <c r="G2666">
        <v>84</v>
      </c>
      <c r="H2666" t="s">
        <v>115</v>
      </c>
      <c r="I2666" t="s">
        <v>23</v>
      </c>
      <c r="J2666" t="s">
        <v>67</v>
      </c>
      <c r="K2666" t="s">
        <v>25</v>
      </c>
      <c r="L2666">
        <v>3.2</v>
      </c>
      <c r="M2666" t="s">
        <v>152</v>
      </c>
      <c r="N2666" t="s">
        <v>59</v>
      </c>
      <c r="O2666" t="s">
        <v>76</v>
      </c>
      <c r="P2666" t="s">
        <v>152</v>
      </c>
      <c r="Q2666" t="s">
        <v>152</v>
      </c>
      <c r="R2666">
        <v>37</v>
      </c>
      <c r="S2666" t="s">
        <v>46</v>
      </c>
      <c r="T2666" t="str">
        <f t="shared" si="82"/>
        <v>Daily</v>
      </c>
      <c r="U2666">
        <f>VLOOKUP(T2666,[1]tablescore!$B$3:$C$8, 2,FALSE)</f>
        <v>30</v>
      </c>
      <c r="V2666" t="str">
        <f t="shared" si="83"/>
        <v>Highly Loyal</v>
      </c>
      <c r="W2666" t="s">
        <v>41</v>
      </c>
    </row>
    <row r="2667" spans="1:23" x14ac:dyDescent="0.25">
      <c r="A2667">
        <v>2666</v>
      </c>
      <c r="B2667">
        <v>70</v>
      </c>
      <c r="C2667" t="str" cm="1">
        <f t="array" ref="C2667">_xlfn.IFS(
  AND(B2667&gt;=18, B2667&lt;=24), "18-24",
  AND(B2667&gt;=25, B2667&lt;=34), "25-34",
  AND(B2667&gt;=35, B2667&lt;=44), "35-44",
  AND(B2667&gt;=45, B2667&lt;=54), "45-54",
  B2667&gt;=55, "55+"
)</f>
        <v>55+</v>
      </c>
      <c r="D2667" t="s">
        <v>153</v>
      </c>
      <c r="E2667" t="s">
        <v>113</v>
      </c>
      <c r="F2667" t="s">
        <v>21</v>
      </c>
      <c r="G2667">
        <v>71</v>
      </c>
      <c r="H2667" t="s">
        <v>62</v>
      </c>
      <c r="I2667" t="s">
        <v>23</v>
      </c>
      <c r="J2667" t="s">
        <v>108</v>
      </c>
      <c r="K2667" t="s">
        <v>25</v>
      </c>
      <c r="L2667">
        <v>3.5</v>
      </c>
      <c r="M2667" t="s">
        <v>152</v>
      </c>
      <c r="N2667" t="s">
        <v>29</v>
      </c>
      <c r="O2667" t="s">
        <v>76</v>
      </c>
      <c r="P2667" t="s">
        <v>152</v>
      </c>
      <c r="Q2667" t="s">
        <v>152</v>
      </c>
      <c r="R2667">
        <v>4</v>
      </c>
      <c r="S2667" t="s">
        <v>29</v>
      </c>
      <c r="T2667" t="str">
        <f t="shared" si="82"/>
        <v>Daily</v>
      </c>
      <c r="U2667">
        <f>VLOOKUP(T2667,[1]tablescore!$B$3:$C$8, 2,FALSE)</f>
        <v>30</v>
      </c>
      <c r="V2667" t="str">
        <f t="shared" si="83"/>
        <v>Highly Loyal</v>
      </c>
      <c r="W2667" t="s">
        <v>41</v>
      </c>
    </row>
    <row r="2668" spans="1:23" x14ac:dyDescent="0.25">
      <c r="A2668">
        <v>2667</v>
      </c>
      <c r="B2668">
        <v>49</v>
      </c>
      <c r="C2668" t="str" cm="1">
        <f t="array" ref="C2668">_xlfn.IFS(
  AND(B2668&gt;=18, B2668&lt;=24), "18-24",
  AND(B2668&gt;=25, B2668&lt;=34), "25-34",
  AND(B2668&gt;=35, B2668&lt;=44), "35-44",
  AND(B2668&gt;=45, B2668&lt;=54), "45-54",
  B2668&gt;=55, "55+"
)</f>
        <v>45-54</v>
      </c>
      <c r="D2668" t="s">
        <v>153</v>
      </c>
      <c r="E2668" t="s">
        <v>42</v>
      </c>
      <c r="F2668" t="s">
        <v>43</v>
      </c>
      <c r="G2668">
        <v>95</v>
      </c>
      <c r="H2668" t="s">
        <v>124</v>
      </c>
      <c r="I2668" t="s">
        <v>38</v>
      </c>
      <c r="J2668" t="s">
        <v>110</v>
      </c>
      <c r="K2668" t="s">
        <v>25</v>
      </c>
      <c r="L2668">
        <v>4.0999999999999996</v>
      </c>
      <c r="M2668" t="s">
        <v>152</v>
      </c>
      <c r="N2668" t="s">
        <v>34</v>
      </c>
      <c r="O2668" t="s">
        <v>76</v>
      </c>
      <c r="P2668" t="s">
        <v>152</v>
      </c>
      <c r="Q2668" t="s">
        <v>152</v>
      </c>
      <c r="R2668">
        <v>14</v>
      </c>
      <c r="S2668" t="s">
        <v>29</v>
      </c>
      <c r="T2668" t="str">
        <f t="shared" si="82"/>
        <v>2-week</v>
      </c>
      <c r="U2668">
        <f>VLOOKUP(T2668,[1]tablescore!$B$3:$C$8, 2,FALSE)</f>
        <v>26</v>
      </c>
      <c r="V2668" t="str">
        <f t="shared" si="83"/>
        <v>Loyal</v>
      </c>
      <c r="W2668" t="s">
        <v>30</v>
      </c>
    </row>
    <row r="2669" spans="1:23" x14ac:dyDescent="0.25">
      <c r="A2669">
        <v>2668</v>
      </c>
      <c r="B2669">
        <v>48</v>
      </c>
      <c r="C2669" t="str" cm="1">
        <f t="array" ref="C2669">_xlfn.IFS(
  AND(B2669&gt;=18, B2669&lt;=24), "18-24",
  AND(B2669&gt;=25, B2669&lt;=34), "25-34",
  AND(B2669&gt;=35, B2669&lt;=44), "35-44",
  AND(B2669&gt;=45, B2669&lt;=54), "45-54",
  B2669&gt;=55, "55+"
)</f>
        <v>45-54</v>
      </c>
      <c r="D2669" t="s">
        <v>153</v>
      </c>
      <c r="E2669" t="s">
        <v>132</v>
      </c>
      <c r="F2669" t="s">
        <v>43</v>
      </c>
      <c r="G2669">
        <v>47</v>
      </c>
      <c r="H2669" t="s">
        <v>135</v>
      </c>
      <c r="I2669" t="s">
        <v>45</v>
      </c>
      <c r="J2669" t="s">
        <v>121</v>
      </c>
      <c r="K2669" t="s">
        <v>54</v>
      </c>
      <c r="L2669">
        <v>4.0999999999999996</v>
      </c>
      <c r="M2669" t="s">
        <v>152</v>
      </c>
      <c r="N2669" t="s">
        <v>29</v>
      </c>
      <c r="O2669" t="s">
        <v>40</v>
      </c>
      <c r="P2669" t="s">
        <v>152</v>
      </c>
      <c r="Q2669" t="s">
        <v>152</v>
      </c>
      <c r="R2669">
        <v>31</v>
      </c>
      <c r="S2669" t="s">
        <v>35</v>
      </c>
      <c r="T2669" t="str">
        <f t="shared" si="82"/>
        <v>2-week</v>
      </c>
      <c r="U2669">
        <f>VLOOKUP(T2669,[1]tablescore!$B$3:$C$8, 2,FALSE)</f>
        <v>26</v>
      </c>
      <c r="V2669" t="str">
        <f t="shared" si="83"/>
        <v>Loyal</v>
      </c>
      <c r="W2669" t="s">
        <v>30</v>
      </c>
    </row>
    <row r="2670" spans="1:23" x14ac:dyDescent="0.25">
      <c r="A2670">
        <v>2669</v>
      </c>
      <c r="B2670">
        <v>59</v>
      </c>
      <c r="C2670" t="str" cm="1">
        <f t="array" ref="C2670">_xlfn.IFS(
  AND(B2670&gt;=18, B2670&lt;=24), "18-24",
  AND(B2670&gt;=25, B2670&lt;=34), "25-34",
  AND(B2670&gt;=35, B2670&lt;=44), "35-44",
  AND(B2670&gt;=45, B2670&lt;=54), "45-54",
  B2670&gt;=55, "55+"
)</f>
        <v>55+</v>
      </c>
      <c r="D2670" t="s">
        <v>153</v>
      </c>
      <c r="E2670" t="s">
        <v>64</v>
      </c>
      <c r="F2670" t="s">
        <v>65</v>
      </c>
      <c r="G2670">
        <v>75</v>
      </c>
      <c r="H2670" t="s">
        <v>105</v>
      </c>
      <c r="I2670" t="s">
        <v>45</v>
      </c>
      <c r="J2670" t="s">
        <v>94</v>
      </c>
      <c r="K2670" t="s">
        <v>54</v>
      </c>
      <c r="L2670">
        <v>4.8</v>
      </c>
      <c r="M2670" t="s">
        <v>152</v>
      </c>
      <c r="N2670" t="s">
        <v>29</v>
      </c>
      <c r="O2670" t="s">
        <v>47</v>
      </c>
      <c r="P2670" t="s">
        <v>152</v>
      </c>
      <c r="Q2670" t="s">
        <v>152</v>
      </c>
      <c r="R2670">
        <v>9</v>
      </c>
      <c r="S2670" t="s">
        <v>46</v>
      </c>
      <c r="T2670" t="str">
        <f t="shared" si="82"/>
        <v>Quarterly</v>
      </c>
      <c r="U2670">
        <f>VLOOKUP(T2670,[1]tablescore!$B$3:$C$8, 2,FALSE)</f>
        <v>4</v>
      </c>
      <c r="V2670" t="str">
        <f t="shared" si="83"/>
        <v>Low Loyalty</v>
      </c>
      <c r="W2670" t="s">
        <v>60</v>
      </c>
    </row>
    <row r="2671" spans="1:23" x14ac:dyDescent="0.25">
      <c r="A2671">
        <v>2670</v>
      </c>
      <c r="B2671">
        <v>39</v>
      </c>
      <c r="C2671" t="str" cm="1">
        <f t="array" ref="C2671">_xlfn.IFS(
  AND(B2671&gt;=18, B2671&lt;=24), "18-24",
  AND(B2671&gt;=25, B2671&lt;=34), "25-34",
  AND(B2671&gt;=35, B2671&lt;=44), "35-44",
  AND(B2671&gt;=45, B2671&lt;=54), "45-54",
  B2671&gt;=55, "55+"
)</f>
        <v>35-44</v>
      </c>
      <c r="D2671" t="s">
        <v>153</v>
      </c>
      <c r="E2671" t="s">
        <v>136</v>
      </c>
      <c r="F2671" t="s">
        <v>69</v>
      </c>
      <c r="G2671">
        <v>28</v>
      </c>
      <c r="H2671" t="s">
        <v>115</v>
      </c>
      <c r="I2671" t="s">
        <v>23</v>
      </c>
      <c r="J2671" t="s">
        <v>86</v>
      </c>
      <c r="K2671" t="s">
        <v>39</v>
      </c>
      <c r="L2671">
        <v>2.8</v>
      </c>
      <c r="M2671" t="s">
        <v>152</v>
      </c>
      <c r="N2671" t="s">
        <v>46</v>
      </c>
      <c r="O2671" t="s">
        <v>40</v>
      </c>
      <c r="P2671" t="s">
        <v>152</v>
      </c>
      <c r="Q2671" t="s">
        <v>152</v>
      </c>
      <c r="R2671">
        <v>31</v>
      </c>
      <c r="S2671" t="s">
        <v>27</v>
      </c>
      <c r="T2671" t="str">
        <f t="shared" si="82"/>
        <v>Daily</v>
      </c>
      <c r="U2671">
        <f>VLOOKUP(T2671,[1]tablescore!$B$3:$C$8, 2,FALSE)</f>
        <v>30</v>
      </c>
      <c r="V2671" t="str">
        <f t="shared" si="83"/>
        <v>Highly Loyal</v>
      </c>
      <c r="W2671" t="s">
        <v>41</v>
      </c>
    </row>
    <row r="2672" spans="1:23" x14ac:dyDescent="0.25">
      <c r="A2672">
        <v>2671</v>
      </c>
      <c r="B2672">
        <v>30</v>
      </c>
      <c r="C2672" t="str" cm="1">
        <f t="array" ref="C2672">_xlfn.IFS(
  AND(B2672&gt;=18, B2672&lt;=24), "18-24",
  AND(B2672&gt;=25, B2672&lt;=34), "25-34",
  AND(B2672&gt;=35, B2672&lt;=44), "35-44",
  AND(B2672&gt;=45, B2672&lt;=54), "45-54",
  B2672&gt;=55, "55+"
)</f>
        <v>25-34</v>
      </c>
      <c r="D2672" t="s">
        <v>153</v>
      </c>
      <c r="E2672" t="s">
        <v>89</v>
      </c>
      <c r="F2672" t="s">
        <v>69</v>
      </c>
      <c r="G2672">
        <v>44</v>
      </c>
      <c r="H2672" t="s">
        <v>141</v>
      </c>
      <c r="I2672" t="s">
        <v>45</v>
      </c>
      <c r="J2672" t="s">
        <v>139</v>
      </c>
      <c r="K2672" t="s">
        <v>58</v>
      </c>
      <c r="L2672">
        <v>4.7</v>
      </c>
      <c r="M2672" t="s">
        <v>152</v>
      </c>
      <c r="N2672" t="s">
        <v>29</v>
      </c>
      <c r="O2672" t="s">
        <v>28</v>
      </c>
      <c r="P2672" t="s">
        <v>152</v>
      </c>
      <c r="Q2672" t="s">
        <v>152</v>
      </c>
      <c r="R2672">
        <v>26</v>
      </c>
      <c r="S2672" t="s">
        <v>34</v>
      </c>
      <c r="T2672" t="str">
        <f t="shared" si="82"/>
        <v>2-week</v>
      </c>
      <c r="U2672">
        <f>VLOOKUP(T2672,[1]tablescore!$B$3:$C$8, 2,FALSE)</f>
        <v>26</v>
      </c>
      <c r="V2672" t="str">
        <f t="shared" si="83"/>
        <v>Loyal</v>
      </c>
      <c r="W2672" t="s">
        <v>77</v>
      </c>
    </row>
    <row r="2673" spans="1:23" x14ac:dyDescent="0.25">
      <c r="A2673">
        <v>2672</v>
      </c>
      <c r="B2673">
        <v>37</v>
      </c>
      <c r="C2673" t="str" cm="1">
        <f t="array" ref="C2673">_xlfn.IFS(
  AND(B2673&gt;=18, B2673&lt;=24), "18-24",
  AND(B2673&gt;=25, B2673&lt;=34), "25-34",
  AND(B2673&gt;=35, B2673&lt;=44), "35-44",
  AND(B2673&gt;=45, B2673&lt;=54), "45-54",
  B2673&gt;=55, "55+"
)</f>
        <v>35-44</v>
      </c>
      <c r="D2673" t="s">
        <v>153</v>
      </c>
      <c r="E2673" t="s">
        <v>42</v>
      </c>
      <c r="F2673" t="s">
        <v>43</v>
      </c>
      <c r="G2673">
        <v>64</v>
      </c>
      <c r="H2673" t="s">
        <v>90</v>
      </c>
      <c r="I2673" t="s">
        <v>92</v>
      </c>
      <c r="J2673" t="s">
        <v>24</v>
      </c>
      <c r="K2673" t="s">
        <v>25</v>
      </c>
      <c r="L2673">
        <v>4.8</v>
      </c>
      <c r="M2673" t="s">
        <v>152</v>
      </c>
      <c r="N2673" t="s">
        <v>35</v>
      </c>
      <c r="O2673" t="s">
        <v>72</v>
      </c>
      <c r="P2673" t="s">
        <v>152</v>
      </c>
      <c r="Q2673" t="s">
        <v>152</v>
      </c>
      <c r="R2673">
        <v>41</v>
      </c>
      <c r="S2673" t="s">
        <v>46</v>
      </c>
      <c r="T2673" t="str">
        <f t="shared" si="82"/>
        <v>Quarterly</v>
      </c>
      <c r="U2673">
        <f>VLOOKUP(T2673,[1]tablescore!$B$3:$C$8, 2,FALSE)</f>
        <v>4</v>
      </c>
      <c r="V2673" t="str">
        <f t="shared" si="83"/>
        <v>Low Loyalty</v>
      </c>
      <c r="W2673" t="s">
        <v>97</v>
      </c>
    </row>
    <row r="2674" spans="1:23" x14ac:dyDescent="0.25">
      <c r="A2674">
        <v>2673</v>
      </c>
      <c r="B2674">
        <v>56</v>
      </c>
      <c r="C2674" t="str" cm="1">
        <f t="array" ref="C2674">_xlfn.IFS(
  AND(B2674&gt;=18, B2674&lt;=24), "18-24",
  AND(B2674&gt;=25, B2674&lt;=34), "25-34",
  AND(B2674&gt;=35, B2674&lt;=44), "35-44",
  AND(B2674&gt;=45, B2674&lt;=54), "45-54",
  B2674&gt;=55, "55+"
)</f>
        <v>55+</v>
      </c>
      <c r="D2674" t="s">
        <v>153</v>
      </c>
      <c r="E2674" t="s">
        <v>132</v>
      </c>
      <c r="F2674" t="s">
        <v>43</v>
      </c>
      <c r="G2674">
        <v>28</v>
      </c>
      <c r="H2674" t="s">
        <v>66</v>
      </c>
      <c r="I2674" t="s">
        <v>45</v>
      </c>
      <c r="J2674" t="s">
        <v>33</v>
      </c>
      <c r="K2674" t="s">
        <v>39</v>
      </c>
      <c r="L2674">
        <v>2.9</v>
      </c>
      <c r="M2674" t="s">
        <v>152</v>
      </c>
      <c r="N2674" t="s">
        <v>59</v>
      </c>
      <c r="O2674" t="s">
        <v>55</v>
      </c>
      <c r="P2674" t="s">
        <v>152</v>
      </c>
      <c r="Q2674" t="s">
        <v>152</v>
      </c>
      <c r="R2674">
        <v>13</v>
      </c>
      <c r="S2674" t="s">
        <v>35</v>
      </c>
      <c r="T2674" t="str">
        <f t="shared" si="82"/>
        <v>Annually</v>
      </c>
      <c r="U2674">
        <f>VLOOKUP(T2674,[1]tablescore!$B$3:$C$8, 2,FALSE)</f>
        <v>1</v>
      </c>
      <c r="V2674" t="str">
        <f t="shared" si="83"/>
        <v>Low Loyalty</v>
      </c>
      <c r="W2674" t="s">
        <v>50</v>
      </c>
    </row>
    <row r="2675" spans="1:23" x14ac:dyDescent="0.25">
      <c r="A2675">
        <v>2674</v>
      </c>
      <c r="B2675">
        <v>67</v>
      </c>
      <c r="C2675" t="str" cm="1">
        <f t="array" ref="C2675">_xlfn.IFS(
  AND(B2675&gt;=18, B2675&lt;=24), "18-24",
  AND(B2675&gt;=25, B2675&lt;=34), "25-34",
  AND(B2675&gt;=35, B2675&lt;=44), "35-44",
  AND(B2675&gt;=45, B2675&lt;=54), "45-54",
  B2675&gt;=55, "55+"
)</f>
        <v>55+</v>
      </c>
      <c r="D2675" t="s">
        <v>153</v>
      </c>
      <c r="E2675" t="s">
        <v>104</v>
      </c>
      <c r="F2675" t="s">
        <v>21</v>
      </c>
      <c r="G2675">
        <v>21</v>
      </c>
      <c r="H2675" t="s">
        <v>107</v>
      </c>
      <c r="I2675" t="s">
        <v>45</v>
      </c>
      <c r="J2675" t="s">
        <v>79</v>
      </c>
      <c r="K2675" t="s">
        <v>54</v>
      </c>
      <c r="L2675">
        <v>2.6</v>
      </c>
      <c r="M2675" t="s">
        <v>152</v>
      </c>
      <c r="N2675" t="s">
        <v>35</v>
      </c>
      <c r="O2675" t="s">
        <v>72</v>
      </c>
      <c r="P2675" t="s">
        <v>152</v>
      </c>
      <c r="Q2675" t="s">
        <v>152</v>
      </c>
      <c r="R2675">
        <v>4</v>
      </c>
      <c r="S2675" t="s">
        <v>35</v>
      </c>
      <c r="T2675" t="str">
        <f t="shared" si="82"/>
        <v>Month</v>
      </c>
      <c r="U2675">
        <f>VLOOKUP(T2675,[1]tablescore!$B$3:$C$8, 2,FALSE)</f>
        <v>12</v>
      </c>
      <c r="V2675" t="str">
        <f t="shared" si="83"/>
        <v>Moderate</v>
      </c>
      <c r="W2675" t="s">
        <v>88</v>
      </c>
    </row>
    <row r="2676" spans="1:23" x14ac:dyDescent="0.25">
      <c r="A2676">
        <v>2675</v>
      </c>
      <c r="B2676">
        <v>40</v>
      </c>
      <c r="C2676" t="str" cm="1">
        <f t="array" ref="C2676">_xlfn.IFS(
  AND(B2676&gt;=18, B2676&lt;=24), "18-24",
  AND(B2676&gt;=25, B2676&lt;=34), "25-34",
  AND(B2676&gt;=35, B2676&lt;=44), "35-44",
  AND(B2676&gt;=45, B2676&lt;=54), "45-54",
  B2676&gt;=55, "55+"
)</f>
        <v>35-44</v>
      </c>
      <c r="D2676" t="s">
        <v>153</v>
      </c>
      <c r="E2676" t="s">
        <v>125</v>
      </c>
      <c r="F2676" t="s">
        <v>69</v>
      </c>
      <c r="G2676">
        <v>41</v>
      </c>
      <c r="H2676" t="s">
        <v>103</v>
      </c>
      <c r="I2676" t="s">
        <v>38</v>
      </c>
      <c r="J2676" t="s">
        <v>63</v>
      </c>
      <c r="K2676" t="s">
        <v>58</v>
      </c>
      <c r="L2676">
        <v>3.3</v>
      </c>
      <c r="M2676" t="s">
        <v>152</v>
      </c>
      <c r="N2676" t="s">
        <v>59</v>
      </c>
      <c r="O2676" t="s">
        <v>28</v>
      </c>
      <c r="P2676" t="s">
        <v>152</v>
      </c>
      <c r="Q2676" t="s">
        <v>152</v>
      </c>
      <c r="R2676">
        <v>15</v>
      </c>
      <c r="S2676" t="s">
        <v>35</v>
      </c>
      <c r="T2676" t="str">
        <f t="shared" si="82"/>
        <v>Quarterly</v>
      </c>
      <c r="U2676">
        <f>VLOOKUP(T2676,[1]tablescore!$B$3:$C$8, 2,FALSE)</f>
        <v>4</v>
      </c>
      <c r="V2676" t="str">
        <f t="shared" si="83"/>
        <v>Low Loyalty</v>
      </c>
      <c r="W2676" t="s">
        <v>97</v>
      </c>
    </row>
    <row r="2677" spans="1:23" x14ac:dyDescent="0.25">
      <c r="A2677">
        <v>2676</v>
      </c>
      <c r="B2677">
        <v>24</v>
      </c>
      <c r="C2677" t="str" cm="1">
        <f t="array" ref="C2677">_xlfn.IFS(
  AND(B2677&gt;=18, B2677&lt;=24), "18-24",
  AND(B2677&gt;=25, B2677&lt;=34), "25-34",
  AND(B2677&gt;=35, B2677&lt;=44), "35-44",
  AND(B2677&gt;=45, B2677&lt;=54), "45-54",
  B2677&gt;=55, "55+"
)</f>
        <v>18-24</v>
      </c>
      <c r="D2677" t="s">
        <v>153</v>
      </c>
      <c r="E2677" t="s">
        <v>61</v>
      </c>
      <c r="F2677" t="s">
        <v>21</v>
      </c>
      <c r="G2677">
        <v>38</v>
      </c>
      <c r="H2677" t="s">
        <v>128</v>
      </c>
      <c r="I2677" t="s">
        <v>45</v>
      </c>
      <c r="J2677" t="s">
        <v>100</v>
      </c>
      <c r="K2677" t="s">
        <v>25</v>
      </c>
      <c r="L2677">
        <v>3.4</v>
      </c>
      <c r="M2677" t="s">
        <v>152</v>
      </c>
      <c r="N2677" t="s">
        <v>35</v>
      </c>
      <c r="O2677" t="s">
        <v>40</v>
      </c>
      <c r="P2677" t="s">
        <v>152</v>
      </c>
      <c r="Q2677" t="s">
        <v>152</v>
      </c>
      <c r="R2677">
        <v>38</v>
      </c>
      <c r="S2677" t="s">
        <v>35</v>
      </c>
      <c r="T2677" t="str">
        <f t="shared" si="82"/>
        <v>2-week</v>
      </c>
      <c r="U2677">
        <f>VLOOKUP(T2677,[1]tablescore!$B$3:$C$8, 2,FALSE)</f>
        <v>26</v>
      </c>
      <c r="V2677" t="str">
        <f t="shared" si="83"/>
        <v>Loyal</v>
      </c>
      <c r="W2677" t="s">
        <v>77</v>
      </c>
    </row>
    <row r="2678" spans="1:23" x14ac:dyDescent="0.25">
      <c r="A2678">
        <v>2677</v>
      </c>
      <c r="B2678">
        <v>43</v>
      </c>
      <c r="C2678" t="str" cm="1">
        <f t="array" ref="C2678">_xlfn.IFS(
  AND(B2678&gt;=18, B2678&lt;=24), "18-24",
  AND(B2678&gt;=25, B2678&lt;=34), "25-34",
  AND(B2678&gt;=35, B2678&lt;=44), "35-44",
  AND(B2678&gt;=45, B2678&lt;=54), "45-54",
  B2678&gt;=55, "55+"
)</f>
        <v>35-44</v>
      </c>
      <c r="D2678" t="s">
        <v>153</v>
      </c>
      <c r="E2678" t="s">
        <v>133</v>
      </c>
      <c r="F2678" t="s">
        <v>69</v>
      </c>
      <c r="G2678">
        <v>77</v>
      </c>
      <c r="H2678" t="s">
        <v>22</v>
      </c>
      <c r="I2678" t="s">
        <v>45</v>
      </c>
      <c r="J2678" t="s">
        <v>33</v>
      </c>
      <c r="K2678" t="s">
        <v>39</v>
      </c>
      <c r="L2678">
        <v>3.6</v>
      </c>
      <c r="M2678" t="s">
        <v>152</v>
      </c>
      <c r="N2678" t="s">
        <v>29</v>
      </c>
      <c r="O2678" t="s">
        <v>40</v>
      </c>
      <c r="P2678" t="s">
        <v>152</v>
      </c>
      <c r="Q2678" t="s">
        <v>152</v>
      </c>
      <c r="R2678">
        <v>3</v>
      </c>
      <c r="S2678" t="s">
        <v>35</v>
      </c>
      <c r="T2678" t="str">
        <f t="shared" si="82"/>
        <v>2-week</v>
      </c>
      <c r="U2678">
        <f>VLOOKUP(T2678,[1]tablescore!$B$3:$C$8, 2,FALSE)</f>
        <v>26</v>
      </c>
      <c r="V2678" t="str">
        <f t="shared" si="83"/>
        <v>Loyal</v>
      </c>
      <c r="W2678" t="s">
        <v>30</v>
      </c>
    </row>
    <row r="2679" spans="1:23" x14ac:dyDescent="0.25">
      <c r="A2679">
        <v>2678</v>
      </c>
      <c r="B2679">
        <v>45</v>
      </c>
      <c r="C2679" t="str" cm="1">
        <f t="array" ref="C2679">_xlfn.IFS(
  AND(B2679&gt;=18, B2679&lt;=24), "18-24",
  AND(B2679&gt;=25, B2679&lt;=34), "25-34",
  AND(B2679&gt;=35, B2679&lt;=44), "35-44",
  AND(B2679&gt;=45, B2679&lt;=54), "45-54",
  B2679&gt;=55, "55+"
)</f>
        <v>45-54</v>
      </c>
      <c r="D2679" t="s">
        <v>153</v>
      </c>
      <c r="E2679" t="s">
        <v>61</v>
      </c>
      <c r="F2679" t="s">
        <v>21</v>
      </c>
      <c r="G2679">
        <v>43</v>
      </c>
      <c r="H2679" t="s">
        <v>146</v>
      </c>
      <c r="I2679" t="s">
        <v>23</v>
      </c>
      <c r="J2679" t="s">
        <v>79</v>
      </c>
      <c r="K2679" t="s">
        <v>39</v>
      </c>
      <c r="L2679">
        <v>3.8</v>
      </c>
      <c r="M2679" t="s">
        <v>152</v>
      </c>
      <c r="N2679" t="s">
        <v>59</v>
      </c>
      <c r="O2679" t="s">
        <v>47</v>
      </c>
      <c r="P2679" t="s">
        <v>152</v>
      </c>
      <c r="Q2679" t="s">
        <v>152</v>
      </c>
      <c r="R2679">
        <v>6</v>
      </c>
      <c r="S2679" t="s">
        <v>46</v>
      </c>
      <c r="T2679" t="str">
        <f t="shared" si="82"/>
        <v>Quarterly</v>
      </c>
      <c r="U2679">
        <f>VLOOKUP(T2679,[1]tablescore!$B$3:$C$8, 2,FALSE)</f>
        <v>4</v>
      </c>
      <c r="V2679" t="str">
        <f t="shared" si="83"/>
        <v>Low Loyalty</v>
      </c>
      <c r="W2679" t="s">
        <v>97</v>
      </c>
    </row>
    <row r="2680" spans="1:23" x14ac:dyDescent="0.25">
      <c r="A2680">
        <v>2679</v>
      </c>
      <c r="B2680">
        <v>33</v>
      </c>
      <c r="C2680" t="str" cm="1">
        <f t="array" ref="C2680">_xlfn.IFS(
  AND(B2680&gt;=18, B2680&lt;=24), "18-24",
  AND(B2680&gt;=25, B2680&lt;=34), "25-34",
  AND(B2680&gt;=35, B2680&lt;=44), "35-44",
  AND(B2680&gt;=45, B2680&lt;=54), "45-54",
  B2680&gt;=55, "55+"
)</f>
        <v>25-34</v>
      </c>
      <c r="D2680" t="s">
        <v>153</v>
      </c>
      <c r="E2680" t="s">
        <v>136</v>
      </c>
      <c r="F2680" t="s">
        <v>69</v>
      </c>
      <c r="G2680">
        <v>91</v>
      </c>
      <c r="H2680" t="s">
        <v>57</v>
      </c>
      <c r="I2680" t="s">
        <v>45</v>
      </c>
      <c r="J2680" t="s">
        <v>147</v>
      </c>
      <c r="K2680" t="s">
        <v>39</v>
      </c>
      <c r="L2680">
        <v>3.4</v>
      </c>
      <c r="M2680" t="s">
        <v>152</v>
      </c>
      <c r="N2680" t="s">
        <v>35</v>
      </c>
      <c r="O2680" t="s">
        <v>72</v>
      </c>
      <c r="P2680" t="s">
        <v>152</v>
      </c>
      <c r="Q2680" t="s">
        <v>152</v>
      </c>
      <c r="R2680">
        <v>34</v>
      </c>
      <c r="S2680" t="s">
        <v>27</v>
      </c>
      <c r="T2680" t="str">
        <f t="shared" si="82"/>
        <v>2-week</v>
      </c>
      <c r="U2680">
        <f>VLOOKUP(T2680,[1]tablescore!$B$3:$C$8, 2,FALSE)</f>
        <v>26</v>
      </c>
      <c r="V2680" t="str">
        <f t="shared" si="83"/>
        <v>Loyal</v>
      </c>
      <c r="W2680" t="s">
        <v>77</v>
      </c>
    </row>
    <row r="2681" spans="1:23" x14ac:dyDescent="0.25">
      <c r="A2681">
        <v>2680</v>
      </c>
      <c r="B2681">
        <v>53</v>
      </c>
      <c r="C2681" t="str" cm="1">
        <f t="array" ref="C2681">_xlfn.IFS(
  AND(B2681&gt;=18, B2681&lt;=24), "18-24",
  AND(B2681&gt;=25, B2681&lt;=34), "25-34",
  AND(B2681&gt;=35, B2681&lt;=44), "35-44",
  AND(B2681&gt;=45, B2681&lt;=54), "45-54",
  B2681&gt;=55, "55+"
)</f>
        <v>45-54</v>
      </c>
      <c r="D2681" t="s">
        <v>153</v>
      </c>
      <c r="E2681" t="s">
        <v>61</v>
      </c>
      <c r="F2681" t="s">
        <v>21</v>
      </c>
      <c r="G2681">
        <v>68</v>
      </c>
      <c r="H2681" t="s">
        <v>57</v>
      </c>
      <c r="I2681" t="s">
        <v>38</v>
      </c>
      <c r="J2681" t="s">
        <v>139</v>
      </c>
      <c r="K2681" t="s">
        <v>39</v>
      </c>
      <c r="L2681">
        <v>3.8</v>
      </c>
      <c r="M2681" t="s">
        <v>152</v>
      </c>
      <c r="N2681" t="s">
        <v>59</v>
      </c>
      <c r="O2681" t="s">
        <v>28</v>
      </c>
      <c r="P2681" t="s">
        <v>152</v>
      </c>
      <c r="Q2681" t="s">
        <v>152</v>
      </c>
      <c r="R2681">
        <v>7</v>
      </c>
      <c r="S2681" t="s">
        <v>59</v>
      </c>
      <c r="T2681" t="str">
        <f t="shared" si="82"/>
        <v>Quarterly</v>
      </c>
      <c r="U2681">
        <f>VLOOKUP(T2681,[1]tablescore!$B$3:$C$8, 2,FALSE)</f>
        <v>4</v>
      </c>
      <c r="V2681" t="str">
        <f t="shared" si="83"/>
        <v>Low Loyalty</v>
      </c>
      <c r="W2681" t="s">
        <v>60</v>
      </c>
    </row>
    <row r="2682" spans="1:23" x14ac:dyDescent="0.25">
      <c r="A2682">
        <v>2681</v>
      </c>
      <c r="B2682">
        <v>44</v>
      </c>
      <c r="C2682" t="str" cm="1">
        <f t="array" ref="C2682">_xlfn.IFS(
  AND(B2682&gt;=18, B2682&lt;=24), "18-24",
  AND(B2682&gt;=25, B2682&lt;=34), "25-34",
  AND(B2682&gt;=35, B2682&lt;=44), "35-44",
  AND(B2682&gt;=45, B2682&lt;=54), "45-54",
  B2682&gt;=55, "55+"
)</f>
        <v>35-44</v>
      </c>
      <c r="D2682" t="s">
        <v>153</v>
      </c>
      <c r="E2682" t="s">
        <v>131</v>
      </c>
      <c r="F2682" t="s">
        <v>21</v>
      </c>
      <c r="G2682">
        <v>37</v>
      </c>
      <c r="H2682" t="s">
        <v>143</v>
      </c>
      <c r="I2682" t="s">
        <v>23</v>
      </c>
      <c r="J2682" t="s">
        <v>129</v>
      </c>
      <c r="K2682" t="s">
        <v>58</v>
      </c>
      <c r="L2682">
        <v>3.3</v>
      </c>
      <c r="M2682" t="s">
        <v>152</v>
      </c>
      <c r="N2682" t="s">
        <v>46</v>
      </c>
      <c r="O2682" t="s">
        <v>47</v>
      </c>
      <c r="P2682" t="s">
        <v>152</v>
      </c>
      <c r="Q2682" t="s">
        <v>152</v>
      </c>
      <c r="R2682">
        <v>21</v>
      </c>
      <c r="S2682" t="s">
        <v>29</v>
      </c>
      <c r="T2682" t="str">
        <f t="shared" si="82"/>
        <v>Annually</v>
      </c>
      <c r="U2682">
        <f>VLOOKUP(T2682,[1]tablescore!$B$3:$C$8, 2,FALSE)</f>
        <v>1</v>
      </c>
      <c r="V2682" t="str">
        <f t="shared" si="83"/>
        <v>Low Loyalty</v>
      </c>
      <c r="W2682" t="s">
        <v>50</v>
      </c>
    </row>
    <row r="2683" spans="1:23" x14ac:dyDescent="0.25">
      <c r="A2683">
        <v>2682</v>
      </c>
      <c r="B2683">
        <v>23</v>
      </c>
      <c r="C2683" t="str" cm="1">
        <f t="array" ref="C2683">_xlfn.IFS(
  AND(B2683&gt;=18, B2683&lt;=24), "18-24",
  AND(B2683&gt;=25, B2683&lt;=34), "25-34",
  AND(B2683&gt;=35, B2683&lt;=44), "35-44",
  AND(B2683&gt;=45, B2683&lt;=54), "45-54",
  B2683&gt;=55, "55+"
)</f>
        <v>18-24</v>
      </c>
      <c r="D2683" t="s">
        <v>153</v>
      </c>
      <c r="E2683" t="s">
        <v>73</v>
      </c>
      <c r="F2683" t="s">
        <v>43</v>
      </c>
      <c r="G2683">
        <v>23</v>
      </c>
      <c r="H2683" t="s">
        <v>37</v>
      </c>
      <c r="I2683" t="s">
        <v>23</v>
      </c>
      <c r="J2683" t="s">
        <v>79</v>
      </c>
      <c r="K2683" t="s">
        <v>54</v>
      </c>
      <c r="L2683">
        <v>4.8</v>
      </c>
      <c r="M2683" t="s">
        <v>152</v>
      </c>
      <c r="N2683" t="s">
        <v>34</v>
      </c>
      <c r="O2683" t="s">
        <v>55</v>
      </c>
      <c r="P2683" t="s">
        <v>152</v>
      </c>
      <c r="Q2683" t="s">
        <v>152</v>
      </c>
      <c r="R2683">
        <v>17</v>
      </c>
      <c r="S2683" t="s">
        <v>59</v>
      </c>
      <c r="T2683" t="str">
        <f t="shared" si="82"/>
        <v>Month</v>
      </c>
      <c r="U2683">
        <f>VLOOKUP(T2683,[1]tablescore!$B$3:$C$8, 2,FALSE)</f>
        <v>12</v>
      </c>
      <c r="V2683" t="str">
        <f t="shared" si="83"/>
        <v>Moderate</v>
      </c>
      <c r="W2683" t="s">
        <v>88</v>
      </c>
    </row>
    <row r="2684" spans="1:23" x14ac:dyDescent="0.25">
      <c r="A2684">
        <v>2683</v>
      </c>
      <c r="B2684">
        <v>59</v>
      </c>
      <c r="C2684" t="str" cm="1">
        <f t="array" ref="C2684">_xlfn.IFS(
  AND(B2684&gt;=18, B2684&lt;=24), "18-24",
  AND(B2684&gt;=25, B2684&lt;=34), "25-34",
  AND(B2684&gt;=35, B2684&lt;=44), "35-44",
  AND(B2684&gt;=45, B2684&lt;=54), "45-54",
  B2684&gt;=55, "55+"
)</f>
        <v>55+</v>
      </c>
      <c r="D2684" t="s">
        <v>153</v>
      </c>
      <c r="E2684" t="s">
        <v>51</v>
      </c>
      <c r="F2684" t="s">
        <v>43</v>
      </c>
      <c r="G2684">
        <v>65</v>
      </c>
      <c r="H2684" t="s">
        <v>98</v>
      </c>
      <c r="I2684" t="s">
        <v>23</v>
      </c>
      <c r="J2684" t="s">
        <v>33</v>
      </c>
      <c r="K2684" t="s">
        <v>25</v>
      </c>
      <c r="L2684">
        <v>3.9</v>
      </c>
      <c r="M2684" t="s">
        <v>152</v>
      </c>
      <c r="N2684" t="s">
        <v>29</v>
      </c>
      <c r="O2684" t="s">
        <v>72</v>
      </c>
      <c r="P2684" t="s">
        <v>152</v>
      </c>
      <c r="Q2684" t="s">
        <v>152</v>
      </c>
      <c r="R2684">
        <v>5</v>
      </c>
      <c r="S2684" t="s">
        <v>29</v>
      </c>
      <c r="T2684" t="str">
        <f t="shared" si="82"/>
        <v>Quarterly</v>
      </c>
      <c r="U2684">
        <f>VLOOKUP(T2684,[1]tablescore!$B$3:$C$8, 2,FALSE)</f>
        <v>4</v>
      </c>
      <c r="V2684" t="str">
        <f t="shared" si="83"/>
        <v>Low Loyalty</v>
      </c>
      <c r="W2684" t="s">
        <v>97</v>
      </c>
    </row>
    <row r="2685" spans="1:23" x14ac:dyDescent="0.25">
      <c r="A2685">
        <v>2684</v>
      </c>
      <c r="B2685">
        <v>68</v>
      </c>
      <c r="C2685" t="str" cm="1">
        <f t="array" ref="C2685">_xlfn.IFS(
  AND(B2685&gt;=18, B2685&lt;=24), "18-24",
  AND(B2685&gt;=25, B2685&lt;=34), "25-34",
  AND(B2685&gt;=35, B2685&lt;=44), "35-44",
  AND(B2685&gt;=45, B2685&lt;=54), "45-54",
  B2685&gt;=55, "55+"
)</f>
        <v>55+</v>
      </c>
      <c r="D2685" t="s">
        <v>153</v>
      </c>
      <c r="E2685" t="s">
        <v>133</v>
      </c>
      <c r="F2685" t="s">
        <v>69</v>
      </c>
      <c r="G2685">
        <v>30</v>
      </c>
      <c r="H2685" t="s">
        <v>57</v>
      </c>
      <c r="I2685" t="s">
        <v>45</v>
      </c>
      <c r="J2685" t="s">
        <v>129</v>
      </c>
      <c r="K2685" t="s">
        <v>54</v>
      </c>
      <c r="L2685">
        <v>4.2</v>
      </c>
      <c r="M2685" t="s">
        <v>152</v>
      </c>
      <c r="N2685" t="s">
        <v>35</v>
      </c>
      <c r="O2685" t="s">
        <v>47</v>
      </c>
      <c r="P2685" t="s">
        <v>152</v>
      </c>
      <c r="Q2685" t="s">
        <v>152</v>
      </c>
      <c r="R2685">
        <v>21</v>
      </c>
      <c r="S2685" t="s">
        <v>35</v>
      </c>
      <c r="T2685" t="str">
        <f t="shared" si="82"/>
        <v>2-week</v>
      </c>
      <c r="U2685">
        <f>VLOOKUP(T2685,[1]tablescore!$B$3:$C$8, 2,FALSE)</f>
        <v>26</v>
      </c>
      <c r="V2685" t="str">
        <f t="shared" si="83"/>
        <v>Loyal</v>
      </c>
      <c r="W2685" t="s">
        <v>30</v>
      </c>
    </row>
    <row r="2686" spans="1:23" x14ac:dyDescent="0.25">
      <c r="A2686">
        <v>2685</v>
      </c>
      <c r="B2686">
        <v>46</v>
      </c>
      <c r="C2686" t="str" cm="1">
        <f t="array" ref="C2686">_xlfn.IFS(
  AND(B2686&gt;=18, B2686&lt;=24), "18-24",
  AND(B2686&gt;=25, B2686&lt;=34), "25-34",
  AND(B2686&gt;=35, B2686&lt;=44), "35-44",
  AND(B2686&gt;=45, B2686&lt;=54), "45-54",
  B2686&gt;=55, "55+"
)</f>
        <v>45-54</v>
      </c>
      <c r="D2686" t="s">
        <v>153</v>
      </c>
      <c r="E2686" t="s">
        <v>82</v>
      </c>
      <c r="F2686" t="s">
        <v>21</v>
      </c>
      <c r="G2686">
        <v>45</v>
      </c>
      <c r="H2686" t="s">
        <v>140</v>
      </c>
      <c r="I2686" t="s">
        <v>45</v>
      </c>
      <c r="J2686" t="s">
        <v>24</v>
      </c>
      <c r="K2686" t="s">
        <v>54</v>
      </c>
      <c r="L2686">
        <v>4.7</v>
      </c>
      <c r="M2686" t="s">
        <v>152</v>
      </c>
      <c r="N2686" t="s">
        <v>29</v>
      </c>
      <c r="O2686" t="s">
        <v>40</v>
      </c>
      <c r="P2686" t="s">
        <v>152</v>
      </c>
      <c r="Q2686" t="s">
        <v>152</v>
      </c>
      <c r="R2686">
        <v>42</v>
      </c>
      <c r="S2686" t="s">
        <v>27</v>
      </c>
      <c r="T2686" t="str">
        <f t="shared" si="82"/>
        <v>2-week</v>
      </c>
      <c r="U2686">
        <f>VLOOKUP(T2686,[1]tablescore!$B$3:$C$8, 2,FALSE)</f>
        <v>26</v>
      </c>
      <c r="V2686" t="str">
        <f t="shared" si="83"/>
        <v>Loyal</v>
      </c>
      <c r="W2686" t="s">
        <v>77</v>
      </c>
    </row>
    <row r="2687" spans="1:23" x14ac:dyDescent="0.25">
      <c r="A2687">
        <v>2686</v>
      </c>
      <c r="B2687">
        <v>56</v>
      </c>
      <c r="C2687" t="str" cm="1">
        <f t="array" ref="C2687">_xlfn.IFS(
  AND(B2687&gt;=18, B2687&lt;=24), "18-24",
  AND(B2687&gt;=25, B2687&lt;=34), "25-34",
  AND(B2687&gt;=35, B2687&lt;=44), "35-44",
  AND(B2687&gt;=45, B2687&lt;=54), "45-54",
  B2687&gt;=55, "55+"
)</f>
        <v>55+</v>
      </c>
      <c r="D2687" t="s">
        <v>153</v>
      </c>
      <c r="E2687" t="s">
        <v>132</v>
      </c>
      <c r="F2687" t="s">
        <v>43</v>
      </c>
      <c r="G2687">
        <v>25</v>
      </c>
      <c r="H2687" t="s">
        <v>128</v>
      </c>
      <c r="I2687" t="s">
        <v>45</v>
      </c>
      <c r="J2687" t="s">
        <v>24</v>
      </c>
      <c r="K2687" t="s">
        <v>25</v>
      </c>
      <c r="L2687">
        <v>2.7</v>
      </c>
      <c r="M2687" t="s">
        <v>152</v>
      </c>
      <c r="N2687" t="s">
        <v>29</v>
      </c>
      <c r="O2687" t="s">
        <v>28</v>
      </c>
      <c r="P2687" t="s">
        <v>152</v>
      </c>
      <c r="Q2687" t="s">
        <v>152</v>
      </c>
      <c r="R2687">
        <v>49</v>
      </c>
      <c r="S2687" t="s">
        <v>27</v>
      </c>
      <c r="T2687" t="str">
        <f t="shared" si="82"/>
        <v>Quarterly</v>
      </c>
      <c r="U2687">
        <f>VLOOKUP(T2687,[1]tablescore!$B$3:$C$8, 2,FALSE)</f>
        <v>4</v>
      </c>
      <c r="V2687" t="str">
        <f t="shared" si="83"/>
        <v>Low Loyalty</v>
      </c>
      <c r="W2687" t="s">
        <v>60</v>
      </c>
    </row>
    <row r="2688" spans="1:23" x14ac:dyDescent="0.25">
      <c r="A2688">
        <v>2687</v>
      </c>
      <c r="B2688">
        <v>40</v>
      </c>
      <c r="C2688" t="str" cm="1">
        <f t="array" ref="C2688">_xlfn.IFS(
  AND(B2688&gt;=18, B2688&lt;=24), "18-24",
  AND(B2688&gt;=25, B2688&lt;=34), "25-34",
  AND(B2688&gt;=35, B2688&lt;=44), "35-44",
  AND(B2688&gt;=45, B2688&lt;=54), "45-54",
  B2688&gt;=55, "55+"
)</f>
        <v>35-44</v>
      </c>
      <c r="D2688" t="s">
        <v>153</v>
      </c>
      <c r="E2688" t="s">
        <v>131</v>
      </c>
      <c r="F2688" t="s">
        <v>21</v>
      </c>
      <c r="G2688">
        <v>72</v>
      </c>
      <c r="H2688" t="s">
        <v>142</v>
      </c>
      <c r="I2688" t="s">
        <v>45</v>
      </c>
      <c r="J2688" t="s">
        <v>94</v>
      </c>
      <c r="K2688" t="s">
        <v>25</v>
      </c>
      <c r="L2688">
        <v>3.8</v>
      </c>
      <c r="M2688" t="s">
        <v>152</v>
      </c>
      <c r="N2688" t="s">
        <v>29</v>
      </c>
      <c r="O2688" t="s">
        <v>72</v>
      </c>
      <c r="P2688" t="s">
        <v>152</v>
      </c>
      <c r="Q2688" t="s">
        <v>152</v>
      </c>
      <c r="R2688">
        <v>33</v>
      </c>
      <c r="S2688" t="s">
        <v>35</v>
      </c>
      <c r="T2688" t="str">
        <f t="shared" si="82"/>
        <v>2-week</v>
      </c>
      <c r="U2688">
        <f>VLOOKUP(T2688,[1]tablescore!$B$3:$C$8, 2,FALSE)</f>
        <v>26</v>
      </c>
      <c r="V2688" t="str">
        <f t="shared" si="83"/>
        <v>Loyal</v>
      </c>
      <c r="W2688" t="s">
        <v>30</v>
      </c>
    </row>
    <row r="2689" spans="1:23" x14ac:dyDescent="0.25">
      <c r="A2689">
        <v>2688</v>
      </c>
      <c r="B2689">
        <v>61</v>
      </c>
      <c r="C2689" t="str" cm="1">
        <f t="array" ref="C2689">_xlfn.IFS(
  AND(B2689&gt;=18, B2689&lt;=24), "18-24",
  AND(B2689&gt;=25, B2689&lt;=34), "25-34",
  AND(B2689&gt;=35, B2689&lt;=44), "35-44",
  AND(B2689&gt;=45, B2689&lt;=54), "45-54",
  B2689&gt;=55, "55+"
)</f>
        <v>55+</v>
      </c>
      <c r="D2689" t="s">
        <v>153</v>
      </c>
      <c r="E2689" t="s">
        <v>82</v>
      </c>
      <c r="F2689" t="s">
        <v>21</v>
      </c>
      <c r="G2689">
        <v>75</v>
      </c>
      <c r="H2689" t="s">
        <v>80</v>
      </c>
      <c r="I2689" t="s">
        <v>45</v>
      </c>
      <c r="J2689" t="s">
        <v>53</v>
      </c>
      <c r="K2689" t="s">
        <v>58</v>
      </c>
      <c r="L2689">
        <v>3.6</v>
      </c>
      <c r="M2689" t="s">
        <v>152</v>
      </c>
      <c r="N2689" t="s">
        <v>35</v>
      </c>
      <c r="O2689" t="s">
        <v>72</v>
      </c>
      <c r="P2689" t="s">
        <v>152</v>
      </c>
      <c r="Q2689" t="s">
        <v>152</v>
      </c>
      <c r="R2689">
        <v>12</v>
      </c>
      <c r="S2689" t="s">
        <v>59</v>
      </c>
      <c r="T2689" t="str">
        <f t="shared" si="82"/>
        <v>2-week</v>
      </c>
      <c r="U2689">
        <f>VLOOKUP(T2689,[1]tablescore!$B$3:$C$8, 2,FALSE)</f>
        <v>26</v>
      </c>
      <c r="V2689" t="str">
        <f t="shared" si="83"/>
        <v>Loyal</v>
      </c>
      <c r="W2689" t="s">
        <v>77</v>
      </c>
    </row>
    <row r="2690" spans="1:23" x14ac:dyDescent="0.25">
      <c r="A2690">
        <v>2689</v>
      </c>
      <c r="B2690">
        <v>53</v>
      </c>
      <c r="C2690" t="str" cm="1">
        <f t="array" ref="C2690">_xlfn.IFS(
  AND(B2690&gt;=18, B2690&lt;=24), "18-24",
  AND(B2690&gt;=25, B2690&lt;=34), "25-34",
  AND(B2690&gt;=35, B2690&lt;=44), "35-44",
  AND(B2690&gt;=45, B2690&lt;=54), "45-54",
  B2690&gt;=55, "55+"
)</f>
        <v>45-54</v>
      </c>
      <c r="D2690" t="s">
        <v>153</v>
      </c>
      <c r="E2690" t="s">
        <v>68</v>
      </c>
      <c r="F2690" t="s">
        <v>69</v>
      </c>
      <c r="G2690">
        <v>63</v>
      </c>
      <c r="H2690" t="s">
        <v>66</v>
      </c>
      <c r="I2690" t="s">
        <v>92</v>
      </c>
      <c r="J2690" t="s">
        <v>49</v>
      </c>
      <c r="K2690" t="s">
        <v>39</v>
      </c>
      <c r="L2690">
        <v>2.9</v>
      </c>
      <c r="M2690" t="s">
        <v>152</v>
      </c>
      <c r="N2690" t="s">
        <v>35</v>
      </c>
      <c r="O2690" t="s">
        <v>72</v>
      </c>
      <c r="P2690" t="s">
        <v>152</v>
      </c>
      <c r="Q2690" t="s">
        <v>152</v>
      </c>
      <c r="R2690">
        <v>18</v>
      </c>
      <c r="S2690" t="s">
        <v>27</v>
      </c>
      <c r="T2690" t="str">
        <f t="shared" si="82"/>
        <v>Quarterly</v>
      </c>
      <c r="U2690">
        <f>VLOOKUP(T2690,[1]tablescore!$B$3:$C$8, 2,FALSE)</f>
        <v>4</v>
      </c>
      <c r="V2690" t="str">
        <f t="shared" si="83"/>
        <v>Low Loyalty</v>
      </c>
      <c r="W2690" t="s">
        <v>97</v>
      </c>
    </row>
    <row r="2691" spans="1:23" x14ac:dyDescent="0.25">
      <c r="A2691">
        <v>2690</v>
      </c>
      <c r="B2691">
        <v>29</v>
      </c>
      <c r="C2691" t="str" cm="1">
        <f t="array" ref="C2691">_xlfn.IFS(
  AND(B2691&gt;=18, B2691&lt;=24), "18-24",
  AND(B2691&gt;=25, B2691&lt;=34), "25-34",
  AND(B2691&gt;=35, B2691&lt;=44), "35-44",
  AND(B2691&gt;=45, B2691&lt;=54), "45-54",
  B2691&gt;=55, "55+"
)</f>
        <v>25-34</v>
      </c>
      <c r="D2691" t="s">
        <v>153</v>
      </c>
      <c r="E2691" t="s">
        <v>20</v>
      </c>
      <c r="F2691" t="s">
        <v>21</v>
      </c>
      <c r="G2691">
        <v>35</v>
      </c>
      <c r="H2691" t="s">
        <v>52</v>
      </c>
      <c r="I2691" t="s">
        <v>45</v>
      </c>
      <c r="J2691" t="s">
        <v>121</v>
      </c>
      <c r="K2691" t="s">
        <v>58</v>
      </c>
      <c r="L2691">
        <v>3.9</v>
      </c>
      <c r="M2691" t="s">
        <v>152</v>
      </c>
      <c r="N2691" t="s">
        <v>27</v>
      </c>
      <c r="O2691" t="s">
        <v>55</v>
      </c>
      <c r="P2691" t="s">
        <v>152</v>
      </c>
      <c r="Q2691" t="s">
        <v>152</v>
      </c>
      <c r="R2691">
        <v>47</v>
      </c>
      <c r="S2691" t="s">
        <v>46</v>
      </c>
      <c r="T2691" t="str">
        <f t="shared" ref="T2691:T2754" si="84">IF(TRIM(W2691)="Every 3 months","Quarterly",IF(TRIM(W2691)="Fortnightly","2-week",IF(TRIM(W2691)="Bi-Weekly","2-week",IF(TRIM(W2691)="Weekly","Daily",IF(TRIM(W2691)="Monthly","Month",TRIM(W2691))))))</f>
        <v>Quarterly</v>
      </c>
      <c r="U2691">
        <f>VLOOKUP(T2691,[1]tablescore!$B$3:$C$8, 2,FALSE)</f>
        <v>4</v>
      </c>
      <c r="V2691" t="str">
        <f t="shared" ref="V2691:V2754" si="85">_xlfn.IFS(U2691&gt;=30, "Highly Loyal", U2691&gt;=26, "Loyal", U2691&gt;=12, "Moderate", U2691&lt;5, "Low Loyalty")</f>
        <v>Low Loyalty</v>
      </c>
      <c r="W2691" t="s">
        <v>60</v>
      </c>
    </row>
    <row r="2692" spans="1:23" x14ac:dyDescent="0.25">
      <c r="A2692">
        <v>2691</v>
      </c>
      <c r="B2692">
        <v>44</v>
      </c>
      <c r="C2692" t="str" cm="1">
        <f t="array" ref="C2692">_xlfn.IFS(
  AND(B2692&gt;=18, B2692&lt;=24), "18-24",
  AND(B2692&gt;=25, B2692&lt;=34), "25-34",
  AND(B2692&gt;=35, B2692&lt;=44), "35-44",
  AND(B2692&gt;=45, B2692&lt;=54), "45-54",
  B2692&gt;=55, "55+"
)</f>
        <v>35-44</v>
      </c>
      <c r="D2692" t="s">
        <v>153</v>
      </c>
      <c r="E2692" t="s">
        <v>136</v>
      </c>
      <c r="F2692" t="s">
        <v>69</v>
      </c>
      <c r="G2692">
        <v>32</v>
      </c>
      <c r="H2692" t="s">
        <v>123</v>
      </c>
      <c r="I2692" t="s">
        <v>23</v>
      </c>
      <c r="J2692" t="s">
        <v>139</v>
      </c>
      <c r="K2692" t="s">
        <v>54</v>
      </c>
      <c r="L2692">
        <v>4.7</v>
      </c>
      <c r="M2692" t="s">
        <v>152</v>
      </c>
      <c r="N2692" t="s">
        <v>29</v>
      </c>
      <c r="O2692" t="s">
        <v>40</v>
      </c>
      <c r="P2692" t="s">
        <v>152</v>
      </c>
      <c r="Q2692" t="s">
        <v>152</v>
      </c>
      <c r="R2692">
        <v>18</v>
      </c>
      <c r="S2692" t="s">
        <v>34</v>
      </c>
      <c r="T2692" t="str">
        <f t="shared" si="84"/>
        <v>Daily</v>
      </c>
      <c r="U2692">
        <f>VLOOKUP(T2692,[1]tablescore!$B$3:$C$8, 2,FALSE)</f>
        <v>30</v>
      </c>
      <c r="V2692" t="str">
        <f t="shared" si="85"/>
        <v>Highly Loyal</v>
      </c>
      <c r="W2692" t="s">
        <v>41</v>
      </c>
    </row>
    <row r="2693" spans="1:23" x14ac:dyDescent="0.25">
      <c r="A2693">
        <v>2692</v>
      </c>
      <c r="B2693">
        <v>43</v>
      </c>
      <c r="C2693" t="str" cm="1">
        <f t="array" ref="C2693">_xlfn.IFS(
  AND(B2693&gt;=18, B2693&lt;=24), "18-24",
  AND(B2693&gt;=25, B2693&lt;=34), "25-34",
  AND(B2693&gt;=35, B2693&lt;=44), "35-44",
  AND(B2693&gt;=45, B2693&lt;=54), "45-54",
  B2693&gt;=55, "55+"
)</f>
        <v>35-44</v>
      </c>
      <c r="D2693" t="s">
        <v>153</v>
      </c>
      <c r="E2693" t="s">
        <v>95</v>
      </c>
      <c r="F2693" t="s">
        <v>21</v>
      </c>
      <c r="G2693">
        <v>25</v>
      </c>
      <c r="H2693" t="s">
        <v>143</v>
      </c>
      <c r="I2693" t="s">
        <v>23</v>
      </c>
      <c r="J2693" t="s">
        <v>138</v>
      </c>
      <c r="K2693" t="s">
        <v>25</v>
      </c>
      <c r="L2693">
        <v>3.3</v>
      </c>
      <c r="M2693" t="s">
        <v>152</v>
      </c>
      <c r="N2693" t="s">
        <v>34</v>
      </c>
      <c r="O2693" t="s">
        <v>72</v>
      </c>
      <c r="P2693" t="s">
        <v>152</v>
      </c>
      <c r="Q2693" t="s">
        <v>152</v>
      </c>
      <c r="R2693">
        <v>48</v>
      </c>
      <c r="S2693" t="s">
        <v>35</v>
      </c>
      <c r="T2693" t="str">
        <f t="shared" si="84"/>
        <v>Month</v>
      </c>
      <c r="U2693">
        <f>VLOOKUP(T2693,[1]tablescore!$B$3:$C$8, 2,FALSE)</f>
        <v>12</v>
      </c>
      <c r="V2693" t="str">
        <f t="shared" si="85"/>
        <v>Moderate</v>
      </c>
      <c r="W2693" t="s">
        <v>88</v>
      </c>
    </row>
    <row r="2694" spans="1:23" x14ac:dyDescent="0.25">
      <c r="A2694">
        <v>2693</v>
      </c>
      <c r="B2694">
        <v>40</v>
      </c>
      <c r="C2694" t="str" cm="1">
        <f t="array" ref="C2694">_xlfn.IFS(
  AND(B2694&gt;=18, B2694&lt;=24), "18-24",
  AND(B2694&gt;=25, B2694&lt;=34), "25-34",
  AND(B2694&gt;=35, B2694&lt;=44), "35-44",
  AND(B2694&gt;=45, B2694&lt;=54), "45-54",
  B2694&gt;=55, "55+"
)</f>
        <v>35-44</v>
      </c>
      <c r="D2694" t="s">
        <v>153</v>
      </c>
      <c r="E2694" t="s">
        <v>51</v>
      </c>
      <c r="F2694" t="s">
        <v>43</v>
      </c>
      <c r="G2694">
        <v>90</v>
      </c>
      <c r="H2694" t="s">
        <v>140</v>
      </c>
      <c r="I2694" t="s">
        <v>92</v>
      </c>
      <c r="J2694" t="s">
        <v>84</v>
      </c>
      <c r="K2694" t="s">
        <v>39</v>
      </c>
      <c r="L2694">
        <v>4.2</v>
      </c>
      <c r="M2694" t="s">
        <v>152</v>
      </c>
      <c r="N2694" t="s">
        <v>29</v>
      </c>
      <c r="O2694" t="s">
        <v>40</v>
      </c>
      <c r="P2694" t="s">
        <v>152</v>
      </c>
      <c r="Q2694" t="s">
        <v>152</v>
      </c>
      <c r="R2694">
        <v>18</v>
      </c>
      <c r="S2694" t="s">
        <v>59</v>
      </c>
      <c r="T2694" t="str">
        <f t="shared" si="84"/>
        <v>Quarterly</v>
      </c>
      <c r="U2694">
        <f>VLOOKUP(T2694,[1]tablescore!$B$3:$C$8, 2,FALSE)</f>
        <v>4</v>
      </c>
      <c r="V2694" t="str">
        <f t="shared" si="85"/>
        <v>Low Loyalty</v>
      </c>
      <c r="W2694" t="s">
        <v>97</v>
      </c>
    </row>
    <row r="2695" spans="1:23" x14ac:dyDescent="0.25">
      <c r="A2695">
        <v>2694</v>
      </c>
      <c r="B2695">
        <v>55</v>
      </c>
      <c r="C2695" t="str" cm="1">
        <f t="array" ref="C2695">_xlfn.IFS(
  AND(B2695&gt;=18, B2695&lt;=24), "18-24",
  AND(B2695&gt;=25, B2695&lt;=34), "25-34",
  AND(B2695&gt;=35, B2695&lt;=44), "35-44",
  AND(B2695&gt;=45, B2695&lt;=54), "45-54",
  B2695&gt;=55, "55+"
)</f>
        <v>55+</v>
      </c>
      <c r="D2695" t="s">
        <v>153</v>
      </c>
      <c r="E2695" t="s">
        <v>132</v>
      </c>
      <c r="F2695" t="s">
        <v>43</v>
      </c>
      <c r="G2695">
        <v>70</v>
      </c>
      <c r="H2695" t="s">
        <v>78</v>
      </c>
      <c r="I2695" t="s">
        <v>23</v>
      </c>
      <c r="J2695" t="s">
        <v>93</v>
      </c>
      <c r="K2695" t="s">
        <v>54</v>
      </c>
      <c r="L2695">
        <v>2.6</v>
      </c>
      <c r="M2695" t="s">
        <v>152</v>
      </c>
      <c r="N2695" t="s">
        <v>59</v>
      </c>
      <c r="O2695" t="s">
        <v>55</v>
      </c>
      <c r="P2695" t="s">
        <v>152</v>
      </c>
      <c r="Q2695" t="s">
        <v>152</v>
      </c>
      <c r="R2695">
        <v>46</v>
      </c>
      <c r="S2695" t="s">
        <v>35</v>
      </c>
      <c r="T2695" t="str">
        <f t="shared" si="84"/>
        <v>Quarterly</v>
      </c>
      <c r="U2695">
        <f>VLOOKUP(T2695,[1]tablescore!$B$3:$C$8, 2,FALSE)</f>
        <v>4</v>
      </c>
      <c r="V2695" t="str">
        <f t="shared" si="85"/>
        <v>Low Loyalty</v>
      </c>
      <c r="W2695" t="s">
        <v>60</v>
      </c>
    </row>
    <row r="2696" spans="1:23" x14ac:dyDescent="0.25">
      <c r="A2696">
        <v>2695</v>
      </c>
      <c r="B2696">
        <v>66</v>
      </c>
      <c r="C2696" t="str" cm="1">
        <f t="array" ref="C2696">_xlfn.IFS(
  AND(B2696&gt;=18, B2696&lt;=24), "18-24",
  AND(B2696&gt;=25, B2696&lt;=34), "25-34",
  AND(B2696&gt;=35, B2696&lt;=44), "35-44",
  AND(B2696&gt;=45, B2696&lt;=54), "45-54",
  B2696&gt;=55, "55+"
)</f>
        <v>55+</v>
      </c>
      <c r="D2696" t="s">
        <v>153</v>
      </c>
      <c r="E2696" t="s">
        <v>89</v>
      </c>
      <c r="F2696" t="s">
        <v>69</v>
      </c>
      <c r="G2696">
        <v>27</v>
      </c>
      <c r="H2696" t="s">
        <v>62</v>
      </c>
      <c r="I2696" t="s">
        <v>45</v>
      </c>
      <c r="J2696" t="s">
        <v>79</v>
      </c>
      <c r="K2696" t="s">
        <v>39</v>
      </c>
      <c r="L2696">
        <v>4.9000000000000004</v>
      </c>
      <c r="M2696" t="s">
        <v>152</v>
      </c>
      <c r="N2696" t="s">
        <v>29</v>
      </c>
      <c r="O2696" t="s">
        <v>28</v>
      </c>
      <c r="P2696" t="s">
        <v>152</v>
      </c>
      <c r="Q2696" t="s">
        <v>152</v>
      </c>
      <c r="R2696">
        <v>34</v>
      </c>
      <c r="S2696" t="s">
        <v>27</v>
      </c>
      <c r="T2696" t="str">
        <f t="shared" si="84"/>
        <v>Quarterly</v>
      </c>
      <c r="U2696">
        <f>VLOOKUP(T2696,[1]tablescore!$B$3:$C$8, 2,FALSE)</f>
        <v>4</v>
      </c>
      <c r="V2696" t="str">
        <f t="shared" si="85"/>
        <v>Low Loyalty</v>
      </c>
      <c r="W2696" t="s">
        <v>97</v>
      </c>
    </row>
    <row r="2697" spans="1:23" x14ac:dyDescent="0.25">
      <c r="A2697">
        <v>2696</v>
      </c>
      <c r="B2697">
        <v>50</v>
      </c>
      <c r="C2697" t="str" cm="1">
        <f t="array" ref="C2697">_xlfn.IFS(
  AND(B2697&gt;=18, B2697&lt;=24), "18-24",
  AND(B2697&gt;=25, B2697&lt;=34), "25-34",
  AND(B2697&gt;=35, B2697&lt;=44), "35-44",
  AND(B2697&gt;=45, B2697&lt;=54), "45-54",
  B2697&gt;=55, "55+"
)</f>
        <v>45-54</v>
      </c>
      <c r="D2697" t="s">
        <v>153</v>
      </c>
      <c r="E2697" t="s">
        <v>125</v>
      </c>
      <c r="F2697" t="s">
        <v>69</v>
      </c>
      <c r="G2697">
        <v>92</v>
      </c>
      <c r="H2697" t="s">
        <v>122</v>
      </c>
      <c r="I2697" t="s">
        <v>45</v>
      </c>
      <c r="J2697" t="s">
        <v>121</v>
      </c>
      <c r="K2697" t="s">
        <v>58</v>
      </c>
      <c r="L2697">
        <v>3.6</v>
      </c>
      <c r="M2697" t="s">
        <v>152</v>
      </c>
      <c r="N2697" t="s">
        <v>59</v>
      </c>
      <c r="O2697" t="s">
        <v>55</v>
      </c>
      <c r="P2697" t="s">
        <v>152</v>
      </c>
      <c r="Q2697" t="s">
        <v>152</v>
      </c>
      <c r="R2697">
        <v>10</v>
      </c>
      <c r="S2697" t="s">
        <v>46</v>
      </c>
      <c r="T2697" t="str">
        <f t="shared" si="84"/>
        <v>2-week</v>
      </c>
      <c r="U2697">
        <f>VLOOKUP(T2697,[1]tablescore!$B$3:$C$8, 2,FALSE)</f>
        <v>26</v>
      </c>
      <c r="V2697" t="str">
        <f t="shared" si="85"/>
        <v>Loyal</v>
      </c>
      <c r="W2697" t="s">
        <v>77</v>
      </c>
    </row>
    <row r="2698" spans="1:23" x14ac:dyDescent="0.25">
      <c r="A2698">
        <v>2697</v>
      </c>
      <c r="B2698">
        <v>57</v>
      </c>
      <c r="C2698" t="str" cm="1">
        <f t="array" ref="C2698">_xlfn.IFS(
  AND(B2698&gt;=18, B2698&lt;=24), "18-24",
  AND(B2698&gt;=25, B2698&lt;=34), "25-34",
  AND(B2698&gt;=35, B2698&lt;=44), "35-44",
  AND(B2698&gt;=45, B2698&lt;=54), "45-54",
  B2698&gt;=55, "55+"
)</f>
        <v>55+</v>
      </c>
      <c r="D2698" t="s">
        <v>153</v>
      </c>
      <c r="E2698" t="s">
        <v>64</v>
      </c>
      <c r="F2698" t="s">
        <v>65</v>
      </c>
      <c r="G2698">
        <v>20</v>
      </c>
      <c r="H2698" t="s">
        <v>130</v>
      </c>
      <c r="I2698" t="s">
        <v>45</v>
      </c>
      <c r="J2698" t="s">
        <v>53</v>
      </c>
      <c r="K2698" t="s">
        <v>39</v>
      </c>
      <c r="L2698">
        <v>4.7</v>
      </c>
      <c r="M2698" t="s">
        <v>152</v>
      </c>
      <c r="N2698" t="s">
        <v>27</v>
      </c>
      <c r="O2698" t="s">
        <v>40</v>
      </c>
      <c r="P2698" t="s">
        <v>152</v>
      </c>
      <c r="Q2698" t="s">
        <v>152</v>
      </c>
      <c r="R2698">
        <v>12</v>
      </c>
      <c r="S2698" t="s">
        <v>59</v>
      </c>
      <c r="T2698" t="str">
        <f t="shared" si="84"/>
        <v>Month</v>
      </c>
      <c r="U2698">
        <f>VLOOKUP(T2698,[1]tablescore!$B$3:$C$8, 2,FALSE)</f>
        <v>12</v>
      </c>
      <c r="V2698" t="str">
        <f t="shared" si="85"/>
        <v>Moderate</v>
      </c>
      <c r="W2698" t="s">
        <v>88</v>
      </c>
    </row>
    <row r="2699" spans="1:23" x14ac:dyDescent="0.25">
      <c r="A2699">
        <v>2698</v>
      </c>
      <c r="B2699">
        <v>42</v>
      </c>
      <c r="C2699" t="str" cm="1">
        <f t="array" ref="C2699">_xlfn.IFS(
  AND(B2699&gt;=18, B2699&lt;=24), "18-24",
  AND(B2699&gt;=25, B2699&lt;=34), "25-34",
  AND(B2699&gt;=35, B2699&lt;=44), "35-44",
  AND(B2699&gt;=45, B2699&lt;=54), "45-54",
  B2699&gt;=55, "55+"
)</f>
        <v>35-44</v>
      </c>
      <c r="D2699" t="s">
        <v>153</v>
      </c>
      <c r="E2699" t="s">
        <v>102</v>
      </c>
      <c r="F2699" t="s">
        <v>65</v>
      </c>
      <c r="G2699">
        <v>52</v>
      </c>
      <c r="H2699" t="s">
        <v>80</v>
      </c>
      <c r="I2699" t="s">
        <v>23</v>
      </c>
      <c r="J2699" t="s">
        <v>108</v>
      </c>
      <c r="K2699" t="s">
        <v>25</v>
      </c>
      <c r="L2699">
        <v>3.2</v>
      </c>
      <c r="M2699" t="s">
        <v>152</v>
      </c>
      <c r="N2699" t="s">
        <v>27</v>
      </c>
      <c r="O2699" t="s">
        <v>55</v>
      </c>
      <c r="P2699" t="s">
        <v>152</v>
      </c>
      <c r="Q2699" t="s">
        <v>152</v>
      </c>
      <c r="R2699">
        <v>36</v>
      </c>
      <c r="S2699" t="s">
        <v>34</v>
      </c>
      <c r="T2699" t="str">
        <f t="shared" si="84"/>
        <v>Quarterly</v>
      </c>
      <c r="U2699">
        <f>VLOOKUP(T2699,[1]tablescore!$B$3:$C$8, 2,FALSE)</f>
        <v>4</v>
      </c>
      <c r="V2699" t="str">
        <f t="shared" si="85"/>
        <v>Low Loyalty</v>
      </c>
      <c r="W2699" t="s">
        <v>60</v>
      </c>
    </row>
    <row r="2700" spans="1:23" x14ac:dyDescent="0.25">
      <c r="A2700">
        <v>2699</v>
      </c>
      <c r="B2700">
        <v>55</v>
      </c>
      <c r="C2700" t="str" cm="1">
        <f t="array" ref="C2700">_xlfn.IFS(
  AND(B2700&gt;=18, B2700&lt;=24), "18-24",
  AND(B2700&gt;=25, B2700&lt;=34), "25-34",
  AND(B2700&gt;=35, B2700&lt;=44), "35-44",
  AND(B2700&gt;=45, B2700&lt;=54), "45-54",
  B2700&gt;=55, "55+"
)</f>
        <v>55+</v>
      </c>
      <c r="D2700" t="s">
        <v>153</v>
      </c>
      <c r="E2700" t="s">
        <v>104</v>
      </c>
      <c r="F2700" t="s">
        <v>21</v>
      </c>
      <c r="G2700">
        <v>57</v>
      </c>
      <c r="H2700" t="s">
        <v>128</v>
      </c>
      <c r="I2700" t="s">
        <v>45</v>
      </c>
      <c r="J2700" t="s">
        <v>147</v>
      </c>
      <c r="K2700" t="s">
        <v>54</v>
      </c>
      <c r="L2700">
        <v>3.6</v>
      </c>
      <c r="M2700" t="s">
        <v>152</v>
      </c>
      <c r="N2700" t="s">
        <v>29</v>
      </c>
      <c r="O2700" t="s">
        <v>76</v>
      </c>
      <c r="P2700" t="s">
        <v>152</v>
      </c>
      <c r="Q2700" t="s">
        <v>152</v>
      </c>
      <c r="R2700">
        <v>34</v>
      </c>
      <c r="S2700" t="s">
        <v>29</v>
      </c>
      <c r="T2700" t="str">
        <f t="shared" si="84"/>
        <v>Quarterly</v>
      </c>
      <c r="U2700">
        <f>VLOOKUP(T2700,[1]tablescore!$B$3:$C$8, 2,FALSE)</f>
        <v>4</v>
      </c>
      <c r="V2700" t="str">
        <f t="shared" si="85"/>
        <v>Low Loyalty</v>
      </c>
      <c r="W2700" t="s">
        <v>60</v>
      </c>
    </row>
    <row r="2701" spans="1:23" x14ac:dyDescent="0.25">
      <c r="A2701">
        <v>2700</v>
      </c>
      <c r="B2701">
        <v>25</v>
      </c>
      <c r="C2701" t="str" cm="1">
        <f t="array" ref="C2701">_xlfn.IFS(
  AND(B2701&gt;=18, B2701&lt;=24), "18-24",
  AND(B2701&gt;=25, B2701&lt;=34), "25-34",
  AND(B2701&gt;=35, B2701&lt;=44), "35-44",
  AND(B2701&gt;=45, B2701&lt;=54), "45-54",
  B2701&gt;=55, "55+"
)</f>
        <v>25-34</v>
      </c>
      <c r="D2701" t="s">
        <v>153</v>
      </c>
      <c r="E2701" t="s">
        <v>132</v>
      </c>
      <c r="F2701" t="s">
        <v>43</v>
      </c>
      <c r="G2701">
        <v>96</v>
      </c>
      <c r="H2701" t="s">
        <v>149</v>
      </c>
      <c r="I2701" t="s">
        <v>45</v>
      </c>
      <c r="J2701" t="s">
        <v>84</v>
      </c>
      <c r="K2701" t="s">
        <v>58</v>
      </c>
      <c r="L2701">
        <v>3.6</v>
      </c>
      <c r="M2701" t="s">
        <v>152</v>
      </c>
      <c r="N2701" t="s">
        <v>29</v>
      </c>
      <c r="O2701" t="s">
        <v>72</v>
      </c>
      <c r="P2701" t="s">
        <v>152</v>
      </c>
      <c r="Q2701" t="s">
        <v>152</v>
      </c>
      <c r="R2701">
        <v>49</v>
      </c>
      <c r="S2701" t="s">
        <v>59</v>
      </c>
      <c r="T2701" t="str">
        <f t="shared" si="84"/>
        <v>Annually</v>
      </c>
      <c r="U2701">
        <f>VLOOKUP(T2701,[1]tablescore!$B$3:$C$8, 2,FALSE)</f>
        <v>1</v>
      </c>
      <c r="V2701" t="str">
        <f t="shared" si="85"/>
        <v>Low Loyalty</v>
      </c>
      <c r="W2701" t="s">
        <v>50</v>
      </c>
    </row>
    <row r="2702" spans="1:23" x14ac:dyDescent="0.25">
      <c r="A2702">
        <v>2701</v>
      </c>
      <c r="B2702">
        <v>22</v>
      </c>
      <c r="C2702" t="str" cm="1">
        <f t="array" ref="C2702">_xlfn.IFS(
  AND(B2702&gt;=18, B2702&lt;=24), "18-24",
  AND(B2702&gt;=25, B2702&lt;=34), "25-34",
  AND(B2702&gt;=35, B2702&lt;=44), "35-44",
  AND(B2702&gt;=45, B2702&lt;=54), "45-54",
  B2702&gt;=55, "55+"
)</f>
        <v>18-24</v>
      </c>
      <c r="D2702" t="s">
        <v>153</v>
      </c>
      <c r="E2702" t="s">
        <v>113</v>
      </c>
      <c r="F2702" t="s">
        <v>21</v>
      </c>
      <c r="G2702">
        <v>68</v>
      </c>
      <c r="H2702" t="s">
        <v>99</v>
      </c>
      <c r="I2702" t="s">
        <v>92</v>
      </c>
      <c r="J2702" t="s">
        <v>79</v>
      </c>
      <c r="K2702" t="s">
        <v>25</v>
      </c>
      <c r="L2702">
        <v>3.2</v>
      </c>
      <c r="M2702" t="s">
        <v>152</v>
      </c>
      <c r="N2702" t="s">
        <v>34</v>
      </c>
      <c r="O2702" t="s">
        <v>55</v>
      </c>
      <c r="P2702" t="s">
        <v>152</v>
      </c>
      <c r="Q2702" t="s">
        <v>152</v>
      </c>
      <c r="R2702">
        <v>36</v>
      </c>
      <c r="S2702" t="s">
        <v>35</v>
      </c>
      <c r="T2702" t="str">
        <f t="shared" si="84"/>
        <v>Daily</v>
      </c>
      <c r="U2702">
        <f>VLOOKUP(T2702,[1]tablescore!$B$3:$C$8, 2,FALSE)</f>
        <v>30</v>
      </c>
      <c r="V2702" t="str">
        <f t="shared" si="85"/>
        <v>Highly Loyal</v>
      </c>
      <c r="W2702" t="s">
        <v>41</v>
      </c>
    </row>
    <row r="2703" spans="1:23" x14ac:dyDescent="0.25">
      <c r="A2703">
        <v>2702</v>
      </c>
      <c r="B2703">
        <v>49</v>
      </c>
      <c r="C2703" t="str" cm="1">
        <f t="array" ref="C2703">_xlfn.IFS(
  AND(B2703&gt;=18, B2703&lt;=24), "18-24",
  AND(B2703&gt;=25, B2703&lt;=34), "25-34",
  AND(B2703&gt;=35, B2703&lt;=44), "35-44",
  AND(B2703&gt;=45, B2703&lt;=54), "45-54",
  B2703&gt;=55, "55+"
)</f>
        <v>45-54</v>
      </c>
      <c r="D2703" t="s">
        <v>153</v>
      </c>
      <c r="E2703" t="s">
        <v>31</v>
      </c>
      <c r="F2703" t="s">
        <v>21</v>
      </c>
      <c r="G2703">
        <v>30</v>
      </c>
      <c r="H2703" t="s">
        <v>144</v>
      </c>
      <c r="I2703" t="s">
        <v>23</v>
      </c>
      <c r="J2703" t="s">
        <v>67</v>
      </c>
      <c r="K2703" t="s">
        <v>54</v>
      </c>
      <c r="L2703">
        <v>2.8</v>
      </c>
      <c r="M2703" t="s">
        <v>152</v>
      </c>
      <c r="N2703" t="s">
        <v>34</v>
      </c>
      <c r="O2703" t="s">
        <v>76</v>
      </c>
      <c r="P2703" t="s">
        <v>152</v>
      </c>
      <c r="Q2703" t="s">
        <v>152</v>
      </c>
      <c r="R2703">
        <v>18</v>
      </c>
      <c r="S2703" t="s">
        <v>34</v>
      </c>
      <c r="T2703" t="str">
        <f t="shared" si="84"/>
        <v>2-week</v>
      </c>
      <c r="U2703">
        <f>VLOOKUP(T2703,[1]tablescore!$B$3:$C$8, 2,FALSE)</f>
        <v>26</v>
      </c>
      <c r="V2703" t="str">
        <f t="shared" si="85"/>
        <v>Loyal</v>
      </c>
      <c r="W2703" t="s">
        <v>30</v>
      </c>
    </row>
    <row r="2704" spans="1:23" x14ac:dyDescent="0.25">
      <c r="A2704">
        <v>2703</v>
      </c>
      <c r="B2704">
        <v>70</v>
      </c>
      <c r="C2704" t="str" cm="1">
        <f t="array" ref="C2704">_xlfn.IFS(
  AND(B2704&gt;=18, B2704&lt;=24), "18-24",
  AND(B2704&gt;=25, B2704&lt;=34), "25-34",
  AND(B2704&gt;=35, B2704&lt;=44), "35-44",
  AND(B2704&gt;=45, B2704&lt;=54), "45-54",
  B2704&gt;=55, "55+"
)</f>
        <v>55+</v>
      </c>
      <c r="D2704" t="s">
        <v>153</v>
      </c>
      <c r="E2704" t="s">
        <v>73</v>
      </c>
      <c r="F2704" t="s">
        <v>43</v>
      </c>
      <c r="G2704">
        <v>37</v>
      </c>
      <c r="H2704" t="s">
        <v>105</v>
      </c>
      <c r="I2704" t="s">
        <v>23</v>
      </c>
      <c r="J2704" t="s">
        <v>24</v>
      </c>
      <c r="K2704" t="s">
        <v>58</v>
      </c>
      <c r="L2704">
        <v>4</v>
      </c>
      <c r="M2704" t="s">
        <v>152</v>
      </c>
      <c r="N2704" t="s">
        <v>46</v>
      </c>
      <c r="O2704" t="s">
        <v>47</v>
      </c>
      <c r="P2704" t="s">
        <v>152</v>
      </c>
      <c r="Q2704" t="s">
        <v>152</v>
      </c>
      <c r="R2704">
        <v>39</v>
      </c>
      <c r="S2704" t="s">
        <v>59</v>
      </c>
      <c r="T2704" t="str">
        <f t="shared" si="84"/>
        <v>2-week</v>
      </c>
      <c r="U2704">
        <f>VLOOKUP(T2704,[1]tablescore!$B$3:$C$8, 2,FALSE)</f>
        <v>26</v>
      </c>
      <c r="V2704" t="str">
        <f t="shared" si="85"/>
        <v>Loyal</v>
      </c>
      <c r="W2704" t="s">
        <v>30</v>
      </c>
    </row>
    <row r="2705" spans="1:23" x14ac:dyDescent="0.25">
      <c r="A2705">
        <v>2704</v>
      </c>
      <c r="B2705">
        <v>56</v>
      </c>
      <c r="C2705" t="str" cm="1">
        <f t="array" ref="C2705">_xlfn.IFS(
  AND(B2705&gt;=18, B2705&lt;=24), "18-24",
  AND(B2705&gt;=25, B2705&lt;=34), "25-34",
  AND(B2705&gt;=35, B2705&lt;=44), "35-44",
  AND(B2705&gt;=45, B2705&lt;=54), "45-54",
  B2705&gt;=55, "55+"
)</f>
        <v>55+</v>
      </c>
      <c r="D2705" t="s">
        <v>153</v>
      </c>
      <c r="E2705" t="s">
        <v>119</v>
      </c>
      <c r="F2705" t="s">
        <v>69</v>
      </c>
      <c r="G2705">
        <v>42</v>
      </c>
      <c r="H2705" t="s">
        <v>122</v>
      </c>
      <c r="I2705" t="s">
        <v>92</v>
      </c>
      <c r="J2705" t="s">
        <v>79</v>
      </c>
      <c r="K2705" t="s">
        <v>25</v>
      </c>
      <c r="L2705">
        <v>4.4000000000000004</v>
      </c>
      <c r="M2705" t="s">
        <v>152</v>
      </c>
      <c r="N2705" t="s">
        <v>34</v>
      </c>
      <c r="O2705" t="s">
        <v>40</v>
      </c>
      <c r="P2705" t="s">
        <v>152</v>
      </c>
      <c r="Q2705" t="s">
        <v>152</v>
      </c>
      <c r="R2705">
        <v>34</v>
      </c>
      <c r="S2705" t="s">
        <v>46</v>
      </c>
      <c r="T2705" t="str">
        <f t="shared" si="84"/>
        <v>Daily</v>
      </c>
      <c r="U2705">
        <f>VLOOKUP(T2705,[1]tablescore!$B$3:$C$8, 2,FALSE)</f>
        <v>30</v>
      </c>
      <c r="V2705" t="str">
        <f t="shared" si="85"/>
        <v>Highly Loyal</v>
      </c>
      <c r="W2705" t="s">
        <v>41</v>
      </c>
    </row>
    <row r="2706" spans="1:23" x14ac:dyDescent="0.25">
      <c r="A2706">
        <v>2705</v>
      </c>
      <c r="B2706">
        <v>52</v>
      </c>
      <c r="C2706" t="str" cm="1">
        <f t="array" ref="C2706">_xlfn.IFS(
  AND(B2706&gt;=18, B2706&lt;=24), "18-24",
  AND(B2706&gt;=25, B2706&lt;=34), "25-34",
  AND(B2706&gt;=35, B2706&lt;=44), "35-44",
  AND(B2706&gt;=45, B2706&lt;=54), "45-54",
  B2706&gt;=55, "55+"
)</f>
        <v>45-54</v>
      </c>
      <c r="D2706" t="s">
        <v>153</v>
      </c>
      <c r="E2706" t="s">
        <v>82</v>
      </c>
      <c r="F2706" t="s">
        <v>21</v>
      </c>
      <c r="G2706">
        <v>54</v>
      </c>
      <c r="H2706" t="s">
        <v>122</v>
      </c>
      <c r="I2706" t="s">
        <v>23</v>
      </c>
      <c r="J2706" t="s">
        <v>118</v>
      </c>
      <c r="K2706" t="s">
        <v>39</v>
      </c>
      <c r="L2706">
        <v>3.4</v>
      </c>
      <c r="M2706" t="s">
        <v>152</v>
      </c>
      <c r="N2706" t="s">
        <v>27</v>
      </c>
      <c r="O2706" t="s">
        <v>47</v>
      </c>
      <c r="P2706" t="s">
        <v>152</v>
      </c>
      <c r="Q2706" t="s">
        <v>152</v>
      </c>
      <c r="R2706">
        <v>35</v>
      </c>
      <c r="S2706" t="s">
        <v>59</v>
      </c>
      <c r="T2706" t="str">
        <f t="shared" si="84"/>
        <v>Daily</v>
      </c>
      <c r="U2706">
        <f>VLOOKUP(T2706,[1]tablescore!$B$3:$C$8, 2,FALSE)</f>
        <v>30</v>
      </c>
      <c r="V2706" t="str">
        <f t="shared" si="85"/>
        <v>Highly Loyal</v>
      </c>
      <c r="W2706" t="s">
        <v>41</v>
      </c>
    </row>
    <row r="2707" spans="1:23" x14ac:dyDescent="0.25">
      <c r="A2707">
        <v>2706</v>
      </c>
      <c r="B2707">
        <v>65</v>
      </c>
      <c r="C2707" t="str" cm="1">
        <f t="array" ref="C2707">_xlfn.IFS(
  AND(B2707&gt;=18, B2707&lt;=24), "18-24",
  AND(B2707&gt;=25, B2707&lt;=34), "25-34",
  AND(B2707&gt;=35, B2707&lt;=44), "35-44",
  AND(B2707&gt;=45, B2707&lt;=54), "45-54",
  B2707&gt;=55, "55+"
)</f>
        <v>55+</v>
      </c>
      <c r="D2707" t="s">
        <v>153</v>
      </c>
      <c r="E2707" t="s">
        <v>102</v>
      </c>
      <c r="F2707" t="s">
        <v>65</v>
      </c>
      <c r="G2707">
        <v>81</v>
      </c>
      <c r="H2707" t="s">
        <v>140</v>
      </c>
      <c r="I2707" t="s">
        <v>38</v>
      </c>
      <c r="J2707" t="s">
        <v>49</v>
      </c>
      <c r="K2707" t="s">
        <v>39</v>
      </c>
      <c r="L2707">
        <v>5</v>
      </c>
      <c r="M2707" t="s">
        <v>152</v>
      </c>
      <c r="N2707" t="s">
        <v>59</v>
      </c>
      <c r="O2707" t="s">
        <v>76</v>
      </c>
      <c r="P2707" t="s">
        <v>152</v>
      </c>
      <c r="Q2707" t="s">
        <v>152</v>
      </c>
      <c r="R2707">
        <v>1</v>
      </c>
      <c r="S2707" t="s">
        <v>27</v>
      </c>
      <c r="T2707" t="str">
        <f t="shared" si="84"/>
        <v>2-week</v>
      </c>
      <c r="U2707">
        <f>VLOOKUP(T2707,[1]tablescore!$B$3:$C$8, 2,FALSE)</f>
        <v>26</v>
      </c>
      <c r="V2707" t="str">
        <f t="shared" si="85"/>
        <v>Loyal</v>
      </c>
      <c r="W2707" t="s">
        <v>77</v>
      </c>
    </row>
    <row r="2708" spans="1:23" x14ac:dyDescent="0.25">
      <c r="A2708">
        <v>2707</v>
      </c>
      <c r="B2708">
        <v>24</v>
      </c>
      <c r="C2708" t="str" cm="1">
        <f t="array" ref="C2708">_xlfn.IFS(
  AND(B2708&gt;=18, B2708&lt;=24), "18-24",
  AND(B2708&gt;=25, B2708&lt;=34), "25-34",
  AND(B2708&gt;=35, B2708&lt;=44), "35-44",
  AND(B2708&gt;=45, B2708&lt;=54), "45-54",
  B2708&gt;=55, "55+"
)</f>
        <v>18-24</v>
      </c>
      <c r="D2708" t="s">
        <v>153</v>
      </c>
      <c r="E2708" t="s">
        <v>73</v>
      </c>
      <c r="F2708" t="s">
        <v>43</v>
      </c>
      <c r="G2708">
        <v>40</v>
      </c>
      <c r="H2708" t="s">
        <v>90</v>
      </c>
      <c r="I2708" t="s">
        <v>38</v>
      </c>
      <c r="J2708" t="s">
        <v>138</v>
      </c>
      <c r="K2708" t="s">
        <v>39</v>
      </c>
      <c r="L2708">
        <v>3.1</v>
      </c>
      <c r="M2708" t="s">
        <v>152</v>
      </c>
      <c r="N2708" t="s">
        <v>34</v>
      </c>
      <c r="O2708" t="s">
        <v>28</v>
      </c>
      <c r="P2708" t="s">
        <v>152</v>
      </c>
      <c r="Q2708" t="s">
        <v>152</v>
      </c>
      <c r="R2708">
        <v>48</v>
      </c>
      <c r="S2708" t="s">
        <v>59</v>
      </c>
      <c r="T2708" t="str">
        <f t="shared" si="84"/>
        <v>Quarterly</v>
      </c>
      <c r="U2708">
        <f>VLOOKUP(T2708,[1]tablescore!$B$3:$C$8, 2,FALSE)</f>
        <v>4</v>
      </c>
      <c r="V2708" t="str">
        <f t="shared" si="85"/>
        <v>Low Loyalty</v>
      </c>
      <c r="W2708" t="s">
        <v>60</v>
      </c>
    </row>
    <row r="2709" spans="1:23" x14ac:dyDescent="0.25">
      <c r="A2709">
        <v>2708</v>
      </c>
      <c r="B2709">
        <v>32</v>
      </c>
      <c r="C2709" t="str" cm="1">
        <f t="array" ref="C2709">_xlfn.IFS(
  AND(B2709&gt;=18, B2709&lt;=24), "18-24",
  AND(B2709&gt;=25, B2709&lt;=34), "25-34",
  AND(B2709&gt;=35, B2709&lt;=44), "35-44",
  AND(B2709&gt;=45, B2709&lt;=54), "45-54",
  B2709&gt;=55, "55+"
)</f>
        <v>25-34</v>
      </c>
      <c r="D2709" t="s">
        <v>153</v>
      </c>
      <c r="E2709" t="s">
        <v>133</v>
      </c>
      <c r="F2709" t="s">
        <v>69</v>
      </c>
      <c r="G2709">
        <v>88</v>
      </c>
      <c r="H2709" t="s">
        <v>143</v>
      </c>
      <c r="I2709" t="s">
        <v>45</v>
      </c>
      <c r="J2709" t="s">
        <v>71</v>
      </c>
      <c r="K2709" t="s">
        <v>58</v>
      </c>
      <c r="L2709">
        <v>4.2</v>
      </c>
      <c r="M2709" t="s">
        <v>152</v>
      </c>
      <c r="N2709" t="s">
        <v>35</v>
      </c>
      <c r="O2709" t="s">
        <v>55</v>
      </c>
      <c r="P2709" t="s">
        <v>152</v>
      </c>
      <c r="Q2709" t="s">
        <v>152</v>
      </c>
      <c r="R2709">
        <v>19</v>
      </c>
      <c r="S2709" t="s">
        <v>35</v>
      </c>
      <c r="T2709" t="str">
        <f t="shared" si="84"/>
        <v>Daily</v>
      </c>
      <c r="U2709">
        <f>VLOOKUP(T2709,[1]tablescore!$B$3:$C$8, 2,FALSE)</f>
        <v>30</v>
      </c>
      <c r="V2709" t="str">
        <f t="shared" si="85"/>
        <v>Highly Loyal</v>
      </c>
      <c r="W2709" t="s">
        <v>41</v>
      </c>
    </row>
    <row r="2710" spans="1:23" x14ac:dyDescent="0.25">
      <c r="A2710">
        <v>2709</v>
      </c>
      <c r="B2710">
        <v>57</v>
      </c>
      <c r="C2710" t="str" cm="1">
        <f t="array" ref="C2710">_xlfn.IFS(
  AND(B2710&gt;=18, B2710&lt;=24), "18-24",
  AND(B2710&gt;=25, B2710&lt;=34), "25-34",
  AND(B2710&gt;=35, B2710&lt;=44), "35-44",
  AND(B2710&gt;=45, B2710&lt;=54), "45-54",
  B2710&gt;=55, "55+"
)</f>
        <v>55+</v>
      </c>
      <c r="D2710" t="s">
        <v>153</v>
      </c>
      <c r="E2710" t="s">
        <v>82</v>
      </c>
      <c r="F2710" t="s">
        <v>21</v>
      </c>
      <c r="G2710">
        <v>94</v>
      </c>
      <c r="H2710" t="s">
        <v>90</v>
      </c>
      <c r="I2710" t="s">
        <v>45</v>
      </c>
      <c r="J2710" t="s">
        <v>86</v>
      </c>
      <c r="K2710" t="s">
        <v>54</v>
      </c>
      <c r="L2710">
        <v>3.3</v>
      </c>
      <c r="M2710" t="s">
        <v>152</v>
      </c>
      <c r="N2710" t="s">
        <v>59</v>
      </c>
      <c r="O2710" t="s">
        <v>76</v>
      </c>
      <c r="P2710" t="s">
        <v>152</v>
      </c>
      <c r="Q2710" t="s">
        <v>152</v>
      </c>
      <c r="R2710">
        <v>44</v>
      </c>
      <c r="S2710" t="s">
        <v>59</v>
      </c>
      <c r="T2710" t="str">
        <f t="shared" si="84"/>
        <v>Daily</v>
      </c>
      <c r="U2710">
        <f>VLOOKUP(T2710,[1]tablescore!$B$3:$C$8, 2,FALSE)</f>
        <v>30</v>
      </c>
      <c r="V2710" t="str">
        <f t="shared" si="85"/>
        <v>Highly Loyal</v>
      </c>
      <c r="W2710" t="s">
        <v>41</v>
      </c>
    </row>
    <row r="2711" spans="1:23" x14ac:dyDescent="0.25">
      <c r="A2711">
        <v>2710</v>
      </c>
      <c r="B2711">
        <v>35</v>
      </c>
      <c r="C2711" t="str" cm="1">
        <f t="array" ref="C2711">_xlfn.IFS(
  AND(B2711&gt;=18, B2711&lt;=24), "18-24",
  AND(B2711&gt;=25, B2711&lt;=34), "25-34",
  AND(B2711&gt;=35, B2711&lt;=44), "35-44",
  AND(B2711&gt;=45, B2711&lt;=54), "45-54",
  B2711&gt;=55, "55+"
)</f>
        <v>35-44</v>
      </c>
      <c r="D2711" t="s">
        <v>153</v>
      </c>
      <c r="E2711" t="s">
        <v>56</v>
      </c>
      <c r="F2711" t="s">
        <v>21</v>
      </c>
      <c r="G2711">
        <v>54</v>
      </c>
      <c r="H2711" t="s">
        <v>115</v>
      </c>
      <c r="I2711" t="s">
        <v>38</v>
      </c>
      <c r="J2711" t="s">
        <v>109</v>
      </c>
      <c r="K2711" t="s">
        <v>25</v>
      </c>
      <c r="L2711">
        <v>2.9</v>
      </c>
      <c r="M2711" t="s">
        <v>152</v>
      </c>
      <c r="N2711" t="s">
        <v>59</v>
      </c>
      <c r="O2711" t="s">
        <v>55</v>
      </c>
      <c r="P2711" t="s">
        <v>152</v>
      </c>
      <c r="Q2711" t="s">
        <v>152</v>
      </c>
      <c r="R2711">
        <v>9</v>
      </c>
      <c r="S2711" t="s">
        <v>27</v>
      </c>
      <c r="T2711" t="str">
        <f t="shared" si="84"/>
        <v>2-week</v>
      </c>
      <c r="U2711">
        <f>VLOOKUP(T2711,[1]tablescore!$B$3:$C$8, 2,FALSE)</f>
        <v>26</v>
      </c>
      <c r="V2711" t="str">
        <f t="shared" si="85"/>
        <v>Loyal</v>
      </c>
      <c r="W2711" t="s">
        <v>77</v>
      </c>
    </row>
    <row r="2712" spans="1:23" x14ac:dyDescent="0.25">
      <c r="A2712">
        <v>2711</v>
      </c>
      <c r="B2712">
        <v>69</v>
      </c>
      <c r="C2712" t="str" cm="1">
        <f t="array" ref="C2712">_xlfn.IFS(
  AND(B2712&gt;=18, B2712&lt;=24), "18-24",
  AND(B2712&gt;=25, B2712&lt;=34), "25-34",
  AND(B2712&gt;=35, B2712&lt;=44), "35-44",
  AND(B2712&gt;=45, B2712&lt;=54), "45-54",
  B2712&gt;=55, "55+"
)</f>
        <v>55+</v>
      </c>
      <c r="D2712" t="s">
        <v>153</v>
      </c>
      <c r="E2712" t="s">
        <v>102</v>
      </c>
      <c r="F2712" t="s">
        <v>65</v>
      </c>
      <c r="G2712">
        <v>51</v>
      </c>
      <c r="H2712" t="s">
        <v>148</v>
      </c>
      <c r="I2712" t="s">
        <v>23</v>
      </c>
      <c r="J2712" t="s">
        <v>75</v>
      </c>
      <c r="K2712" t="s">
        <v>54</v>
      </c>
      <c r="L2712">
        <v>4.7</v>
      </c>
      <c r="M2712" t="s">
        <v>152</v>
      </c>
      <c r="N2712" t="s">
        <v>59</v>
      </c>
      <c r="O2712" t="s">
        <v>55</v>
      </c>
      <c r="P2712" t="s">
        <v>152</v>
      </c>
      <c r="Q2712" t="s">
        <v>152</v>
      </c>
      <c r="R2712">
        <v>3</v>
      </c>
      <c r="S2712" t="s">
        <v>34</v>
      </c>
      <c r="T2712" t="str">
        <f t="shared" si="84"/>
        <v>2-week</v>
      </c>
      <c r="U2712">
        <f>VLOOKUP(T2712,[1]tablescore!$B$3:$C$8, 2,FALSE)</f>
        <v>26</v>
      </c>
      <c r="V2712" t="str">
        <f t="shared" si="85"/>
        <v>Loyal</v>
      </c>
      <c r="W2712" t="s">
        <v>30</v>
      </c>
    </row>
    <row r="2713" spans="1:23" x14ac:dyDescent="0.25">
      <c r="A2713">
        <v>2712</v>
      </c>
      <c r="B2713">
        <v>30</v>
      </c>
      <c r="C2713" t="str" cm="1">
        <f t="array" ref="C2713">_xlfn.IFS(
  AND(B2713&gt;=18, B2713&lt;=24), "18-24",
  AND(B2713&gt;=25, B2713&lt;=34), "25-34",
  AND(B2713&gt;=35, B2713&lt;=44), "35-44",
  AND(B2713&gt;=45, B2713&lt;=54), "45-54",
  B2713&gt;=55, "55+"
)</f>
        <v>25-34</v>
      </c>
      <c r="D2713" t="s">
        <v>153</v>
      </c>
      <c r="E2713" t="s">
        <v>89</v>
      </c>
      <c r="F2713" t="s">
        <v>69</v>
      </c>
      <c r="G2713">
        <v>22</v>
      </c>
      <c r="H2713" t="s">
        <v>143</v>
      </c>
      <c r="I2713" t="s">
        <v>23</v>
      </c>
      <c r="J2713" t="s">
        <v>108</v>
      </c>
      <c r="K2713" t="s">
        <v>39</v>
      </c>
      <c r="L2713">
        <v>4</v>
      </c>
      <c r="M2713" t="s">
        <v>152</v>
      </c>
      <c r="N2713" t="s">
        <v>27</v>
      </c>
      <c r="O2713" t="s">
        <v>55</v>
      </c>
      <c r="P2713" t="s">
        <v>152</v>
      </c>
      <c r="Q2713" t="s">
        <v>152</v>
      </c>
      <c r="R2713">
        <v>50</v>
      </c>
      <c r="S2713" t="s">
        <v>29</v>
      </c>
      <c r="T2713" t="str">
        <f t="shared" si="84"/>
        <v>Month</v>
      </c>
      <c r="U2713">
        <f>VLOOKUP(T2713,[1]tablescore!$B$3:$C$8, 2,FALSE)</f>
        <v>12</v>
      </c>
      <c r="V2713" t="str">
        <f t="shared" si="85"/>
        <v>Moderate</v>
      </c>
      <c r="W2713" t="s">
        <v>88</v>
      </c>
    </row>
    <row r="2714" spans="1:23" x14ac:dyDescent="0.25">
      <c r="A2714">
        <v>2713</v>
      </c>
      <c r="B2714">
        <v>37</v>
      </c>
      <c r="C2714" t="str" cm="1">
        <f t="array" ref="C2714">_xlfn.IFS(
  AND(B2714&gt;=18, B2714&lt;=24), "18-24",
  AND(B2714&gt;=25, B2714&lt;=34), "25-34",
  AND(B2714&gt;=35, B2714&lt;=44), "35-44",
  AND(B2714&gt;=45, B2714&lt;=54), "45-54",
  B2714&gt;=55, "55+"
)</f>
        <v>35-44</v>
      </c>
      <c r="D2714" t="s">
        <v>153</v>
      </c>
      <c r="E2714" t="s">
        <v>102</v>
      </c>
      <c r="F2714" t="s">
        <v>65</v>
      </c>
      <c r="G2714">
        <v>95</v>
      </c>
      <c r="H2714" t="s">
        <v>114</v>
      </c>
      <c r="I2714" t="s">
        <v>23</v>
      </c>
      <c r="J2714" t="s">
        <v>110</v>
      </c>
      <c r="K2714" t="s">
        <v>58</v>
      </c>
      <c r="L2714">
        <v>4.5999999999999996</v>
      </c>
      <c r="M2714" t="s">
        <v>152</v>
      </c>
      <c r="N2714" t="s">
        <v>27</v>
      </c>
      <c r="O2714" t="s">
        <v>55</v>
      </c>
      <c r="P2714" t="s">
        <v>152</v>
      </c>
      <c r="Q2714" t="s">
        <v>152</v>
      </c>
      <c r="R2714">
        <v>7</v>
      </c>
      <c r="S2714" t="s">
        <v>59</v>
      </c>
      <c r="T2714" t="str">
        <f t="shared" si="84"/>
        <v>Quarterly</v>
      </c>
      <c r="U2714">
        <f>VLOOKUP(T2714,[1]tablescore!$B$3:$C$8, 2,FALSE)</f>
        <v>4</v>
      </c>
      <c r="V2714" t="str">
        <f t="shared" si="85"/>
        <v>Low Loyalty</v>
      </c>
      <c r="W2714" t="s">
        <v>60</v>
      </c>
    </row>
    <row r="2715" spans="1:23" x14ac:dyDescent="0.25">
      <c r="A2715">
        <v>2714</v>
      </c>
      <c r="B2715">
        <v>19</v>
      </c>
      <c r="C2715" t="str" cm="1">
        <f t="array" ref="C2715">_xlfn.IFS(
  AND(B2715&gt;=18, B2715&lt;=24), "18-24",
  AND(B2715&gt;=25, B2715&lt;=34), "25-34",
  AND(B2715&gt;=35, B2715&lt;=44), "35-44",
  AND(B2715&gt;=45, B2715&lt;=54), "45-54",
  B2715&gt;=55, "55+"
)</f>
        <v>18-24</v>
      </c>
      <c r="D2715" t="s">
        <v>153</v>
      </c>
      <c r="E2715" t="s">
        <v>64</v>
      </c>
      <c r="F2715" t="s">
        <v>65</v>
      </c>
      <c r="G2715">
        <v>57</v>
      </c>
      <c r="H2715" t="s">
        <v>91</v>
      </c>
      <c r="I2715" t="s">
        <v>45</v>
      </c>
      <c r="J2715" t="s">
        <v>147</v>
      </c>
      <c r="K2715" t="s">
        <v>58</v>
      </c>
      <c r="L2715">
        <v>3.8</v>
      </c>
      <c r="M2715" t="s">
        <v>152</v>
      </c>
      <c r="N2715" t="s">
        <v>46</v>
      </c>
      <c r="O2715" t="s">
        <v>72</v>
      </c>
      <c r="P2715" t="s">
        <v>152</v>
      </c>
      <c r="Q2715" t="s">
        <v>152</v>
      </c>
      <c r="R2715">
        <v>20</v>
      </c>
      <c r="S2715" t="s">
        <v>59</v>
      </c>
      <c r="T2715" t="str">
        <f t="shared" si="84"/>
        <v>Annually</v>
      </c>
      <c r="U2715">
        <f>VLOOKUP(T2715,[1]tablescore!$B$3:$C$8, 2,FALSE)</f>
        <v>1</v>
      </c>
      <c r="V2715" t="str">
        <f t="shared" si="85"/>
        <v>Low Loyalty</v>
      </c>
      <c r="W2715" t="s">
        <v>50</v>
      </c>
    </row>
    <row r="2716" spans="1:23" x14ac:dyDescent="0.25">
      <c r="A2716">
        <v>2715</v>
      </c>
      <c r="B2716">
        <v>53</v>
      </c>
      <c r="C2716" t="str" cm="1">
        <f t="array" ref="C2716">_xlfn.IFS(
  AND(B2716&gt;=18, B2716&lt;=24), "18-24",
  AND(B2716&gt;=25, B2716&lt;=34), "25-34",
  AND(B2716&gt;=35, B2716&lt;=44), "35-44",
  AND(B2716&gt;=45, B2716&lt;=54), "45-54",
  B2716&gt;=55, "55+"
)</f>
        <v>45-54</v>
      </c>
      <c r="D2716" t="s">
        <v>153</v>
      </c>
      <c r="E2716" t="s">
        <v>31</v>
      </c>
      <c r="F2716" t="s">
        <v>21</v>
      </c>
      <c r="G2716">
        <v>45</v>
      </c>
      <c r="H2716" t="s">
        <v>150</v>
      </c>
      <c r="I2716" t="s">
        <v>38</v>
      </c>
      <c r="J2716" t="s">
        <v>79</v>
      </c>
      <c r="K2716" t="s">
        <v>25</v>
      </c>
      <c r="L2716">
        <v>3.6</v>
      </c>
      <c r="M2716" t="s">
        <v>152</v>
      </c>
      <c r="N2716" t="s">
        <v>59</v>
      </c>
      <c r="O2716" t="s">
        <v>76</v>
      </c>
      <c r="P2716" t="s">
        <v>152</v>
      </c>
      <c r="Q2716" t="s">
        <v>152</v>
      </c>
      <c r="R2716">
        <v>16</v>
      </c>
      <c r="S2716" t="s">
        <v>27</v>
      </c>
      <c r="T2716" t="str">
        <f t="shared" si="84"/>
        <v>2-week</v>
      </c>
      <c r="U2716">
        <f>VLOOKUP(T2716,[1]tablescore!$B$3:$C$8, 2,FALSE)</f>
        <v>26</v>
      </c>
      <c r="V2716" t="str">
        <f t="shared" si="85"/>
        <v>Loyal</v>
      </c>
      <c r="W2716" t="s">
        <v>77</v>
      </c>
    </row>
    <row r="2717" spans="1:23" x14ac:dyDescent="0.25">
      <c r="A2717">
        <v>2716</v>
      </c>
      <c r="B2717">
        <v>25</v>
      </c>
      <c r="C2717" t="str" cm="1">
        <f t="array" ref="C2717">_xlfn.IFS(
  AND(B2717&gt;=18, B2717&lt;=24), "18-24",
  AND(B2717&gt;=25, B2717&lt;=34), "25-34",
  AND(B2717&gt;=35, B2717&lt;=44), "35-44",
  AND(B2717&gt;=45, B2717&lt;=54), "45-54",
  B2717&gt;=55, "55+"
)</f>
        <v>25-34</v>
      </c>
      <c r="D2717" t="s">
        <v>153</v>
      </c>
      <c r="E2717" t="s">
        <v>51</v>
      </c>
      <c r="F2717" t="s">
        <v>43</v>
      </c>
      <c r="G2717">
        <v>92</v>
      </c>
      <c r="H2717" t="s">
        <v>91</v>
      </c>
      <c r="I2717" t="s">
        <v>92</v>
      </c>
      <c r="J2717" t="s">
        <v>71</v>
      </c>
      <c r="K2717" t="s">
        <v>25</v>
      </c>
      <c r="L2717">
        <v>4.0999999999999996</v>
      </c>
      <c r="M2717" t="s">
        <v>152</v>
      </c>
      <c r="N2717" t="s">
        <v>59</v>
      </c>
      <c r="O2717" t="s">
        <v>28</v>
      </c>
      <c r="P2717" t="s">
        <v>152</v>
      </c>
      <c r="Q2717" t="s">
        <v>152</v>
      </c>
      <c r="R2717">
        <v>29</v>
      </c>
      <c r="S2717" t="s">
        <v>46</v>
      </c>
      <c r="T2717" t="str">
        <f t="shared" si="84"/>
        <v>2-week</v>
      </c>
      <c r="U2717">
        <f>VLOOKUP(T2717,[1]tablescore!$B$3:$C$8, 2,FALSE)</f>
        <v>26</v>
      </c>
      <c r="V2717" t="str">
        <f t="shared" si="85"/>
        <v>Loyal</v>
      </c>
      <c r="W2717" t="s">
        <v>30</v>
      </c>
    </row>
    <row r="2718" spans="1:23" x14ac:dyDescent="0.25">
      <c r="A2718">
        <v>2717</v>
      </c>
      <c r="B2718">
        <v>47</v>
      </c>
      <c r="C2718" t="str" cm="1">
        <f t="array" ref="C2718">_xlfn.IFS(
  AND(B2718&gt;=18, B2718&lt;=24), "18-24",
  AND(B2718&gt;=25, B2718&lt;=34), "25-34",
  AND(B2718&gt;=35, B2718&lt;=44), "35-44",
  AND(B2718&gt;=45, B2718&lt;=54), "45-54",
  B2718&gt;=55, "55+"
)</f>
        <v>45-54</v>
      </c>
      <c r="D2718" t="s">
        <v>153</v>
      </c>
      <c r="E2718" t="s">
        <v>73</v>
      </c>
      <c r="F2718" t="s">
        <v>43</v>
      </c>
      <c r="G2718">
        <v>40</v>
      </c>
      <c r="H2718" t="s">
        <v>112</v>
      </c>
      <c r="I2718" t="s">
        <v>23</v>
      </c>
      <c r="J2718" t="s">
        <v>94</v>
      </c>
      <c r="K2718" t="s">
        <v>39</v>
      </c>
      <c r="L2718">
        <v>2.7</v>
      </c>
      <c r="M2718" t="s">
        <v>152</v>
      </c>
      <c r="N2718" t="s">
        <v>59</v>
      </c>
      <c r="O2718" t="s">
        <v>76</v>
      </c>
      <c r="P2718" t="s">
        <v>152</v>
      </c>
      <c r="Q2718" t="s">
        <v>152</v>
      </c>
      <c r="R2718">
        <v>21</v>
      </c>
      <c r="S2718" t="s">
        <v>59</v>
      </c>
      <c r="T2718" t="str">
        <f t="shared" si="84"/>
        <v>Daily</v>
      </c>
      <c r="U2718">
        <f>VLOOKUP(T2718,[1]tablescore!$B$3:$C$8, 2,FALSE)</f>
        <v>30</v>
      </c>
      <c r="V2718" t="str">
        <f t="shared" si="85"/>
        <v>Highly Loyal</v>
      </c>
      <c r="W2718" t="s">
        <v>41</v>
      </c>
    </row>
    <row r="2719" spans="1:23" x14ac:dyDescent="0.25">
      <c r="A2719">
        <v>2718</v>
      </c>
      <c r="B2719">
        <v>18</v>
      </c>
      <c r="C2719" t="str" cm="1">
        <f t="array" ref="C2719">_xlfn.IFS(
  AND(B2719&gt;=18, B2719&lt;=24), "18-24",
  AND(B2719&gt;=25, B2719&lt;=34), "25-34",
  AND(B2719&gt;=35, B2719&lt;=44), "35-44",
  AND(B2719&gt;=45, B2719&lt;=54), "45-54",
  B2719&gt;=55, "55+"
)</f>
        <v>18-24</v>
      </c>
      <c r="D2719" t="s">
        <v>153</v>
      </c>
      <c r="E2719" t="s">
        <v>89</v>
      </c>
      <c r="F2719" t="s">
        <v>69</v>
      </c>
      <c r="G2719">
        <v>62</v>
      </c>
      <c r="H2719" t="s">
        <v>143</v>
      </c>
      <c r="I2719" t="s">
        <v>92</v>
      </c>
      <c r="J2719" t="s">
        <v>118</v>
      </c>
      <c r="K2719" t="s">
        <v>25</v>
      </c>
      <c r="L2719">
        <v>4.3</v>
      </c>
      <c r="M2719" t="s">
        <v>152</v>
      </c>
      <c r="N2719" t="s">
        <v>59</v>
      </c>
      <c r="O2719" t="s">
        <v>40</v>
      </c>
      <c r="P2719" t="s">
        <v>152</v>
      </c>
      <c r="Q2719" t="s">
        <v>152</v>
      </c>
      <c r="R2719">
        <v>19</v>
      </c>
      <c r="S2719" t="s">
        <v>27</v>
      </c>
      <c r="T2719" t="str">
        <f t="shared" si="84"/>
        <v>Quarterly</v>
      </c>
      <c r="U2719">
        <f>VLOOKUP(T2719,[1]tablescore!$B$3:$C$8, 2,FALSE)</f>
        <v>4</v>
      </c>
      <c r="V2719" t="str">
        <f t="shared" si="85"/>
        <v>Low Loyalty</v>
      </c>
      <c r="W2719" t="s">
        <v>97</v>
      </c>
    </row>
    <row r="2720" spans="1:23" x14ac:dyDescent="0.25">
      <c r="A2720">
        <v>2719</v>
      </c>
      <c r="B2720">
        <v>22</v>
      </c>
      <c r="C2720" t="str" cm="1">
        <f t="array" ref="C2720">_xlfn.IFS(
  AND(B2720&gt;=18, B2720&lt;=24), "18-24",
  AND(B2720&gt;=25, B2720&lt;=34), "25-34",
  AND(B2720&gt;=35, B2720&lt;=44), "35-44",
  AND(B2720&gt;=45, B2720&lt;=54), "45-54",
  B2720&gt;=55, "55+"
)</f>
        <v>18-24</v>
      </c>
      <c r="D2720" t="s">
        <v>153</v>
      </c>
      <c r="E2720" t="s">
        <v>61</v>
      </c>
      <c r="F2720" t="s">
        <v>21</v>
      </c>
      <c r="G2720">
        <v>90</v>
      </c>
      <c r="H2720" t="s">
        <v>128</v>
      </c>
      <c r="I2720" t="s">
        <v>45</v>
      </c>
      <c r="J2720" t="s">
        <v>100</v>
      </c>
      <c r="K2720" t="s">
        <v>25</v>
      </c>
      <c r="L2720">
        <v>4.9000000000000004</v>
      </c>
      <c r="M2720" t="s">
        <v>152</v>
      </c>
      <c r="N2720" t="s">
        <v>27</v>
      </c>
      <c r="O2720" t="s">
        <v>47</v>
      </c>
      <c r="P2720" t="s">
        <v>152</v>
      </c>
      <c r="Q2720" t="s">
        <v>152</v>
      </c>
      <c r="R2720">
        <v>10</v>
      </c>
      <c r="S2720" t="s">
        <v>29</v>
      </c>
      <c r="T2720" t="str">
        <f t="shared" si="84"/>
        <v>2-week</v>
      </c>
      <c r="U2720">
        <f>VLOOKUP(T2720,[1]tablescore!$B$3:$C$8, 2,FALSE)</f>
        <v>26</v>
      </c>
      <c r="V2720" t="str">
        <f t="shared" si="85"/>
        <v>Loyal</v>
      </c>
      <c r="W2720" t="s">
        <v>77</v>
      </c>
    </row>
    <row r="2721" spans="1:23" x14ac:dyDescent="0.25">
      <c r="A2721">
        <v>2720</v>
      </c>
      <c r="B2721">
        <v>69</v>
      </c>
      <c r="C2721" t="str" cm="1">
        <f t="array" ref="C2721">_xlfn.IFS(
  AND(B2721&gt;=18, B2721&lt;=24), "18-24",
  AND(B2721&gt;=25, B2721&lt;=34), "25-34",
  AND(B2721&gt;=35, B2721&lt;=44), "35-44",
  AND(B2721&gt;=45, B2721&lt;=54), "45-54",
  B2721&gt;=55, "55+"
)</f>
        <v>55+</v>
      </c>
      <c r="D2721" t="s">
        <v>153</v>
      </c>
      <c r="E2721" t="s">
        <v>104</v>
      </c>
      <c r="F2721" t="s">
        <v>21</v>
      </c>
      <c r="G2721">
        <v>82</v>
      </c>
      <c r="H2721" t="s">
        <v>62</v>
      </c>
      <c r="I2721" t="s">
        <v>38</v>
      </c>
      <c r="J2721" t="s">
        <v>100</v>
      </c>
      <c r="K2721" t="s">
        <v>58</v>
      </c>
      <c r="L2721">
        <v>4.2</v>
      </c>
      <c r="M2721" t="s">
        <v>152</v>
      </c>
      <c r="N2721" t="s">
        <v>29</v>
      </c>
      <c r="O2721" t="s">
        <v>40</v>
      </c>
      <c r="P2721" t="s">
        <v>152</v>
      </c>
      <c r="Q2721" t="s">
        <v>152</v>
      </c>
      <c r="R2721">
        <v>4</v>
      </c>
      <c r="S2721" t="s">
        <v>34</v>
      </c>
      <c r="T2721" t="str">
        <f t="shared" si="84"/>
        <v>Month</v>
      </c>
      <c r="U2721">
        <f>VLOOKUP(T2721,[1]tablescore!$B$3:$C$8, 2,FALSE)</f>
        <v>12</v>
      </c>
      <c r="V2721" t="str">
        <f t="shared" si="85"/>
        <v>Moderate</v>
      </c>
      <c r="W2721" t="s">
        <v>88</v>
      </c>
    </row>
    <row r="2722" spans="1:23" x14ac:dyDescent="0.25">
      <c r="A2722">
        <v>2721</v>
      </c>
      <c r="B2722">
        <v>55</v>
      </c>
      <c r="C2722" t="str" cm="1">
        <f t="array" ref="C2722">_xlfn.IFS(
  AND(B2722&gt;=18, B2722&lt;=24), "18-24",
  AND(B2722&gt;=25, B2722&lt;=34), "25-34",
  AND(B2722&gt;=35, B2722&lt;=44), "35-44",
  AND(B2722&gt;=45, B2722&lt;=54), "45-54",
  B2722&gt;=55, "55+"
)</f>
        <v>55+</v>
      </c>
      <c r="D2722" t="s">
        <v>153</v>
      </c>
      <c r="E2722" t="s">
        <v>119</v>
      </c>
      <c r="F2722" t="s">
        <v>69</v>
      </c>
      <c r="G2722">
        <v>52</v>
      </c>
      <c r="H2722" t="s">
        <v>135</v>
      </c>
      <c r="I2722" t="s">
        <v>45</v>
      </c>
      <c r="J2722" t="s">
        <v>100</v>
      </c>
      <c r="K2722" t="s">
        <v>39</v>
      </c>
      <c r="L2722">
        <v>2.8</v>
      </c>
      <c r="M2722" t="s">
        <v>152</v>
      </c>
      <c r="N2722" t="s">
        <v>59</v>
      </c>
      <c r="O2722" t="s">
        <v>76</v>
      </c>
      <c r="P2722" t="s">
        <v>152</v>
      </c>
      <c r="Q2722" t="s">
        <v>152</v>
      </c>
      <c r="R2722">
        <v>45</v>
      </c>
      <c r="S2722" t="s">
        <v>34</v>
      </c>
      <c r="T2722" t="str">
        <f t="shared" si="84"/>
        <v>Quarterly</v>
      </c>
      <c r="U2722">
        <f>VLOOKUP(T2722,[1]tablescore!$B$3:$C$8, 2,FALSE)</f>
        <v>4</v>
      </c>
      <c r="V2722" t="str">
        <f t="shared" si="85"/>
        <v>Low Loyalty</v>
      </c>
      <c r="W2722" t="s">
        <v>60</v>
      </c>
    </row>
    <row r="2723" spans="1:23" x14ac:dyDescent="0.25">
      <c r="A2723">
        <v>2722</v>
      </c>
      <c r="B2723">
        <v>19</v>
      </c>
      <c r="C2723" t="str" cm="1">
        <f t="array" ref="C2723">_xlfn.IFS(
  AND(B2723&gt;=18, B2723&lt;=24), "18-24",
  AND(B2723&gt;=25, B2723&lt;=34), "25-34",
  AND(B2723&gt;=35, B2723&lt;=44), "35-44",
  AND(B2723&gt;=45, B2723&lt;=54), "45-54",
  B2723&gt;=55, "55+"
)</f>
        <v>18-24</v>
      </c>
      <c r="D2723" t="s">
        <v>153</v>
      </c>
      <c r="E2723" t="s">
        <v>42</v>
      </c>
      <c r="F2723" t="s">
        <v>43</v>
      </c>
      <c r="G2723">
        <v>70</v>
      </c>
      <c r="H2723" t="s">
        <v>134</v>
      </c>
      <c r="I2723" t="s">
        <v>38</v>
      </c>
      <c r="J2723" t="s">
        <v>86</v>
      </c>
      <c r="K2723" t="s">
        <v>39</v>
      </c>
      <c r="L2723">
        <v>4.9000000000000004</v>
      </c>
      <c r="M2723" t="s">
        <v>152</v>
      </c>
      <c r="N2723" t="s">
        <v>35</v>
      </c>
      <c r="O2723" t="s">
        <v>40</v>
      </c>
      <c r="P2723" t="s">
        <v>152</v>
      </c>
      <c r="Q2723" t="s">
        <v>152</v>
      </c>
      <c r="R2723">
        <v>17</v>
      </c>
      <c r="S2723" t="s">
        <v>46</v>
      </c>
      <c r="T2723" t="str">
        <f t="shared" si="84"/>
        <v>2-week</v>
      </c>
      <c r="U2723">
        <f>VLOOKUP(T2723,[1]tablescore!$B$3:$C$8, 2,FALSE)</f>
        <v>26</v>
      </c>
      <c r="V2723" t="str">
        <f t="shared" si="85"/>
        <v>Loyal</v>
      </c>
      <c r="W2723" t="s">
        <v>30</v>
      </c>
    </row>
    <row r="2724" spans="1:23" x14ac:dyDescent="0.25">
      <c r="A2724">
        <v>2723</v>
      </c>
      <c r="B2724">
        <v>23</v>
      </c>
      <c r="C2724" t="str" cm="1">
        <f t="array" ref="C2724">_xlfn.IFS(
  AND(B2724&gt;=18, B2724&lt;=24), "18-24",
  AND(B2724&gt;=25, B2724&lt;=34), "25-34",
  AND(B2724&gt;=35, B2724&lt;=44), "35-44",
  AND(B2724&gt;=45, B2724&lt;=54), "45-54",
  B2724&gt;=55, "55+"
)</f>
        <v>18-24</v>
      </c>
      <c r="D2724" t="s">
        <v>153</v>
      </c>
      <c r="E2724" t="s">
        <v>125</v>
      </c>
      <c r="F2724" t="s">
        <v>69</v>
      </c>
      <c r="G2724">
        <v>83</v>
      </c>
      <c r="H2724" t="s">
        <v>32</v>
      </c>
      <c r="I2724" t="s">
        <v>45</v>
      </c>
      <c r="J2724" t="s">
        <v>96</v>
      </c>
      <c r="K2724" t="s">
        <v>39</v>
      </c>
      <c r="L2724">
        <v>2.8</v>
      </c>
      <c r="M2724" t="s">
        <v>152</v>
      </c>
      <c r="N2724" t="s">
        <v>46</v>
      </c>
      <c r="O2724" t="s">
        <v>72</v>
      </c>
      <c r="P2724" t="s">
        <v>152</v>
      </c>
      <c r="Q2724" t="s">
        <v>152</v>
      </c>
      <c r="R2724">
        <v>22</v>
      </c>
      <c r="S2724" t="s">
        <v>46</v>
      </c>
      <c r="T2724" t="str">
        <f t="shared" si="84"/>
        <v>2-week</v>
      </c>
      <c r="U2724">
        <f>VLOOKUP(T2724,[1]tablescore!$B$3:$C$8, 2,FALSE)</f>
        <v>26</v>
      </c>
      <c r="V2724" t="str">
        <f t="shared" si="85"/>
        <v>Loyal</v>
      </c>
      <c r="W2724" t="s">
        <v>30</v>
      </c>
    </row>
    <row r="2725" spans="1:23" x14ac:dyDescent="0.25">
      <c r="A2725">
        <v>2724</v>
      </c>
      <c r="B2725">
        <v>54</v>
      </c>
      <c r="C2725" t="str" cm="1">
        <f t="array" ref="C2725">_xlfn.IFS(
  AND(B2725&gt;=18, B2725&lt;=24), "18-24",
  AND(B2725&gt;=25, B2725&lt;=34), "25-34",
  AND(B2725&gt;=35, B2725&lt;=44), "35-44",
  AND(B2725&gt;=45, B2725&lt;=54), "45-54",
  B2725&gt;=55, "55+"
)</f>
        <v>45-54</v>
      </c>
      <c r="D2725" t="s">
        <v>153</v>
      </c>
      <c r="E2725" t="s">
        <v>73</v>
      </c>
      <c r="F2725" t="s">
        <v>43</v>
      </c>
      <c r="G2725">
        <v>49</v>
      </c>
      <c r="H2725" t="s">
        <v>105</v>
      </c>
      <c r="I2725" t="s">
        <v>92</v>
      </c>
      <c r="J2725" t="s">
        <v>110</v>
      </c>
      <c r="K2725" t="s">
        <v>54</v>
      </c>
      <c r="L2725">
        <v>2.9</v>
      </c>
      <c r="M2725" t="s">
        <v>152</v>
      </c>
      <c r="N2725" t="s">
        <v>34</v>
      </c>
      <c r="O2725" t="s">
        <v>76</v>
      </c>
      <c r="P2725" t="s">
        <v>152</v>
      </c>
      <c r="Q2725" t="s">
        <v>152</v>
      </c>
      <c r="R2725">
        <v>3</v>
      </c>
      <c r="S2725" t="s">
        <v>46</v>
      </c>
      <c r="T2725" t="str">
        <f t="shared" si="84"/>
        <v>Quarterly</v>
      </c>
      <c r="U2725">
        <f>VLOOKUP(T2725,[1]tablescore!$B$3:$C$8, 2,FALSE)</f>
        <v>4</v>
      </c>
      <c r="V2725" t="str">
        <f t="shared" si="85"/>
        <v>Low Loyalty</v>
      </c>
      <c r="W2725" t="s">
        <v>97</v>
      </c>
    </row>
    <row r="2726" spans="1:23" x14ac:dyDescent="0.25">
      <c r="A2726">
        <v>2725</v>
      </c>
      <c r="B2726">
        <v>52</v>
      </c>
      <c r="C2726" t="str" cm="1">
        <f t="array" ref="C2726">_xlfn.IFS(
  AND(B2726&gt;=18, B2726&lt;=24), "18-24",
  AND(B2726&gt;=25, B2726&lt;=34), "25-34",
  AND(B2726&gt;=35, B2726&lt;=44), "35-44",
  AND(B2726&gt;=45, B2726&lt;=54), "45-54",
  B2726&gt;=55, "55+"
)</f>
        <v>45-54</v>
      </c>
      <c r="D2726" t="s">
        <v>153</v>
      </c>
      <c r="E2726" t="s">
        <v>51</v>
      </c>
      <c r="F2726" t="s">
        <v>43</v>
      </c>
      <c r="G2726">
        <v>91</v>
      </c>
      <c r="H2726" t="s">
        <v>70</v>
      </c>
      <c r="I2726" t="s">
        <v>45</v>
      </c>
      <c r="J2726" t="s">
        <v>110</v>
      </c>
      <c r="K2726" t="s">
        <v>39</v>
      </c>
      <c r="L2726">
        <v>2.5</v>
      </c>
      <c r="M2726" t="s">
        <v>152</v>
      </c>
      <c r="N2726" t="s">
        <v>34</v>
      </c>
      <c r="O2726" t="s">
        <v>47</v>
      </c>
      <c r="P2726" t="s">
        <v>152</v>
      </c>
      <c r="Q2726" t="s">
        <v>152</v>
      </c>
      <c r="R2726">
        <v>11</v>
      </c>
      <c r="S2726" t="s">
        <v>59</v>
      </c>
      <c r="T2726" t="str">
        <f t="shared" si="84"/>
        <v>2-week</v>
      </c>
      <c r="U2726">
        <f>VLOOKUP(T2726,[1]tablescore!$B$3:$C$8, 2,FALSE)</f>
        <v>26</v>
      </c>
      <c r="V2726" t="str">
        <f t="shared" si="85"/>
        <v>Loyal</v>
      </c>
      <c r="W2726" t="s">
        <v>30</v>
      </c>
    </row>
    <row r="2727" spans="1:23" x14ac:dyDescent="0.25">
      <c r="A2727">
        <v>2726</v>
      </c>
      <c r="B2727">
        <v>64</v>
      </c>
      <c r="C2727" t="str" cm="1">
        <f t="array" ref="C2727">_xlfn.IFS(
  AND(B2727&gt;=18, B2727&lt;=24), "18-24",
  AND(B2727&gt;=25, B2727&lt;=34), "25-34",
  AND(B2727&gt;=35, B2727&lt;=44), "35-44",
  AND(B2727&gt;=45, B2727&lt;=54), "45-54",
  B2727&gt;=55, "55+"
)</f>
        <v>55+</v>
      </c>
      <c r="D2727" t="s">
        <v>153</v>
      </c>
      <c r="E2727" t="s">
        <v>133</v>
      </c>
      <c r="F2727" t="s">
        <v>69</v>
      </c>
      <c r="G2727">
        <v>99</v>
      </c>
      <c r="H2727" t="s">
        <v>91</v>
      </c>
      <c r="I2727" t="s">
        <v>38</v>
      </c>
      <c r="J2727" t="s">
        <v>84</v>
      </c>
      <c r="K2727" t="s">
        <v>54</v>
      </c>
      <c r="L2727">
        <v>2.7</v>
      </c>
      <c r="M2727" t="s">
        <v>152</v>
      </c>
      <c r="N2727" t="s">
        <v>34</v>
      </c>
      <c r="O2727" t="s">
        <v>40</v>
      </c>
      <c r="P2727" t="s">
        <v>152</v>
      </c>
      <c r="Q2727" t="s">
        <v>152</v>
      </c>
      <c r="R2727">
        <v>4</v>
      </c>
      <c r="S2727" t="s">
        <v>59</v>
      </c>
      <c r="T2727" t="str">
        <f t="shared" si="84"/>
        <v>Annually</v>
      </c>
      <c r="U2727">
        <f>VLOOKUP(T2727,[1]tablescore!$B$3:$C$8, 2,FALSE)</f>
        <v>1</v>
      </c>
      <c r="V2727" t="str">
        <f t="shared" si="85"/>
        <v>Low Loyalty</v>
      </c>
      <c r="W2727" t="s">
        <v>50</v>
      </c>
    </row>
    <row r="2728" spans="1:23" x14ac:dyDescent="0.25">
      <c r="A2728">
        <v>2727</v>
      </c>
      <c r="B2728">
        <v>33</v>
      </c>
      <c r="C2728" t="str" cm="1">
        <f t="array" ref="C2728">_xlfn.IFS(
  AND(B2728&gt;=18, B2728&lt;=24), "18-24",
  AND(B2728&gt;=25, B2728&lt;=34), "25-34",
  AND(B2728&gt;=35, B2728&lt;=44), "35-44",
  AND(B2728&gt;=45, B2728&lt;=54), "45-54",
  B2728&gt;=55, "55+"
)</f>
        <v>25-34</v>
      </c>
      <c r="D2728" t="s">
        <v>153</v>
      </c>
      <c r="E2728" t="s">
        <v>136</v>
      </c>
      <c r="F2728" t="s">
        <v>69</v>
      </c>
      <c r="G2728">
        <v>92</v>
      </c>
      <c r="H2728" t="s">
        <v>151</v>
      </c>
      <c r="I2728" t="s">
        <v>23</v>
      </c>
      <c r="J2728" t="s">
        <v>138</v>
      </c>
      <c r="K2728" t="s">
        <v>25</v>
      </c>
      <c r="L2728">
        <v>3.3</v>
      </c>
      <c r="M2728" t="s">
        <v>152</v>
      </c>
      <c r="N2728" t="s">
        <v>59</v>
      </c>
      <c r="O2728" t="s">
        <v>40</v>
      </c>
      <c r="P2728" t="s">
        <v>152</v>
      </c>
      <c r="Q2728" t="s">
        <v>152</v>
      </c>
      <c r="R2728">
        <v>11</v>
      </c>
      <c r="S2728" t="s">
        <v>46</v>
      </c>
      <c r="T2728" t="str">
        <f t="shared" si="84"/>
        <v>2-week</v>
      </c>
      <c r="U2728">
        <f>VLOOKUP(T2728,[1]tablescore!$B$3:$C$8, 2,FALSE)</f>
        <v>26</v>
      </c>
      <c r="V2728" t="str">
        <f t="shared" si="85"/>
        <v>Loyal</v>
      </c>
      <c r="W2728" t="s">
        <v>77</v>
      </c>
    </row>
    <row r="2729" spans="1:23" x14ac:dyDescent="0.25">
      <c r="A2729">
        <v>2728</v>
      </c>
      <c r="B2729">
        <v>40</v>
      </c>
      <c r="C2729" t="str" cm="1">
        <f t="array" ref="C2729">_xlfn.IFS(
  AND(B2729&gt;=18, B2729&lt;=24), "18-24",
  AND(B2729&gt;=25, B2729&lt;=34), "25-34",
  AND(B2729&gt;=35, B2729&lt;=44), "35-44",
  AND(B2729&gt;=45, B2729&lt;=54), "45-54",
  B2729&gt;=55, "55+"
)</f>
        <v>35-44</v>
      </c>
      <c r="D2729" t="s">
        <v>153</v>
      </c>
      <c r="E2729" t="s">
        <v>56</v>
      </c>
      <c r="F2729" t="s">
        <v>21</v>
      </c>
      <c r="G2729">
        <v>87</v>
      </c>
      <c r="H2729" t="s">
        <v>112</v>
      </c>
      <c r="I2729" t="s">
        <v>23</v>
      </c>
      <c r="J2729" t="s">
        <v>63</v>
      </c>
      <c r="K2729" t="s">
        <v>25</v>
      </c>
      <c r="L2729">
        <v>3.7</v>
      </c>
      <c r="M2729" t="s">
        <v>152</v>
      </c>
      <c r="N2729" t="s">
        <v>59</v>
      </c>
      <c r="O2729" t="s">
        <v>72</v>
      </c>
      <c r="P2729" t="s">
        <v>152</v>
      </c>
      <c r="Q2729" t="s">
        <v>152</v>
      </c>
      <c r="R2729">
        <v>47</v>
      </c>
      <c r="S2729" t="s">
        <v>27</v>
      </c>
      <c r="T2729" t="str">
        <f t="shared" si="84"/>
        <v>2-week</v>
      </c>
      <c r="U2729">
        <f>VLOOKUP(T2729,[1]tablescore!$B$3:$C$8, 2,FALSE)</f>
        <v>26</v>
      </c>
      <c r="V2729" t="str">
        <f t="shared" si="85"/>
        <v>Loyal</v>
      </c>
      <c r="W2729" t="s">
        <v>30</v>
      </c>
    </row>
    <row r="2730" spans="1:23" x14ac:dyDescent="0.25">
      <c r="A2730">
        <v>2729</v>
      </c>
      <c r="B2730">
        <v>26</v>
      </c>
      <c r="C2730" t="str" cm="1">
        <f t="array" ref="C2730">_xlfn.IFS(
  AND(B2730&gt;=18, B2730&lt;=24), "18-24",
  AND(B2730&gt;=25, B2730&lt;=34), "25-34",
  AND(B2730&gt;=35, B2730&lt;=44), "35-44",
  AND(B2730&gt;=45, B2730&lt;=54), "45-54",
  B2730&gt;=55, "55+"
)</f>
        <v>25-34</v>
      </c>
      <c r="D2730" t="s">
        <v>153</v>
      </c>
      <c r="E2730" t="s">
        <v>87</v>
      </c>
      <c r="F2730" t="s">
        <v>21</v>
      </c>
      <c r="G2730">
        <v>28</v>
      </c>
      <c r="H2730" t="s">
        <v>103</v>
      </c>
      <c r="I2730" t="s">
        <v>45</v>
      </c>
      <c r="J2730" t="s">
        <v>71</v>
      </c>
      <c r="K2730" t="s">
        <v>25</v>
      </c>
      <c r="L2730">
        <v>4</v>
      </c>
      <c r="M2730" t="s">
        <v>152</v>
      </c>
      <c r="N2730" t="s">
        <v>27</v>
      </c>
      <c r="O2730" t="s">
        <v>28</v>
      </c>
      <c r="P2730" t="s">
        <v>152</v>
      </c>
      <c r="Q2730" t="s">
        <v>152</v>
      </c>
      <c r="R2730">
        <v>17</v>
      </c>
      <c r="S2730" t="s">
        <v>59</v>
      </c>
      <c r="T2730" t="str">
        <f t="shared" si="84"/>
        <v>Daily</v>
      </c>
      <c r="U2730">
        <f>VLOOKUP(T2730,[1]tablescore!$B$3:$C$8, 2,FALSE)</f>
        <v>30</v>
      </c>
      <c r="V2730" t="str">
        <f t="shared" si="85"/>
        <v>Highly Loyal</v>
      </c>
      <c r="W2730" t="s">
        <v>41</v>
      </c>
    </row>
    <row r="2731" spans="1:23" x14ac:dyDescent="0.25">
      <c r="A2731">
        <v>2730</v>
      </c>
      <c r="B2731">
        <v>31</v>
      </c>
      <c r="C2731" t="str" cm="1">
        <f t="array" ref="C2731">_xlfn.IFS(
  AND(B2731&gt;=18, B2731&lt;=24), "18-24",
  AND(B2731&gt;=25, B2731&lt;=34), "25-34",
  AND(B2731&gt;=35, B2731&lt;=44), "35-44",
  AND(B2731&gt;=45, B2731&lt;=54), "45-54",
  B2731&gt;=55, "55+"
)</f>
        <v>25-34</v>
      </c>
      <c r="D2731" t="s">
        <v>153</v>
      </c>
      <c r="E2731" t="s">
        <v>127</v>
      </c>
      <c r="F2731" t="s">
        <v>69</v>
      </c>
      <c r="G2731">
        <v>71</v>
      </c>
      <c r="H2731" t="s">
        <v>57</v>
      </c>
      <c r="I2731" t="s">
        <v>38</v>
      </c>
      <c r="J2731" t="s">
        <v>84</v>
      </c>
      <c r="K2731" t="s">
        <v>54</v>
      </c>
      <c r="L2731">
        <v>4.0999999999999996</v>
      </c>
      <c r="M2731" t="s">
        <v>152</v>
      </c>
      <c r="N2731" t="s">
        <v>59</v>
      </c>
      <c r="O2731" t="s">
        <v>40</v>
      </c>
      <c r="P2731" t="s">
        <v>152</v>
      </c>
      <c r="Q2731" t="s">
        <v>152</v>
      </c>
      <c r="R2731">
        <v>32</v>
      </c>
      <c r="S2731" t="s">
        <v>27</v>
      </c>
      <c r="T2731" t="str">
        <f t="shared" si="84"/>
        <v>Month</v>
      </c>
      <c r="U2731">
        <f>VLOOKUP(T2731,[1]tablescore!$B$3:$C$8, 2,FALSE)</f>
        <v>12</v>
      </c>
      <c r="V2731" t="str">
        <f t="shared" si="85"/>
        <v>Moderate</v>
      </c>
      <c r="W2731" t="s">
        <v>88</v>
      </c>
    </row>
    <row r="2732" spans="1:23" x14ac:dyDescent="0.25">
      <c r="A2732">
        <v>2731</v>
      </c>
      <c r="B2732">
        <v>23</v>
      </c>
      <c r="C2732" t="str" cm="1">
        <f t="array" ref="C2732">_xlfn.IFS(
  AND(B2732&gt;=18, B2732&lt;=24), "18-24",
  AND(B2732&gt;=25, B2732&lt;=34), "25-34",
  AND(B2732&gt;=35, B2732&lt;=44), "35-44",
  AND(B2732&gt;=45, B2732&lt;=54), "45-54",
  B2732&gt;=55, "55+"
)</f>
        <v>18-24</v>
      </c>
      <c r="D2732" t="s">
        <v>153</v>
      </c>
      <c r="E2732" t="s">
        <v>127</v>
      </c>
      <c r="F2732" t="s">
        <v>69</v>
      </c>
      <c r="G2732">
        <v>32</v>
      </c>
      <c r="H2732" t="s">
        <v>148</v>
      </c>
      <c r="I2732" t="s">
        <v>45</v>
      </c>
      <c r="J2732" t="s">
        <v>86</v>
      </c>
      <c r="K2732" t="s">
        <v>25</v>
      </c>
      <c r="L2732">
        <v>4.0999999999999996</v>
      </c>
      <c r="M2732" t="s">
        <v>152</v>
      </c>
      <c r="N2732" t="s">
        <v>34</v>
      </c>
      <c r="O2732" t="s">
        <v>76</v>
      </c>
      <c r="P2732" t="s">
        <v>152</v>
      </c>
      <c r="Q2732" t="s">
        <v>152</v>
      </c>
      <c r="R2732">
        <v>37</v>
      </c>
      <c r="S2732" t="s">
        <v>34</v>
      </c>
      <c r="T2732" t="str">
        <f t="shared" si="84"/>
        <v>Annually</v>
      </c>
      <c r="U2732">
        <f>VLOOKUP(T2732,[1]tablescore!$B$3:$C$8, 2,FALSE)</f>
        <v>1</v>
      </c>
      <c r="V2732" t="str">
        <f t="shared" si="85"/>
        <v>Low Loyalty</v>
      </c>
      <c r="W2732" t="s">
        <v>50</v>
      </c>
    </row>
    <row r="2733" spans="1:23" x14ac:dyDescent="0.25">
      <c r="A2733">
        <v>2732</v>
      </c>
      <c r="B2733">
        <v>52</v>
      </c>
      <c r="C2733" t="str" cm="1">
        <f t="array" ref="C2733">_xlfn.IFS(
  AND(B2733&gt;=18, B2733&lt;=24), "18-24",
  AND(B2733&gt;=25, B2733&lt;=34), "25-34",
  AND(B2733&gt;=35, B2733&lt;=44), "35-44",
  AND(B2733&gt;=45, B2733&lt;=54), "45-54",
  B2733&gt;=55, "55+"
)</f>
        <v>45-54</v>
      </c>
      <c r="D2733" t="s">
        <v>153</v>
      </c>
      <c r="E2733" t="s">
        <v>68</v>
      </c>
      <c r="F2733" t="s">
        <v>69</v>
      </c>
      <c r="G2733">
        <v>33</v>
      </c>
      <c r="H2733" t="s">
        <v>148</v>
      </c>
      <c r="I2733" t="s">
        <v>45</v>
      </c>
      <c r="J2733" t="s">
        <v>108</v>
      </c>
      <c r="K2733" t="s">
        <v>54</v>
      </c>
      <c r="L2733">
        <v>2.5</v>
      </c>
      <c r="M2733" t="s">
        <v>152</v>
      </c>
      <c r="N2733" t="s">
        <v>46</v>
      </c>
      <c r="O2733" t="s">
        <v>72</v>
      </c>
      <c r="P2733" t="s">
        <v>152</v>
      </c>
      <c r="Q2733" t="s">
        <v>152</v>
      </c>
      <c r="R2733">
        <v>44</v>
      </c>
      <c r="S2733" t="s">
        <v>34</v>
      </c>
      <c r="T2733" t="str">
        <f t="shared" si="84"/>
        <v>Quarterly</v>
      </c>
      <c r="U2733">
        <f>VLOOKUP(T2733,[1]tablescore!$B$3:$C$8, 2,FALSE)</f>
        <v>4</v>
      </c>
      <c r="V2733" t="str">
        <f t="shared" si="85"/>
        <v>Low Loyalty</v>
      </c>
      <c r="W2733" t="s">
        <v>60</v>
      </c>
    </row>
    <row r="2734" spans="1:23" x14ac:dyDescent="0.25">
      <c r="A2734">
        <v>2733</v>
      </c>
      <c r="B2734">
        <v>21</v>
      </c>
      <c r="C2734" t="str" cm="1">
        <f t="array" ref="C2734">_xlfn.IFS(
  AND(B2734&gt;=18, B2734&lt;=24), "18-24",
  AND(B2734&gt;=25, B2734&lt;=34), "25-34",
  AND(B2734&gt;=35, B2734&lt;=44), "35-44",
  AND(B2734&gt;=45, B2734&lt;=54), "45-54",
  B2734&gt;=55, "55+"
)</f>
        <v>18-24</v>
      </c>
      <c r="D2734" t="s">
        <v>153</v>
      </c>
      <c r="E2734" t="s">
        <v>131</v>
      </c>
      <c r="F2734" t="s">
        <v>21</v>
      </c>
      <c r="G2734">
        <v>75</v>
      </c>
      <c r="H2734" t="s">
        <v>80</v>
      </c>
      <c r="I2734" t="s">
        <v>23</v>
      </c>
      <c r="J2734" t="s">
        <v>121</v>
      </c>
      <c r="K2734" t="s">
        <v>25</v>
      </c>
      <c r="L2734">
        <v>4.2</v>
      </c>
      <c r="M2734" t="s">
        <v>152</v>
      </c>
      <c r="N2734" t="s">
        <v>27</v>
      </c>
      <c r="O2734" t="s">
        <v>76</v>
      </c>
      <c r="P2734" t="s">
        <v>152</v>
      </c>
      <c r="Q2734" t="s">
        <v>152</v>
      </c>
      <c r="R2734">
        <v>27</v>
      </c>
      <c r="S2734" t="s">
        <v>59</v>
      </c>
      <c r="T2734" t="str">
        <f t="shared" si="84"/>
        <v>Quarterly</v>
      </c>
      <c r="U2734">
        <f>VLOOKUP(T2734,[1]tablescore!$B$3:$C$8, 2,FALSE)</f>
        <v>4</v>
      </c>
      <c r="V2734" t="str">
        <f t="shared" si="85"/>
        <v>Low Loyalty</v>
      </c>
      <c r="W2734" t="s">
        <v>97</v>
      </c>
    </row>
    <row r="2735" spans="1:23" x14ac:dyDescent="0.25">
      <c r="A2735">
        <v>2734</v>
      </c>
      <c r="B2735">
        <v>31</v>
      </c>
      <c r="C2735" t="str" cm="1">
        <f t="array" ref="C2735">_xlfn.IFS(
  AND(B2735&gt;=18, B2735&lt;=24), "18-24",
  AND(B2735&gt;=25, B2735&lt;=34), "25-34",
  AND(B2735&gt;=35, B2735&lt;=44), "35-44",
  AND(B2735&gt;=45, B2735&lt;=54), "45-54",
  B2735&gt;=55, "55+"
)</f>
        <v>25-34</v>
      </c>
      <c r="D2735" t="s">
        <v>153</v>
      </c>
      <c r="E2735" t="s">
        <v>133</v>
      </c>
      <c r="F2735" t="s">
        <v>69</v>
      </c>
      <c r="G2735">
        <v>83</v>
      </c>
      <c r="H2735" t="s">
        <v>98</v>
      </c>
      <c r="I2735" t="s">
        <v>45</v>
      </c>
      <c r="J2735" t="s">
        <v>147</v>
      </c>
      <c r="K2735" t="s">
        <v>54</v>
      </c>
      <c r="L2735">
        <v>4.7</v>
      </c>
      <c r="M2735" t="s">
        <v>152</v>
      </c>
      <c r="N2735" t="s">
        <v>35</v>
      </c>
      <c r="O2735" t="s">
        <v>28</v>
      </c>
      <c r="P2735" t="s">
        <v>152</v>
      </c>
      <c r="Q2735" t="s">
        <v>152</v>
      </c>
      <c r="R2735">
        <v>46</v>
      </c>
      <c r="S2735" t="s">
        <v>46</v>
      </c>
      <c r="T2735" t="str">
        <f t="shared" si="84"/>
        <v>Annually</v>
      </c>
      <c r="U2735">
        <f>VLOOKUP(T2735,[1]tablescore!$B$3:$C$8, 2,FALSE)</f>
        <v>1</v>
      </c>
      <c r="V2735" t="str">
        <f t="shared" si="85"/>
        <v>Low Loyalty</v>
      </c>
      <c r="W2735" t="s">
        <v>50</v>
      </c>
    </row>
    <row r="2736" spans="1:23" x14ac:dyDescent="0.25">
      <c r="A2736">
        <v>2735</v>
      </c>
      <c r="B2736">
        <v>63</v>
      </c>
      <c r="C2736" t="str" cm="1">
        <f t="array" ref="C2736">_xlfn.IFS(
  AND(B2736&gt;=18, B2736&lt;=24), "18-24",
  AND(B2736&gt;=25, B2736&lt;=34), "25-34",
  AND(B2736&gt;=35, B2736&lt;=44), "35-44",
  AND(B2736&gt;=45, B2736&lt;=54), "45-54",
  B2736&gt;=55, "55+"
)</f>
        <v>55+</v>
      </c>
      <c r="D2736" t="s">
        <v>153</v>
      </c>
      <c r="E2736" t="s">
        <v>36</v>
      </c>
      <c r="F2736" t="s">
        <v>21</v>
      </c>
      <c r="G2736">
        <v>93</v>
      </c>
      <c r="H2736" t="s">
        <v>85</v>
      </c>
      <c r="I2736" t="s">
        <v>92</v>
      </c>
      <c r="J2736" t="s">
        <v>139</v>
      </c>
      <c r="K2736" t="s">
        <v>54</v>
      </c>
      <c r="L2736">
        <v>2.7</v>
      </c>
      <c r="M2736" t="s">
        <v>152</v>
      </c>
      <c r="N2736" t="s">
        <v>29</v>
      </c>
      <c r="O2736" t="s">
        <v>72</v>
      </c>
      <c r="P2736" t="s">
        <v>152</v>
      </c>
      <c r="Q2736" t="s">
        <v>152</v>
      </c>
      <c r="R2736">
        <v>13</v>
      </c>
      <c r="S2736" t="s">
        <v>35</v>
      </c>
      <c r="T2736" t="str">
        <f t="shared" si="84"/>
        <v>2-week</v>
      </c>
      <c r="U2736">
        <f>VLOOKUP(T2736,[1]tablescore!$B$3:$C$8, 2,FALSE)</f>
        <v>26</v>
      </c>
      <c r="V2736" t="str">
        <f t="shared" si="85"/>
        <v>Loyal</v>
      </c>
      <c r="W2736" t="s">
        <v>77</v>
      </c>
    </row>
    <row r="2737" spans="1:23" x14ac:dyDescent="0.25">
      <c r="A2737">
        <v>2736</v>
      </c>
      <c r="B2737">
        <v>46</v>
      </c>
      <c r="C2737" t="str" cm="1">
        <f t="array" ref="C2737">_xlfn.IFS(
  AND(B2737&gt;=18, B2737&lt;=24), "18-24",
  AND(B2737&gt;=25, B2737&lt;=34), "25-34",
  AND(B2737&gt;=35, B2737&lt;=44), "35-44",
  AND(B2737&gt;=45, B2737&lt;=54), "45-54",
  B2737&gt;=55, "55+"
)</f>
        <v>45-54</v>
      </c>
      <c r="D2737" t="s">
        <v>153</v>
      </c>
      <c r="E2737" t="s">
        <v>87</v>
      </c>
      <c r="F2737" t="s">
        <v>21</v>
      </c>
      <c r="G2737">
        <v>29</v>
      </c>
      <c r="H2737" t="s">
        <v>99</v>
      </c>
      <c r="I2737" t="s">
        <v>45</v>
      </c>
      <c r="J2737" t="s">
        <v>139</v>
      </c>
      <c r="K2737" t="s">
        <v>39</v>
      </c>
      <c r="L2737">
        <v>3</v>
      </c>
      <c r="M2737" t="s">
        <v>152</v>
      </c>
      <c r="N2737" t="s">
        <v>34</v>
      </c>
      <c r="O2737" t="s">
        <v>28</v>
      </c>
      <c r="P2737" t="s">
        <v>152</v>
      </c>
      <c r="Q2737" t="s">
        <v>152</v>
      </c>
      <c r="R2737">
        <v>2</v>
      </c>
      <c r="S2737" t="s">
        <v>46</v>
      </c>
      <c r="T2737" t="str">
        <f t="shared" si="84"/>
        <v>2-week</v>
      </c>
      <c r="U2737">
        <f>VLOOKUP(T2737,[1]tablescore!$B$3:$C$8, 2,FALSE)</f>
        <v>26</v>
      </c>
      <c r="V2737" t="str">
        <f t="shared" si="85"/>
        <v>Loyal</v>
      </c>
      <c r="W2737" t="s">
        <v>77</v>
      </c>
    </row>
    <row r="2738" spans="1:23" x14ac:dyDescent="0.25">
      <c r="A2738">
        <v>2737</v>
      </c>
      <c r="B2738">
        <v>44</v>
      </c>
      <c r="C2738" t="str" cm="1">
        <f t="array" ref="C2738">_xlfn.IFS(
  AND(B2738&gt;=18, B2738&lt;=24), "18-24",
  AND(B2738&gt;=25, B2738&lt;=34), "25-34",
  AND(B2738&gt;=35, B2738&lt;=44), "35-44",
  AND(B2738&gt;=45, B2738&lt;=54), "45-54",
  B2738&gt;=55, "55+"
)</f>
        <v>35-44</v>
      </c>
      <c r="D2738" t="s">
        <v>153</v>
      </c>
      <c r="E2738" t="s">
        <v>104</v>
      </c>
      <c r="F2738" t="s">
        <v>21</v>
      </c>
      <c r="G2738">
        <v>25</v>
      </c>
      <c r="H2738" t="s">
        <v>57</v>
      </c>
      <c r="I2738" t="s">
        <v>45</v>
      </c>
      <c r="J2738" t="s">
        <v>71</v>
      </c>
      <c r="K2738" t="s">
        <v>39</v>
      </c>
      <c r="L2738">
        <v>4.8</v>
      </c>
      <c r="M2738" t="s">
        <v>152</v>
      </c>
      <c r="N2738" t="s">
        <v>46</v>
      </c>
      <c r="O2738" t="s">
        <v>76</v>
      </c>
      <c r="P2738" t="s">
        <v>152</v>
      </c>
      <c r="Q2738" t="s">
        <v>152</v>
      </c>
      <c r="R2738">
        <v>45</v>
      </c>
      <c r="S2738" t="s">
        <v>27</v>
      </c>
      <c r="T2738" t="str">
        <f t="shared" si="84"/>
        <v>Annually</v>
      </c>
      <c r="U2738">
        <f>VLOOKUP(T2738,[1]tablescore!$B$3:$C$8, 2,FALSE)</f>
        <v>1</v>
      </c>
      <c r="V2738" t="str">
        <f t="shared" si="85"/>
        <v>Low Loyalty</v>
      </c>
      <c r="W2738" t="s">
        <v>50</v>
      </c>
    </row>
    <row r="2739" spans="1:23" x14ac:dyDescent="0.25">
      <c r="A2739">
        <v>2738</v>
      </c>
      <c r="B2739">
        <v>57</v>
      </c>
      <c r="C2739" t="str" cm="1">
        <f t="array" ref="C2739">_xlfn.IFS(
  AND(B2739&gt;=18, B2739&lt;=24), "18-24",
  AND(B2739&gt;=25, B2739&lt;=34), "25-34",
  AND(B2739&gt;=35, B2739&lt;=44), "35-44",
  AND(B2739&gt;=45, B2739&lt;=54), "45-54",
  B2739&gt;=55, "55+"
)</f>
        <v>55+</v>
      </c>
      <c r="D2739" t="s">
        <v>153</v>
      </c>
      <c r="E2739" t="s">
        <v>106</v>
      </c>
      <c r="F2739" t="s">
        <v>69</v>
      </c>
      <c r="G2739">
        <v>76</v>
      </c>
      <c r="H2739" t="s">
        <v>98</v>
      </c>
      <c r="I2739" t="s">
        <v>38</v>
      </c>
      <c r="J2739" t="s">
        <v>129</v>
      </c>
      <c r="K2739" t="s">
        <v>39</v>
      </c>
      <c r="L2739">
        <v>4.4000000000000004</v>
      </c>
      <c r="M2739" t="s">
        <v>152</v>
      </c>
      <c r="N2739" t="s">
        <v>29</v>
      </c>
      <c r="O2739" t="s">
        <v>40</v>
      </c>
      <c r="P2739" t="s">
        <v>152</v>
      </c>
      <c r="Q2739" t="s">
        <v>152</v>
      </c>
      <c r="R2739">
        <v>35</v>
      </c>
      <c r="S2739" t="s">
        <v>35</v>
      </c>
      <c r="T2739" t="str">
        <f t="shared" si="84"/>
        <v>Quarterly</v>
      </c>
      <c r="U2739">
        <f>VLOOKUP(T2739,[1]tablescore!$B$3:$C$8, 2,FALSE)</f>
        <v>4</v>
      </c>
      <c r="V2739" t="str">
        <f t="shared" si="85"/>
        <v>Low Loyalty</v>
      </c>
      <c r="W2739" t="s">
        <v>97</v>
      </c>
    </row>
    <row r="2740" spans="1:23" x14ac:dyDescent="0.25">
      <c r="A2740">
        <v>2739</v>
      </c>
      <c r="B2740">
        <v>50</v>
      </c>
      <c r="C2740" t="str" cm="1">
        <f t="array" ref="C2740">_xlfn.IFS(
  AND(B2740&gt;=18, B2740&lt;=24), "18-24",
  AND(B2740&gt;=25, B2740&lt;=34), "25-34",
  AND(B2740&gt;=35, B2740&lt;=44), "35-44",
  AND(B2740&gt;=45, B2740&lt;=54), "45-54",
  B2740&gt;=55, "55+"
)</f>
        <v>45-54</v>
      </c>
      <c r="D2740" t="s">
        <v>153</v>
      </c>
      <c r="E2740" t="s">
        <v>51</v>
      </c>
      <c r="F2740" t="s">
        <v>43</v>
      </c>
      <c r="G2740">
        <v>81</v>
      </c>
      <c r="H2740" t="s">
        <v>124</v>
      </c>
      <c r="I2740" t="s">
        <v>45</v>
      </c>
      <c r="J2740" t="s">
        <v>63</v>
      </c>
      <c r="K2740" t="s">
        <v>54</v>
      </c>
      <c r="L2740">
        <v>4.3</v>
      </c>
      <c r="M2740" t="s">
        <v>152</v>
      </c>
      <c r="N2740" t="s">
        <v>34</v>
      </c>
      <c r="O2740" t="s">
        <v>72</v>
      </c>
      <c r="P2740" t="s">
        <v>152</v>
      </c>
      <c r="Q2740" t="s">
        <v>152</v>
      </c>
      <c r="R2740">
        <v>39</v>
      </c>
      <c r="S2740" t="s">
        <v>29</v>
      </c>
      <c r="T2740" t="str">
        <f t="shared" si="84"/>
        <v>Quarterly</v>
      </c>
      <c r="U2740">
        <f>VLOOKUP(T2740,[1]tablescore!$B$3:$C$8, 2,FALSE)</f>
        <v>4</v>
      </c>
      <c r="V2740" t="str">
        <f t="shared" si="85"/>
        <v>Low Loyalty</v>
      </c>
      <c r="W2740" t="s">
        <v>97</v>
      </c>
    </row>
    <row r="2741" spans="1:23" x14ac:dyDescent="0.25">
      <c r="A2741">
        <v>2740</v>
      </c>
      <c r="B2741">
        <v>33</v>
      </c>
      <c r="C2741" t="str" cm="1">
        <f t="array" ref="C2741">_xlfn.IFS(
  AND(B2741&gt;=18, B2741&lt;=24), "18-24",
  AND(B2741&gt;=25, B2741&lt;=34), "25-34",
  AND(B2741&gt;=35, B2741&lt;=44), "35-44",
  AND(B2741&gt;=45, B2741&lt;=54), "45-54",
  B2741&gt;=55, "55+"
)</f>
        <v>25-34</v>
      </c>
      <c r="D2741" t="s">
        <v>153</v>
      </c>
      <c r="E2741" t="s">
        <v>56</v>
      </c>
      <c r="F2741" t="s">
        <v>21</v>
      </c>
      <c r="G2741">
        <v>80</v>
      </c>
      <c r="H2741" t="s">
        <v>120</v>
      </c>
      <c r="I2741" t="s">
        <v>92</v>
      </c>
      <c r="J2741" t="s">
        <v>138</v>
      </c>
      <c r="K2741" t="s">
        <v>25</v>
      </c>
      <c r="L2741">
        <v>2.5</v>
      </c>
      <c r="M2741" t="s">
        <v>152</v>
      </c>
      <c r="N2741" t="s">
        <v>29</v>
      </c>
      <c r="O2741" t="s">
        <v>76</v>
      </c>
      <c r="P2741" t="s">
        <v>152</v>
      </c>
      <c r="Q2741" t="s">
        <v>152</v>
      </c>
      <c r="R2741">
        <v>39</v>
      </c>
      <c r="S2741" t="s">
        <v>27</v>
      </c>
      <c r="T2741" t="str">
        <f t="shared" si="84"/>
        <v>Quarterly</v>
      </c>
      <c r="U2741">
        <f>VLOOKUP(T2741,[1]tablescore!$B$3:$C$8, 2,FALSE)</f>
        <v>4</v>
      </c>
      <c r="V2741" t="str">
        <f t="shared" si="85"/>
        <v>Low Loyalty</v>
      </c>
      <c r="W2741" t="s">
        <v>97</v>
      </c>
    </row>
    <row r="2742" spans="1:23" x14ac:dyDescent="0.25">
      <c r="A2742">
        <v>2741</v>
      </c>
      <c r="B2742">
        <v>19</v>
      </c>
      <c r="C2742" t="str" cm="1">
        <f t="array" ref="C2742">_xlfn.IFS(
  AND(B2742&gt;=18, B2742&lt;=24), "18-24",
  AND(B2742&gt;=25, B2742&lt;=34), "25-34",
  AND(B2742&gt;=35, B2742&lt;=44), "35-44",
  AND(B2742&gt;=45, B2742&lt;=54), "45-54",
  B2742&gt;=55, "55+"
)</f>
        <v>18-24</v>
      </c>
      <c r="D2742" t="s">
        <v>153</v>
      </c>
      <c r="E2742" t="s">
        <v>89</v>
      </c>
      <c r="F2742" t="s">
        <v>69</v>
      </c>
      <c r="G2742">
        <v>70</v>
      </c>
      <c r="H2742" t="s">
        <v>141</v>
      </c>
      <c r="I2742" t="s">
        <v>45</v>
      </c>
      <c r="J2742" t="s">
        <v>93</v>
      </c>
      <c r="K2742" t="s">
        <v>54</v>
      </c>
      <c r="L2742">
        <v>4.9000000000000004</v>
      </c>
      <c r="M2742" t="s">
        <v>152</v>
      </c>
      <c r="N2742" t="s">
        <v>27</v>
      </c>
      <c r="O2742" t="s">
        <v>40</v>
      </c>
      <c r="P2742" t="s">
        <v>152</v>
      </c>
      <c r="Q2742" t="s">
        <v>152</v>
      </c>
      <c r="R2742">
        <v>34</v>
      </c>
      <c r="S2742" t="s">
        <v>34</v>
      </c>
      <c r="T2742" t="str">
        <f t="shared" si="84"/>
        <v>2-week</v>
      </c>
      <c r="U2742">
        <f>VLOOKUP(T2742,[1]tablescore!$B$3:$C$8, 2,FALSE)</f>
        <v>26</v>
      </c>
      <c r="V2742" t="str">
        <f t="shared" si="85"/>
        <v>Loyal</v>
      </c>
      <c r="W2742" t="s">
        <v>30</v>
      </c>
    </row>
    <row r="2743" spans="1:23" x14ac:dyDescent="0.25">
      <c r="A2743">
        <v>2742</v>
      </c>
      <c r="B2743">
        <v>68</v>
      </c>
      <c r="C2743" t="str" cm="1">
        <f t="array" ref="C2743">_xlfn.IFS(
  AND(B2743&gt;=18, B2743&lt;=24), "18-24",
  AND(B2743&gt;=25, B2743&lt;=34), "25-34",
  AND(B2743&gt;=35, B2743&lt;=44), "35-44",
  AND(B2743&gt;=45, B2743&lt;=54), "45-54",
  B2743&gt;=55, "55+"
)</f>
        <v>55+</v>
      </c>
      <c r="D2743" t="s">
        <v>153</v>
      </c>
      <c r="E2743" t="s">
        <v>82</v>
      </c>
      <c r="F2743" t="s">
        <v>21</v>
      </c>
      <c r="G2743">
        <v>81</v>
      </c>
      <c r="H2743" t="s">
        <v>32</v>
      </c>
      <c r="I2743" t="s">
        <v>23</v>
      </c>
      <c r="J2743" t="s">
        <v>139</v>
      </c>
      <c r="K2743" t="s">
        <v>58</v>
      </c>
      <c r="L2743">
        <v>4.9000000000000004</v>
      </c>
      <c r="M2743" t="s">
        <v>152</v>
      </c>
      <c r="N2743" t="s">
        <v>46</v>
      </c>
      <c r="O2743" t="s">
        <v>72</v>
      </c>
      <c r="P2743" t="s">
        <v>152</v>
      </c>
      <c r="Q2743" t="s">
        <v>152</v>
      </c>
      <c r="R2743">
        <v>41</v>
      </c>
      <c r="S2743" t="s">
        <v>29</v>
      </c>
      <c r="T2743" t="str">
        <f t="shared" si="84"/>
        <v>Month</v>
      </c>
      <c r="U2743">
        <f>VLOOKUP(T2743,[1]tablescore!$B$3:$C$8, 2,FALSE)</f>
        <v>12</v>
      </c>
      <c r="V2743" t="str">
        <f t="shared" si="85"/>
        <v>Moderate</v>
      </c>
      <c r="W2743" t="s">
        <v>88</v>
      </c>
    </row>
    <row r="2744" spans="1:23" x14ac:dyDescent="0.25">
      <c r="A2744">
        <v>2743</v>
      </c>
      <c r="B2744">
        <v>27</v>
      </c>
      <c r="C2744" t="str" cm="1">
        <f t="array" ref="C2744">_xlfn.IFS(
  AND(B2744&gt;=18, B2744&lt;=24), "18-24",
  AND(B2744&gt;=25, B2744&lt;=34), "25-34",
  AND(B2744&gt;=35, B2744&lt;=44), "35-44",
  AND(B2744&gt;=45, B2744&lt;=54), "45-54",
  B2744&gt;=55, "55+"
)</f>
        <v>25-34</v>
      </c>
      <c r="D2744" t="s">
        <v>153</v>
      </c>
      <c r="E2744" t="s">
        <v>73</v>
      </c>
      <c r="F2744" t="s">
        <v>43</v>
      </c>
      <c r="G2744">
        <v>86</v>
      </c>
      <c r="H2744" t="s">
        <v>105</v>
      </c>
      <c r="I2744" t="s">
        <v>45</v>
      </c>
      <c r="J2744" t="s">
        <v>94</v>
      </c>
      <c r="K2744" t="s">
        <v>39</v>
      </c>
      <c r="L2744">
        <v>3.9</v>
      </c>
      <c r="M2744" t="s">
        <v>152</v>
      </c>
      <c r="N2744" t="s">
        <v>46</v>
      </c>
      <c r="O2744" t="s">
        <v>40</v>
      </c>
      <c r="P2744" t="s">
        <v>152</v>
      </c>
      <c r="Q2744" t="s">
        <v>152</v>
      </c>
      <c r="R2744">
        <v>47</v>
      </c>
      <c r="S2744" t="s">
        <v>59</v>
      </c>
      <c r="T2744" t="str">
        <f t="shared" si="84"/>
        <v>Annually</v>
      </c>
      <c r="U2744">
        <f>VLOOKUP(T2744,[1]tablescore!$B$3:$C$8, 2,FALSE)</f>
        <v>1</v>
      </c>
      <c r="V2744" t="str">
        <f t="shared" si="85"/>
        <v>Low Loyalty</v>
      </c>
      <c r="W2744" t="s">
        <v>50</v>
      </c>
    </row>
    <row r="2745" spans="1:23" x14ac:dyDescent="0.25">
      <c r="A2745">
        <v>2744</v>
      </c>
      <c r="B2745">
        <v>61</v>
      </c>
      <c r="C2745" t="str" cm="1">
        <f t="array" ref="C2745">_xlfn.IFS(
  AND(B2745&gt;=18, B2745&lt;=24), "18-24",
  AND(B2745&gt;=25, B2745&lt;=34), "25-34",
  AND(B2745&gt;=35, B2745&lt;=44), "35-44",
  AND(B2745&gt;=45, B2745&lt;=54), "45-54",
  B2745&gt;=55, "55+"
)</f>
        <v>55+</v>
      </c>
      <c r="D2745" t="s">
        <v>153</v>
      </c>
      <c r="E2745" t="s">
        <v>136</v>
      </c>
      <c r="F2745" t="s">
        <v>69</v>
      </c>
      <c r="G2745">
        <v>94</v>
      </c>
      <c r="H2745" t="s">
        <v>137</v>
      </c>
      <c r="I2745" t="s">
        <v>38</v>
      </c>
      <c r="J2745" t="s">
        <v>118</v>
      </c>
      <c r="K2745" t="s">
        <v>58</v>
      </c>
      <c r="L2745">
        <v>4.0999999999999996</v>
      </c>
      <c r="M2745" t="s">
        <v>152</v>
      </c>
      <c r="N2745" t="s">
        <v>59</v>
      </c>
      <c r="O2745" t="s">
        <v>72</v>
      </c>
      <c r="P2745" t="s">
        <v>152</v>
      </c>
      <c r="Q2745" t="s">
        <v>152</v>
      </c>
      <c r="R2745">
        <v>17</v>
      </c>
      <c r="S2745" t="s">
        <v>29</v>
      </c>
      <c r="T2745" t="str">
        <f t="shared" si="84"/>
        <v>Quarterly</v>
      </c>
      <c r="U2745">
        <f>VLOOKUP(T2745,[1]tablescore!$B$3:$C$8, 2,FALSE)</f>
        <v>4</v>
      </c>
      <c r="V2745" t="str">
        <f t="shared" si="85"/>
        <v>Low Loyalty</v>
      </c>
      <c r="W2745" t="s">
        <v>60</v>
      </c>
    </row>
    <row r="2746" spans="1:23" x14ac:dyDescent="0.25">
      <c r="A2746">
        <v>2745</v>
      </c>
      <c r="B2746">
        <v>38</v>
      </c>
      <c r="C2746" t="str" cm="1">
        <f t="array" ref="C2746">_xlfn.IFS(
  AND(B2746&gt;=18, B2746&lt;=24), "18-24",
  AND(B2746&gt;=25, B2746&lt;=34), "25-34",
  AND(B2746&gt;=35, B2746&lt;=44), "35-44",
  AND(B2746&gt;=45, B2746&lt;=54), "45-54",
  B2746&gt;=55, "55+"
)</f>
        <v>35-44</v>
      </c>
      <c r="D2746" t="s">
        <v>153</v>
      </c>
      <c r="E2746" t="s">
        <v>56</v>
      </c>
      <c r="F2746" t="s">
        <v>21</v>
      </c>
      <c r="G2746">
        <v>66</v>
      </c>
      <c r="H2746" t="s">
        <v>52</v>
      </c>
      <c r="I2746" t="s">
        <v>45</v>
      </c>
      <c r="J2746" t="s">
        <v>67</v>
      </c>
      <c r="K2746" t="s">
        <v>25</v>
      </c>
      <c r="L2746">
        <v>3.3</v>
      </c>
      <c r="M2746" t="s">
        <v>152</v>
      </c>
      <c r="N2746" t="s">
        <v>35</v>
      </c>
      <c r="O2746" t="s">
        <v>76</v>
      </c>
      <c r="P2746" t="s">
        <v>152</v>
      </c>
      <c r="Q2746" t="s">
        <v>152</v>
      </c>
      <c r="R2746">
        <v>40</v>
      </c>
      <c r="S2746" t="s">
        <v>27</v>
      </c>
      <c r="T2746" t="str">
        <f t="shared" si="84"/>
        <v>Month</v>
      </c>
      <c r="U2746">
        <f>VLOOKUP(T2746,[1]tablescore!$B$3:$C$8, 2,FALSE)</f>
        <v>12</v>
      </c>
      <c r="V2746" t="str">
        <f t="shared" si="85"/>
        <v>Moderate</v>
      </c>
      <c r="W2746" t="s">
        <v>88</v>
      </c>
    </row>
    <row r="2747" spans="1:23" x14ac:dyDescent="0.25">
      <c r="A2747">
        <v>2746</v>
      </c>
      <c r="B2747">
        <v>28</v>
      </c>
      <c r="C2747" t="str" cm="1">
        <f t="array" ref="C2747">_xlfn.IFS(
  AND(B2747&gt;=18, B2747&lt;=24), "18-24",
  AND(B2747&gt;=25, B2747&lt;=34), "25-34",
  AND(B2747&gt;=35, B2747&lt;=44), "35-44",
  AND(B2747&gt;=45, B2747&lt;=54), "45-54",
  B2747&gt;=55, "55+"
)</f>
        <v>25-34</v>
      </c>
      <c r="D2747" t="s">
        <v>153</v>
      </c>
      <c r="E2747" t="s">
        <v>132</v>
      </c>
      <c r="F2747" t="s">
        <v>43</v>
      </c>
      <c r="G2747">
        <v>98</v>
      </c>
      <c r="H2747" t="s">
        <v>151</v>
      </c>
      <c r="I2747" t="s">
        <v>45</v>
      </c>
      <c r="J2747" t="s">
        <v>147</v>
      </c>
      <c r="K2747" t="s">
        <v>54</v>
      </c>
      <c r="L2747">
        <v>4.0999999999999996</v>
      </c>
      <c r="M2747" t="s">
        <v>152</v>
      </c>
      <c r="N2747" t="s">
        <v>34</v>
      </c>
      <c r="O2747" t="s">
        <v>55</v>
      </c>
      <c r="P2747" t="s">
        <v>152</v>
      </c>
      <c r="Q2747" t="s">
        <v>152</v>
      </c>
      <c r="R2747">
        <v>44</v>
      </c>
      <c r="S2747" t="s">
        <v>46</v>
      </c>
      <c r="T2747" t="str">
        <f t="shared" si="84"/>
        <v>2-week</v>
      </c>
      <c r="U2747">
        <f>VLOOKUP(T2747,[1]tablescore!$B$3:$C$8, 2,FALSE)</f>
        <v>26</v>
      </c>
      <c r="V2747" t="str">
        <f t="shared" si="85"/>
        <v>Loyal</v>
      </c>
      <c r="W2747" t="s">
        <v>77</v>
      </c>
    </row>
    <row r="2748" spans="1:23" x14ac:dyDescent="0.25">
      <c r="A2748">
        <v>2747</v>
      </c>
      <c r="B2748">
        <v>39</v>
      </c>
      <c r="C2748" t="str" cm="1">
        <f t="array" ref="C2748">_xlfn.IFS(
  AND(B2748&gt;=18, B2748&lt;=24), "18-24",
  AND(B2748&gt;=25, B2748&lt;=34), "25-34",
  AND(B2748&gt;=35, B2748&lt;=44), "35-44",
  AND(B2748&gt;=45, B2748&lt;=54), "45-54",
  B2748&gt;=55, "55+"
)</f>
        <v>35-44</v>
      </c>
      <c r="D2748" t="s">
        <v>153</v>
      </c>
      <c r="E2748" t="s">
        <v>104</v>
      </c>
      <c r="F2748" t="s">
        <v>21</v>
      </c>
      <c r="G2748">
        <v>25</v>
      </c>
      <c r="H2748" t="s">
        <v>124</v>
      </c>
      <c r="I2748" t="s">
        <v>45</v>
      </c>
      <c r="J2748" t="s">
        <v>121</v>
      </c>
      <c r="K2748" t="s">
        <v>58</v>
      </c>
      <c r="L2748">
        <v>3.7</v>
      </c>
      <c r="M2748" t="s">
        <v>152</v>
      </c>
      <c r="N2748" t="s">
        <v>34</v>
      </c>
      <c r="O2748" t="s">
        <v>55</v>
      </c>
      <c r="P2748" t="s">
        <v>152</v>
      </c>
      <c r="Q2748" t="s">
        <v>152</v>
      </c>
      <c r="R2748">
        <v>21</v>
      </c>
      <c r="S2748" t="s">
        <v>46</v>
      </c>
      <c r="T2748" t="str">
        <f t="shared" si="84"/>
        <v>Quarterly</v>
      </c>
      <c r="U2748">
        <f>VLOOKUP(T2748,[1]tablescore!$B$3:$C$8, 2,FALSE)</f>
        <v>4</v>
      </c>
      <c r="V2748" t="str">
        <f t="shared" si="85"/>
        <v>Low Loyalty</v>
      </c>
      <c r="W2748" t="s">
        <v>97</v>
      </c>
    </row>
    <row r="2749" spans="1:23" x14ac:dyDescent="0.25">
      <c r="A2749">
        <v>2748</v>
      </c>
      <c r="B2749">
        <v>18</v>
      </c>
      <c r="C2749" t="str" cm="1">
        <f t="array" ref="C2749">_xlfn.IFS(
  AND(B2749&gt;=18, B2749&lt;=24), "18-24",
  AND(B2749&gt;=25, B2749&lt;=34), "25-34",
  AND(B2749&gt;=35, B2749&lt;=44), "35-44",
  AND(B2749&gt;=45, B2749&lt;=54), "45-54",
  B2749&gt;=55, "55+"
)</f>
        <v>18-24</v>
      </c>
      <c r="D2749" t="s">
        <v>153</v>
      </c>
      <c r="E2749" t="s">
        <v>36</v>
      </c>
      <c r="F2749" t="s">
        <v>21</v>
      </c>
      <c r="G2749">
        <v>62</v>
      </c>
      <c r="H2749" t="s">
        <v>66</v>
      </c>
      <c r="I2749" t="s">
        <v>45</v>
      </c>
      <c r="J2749" t="s">
        <v>86</v>
      </c>
      <c r="K2749" t="s">
        <v>25</v>
      </c>
      <c r="L2749">
        <v>3.1</v>
      </c>
      <c r="M2749" t="s">
        <v>152</v>
      </c>
      <c r="N2749" t="s">
        <v>59</v>
      </c>
      <c r="O2749" t="s">
        <v>40</v>
      </c>
      <c r="P2749" t="s">
        <v>152</v>
      </c>
      <c r="Q2749" t="s">
        <v>152</v>
      </c>
      <c r="R2749">
        <v>21</v>
      </c>
      <c r="S2749" t="s">
        <v>27</v>
      </c>
      <c r="T2749" t="str">
        <f t="shared" si="84"/>
        <v>Quarterly</v>
      </c>
      <c r="U2749">
        <f>VLOOKUP(T2749,[1]tablescore!$B$3:$C$8, 2,FALSE)</f>
        <v>4</v>
      </c>
      <c r="V2749" t="str">
        <f t="shared" si="85"/>
        <v>Low Loyalty</v>
      </c>
      <c r="W2749" t="s">
        <v>97</v>
      </c>
    </row>
    <row r="2750" spans="1:23" x14ac:dyDescent="0.25">
      <c r="A2750">
        <v>2749</v>
      </c>
      <c r="B2750">
        <v>24</v>
      </c>
      <c r="C2750" t="str" cm="1">
        <f t="array" ref="C2750">_xlfn.IFS(
  AND(B2750&gt;=18, B2750&lt;=24), "18-24",
  AND(B2750&gt;=25, B2750&lt;=34), "25-34",
  AND(B2750&gt;=35, B2750&lt;=44), "35-44",
  AND(B2750&gt;=45, B2750&lt;=54), "45-54",
  B2750&gt;=55, "55+"
)</f>
        <v>18-24</v>
      </c>
      <c r="D2750" t="s">
        <v>153</v>
      </c>
      <c r="E2750" t="s">
        <v>102</v>
      </c>
      <c r="F2750" t="s">
        <v>65</v>
      </c>
      <c r="G2750">
        <v>98</v>
      </c>
      <c r="H2750" t="s">
        <v>128</v>
      </c>
      <c r="I2750" t="s">
        <v>23</v>
      </c>
      <c r="J2750" t="s">
        <v>49</v>
      </c>
      <c r="K2750" t="s">
        <v>39</v>
      </c>
      <c r="L2750">
        <v>3</v>
      </c>
      <c r="M2750" t="s">
        <v>152</v>
      </c>
      <c r="N2750" t="s">
        <v>35</v>
      </c>
      <c r="O2750" t="s">
        <v>40</v>
      </c>
      <c r="P2750" t="s">
        <v>152</v>
      </c>
      <c r="Q2750" t="s">
        <v>152</v>
      </c>
      <c r="R2750">
        <v>16</v>
      </c>
      <c r="S2750" t="s">
        <v>29</v>
      </c>
      <c r="T2750" t="str">
        <f t="shared" si="84"/>
        <v>Annually</v>
      </c>
      <c r="U2750">
        <f>VLOOKUP(T2750,[1]tablescore!$B$3:$C$8, 2,FALSE)</f>
        <v>1</v>
      </c>
      <c r="V2750" t="str">
        <f t="shared" si="85"/>
        <v>Low Loyalty</v>
      </c>
      <c r="W2750" t="s">
        <v>50</v>
      </c>
    </row>
    <row r="2751" spans="1:23" x14ac:dyDescent="0.25">
      <c r="A2751">
        <v>2750</v>
      </c>
      <c r="B2751">
        <v>64</v>
      </c>
      <c r="C2751" t="str" cm="1">
        <f t="array" ref="C2751">_xlfn.IFS(
  AND(B2751&gt;=18, B2751&lt;=24), "18-24",
  AND(B2751&gt;=25, B2751&lt;=34), "25-34",
  AND(B2751&gt;=35, B2751&lt;=44), "35-44",
  AND(B2751&gt;=45, B2751&lt;=54), "45-54",
  B2751&gt;=55, "55+"
)</f>
        <v>55+</v>
      </c>
      <c r="D2751" t="s">
        <v>153</v>
      </c>
      <c r="E2751" t="s">
        <v>102</v>
      </c>
      <c r="F2751" t="s">
        <v>65</v>
      </c>
      <c r="G2751">
        <v>53</v>
      </c>
      <c r="H2751" t="s">
        <v>145</v>
      </c>
      <c r="I2751" t="s">
        <v>45</v>
      </c>
      <c r="J2751" t="s">
        <v>109</v>
      </c>
      <c r="K2751" t="s">
        <v>39</v>
      </c>
      <c r="L2751">
        <v>3.4</v>
      </c>
      <c r="M2751" t="s">
        <v>152</v>
      </c>
      <c r="N2751" t="s">
        <v>29</v>
      </c>
      <c r="O2751" t="s">
        <v>55</v>
      </c>
      <c r="P2751" t="s">
        <v>152</v>
      </c>
      <c r="Q2751" t="s">
        <v>152</v>
      </c>
      <c r="R2751">
        <v>15</v>
      </c>
      <c r="S2751" t="s">
        <v>34</v>
      </c>
      <c r="T2751" t="str">
        <f t="shared" si="84"/>
        <v>Annually</v>
      </c>
      <c r="U2751">
        <f>VLOOKUP(T2751,[1]tablescore!$B$3:$C$8, 2,FALSE)</f>
        <v>1</v>
      </c>
      <c r="V2751" t="str">
        <f t="shared" si="85"/>
        <v>Low Loyalty</v>
      </c>
      <c r="W2751" t="s">
        <v>50</v>
      </c>
    </row>
    <row r="2752" spans="1:23" x14ac:dyDescent="0.25">
      <c r="A2752">
        <v>2751</v>
      </c>
      <c r="B2752">
        <v>51</v>
      </c>
      <c r="C2752" t="str" cm="1">
        <f t="array" ref="C2752">_xlfn.IFS(
  AND(B2752&gt;=18, B2752&lt;=24), "18-24",
  AND(B2752&gt;=25, B2752&lt;=34), "25-34",
  AND(B2752&gt;=35, B2752&lt;=44), "35-44",
  AND(B2752&gt;=45, B2752&lt;=54), "45-54",
  B2752&gt;=55, "55+"
)</f>
        <v>45-54</v>
      </c>
      <c r="D2752" t="s">
        <v>153</v>
      </c>
      <c r="E2752" t="s">
        <v>42</v>
      </c>
      <c r="F2752" t="s">
        <v>43</v>
      </c>
      <c r="G2752">
        <v>66</v>
      </c>
      <c r="H2752" t="s">
        <v>120</v>
      </c>
      <c r="I2752" t="s">
        <v>23</v>
      </c>
      <c r="J2752" t="s">
        <v>71</v>
      </c>
      <c r="K2752" t="s">
        <v>39</v>
      </c>
      <c r="L2752">
        <v>2.7</v>
      </c>
      <c r="M2752" t="s">
        <v>152</v>
      </c>
      <c r="N2752" t="s">
        <v>35</v>
      </c>
      <c r="O2752" t="s">
        <v>72</v>
      </c>
      <c r="P2752" t="s">
        <v>152</v>
      </c>
      <c r="Q2752" t="s">
        <v>152</v>
      </c>
      <c r="R2752">
        <v>26</v>
      </c>
      <c r="S2752" t="s">
        <v>46</v>
      </c>
      <c r="T2752" t="str">
        <f t="shared" si="84"/>
        <v>Quarterly</v>
      </c>
      <c r="U2752">
        <f>VLOOKUP(T2752,[1]tablescore!$B$3:$C$8, 2,FALSE)</f>
        <v>4</v>
      </c>
      <c r="V2752" t="str">
        <f t="shared" si="85"/>
        <v>Low Loyalty</v>
      </c>
      <c r="W2752" t="s">
        <v>97</v>
      </c>
    </row>
    <row r="2753" spans="1:23" x14ac:dyDescent="0.25">
      <c r="A2753">
        <v>2752</v>
      </c>
      <c r="B2753">
        <v>27</v>
      </c>
      <c r="C2753" t="str" cm="1">
        <f t="array" ref="C2753">_xlfn.IFS(
  AND(B2753&gt;=18, B2753&lt;=24), "18-24",
  AND(B2753&gt;=25, B2753&lt;=34), "25-34",
  AND(B2753&gt;=35, B2753&lt;=44), "35-44",
  AND(B2753&gt;=45, B2753&lt;=54), "45-54",
  B2753&gt;=55, "55+"
)</f>
        <v>25-34</v>
      </c>
      <c r="D2753" t="s">
        <v>153</v>
      </c>
      <c r="E2753" t="s">
        <v>82</v>
      </c>
      <c r="F2753" t="s">
        <v>21</v>
      </c>
      <c r="G2753">
        <v>52</v>
      </c>
      <c r="H2753" t="s">
        <v>134</v>
      </c>
      <c r="I2753" t="s">
        <v>38</v>
      </c>
      <c r="J2753" t="s">
        <v>129</v>
      </c>
      <c r="K2753" t="s">
        <v>58</v>
      </c>
      <c r="L2753">
        <v>3.1</v>
      </c>
      <c r="M2753" t="s">
        <v>152</v>
      </c>
      <c r="N2753" t="s">
        <v>29</v>
      </c>
      <c r="O2753" t="s">
        <v>40</v>
      </c>
      <c r="P2753" t="s">
        <v>152</v>
      </c>
      <c r="Q2753" t="s">
        <v>152</v>
      </c>
      <c r="R2753">
        <v>50</v>
      </c>
      <c r="S2753" t="s">
        <v>29</v>
      </c>
      <c r="T2753" t="str">
        <f t="shared" si="84"/>
        <v>Month</v>
      </c>
      <c r="U2753">
        <f>VLOOKUP(T2753,[1]tablescore!$B$3:$C$8, 2,FALSE)</f>
        <v>12</v>
      </c>
      <c r="V2753" t="str">
        <f t="shared" si="85"/>
        <v>Moderate</v>
      </c>
      <c r="W2753" t="s">
        <v>88</v>
      </c>
    </row>
    <row r="2754" spans="1:23" x14ac:dyDescent="0.25">
      <c r="A2754">
        <v>2753</v>
      </c>
      <c r="B2754">
        <v>48</v>
      </c>
      <c r="C2754" t="str" cm="1">
        <f t="array" ref="C2754">_xlfn.IFS(
  AND(B2754&gt;=18, B2754&lt;=24), "18-24",
  AND(B2754&gt;=25, B2754&lt;=34), "25-34",
  AND(B2754&gt;=35, B2754&lt;=44), "35-44",
  AND(B2754&gt;=45, B2754&lt;=54), "45-54",
  B2754&gt;=55, "55+"
)</f>
        <v>45-54</v>
      </c>
      <c r="D2754" t="s">
        <v>153</v>
      </c>
      <c r="E2754" t="s">
        <v>31</v>
      </c>
      <c r="F2754" t="s">
        <v>21</v>
      </c>
      <c r="G2754">
        <v>64</v>
      </c>
      <c r="H2754" t="s">
        <v>112</v>
      </c>
      <c r="I2754" t="s">
        <v>38</v>
      </c>
      <c r="J2754" t="s">
        <v>100</v>
      </c>
      <c r="K2754" t="s">
        <v>25</v>
      </c>
      <c r="L2754">
        <v>4</v>
      </c>
      <c r="M2754" t="s">
        <v>152</v>
      </c>
      <c r="N2754" t="s">
        <v>35</v>
      </c>
      <c r="O2754" t="s">
        <v>40</v>
      </c>
      <c r="P2754" t="s">
        <v>152</v>
      </c>
      <c r="Q2754" t="s">
        <v>152</v>
      </c>
      <c r="R2754">
        <v>30</v>
      </c>
      <c r="S2754" t="s">
        <v>29</v>
      </c>
      <c r="T2754" t="str">
        <f t="shared" si="84"/>
        <v>2-week</v>
      </c>
      <c r="U2754">
        <f>VLOOKUP(T2754,[1]tablescore!$B$3:$C$8, 2,FALSE)</f>
        <v>26</v>
      </c>
      <c r="V2754" t="str">
        <f t="shared" si="85"/>
        <v>Loyal</v>
      </c>
      <c r="W2754" t="s">
        <v>77</v>
      </c>
    </row>
    <row r="2755" spans="1:23" x14ac:dyDescent="0.25">
      <c r="A2755">
        <v>2754</v>
      </c>
      <c r="B2755">
        <v>69</v>
      </c>
      <c r="C2755" t="str" cm="1">
        <f t="array" ref="C2755">_xlfn.IFS(
  AND(B2755&gt;=18, B2755&lt;=24), "18-24",
  AND(B2755&gt;=25, B2755&lt;=34), "25-34",
  AND(B2755&gt;=35, B2755&lt;=44), "35-44",
  AND(B2755&gt;=45, B2755&lt;=54), "45-54",
  B2755&gt;=55, "55+"
)</f>
        <v>55+</v>
      </c>
      <c r="D2755" t="s">
        <v>153</v>
      </c>
      <c r="E2755" t="s">
        <v>127</v>
      </c>
      <c r="F2755" t="s">
        <v>69</v>
      </c>
      <c r="G2755">
        <v>59</v>
      </c>
      <c r="H2755" t="s">
        <v>44</v>
      </c>
      <c r="I2755" t="s">
        <v>45</v>
      </c>
      <c r="J2755" t="s">
        <v>118</v>
      </c>
      <c r="K2755" t="s">
        <v>39</v>
      </c>
      <c r="L2755">
        <v>3.6</v>
      </c>
      <c r="M2755" t="s">
        <v>152</v>
      </c>
      <c r="N2755" t="s">
        <v>34</v>
      </c>
      <c r="O2755" t="s">
        <v>47</v>
      </c>
      <c r="P2755" t="s">
        <v>152</v>
      </c>
      <c r="Q2755" t="s">
        <v>152</v>
      </c>
      <c r="R2755">
        <v>48</v>
      </c>
      <c r="S2755" t="s">
        <v>46</v>
      </c>
      <c r="T2755" t="str">
        <f t="shared" ref="T2755:T2818" si="86">IF(TRIM(W2755)="Every 3 months","Quarterly",IF(TRIM(W2755)="Fortnightly","2-week",IF(TRIM(W2755)="Bi-Weekly","2-week",IF(TRIM(W2755)="Weekly","Daily",IF(TRIM(W2755)="Monthly","Month",TRIM(W2755))))))</f>
        <v>Quarterly</v>
      </c>
      <c r="U2755">
        <f>VLOOKUP(T2755,[1]tablescore!$B$3:$C$8, 2,FALSE)</f>
        <v>4</v>
      </c>
      <c r="V2755" t="str">
        <f t="shared" ref="V2755:V2818" si="87">_xlfn.IFS(U2755&gt;=30, "Highly Loyal", U2755&gt;=26, "Loyal", U2755&gt;=12, "Moderate", U2755&lt;5, "Low Loyalty")</f>
        <v>Low Loyalty</v>
      </c>
      <c r="W2755" t="s">
        <v>60</v>
      </c>
    </row>
    <row r="2756" spans="1:23" x14ac:dyDescent="0.25">
      <c r="A2756">
        <v>2755</v>
      </c>
      <c r="B2756">
        <v>59</v>
      </c>
      <c r="C2756" t="str" cm="1">
        <f t="array" ref="C2756">_xlfn.IFS(
  AND(B2756&gt;=18, B2756&lt;=24), "18-24",
  AND(B2756&gt;=25, B2756&lt;=34), "25-34",
  AND(B2756&gt;=35, B2756&lt;=44), "35-44",
  AND(B2756&gt;=45, B2756&lt;=54), "45-54",
  B2756&gt;=55, "55+"
)</f>
        <v>55+</v>
      </c>
      <c r="D2756" t="s">
        <v>153</v>
      </c>
      <c r="E2756" t="s">
        <v>89</v>
      </c>
      <c r="F2756" t="s">
        <v>69</v>
      </c>
      <c r="G2756">
        <v>61</v>
      </c>
      <c r="H2756" t="s">
        <v>137</v>
      </c>
      <c r="I2756" t="s">
        <v>23</v>
      </c>
      <c r="J2756" t="s">
        <v>81</v>
      </c>
      <c r="K2756" t="s">
        <v>54</v>
      </c>
      <c r="L2756">
        <v>3.6</v>
      </c>
      <c r="M2756" t="s">
        <v>152</v>
      </c>
      <c r="N2756" t="s">
        <v>46</v>
      </c>
      <c r="O2756" t="s">
        <v>40</v>
      </c>
      <c r="P2756" t="s">
        <v>152</v>
      </c>
      <c r="Q2756" t="s">
        <v>152</v>
      </c>
      <c r="R2756">
        <v>21</v>
      </c>
      <c r="S2756" t="s">
        <v>29</v>
      </c>
      <c r="T2756" t="str">
        <f t="shared" si="86"/>
        <v>2-week</v>
      </c>
      <c r="U2756">
        <f>VLOOKUP(T2756,[1]tablescore!$B$3:$C$8, 2,FALSE)</f>
        <v>26</v>
      </c>
      <c r="V2756" t="str">
        <f t="shared" si="87"/>
        <v>Loyal</v>
      </c>
      <c r="W2756" t="s">
        <v>77</v>
      </c>
    </row>
    <row r="2757" spans="1:23" x14ac:dyDescent="0.25">
      <c r="A2757">
        <v>2756</v>
      </c>
      <c r="B2757">
        <v>59</v>
      </c>
      <c r="C2757" t="str" cm="1">
        <f t="array" ref="C2757">_xlfn.IFS(
  AND(B2757&gt;=18, B2757&lt;=24), "18-24",
  AND(B2757&gt;=25, B2757&lt;=34), "25-34",
  AND(B2757&gt;=35, B2757&lt;=44), "35-44",
  AND(B2757&gt;=45, B2757&lt;=54), "45-54",
  B2757&gt;=55, "55+"
)</f>
        <v>55+</v>
      </c>
      <c r="D2757" t="s">
        <v>153</v>
      </c>
      <c r="E2757" t="s">
        <v>136</v>
      </c>
      <c r="F2757" t="s">
        <v>69</v>
      </c>
      <c r="G2757">
        <v>97</v>
      </c>
      <c r="H2757" t="s">
        <v>107</v>
      </c>
      <c r="I2757" t="s">
        <v>45</v>
      </c>
      <c r="J2757" t="s">
        <v>129</v>
      </c>
      <c r="K2757" t="s">
        <v>25</v>
      </c>
      <c r="L2757">
        <v>3.3</v>
      </c>
      <c r="M2757" t="s">
        <v>152</v>
      </c>
      <c r="N2757" t="s">
        <v>29</v>
      </c>
      <c r="O2757" t="s">
        <v>76</v>
      </c>
      <c r="P2757" t="s">
        <v>152</v>
      </c>
      <c r="Q2757" t="s">
        <v>152</v>
      </c>
      <c r="R2757">
        <v>18</v>
      </c>
      <c r="S2757" t="s">
        <v>27</v>
      </c>
      <c r="T2757" t="str">
        <f t="shared" si="86"/>
        <v>Annually</v>
      </c>
      <c r="U2757">
        <f>VLOOKUP(T2757,[1]tablescore!$B$3:$C$8, 2,FALSE)</f>
        <v>1</v>
      </c>
      <c r="V2757" t="str">
        <f t="shared" si="87"/>
        <v>Low Loyalty</v>
      </c>
      <c r="W2757" t="s">
        <v>50</v>
      </c>
    </row>
    <row r="2758" spans="1:23" x14ac:dyDescent="0.25">
      <c r="A2758">
        <v>2757</v>
      </c>
      <c r="B2758">
        <v>42</v>
      </c>
      <c r="C2758" t="str" cm="1">
        <f t="array" ref="C2758">_xlfn.IFS(
  AND(B2758&gt;=18, B2758&lt;=24), "18-24",
  AND(B2758&gt;=25, B2758&lt;=34), "25-34",
  AND(B2758&gt;=35, B2758&lt;=44), "35-44",
  AND(B2758&gt;=45, B2758&lt;=54), "45-54",
  B2758&gt;=55, "55+"
)</f>
        <v>35-44</v>
      </c>
      <c r="D2758" t="s">
        <v>153</v>
      </c>
      <c r="E2758" t="s">
        <v>125</v>
      </c>
      <c r="F2758" t="s">
        <v>69</v>
      </c>
      <c r="G2758">
        <v>23</v>
      </c>
      <c r="H2758" t="s">
        <v>134</v>
      </c>
      <c r="I2758" t="s">
        <v>23</v>
      </c>
      <c r="J2758" t="s">
        <v>84</v>
      </c>
      <c r="K2758" t="s">
        <v>25</v>
      </c>
      <c r="L2758">
        <v>4.0999999999999996</v>
      </c>
      <c r="M2758" t="s">
        <v>152</v>
      </c>
      <c r="N2758" t="s">
        <v>34</v>
      </c>
      <c r="O2758" t="s">
        <v>40</v>
      </c>
      <c r="P2758" t="s">
        <v>152</v>
      </c>
      <c r="Q2758" t="s">
        <v>152</v>
      </c>
      <c r="R2758">
        <v>41</v>
      </c>
      <c r="S2758" t="s">
        <v>46</v>
      </c>
      <c r="T2758" t="str">
        <f t="shared" si="86"/>
        <v>Month</v>
      </c>
      <c r="U2758">
        <f>VLOOKUP(T2758,[1]tablescore!$B$3:$C$8, 2,FALSE)</f>
        <v>12</v>
      </c>
      <c r="V2758" t="str">
        <f t="shared" si="87"/>
        <v>Moderate</v>
      </c>
      <c r="W2758" t="s">
        <v>88</v>
      </c>
    </row>
    <row r="2759" spans="1:23" x14ac:dyDescent="0.25">
      <c r="A2759">
        <v>2758</v>
      </c>
      <c r="B2759">
        <v>39</v>
      </c>
      <c r="C2759" t="str" cm="1">
        <f t="array" ref="C2759">_xlfn.IFS(
  AND(B2759&gt;=18, B2759&lt;=24), "18-24",
  AND(B2759&gt;=25, B2759&lt;=34), "25-34",
  AND(B2759&gt;=35, B2759&lt;=44), "35-44",
  AND(B2759&gt;=45, B2759&lt;=54), "45-54",
  B2759&gt;=55, "55+"
)</f>
        <v>35-44</v>
      </c>
      <c r="D2759" t="s">
        <v>153</v>
      </c>
      <c r="E2759" t="s">
        <v>125</v>
      </c>
      <c r="F2759" t="s">
        <v>69</v>
      </c>
      <c r="G2759">
        <v>98</v>
      </c>
      <c r="H2759" t="s">
        <v>80</v>
      </c>
      <c r="I2759" t="s">
        <v>92</v>
      </c>
      <c r="J2759" t="s">
        <v>110</v>
      </c>
      <c r="K2759" t="s">
        <v>58</v>
      </c>
      <c r="L2759">
        <v>4.3</v>
      </c>
      <c r="M2759" t="s">
        <v>152</v>
      </c>
      <c r="N2759" t="s">
        <v>35</v>
      </c>
      <c r="O2759" t="s">
        <v>47</v>
      </c>
      <c r="P2759" t="s">
        <v>152</v>
      </c>
      <c r="Q2759" t="s">
        <v>152</v>
      </c>
      <c r="R2759">
        <v>11</v>
      </c>
      <c r="S2759" t="s">
        <v>29</v>
      </c>
      <c r="T2759" t="str">
        <f t="shared" si="86"/>
        <v>Month</v>
      </c>
      <c r="U2759">
        <f>VLOOKUP(T2759,[1]tablescore!$B$3:$C$8, 2,FALSE)</f>
        <v>12</v>
      </c>
      <c r="V2759" t="str">
        <f t="shared" si="87"/>
        <v>Moderate</v>
      </c>
      <c r="W2759" t="s">
        <v>88</v>
      </c>
    </row>
    <row r="2760" spans="1:23" x14ac:dyDescent="0.25">
      <c r="A2760">
        <v>2759</v>
      </c>
      <c r="B2760">
        <v>32</v>
      </c>
      <c r="C2760" t="str" cm="1">
        <f t="array" ref="C2760">_xlfn.IFS(
  AND(B2760&gt;=18, B2760&lt;=24), "18-24",
  AND(B2760&gt;=25, B2760&lt;=34), "25-34",
  AND(B2760&gt;=35, B2760&lt;=44), "35-44",
  AND(B2760&gt;=45, B2760&lt;=54), "45-54",
  B2760&gt;=55, "55+"
)</f>
        <v>25-34</v>
      </c>
      <c r="D2760" t="s">
        <v>153</v>
      </c>
      <c r="E2760" t="s">
        <v>20</v>
      </c>
      <c r="F2760" t="s">
        <v>21</v>
      </c>
      <c r="G2760">
        <v>98</v>
      </c>
      <c r="H2760" t="s">
        <v>115</v>
      </c>
      <c r="I2760" t="s">
        <v>45</v>
      </c>
      <c r="J2760" t="s">
        <v>75</v>
      </c>
      <c r="K2760" t="s">
        <v>54</v>
      </c>
      <c r="L2760">
        <v>3.2</v>
      </c>
      <c r="M2760" t="s">
        <v>152</v>
      </c>
      <c r="N2760" t="s">
        <v>59</v>
      </c>
      <c r="O2760" t="s">
        <v>55</v>
      </c>
      <c r="P2760" t="s">
        <v>152</v>
      </c>
      <c r="Q2760" t="s">
        <v>152</v>
      </c>
      <c r="R2760">
        <v>8</v>
      </c>
      <c r="S2760" t="s">
        <v>34</v>
      </c>
      <c r="T2760" t="str">
        <f t="shared" si="86"/>
        <v>2-week</v>
      </c>
      <c r="U2760">
        <f>VLOOKUP(T2760,[1]tablescore!$B$3:$C$8, 2,FALSE)</f>
        <v>26</v>
      </c>
      <c r="V2760" t="str">
        <f t="shared" si="87"/>
        <v>Loyal</v>
      </c>
      <c r="W2760" t="s">
        <v>77</v>
      </c>
    </row>
    <row r="2761" spans="1:23" x14ac:dyDescent="0.25">
      <c r="A2761">
        <v>2760</v>
      </c>
      <c r="B2761">
        <v>68</v>
      </c>
      <c r="C2761" t="str" cm="1">
        <f t="array" ref="C2761">_xlfn.IFS(
  AND(B2761&gt;=18, B2761&lt;=24), "18-24",
  AND(B2761&gt;=25, B2761&lt;=34), "25-34",
  AND(B2761&gt;=35, B2761&lt;=44), "35-44",
  AND(B2761&gt;=45, B2761&lt;=54), "45-54",
  B2761&gt;=55, "55+"
)</f>
        <v>55+</v>
      </c>
      <c r="D2761" t="s">
        <v>153</v>
      </c>
      <c r="E2761" t="s">
        <v>73</v>
      </c>
      <c r="F2761" t="s">
        <v>43</v>
      </c>
      <c r="G2761">
        <v>59</v>
      </c>
      <c r="H2761" t="s">
        <v>140</v>
      </c>
      <c r="I2761" t="s">
        <v>45</v>
      </c>
      <c r="J2761" t="s">
        <v>49</v>
      </c>
      <c r="K2761" t="s">
        <v>54</v>
      </c>
      <c r="L2761">
        <v>3.9</v>
      </c>
      <c r="M2761" t="s">
        <v>152</v>
      </c>
      <c r="N2761" t="s">
        <v>27</v>
      </c>
      <c r="O2761" t="s">
        <v>40</v>
      </c>
      <c r="P2761" t="s">
        <v>152</v>
      </c>
      <c r="Q2761" t="s">
        <v>152</v>
      </c>
      <c r="R2761">
        <v>42</v>
      </c>
      <c r="S2761" t="s">
        <v>35</v>
      </c>
      <c r="T2761" t="str">
        <f t="shared" si="86"/>
        <v>Quarterly</v>
      </c>
      <c r="U2761">
        <f>VLOOKUP(T2761,[1]tablescore!$B$3:$C$8, 2,FALSE)</f>
        <v>4</v>
      </c>
      <c r="V2761" t="str">
        <f t="shared" si="87"/>
        <v>Low Loyalty</v>
      </c>
      <c r="W2761" t="s">
        <v>97</v>
      </c>
    </row>
    <row r="2762" spans="1:23" x14ac:dyDescent="0.25">
      <c r="A2762">
        <v>2761</v>
      </c>
      <c r="B2762">
        <v>41</v>
      </c>
      <c r="C2762" t="str" cm="1">
        <f t="array" ref="C2762">_xlfn.IFS(
  AND(B2762&gt;=18, B2762&lt;=24), "18-24",
  AND(B2762&gt;=25, B2762&lt;=34), "25-34",
  AND(B2762&gt;=35, B2762&lt;=44), "35-44",
  AND(B2762&gt;=45, B2762&lt;=54), "45-54",
  B2762&gt;=55, "55+"
)</f>
        <v>35-44</v>
      </c>
      <c r="D2762" t="s">
        <v>153</v>
      </c>
      <c r="E2762" t="s">
        <v>87</v>
      </c>
      <c r="F2762" t="s">
        <v>21</v>
      </c>
      <c r="G2762">
        <v>82</v>
      </c>
      <c r="H2762" t="s">
        <v>120</v>
      </c>
      <c r="I2762" t="s">
        <v>38</v>
      </c>
      <c r="J2762" t="s">
        <v>84</v>
      </c>
      <c r="K2762" t="s">
        <v>58</v>
      </c>
      <c r="L2762">
        <v>5</v>
      </c>
      <c r="M2762" t="s">
        <v>152</v>
      </c>
      <c r="N2762" t="s">
        <v>34</v>
      </c>
      <c r="O2762" t="s">
        <v>47</v>
      </c>
      <c r="P2762" t="s">
        <v>152</v>
      </c>
      <c r="Q2762" t="s">
        <v>152</v>
      </c>
      <c r="R2762">
        <v>41</v>
      </c>
      <c r="S2762" t="s">
        <v>27</v>
      </c>
      <c r="T2762" t="str">
        <f t="shared" si="86"/>
        <v>2-week</v>
      </c>
      <c r="U2762">
        <f>VLOOKUP(T2762,[1]tablescore!$B$3:$C$8, 2,FALSE)</f>
        <v>26</v>
      </c>
      <c r="V2762" t="str">
        <f t="shared" si="87"/>
        <v>Loyal</v>
      </c>
      <c r="W2762" t="s">
        <v>77</v>
      </c>
    </row>
    <row r="2763" spans="1:23" x14ac:dyDescent="0.25">
      <c r="A2763">
        <v>2762</v>
      </c>
      <c r="B2763">
        <v>31</v>
      </c>
      <c r="C2763" t="str" cm="1">
        <f t="array" ref="C2763">_xlfn.IFS(
  AND(B2763&gt;=18, B2763&lt;=24), "18-24",
  AND(B2763&gt;=25, B2763&lt;=34), "25-34",
  AND(B2763&gt;=35, B2763&lt;=44), "35-44",
  AND(B2763&gt;=45, B2763&lt;=54), "45-54",
  B2763&gt;=55, "55+"
)</f>
        <v>25-34</v>
      </c>
      <c r="D2763" t="s">
        <v>153</v>
      </c>
      <c r="E2763" t="s">
        <v>51</v>
      </c>
      <c r="F2763" t="s">
        <v>43</v>
      </c>
      <c r="G2763">
        <v>82</v>
      </c>
      <c r="H2763" t="s">
        <v>151</v>
      </c>
      <c r="I2763" t="s">
        <v>45</v>
      </c>
      <c r="J2763" t="s">
        <v>75</v>
      </c>
      <c r="K2763" t="s">
        <v>58</v>
      </c>
      <c r="L2763">
        <v>3.4</v>
      </c>
      <c r="M2763" t="s">
        <v>152</v>
      </c>
      <c r="N2763" t="s">
        <v>29</v>
      </c>
      <c r="O2763" t="s">
        <v>47</v>
      </c>
      <c r="P2763" t="s">
        <v>152</v>
      </c>
      <c r="Q2763" t="s">
        <v>152</v>
      </c>
      <c r="R2763">
        <v>3</v>
      </c>
      <c r="S2763" t="s">
        <v>27</v>
      </c>
      <c r="T2763" t="str">
        <f t="shared" si="86"/>
        <v>Quarterly</v>
      </c>
      <c r="U2763">
        <f>VLOOKUP(T2763,[1]tablescore!$B$3:$C$8, 2,FALSE)</f>
        <v>4</v>
      </c>
      <c r="V2763" t="str">
        <f t="shared" si="87"/>
        <v>Low Loyalty</v>
      </c>
      <c r="W2763" t="s">
        <v>97</v>
      </c>
    </row>
    <row r="2764" spans="1:23" x14ac:dyDescent="0.25">
      <c r="A2764">
        <v>2763</v>
      </c>
      <c r="B2764">
        <v>58</v>
      </c>
      <c r="C2764" t="str" cm="1">
        <f t="array" ref="C2764">_xlfn.IFS(
  AND(B2764&gt;=18, B2764&lt;=24), "18-24",
  AND(B2764&gt;=25, B2764&lt;=34), "25-34",
  AND(B2764&gt;=35, B2764&lt;=44), "35-44",
  AND(B2764&gt;=45, B2764&lt;=54), "45-54",
  B2764&gt;=55, "55+"
)</f>
        <v>55+</v>
      </c>
      <c r="D2764" t="s">
        <v>153</v>
      </c>
      <c r="E2764" t="s">
        <v>113</v>
      </c>
      <c r="F2764" t="s">
        <v>21</v>
      </c>
      <c r="G2764">
        <v>41</v>
      </c>
      <c r="H2764" t="s">
        <v>142</v>
      </c>
      <c r="I2764" t="s">
        <v>45</v>
      </c>
      <c r="J2764" t="s">
        <v>63</v>
      </c>
      <c r="K2764" t="s">
        <v>58</v>
      </c>
      <c r="L2764">
        <v>3.8</v>
      </c>
      <c r="M2764" t="s">
        <v>152</v>
      </c>
      <c r="N2764" t="s">
        <v>34</v>
      </c>
      <c r="O2764" t="s">
        <v>76</v>
      </c>
      <c r="P2764" t="s">
        <v>152</v>
      </c>
      <c r="Q2764" t="s">
        <v>152</v>
      </c>
      <c r="R2764">
        <v>10</v>
      </c>
      <c r="S2764" t="s">
        <v>59</v>
      </c>
      <c r="T2764" t="str">
        <f t="shared" si="86"/>
        <v>Quarterly</v>
      </c>
      <c r="U2764">
        <f>VLOOKUP(T2764,[1]tablescore!$B$3:$C$8, 2,FALSE)</f>
        <v>4</v>
      </c>
      <c r="V2764" t="str">
        <f t="shared" si="87"/>
        <v>Low Loyalty</v>
      </c>
      <c r="W2764" t="s">
        <v>97</v>
      </c>
    </row>
    <row r="2765" spans="1:23" x14ac:dyDescent="0.25">
      <c r="A2765">
        <v>2764</v>
      </c>
      <c r="B2765">
        <v>28</v>
      </c>
      <c r="C2765" t="str" cm="1">
        <f t="array" ref="C2765">_xlfn.IFS(
  AND(B2765&gt;=18, B2765&lt;=24), "18-24",
  AND(B2765&gt;=25, B2765&lt;=34), "25-34",
  AND(B2765&gt;=35, B2765&lt;=44), "35-44",
  AND(B2765&gt;=45, B2765&lt;=54), "45-54",
  B2765&gt;=55, "55+"
)</f>
        <v>25-34</v>
      </c>
      <c r="D2765" t="s">
        <v>153</v>
      </c>
      <c r="E2765" t="s">
        <v>68</v>
      </c>
      <c r="F2765" t="s">
        <v>69</v>
      </c>
      <c r="G2765">
        <v>52</v>
      </c>
      <c r="H2765" t="s">
        <v>66</v>
      </c>
      <c r="I2765" t="s">
        <v>45</v>
      </c>
      <c r="J2765" t="s">
        <v>96</v>
      </c>
      <c r="K2765" t="s">
        <v>58</v>
      </c>
      <c r="L2765">
        <v>2.9</v>
      </c>
      <c r="M2765" t="s">
        <v>152</v>
      </c>
      <c r="N2765" t="s">
        <v>29</v>
      </c>
      <c r="O2765" t="s">
        <v>72</v>
      </c>
      <c r="P2765" t="s">
        <v>152</v>
      </c>
      <c r="Q2765" t="s">
        <v>152</v>
      </c>
      <c r="R2765">
        <v>35</v>
      </c>
      <c r="S2765" t="s">
        <v>29</v>
      </c>
      <c r="T2765" t="str">
        <f t="shared" si="86"/>
        <v>Quarterly</v>
      </c>
      <c r="U2765">
        <f>VLOOKUP(T2765,[1]tablescore!$B$3:$C$8, 2,FALSE)</f>
        <v>4</v>
      </c>
      <c r="V2765" t="str">
        <f t="shared" si="87"/>
        <v>Low Loyalty</v>
      </c>
      <c r="W2765" t="s">
        <v>60</v>
      </c>
    </row>
    <row r="2766" spans="1:23" x14ac:dyDescent="0.25">
      <c r="A2766">
        <v>2765</v>
      </c>
      <c r="B2766">
        <v>63</v>
      </c>
      <c r="C2766" t="str" cm="1">
        <f t="array" ref="C2766">_xlfn.IFS(
  AND(B2766&gt;=18, B2766&lt;=24), "18-24",
  AND(B2766&gt;=25, B2766&lt;=34), "25-34",
  AND(B2766&gt;=35, B2766&lt;=44), "35-44",
  AND(B2766&gt;=45, B2766&lt;=54), "45-54",
  B2766&gt;=55, "55+"
)</f>
        <v>55+</v>
      </c>
      <c r="D2766" t="s">
        <v>153</v>
      </c>
      <c r="E2766" t="s">
        <v>31</v>
      </c>
      <c r="F2766" t="s">
        <v>21</v>
      </c>
      <c r="G2766">
        <v>41</v>
      </c>
      <c r="H2766" t="s">
        <v>117</v>
      </c>
      <c r="I2766" t="s">
        <v>92</v>
      </c>
      <c r="J2766" t="s">
        <v>53</v>
      </c>
      <c r="K2766" t="s">
        <v>39</v>
      </c>
      <c r="L2766">
        <v>2.6</v>
      </c>
      <c r="M2766" t="s">
        <v>152</v>
      </c>
      <c r="N2766" t="s">
        <v>27</v>
      </c>
      <c r="O2766" t="s">
        <v>47</v>
      </c>
      <c r="P2766" t="s">
        <v>152</v>
      </c>
      <c r="Q2766" t="s">
        <v>152</v>
      </c>
      <c r="R2766">
        <v>2</v>
      </c>
      <c r="S2766" t="s">
        <v>59</v>
      </c>
      <c r="T2766" t="str">
        <f t="shared" si="86"/>
        <v>Daily</v>
      </c>
      <c r="U2766">
        <f>VLOOKUP(T2766,[1]tablescore!$B$3:$C$8, 2,FALSE)</f>
        <v>30</v>
      </c>
      <c r="V2766" t="str">
        <f t="shared" si="87"/>
        <v>Highly Loyal</v>
      </c>
      <c r="W2766" t="s">
        <v>41</v>
      </c>
    </row>
    <row r="2767" spans="1:23" x14ac:dyDescent="0.25">
      <c r="A2767">
        <v>2766</v>
      </c>
      <c r="B2767">
        <v>64</v>
      </c>
      <c r="C2767" t="str" cm="1">
        <f t="array" ref="C2767">_xlfn.IFS(
  AND(B2767&gt;=18, B2767&lt;=24), "18-24",
  AND(B2767&gt;=25, B2767&lt;=34), "25-34",
  AND(B2767&gt;=35, B2767&lt;=44), "35-44",
  AND(B2767&gt;=45, B2767&lt;=54), "45-54",
  B2767&gt;=55, "55+"
)</f>
        <v>55+</v>
      </c>
      <c r="D2767" t="s">
        <v>153</v>
      </c>
      <c r="E2767" t="s">
        <v>127</v>
      </c>
      <c r="F2767" t="s">
        <v>69</v>
      </c>
      <c r="G2767">
        <v>70</v>
      </c>
      <c r="H2767" t="s">
        <v>112</v>
      </c>
      <c r="I2767" t="s">
        <v>45</v>
      </c>
      <c r="J2767" t="s">
        <v>75</v>
      </c>
      <c r="K2767" t="s">
        <v>54</v>
      </c>
      <c r="L2767">
        <v>4.3</v>
      </c>
      <c r="M2767" t="s">
        <v>152</v>
      </c>
      <c r="N2767" t="s">
        <v>35</v>
      </c>
      <c r="O2767" t="s">
        <v>72</v>
      </c>
      <c r="P2767" t="s">
        <v>152</v>
      </c>
      <c r="Q2767" t="s">
        <v>152</v>
      </c>
      <c r="R2767">
        <v>24</v>
      </c>
      <c r="S2767" t="s">
        <v>27</v>
      </c>
      <c r="T2767" t="str">
        <f t="shared" si="86"/>
        <v>Quarterly</v>
      </c>
      <c r="U2767">
        <f>VLOOKUP(T2767,[1]tablescore!$B$3:$C$8, 2,FALSE)</f>
        <v>4</v>
      </c>
      <c r="V2767" t="str">
        <f t="shared" si="87"/>
        <v>Low Loyalty</v>
      </c>
      <c r="W2767" t="s">
        <v>60</v>
      </c>
    </row>
    <row r="2768" spans="1:23" x14ac:dyDescent="0.25">
      <c r="A2768">
        <v>2767</v>
      </c>
      <c r="B2768">
        <v>66</v>
      </c>
      <c r="C2768" t="str" cm="1">
        <f t="array" ref="C2768">_xlfn.IFS(
  AND(B2768&gt;=18, B2768&lt;=24), "18-24",
  AND(B2768&gt;=25, B2768&lt;=34), "25-34",
  AND(B2768&gt;=35, B2768&lt;=44), "35-44",
  AND(B2768&gt;=45, B2768&lt;=54), "45-54",
  B2768&gt;=55, "55+"
)</f>
        <v>55+</v>
      </c>
      <c r="D2768" t="s">
        <v>153</v>
      </c>
      <c r="E2768" t="s">
        <v>82</v>
      </c>
      <c r="F2768" t="s">
        <v>21</v>
      </c>
      <c r="G2768">
        <v>91</v>
      </c>
      <c r="H2768" t="s">
        <v>122</v>
      </c>
      <c r="I2768" t="s">
        <v>45</v>
      </c>
      <c r="J2768" t="s">
        <v>109</v>
      </c>
      <c r="K2768" t="s">
        <v>25</v>
      </c>
      <c r="L2768">
        <v>2.8</v>
      </c>
      <c r="M2768" t="s">
        <v>152</v>
      </c>
      <c r="N2768" t="s">
        <v>29</v>
      </c>
      <c r="O2768" t="s">
        <v>55</v>
      </c>
      <c r="P2768" t="s">
        <v>152</v>
      </c>
      <c r="Q2768" t="s">
        <v>152</v>
      </c>
      <c r="R2768">
        <v>47</v>
      </c>
      <c r="S2768" t="s">
        <v>27</v>
      </c>
      <c r="T2768" t="str">
        <f t="shared" si="86"/>
        <v>Month</v>
      </c>
      <c r="U2768">
        <f>VLOOKUP(T2768,[1]tablescore!$B$3:$C$8, 2,FALSE)</f>
        <v>12</v>
      </c>
      <c r="V2768" t="str">
        <f t="shared" si="87"/>
        <v>Moderate</v>
      </c>
      <c r="W2768" t="s">
        <v>88</v>
      </c>
    </row>
    <row r="2769" spans="1:23" x14ac:dyDescent="0.25">
      <c r="A2769">
        <v>2768</v>
      </c>
      <c r="B2769">
        <v>31</v>
      </c>
      <c r="C2769" t="str" cm="1">
        <f t="array" ref="C2769">_xlfn.IFS(
  AND(B2769&gt;=18, B2769&lt;=24), "18-24",
  AND(B2769&gt;=25, B2769&lt;=34), "25-34",
  AND(B2769&gt;=35, B2769&lt;=44), "35-44",
  AND(B2769&gt;=45, B2769&lt;=54), "45-54",
  B2769&gt;=55, "55+"
)</f>
        <v>25-34</v>
      </c>
      <c r="D2769" t="s">
        <v>153</v>
      </c>
      <c r="E2769" t="s">
        <v>82</v>
      </c>
      <c r="F2769" t="s">
        <v>21</v>
      </c>
      <c r="G2769">
        <v>95</v>
      </c>
      <c r="H2769" t="s">
        <v>150</v>
      </c>
      <c r="I2769" t="s">
        <v>45</v>
      </c>
      <c r="J2769" t="s">
        <v>96</v>
      </c>
      <c r="K2769" t="s">
        <v>39</v>
      </c>
      <c r="L2769">
        <v>4.5</v>
      </c>
      <c r="M2769" t="s">
        <v>152</v>
      </c>
      <c r="N2769" t="s">
        <v>27</v>
      </c>
      <c r="O2769" t="s">
        <v>40</v>
      </c>
      <c r="P2769" t="s">
        <v>152</v>
      </c>
      <c r="Q2769" t="s">
        <v>152</v>
      </c>
      <c r="R2769">
        <v>31</v>
      </c>
      <c r="S2769" t="s">
        <v>35</v>
      </c>
      <c r="T2769" t="str">
        <f t="shared" si="86"/>
        <v>Month</v>
      </c>
      <c r="U2769">
        <f>VLOOKUP(T2769,[1]tablescore!$B$3:$C$8, 2,FALSE)</f>
        <v>12</v>
      </c>
      <c r="V2769" t="str">
        <f t="shared" si="87"/>
        <v>Moderate</v>
      </c>
      <c r="W2769" t="s">
        <v>88</v>
      </c>
    </row>
    <row r="2770" spans="1:23" x14ac:dyDescent="0.25">
      <c r="A2770">
        <v>2769</v>
      </c>
      <c r="B2770">
        <v>55</v>
      </c>
      <c r="C2770" t="str" cm="1">
        <f t="array" ref="C2770">_xlfn.IFS(
  AND(B2770&gt;=18, B2770&lt;=24), "18-24",
  AND(B2770&gt;=25, B2770&lt;=34), "25-34",
  AND(B2770&gt;=35, B2770&lt;=44), "35-44",
  AND(B2770&gt;=45, B2770&lt;=54), "45-54",
  B2770&gt;=55, "55+"
)</f>
        <v>55+</v>
      </c>
      <c r="D2770" t="s">
        <v>153</v>
      </c>
      <c r="E2770" t="s">
        <v>20</v>
      </c>
      <c r="F2770" t="s">
        <v>21</v>
      </c>
      <c r="G2770">
        <v>25</v>
      </c>
      <c r="H2770" t="s">
        <v>111</v>
      </c>
      <c r="I2770" t="s">
        <v>45</v>
      </c>
      <c r="J2770" t="s">
        <v>118</v>
      </c>
      <c r="K2770" t="s">
        <v>39</v>
      </c>
      <c r="L2770">
        <v>3.8</v>
      </c>
      <c r="M2770" t="s">
        <v>152</v>
      </c>
      <c r="N2770" t="s">
        <v>29</v>
      </c>
      <c r="O2770" t="s">
        <v>72</v>
      </c>
      <c r="P2770" t="s">
        <v>152</v>
      </c>
      <c r="Q2770" t="s">
        <v>152</v>
      </c>
      <c r="R2770">
        <v>28</v>
      </c>
      <c r="S2770" t="s">
        <v>46</v>
      </c>
      <c r="T2770" t="str">
        <f t="shared" si="86"/>
        <v>2-week</v>
      </c>
      <c r="U2770">
        <f>VLOOKUP(T2770,[1]tablescore!$B$3:$C$8, 2,FALSE)</f>
        <v>26</v>
      </c>
      <c r="V2770" t="str">
        <f t="shared" si="87"/>
        <v>Loyal</v>
      </c>
      <c r="W2770" t="s">
        <v>77</v>
      </c>
    </row>
    <row r="2771" spans="1:23" x14ac:dyDescent="0.25">
      <c r="A2771">
        <v>2770</v>
      </c>
      <c r="B2771">
        <v>32</v>
      </c>
      <c r="C2771" t="str" cm="1">
        <f t="array" ref="C2771">_xlfn.IFS(
  AND(B2771&gt;=18, B2771&lt;=24), "18-24",
  AND(B2771&gt;=25, B2771&lt;=34), "25-34",
  AND(B2771&gt;=35, B2771&lt;=44), "35-44",
  AND(B2771&gt;=45, B2771&lt;=54), "45-54",
  B2771&gt;=55, "55+"
)</f>
        <v>25-34</v>
      </c>
      <c r="D2771" t="s">
        <v>153</v>
      </c>
      <c r="E2771" t="s">
        <v>56</v>
      </c>
      <c r="F2771" t="s">
        <v>21</v>
      </c>
      <c r="G2771">
        <v>89</v>
      </c>
      <c r="H2771" t="s">
        <v>101</v>
      </c>
      <c r="I2771" t="s">
        <v>23</v>
      </c>
      <c r="J2771" t="s">
        <v>93</v>
      </c>
      <c r="K2771" t="s">
        <v>58</v>
      </c>
      <c r="L2771">
        <v>3</v>
      </c>
      <c r="M2771" t="s">
        <v>152</v>
      </c>
      <c r="N2771" t="s">
        <v>46</v>
      </c>
      <c r="O2771" t="s">
        <v>55</v>
      </c>
      <c r="P2771" t="s">
        <v>152</v>
      </c>
      <c r="Q2771" t="s">
        <v>152</v>
      </c>
      <c r="R2771">
        <v>13</v>
      </c>
      <c r="S2771" t="s">
        <v>35</v>
      </c>
      <c r="T2771" t="str">
        <f t="shared" si="86"/>
        <v>Daily</v>
      </c>
      <c r="U2771">
        <f>VLOOKUP(T2771,[1]tablescore!$B$3:$C$8, 2,FALSE)</f>
        <v>30</v>
      </c>
      <c r="V2771" t="str">
        <f t="shared" si="87"/>
        <v>Highly Loyal</v>
      </c>
      <c r="W2771" t="s">
        <v>41</v>
      </c>
    </row>
    <row r="2772" spans="1:23" x14ac:dyDescent="0.25">
      <c r="A2772">
        <v>2771</v>
      </c>
      <c r="B2772">
        <v>50</v>
      </c>
      <c r="C2772" t="str" cm="1">
        <f t="array" ref="C2772">_xlfn.IFS(
  AND(B2772&gt;=18, B2772&lt;=24), "18-24",
  AND(B2772&gt;=25, B2772&lt;=34), "25-34",
  AND(B2772&gt;=35, B2772&lt;=44), "35-44",
  AND(B2772&gt;=45, B2772&lt;=54), "45-54",
  B2772&gt;=55, "55+"
)</f>
        <v>45-54</v>
      </c>
      <c r="D2772" t="s">
        <v>153</v>
      </c>
      <c r="E2772" t="s">
        <v>132</v>
      </c>
      <c r="F2772" t="s">
        <v>43</v>
      </c>
      <c r="G2772">
        <v>44</v>
      </c>
      <c r="H2772" t="s">
        <v>143</v>
      </c>
      <c r="I2772" t="s">
        <v>38</v>
      </c>
      <c r="J2772" t="s">
        <v>138</v>
      </c>
      <c r="K2772" t="s">
        <v>58</v>
      </c>
      <c r="L2772">
        <v>3.3</v>
      </c>
      <c r="M2772" t="s">
        <v>152</v>
      </c>
      <c r="N2772" t="s">
        <v>46</v>
      </c>
      <c r="O2772" t="s">
        <v>28</v>
      </c>
      <c r="P2772" t="s">
        <v>152</v>
      </c>
      <c r="Q2772" t="s">
        <v>152</v>
      </c>
      <c r="R2772">
        <v>22</v>
      </c>
      <c r="S2772" t="s">
        <v>34</v>
      </c>
      <c r="T2772" t="str">
        <f t="shared" si="86"/>
        <v>Quarterly</v>
      </c>
      <c r="U2772">
        <f>VLOOKUP(T2772,[1]tablescore!$B$3:$C$8, 2,FALSE)</f>
        <v>4</v>
      </c>
      <c r="V2772" t="str">
        <f t="shared" si="87"/>
        <v>Low Loyalty</v>
      </c>
      <c r="W2772" t="s">
        <v>60</v>
      </c>
    </row>
    <row r="2773" spans="1:23" x14ac:dyDescent="0.25">
      <c r="A2773">
        <v>2772</v>
      </c>
      <c r="B2773">
        <v>58</v>
      </c>
      <c r="C2773" t="str" cm="1">
        <f t="array" ref="C2773">_xlfn.IFS(
  AND(B2773&gt;=18, B2773&lt;=24), "18-24",
  AND(B2773&gt;=25, B2773&lt;=34), "25-34",
  AND(B2773&gt;=35, B2773&lt;=44), "35-44",
  AND(B2773&gt;=45, B2773&lt;=54), "45-54",
  B2773&gt;=55, "55+"
)</f>
        <v>55+</v>
      </c>
      <c r="D2773" t="s">
        <v>153</v>
      </c>
      <c r="E2773" t="s">
        <v>102</v>
      </c>
      <c r="F2773" t="s">
        <v>65</v>
      </c>
      <c r="G2773">
        <v>52</v>
      </c>
      <c r="H2773" t="s">
        <v>135</v>
      </c>
      <c r="I2773" t="s">
        <v>38</v>
      </c>
      <c r="J2773" t="s">
        <v>118</v>
      </c>
      <c r="K2773" t="s">
        <v>54</v>
      </c>
      <c r="L2773">
        <v>3.1</v>
      </c>
      <c r="M2773" t="s">
        <v>152</v>
      </c>
      <c r="N2773" t="s">
        <v>35</v>
      </c>
      <c r="O2773" t="s">
        <v>72</v>
      </c>
      <c r="P2773" t="s">
        <v>152</v>
      </c>
      <c r="Q2773" t="s">
        <v>152</v>
      </c>
      <c r="R2773">
        <v>12</v>
      </c>
      <c r="S2773" t="s">
        <v>34</v>
      </c>
      <c r="T2773" t="str">
        <f t="shared" si="86"/>
        <v>2-week</v>
      </c>
      <c r="U2773">
        <f>VLOOKUP(T2773,[1]tablescore!$B$3:$C$8, 2,FALSE)</f>
        <v>26</v>
      </c>
      <c r="V2773" t="str">
        <f t="shared" si="87"/>
        <v>Loyal</v>
      </c>
      <c r="W2773" t="s">
        <v>30</v>
      </c>
    </row>
    <row r="2774" spans="1:23" x14ac:dyDescent="0.25">
      <c r="A2774">
        <v>2773</v>
      </c>
      <c r="B2774">
        <v>18</v>
      </c>
      <c r="C2774" t="str" cm="1">
        <f t="array" ref="C2774">_xlfn.IFS(
  AND(B2774&gt;=18, B2774&lt;=24), "18-24",
  AND(B2774&gt;=25, B2774&lt;=34), "25-34",
  AND(B2774&gt;=35, B2774&lt;=44), "35-44",
  AND(B2774&gt;=45, B2774&lt;=54), "45-54",
  B2774&gt;=55, "55+"
)</f>
        <v>18-24</v>
      </c>
      <c r="D2774" t="s">
        <v>153</v>
      </c>
      <c r="E2774" t="s">
        <v>133</v>
      </c>
      <c r="F2774" t="s">
        <v>69</v>
      </c>
      <c r="G2774">
        <v>94</v>
      </c>
      <c r="H2774" t="s">
        <v>141</v>
      </c>
      <c r="I2774" t="s">
        <v>23</v>
      </c>
      <c r="J2774" t="s">
        <v>138</v>
      </c>
      <c r="K2774" t="s">
        <v>39</v>
      </c>
      <c r="L2774">
        <v>3.5</v>
      </c>
      <c r="M2774" t="s">
        <v>152</v>
      </c>
      <c r="N2774" t="s">
        <v>27</v>
      </c>
      <c r="O2774" t="s">
        <v>76</v>
      </c>
      <c r="P2774" t="s">
        <v>152</v>
      </c>
      <c r="Q2774" t="s">
        <v>152</v>
      </c>
      <c r="R2774">
        <v>10</v>
      </c>
      <c r="S2774" t="s">
        <v>34</v>
      </c>
      <c r="T2774" t="str">
        <f t="shared" si="86"/>
        <v>Quarterly</v>
      </c>
      <c r="U2774">
        <f>VLOOKUP(T2774,[1]tablescore!$B$3:$C$8, 2,FALSE)</f>
        <v>4</v>
      </c>
      <c r="V2774" t="str">
        <f t="shared" si="87"/>
        <v>Low Loyalty</v>
      </c>
      <c r="W2774" t="s">
        <v>97</v>
      </c>
    </row>
    <row r="2775" spans="1:23" x14ac:dyDescent="0.25">
      <c r="A2775">
        <v>2774</v>
      </c>
      <c r="B2775">
        <v>39</v>
      </c>
      <c r="C2775" t="str" cm="1">
        <f t="array" ref="C2775">_xlfn.IFS(
  AND(B2775&gt;=18, B2775&lt;=24), "18-24",
  AND(B2775&gt;=25, B2775&lt;=34), "25-34",
  AND(B2775&gt;=35, B2775&lt;=44), "35-44",
  AND(B2775&gt;=45, B2775&lt;=54), "45-54",
  B2775&gt;=55, "55+"
)</f>
        <v>35-44</v>
      </c>
      <c r="D2775" t="s">
        <v>153</v>
      </c>
      <c r="E2775" t="s">
        <v>95</v>
      </c>
      <c r="F2775" t="s">
        <v>21</v>
      </c>
      <c r="G2775">
        <v>98</v>
      </c>
      <c r="H2775" t="s">
        <v>117</v>
      </c>
      <c r="I2775" t="s">
        <v>38</v>
      </c>
      <c r="J2775" t="s">
        <v>33</v>
      </c>
      <c r="K2775" t="s">
        <v>39</v>
      </c>
      <c r="L2775">
        <v>4.5999999999999996</v>
      </c>
      <c r="M2775" t="s">
        <v>152</v>
      </c>
      <c r="N2775" t="s">
        <v>27</v>
      </c>
      <c r="O2775" t="s">
        <v>28</v>
      </c>
      <c r="P2775" t="s">
        <v>152</v>
      </c>
      <c r="Q2775" t="s">
        <v>152</v>
      </c>
      <c r="R2775">
        <v>45</v>
      </c>
      <c r="S2775" t="s">
        <v>34</v>
      </c>
      <c r="T2775" t="str">
        <f t="shared" si="86"/>
        <v>Quarterly</v>
      </c>
      <c r="U2775">
        <f>VLOOKUP(T2775,[1]tablescore!$B$3:$C$8, 2,FALSE)</f>
        <v>4</v>
      </c>
      <c r="V2775" t="str">
        <f t="shared" si="87"/>
        <v>Low Loyalty</v>
      </c>
      <c r="W2775" t="s">
        <v>60</v>
      </c>
    </row>
    <row r="2776" spans="1:23" x14ac:dyDescent="0.25">
      <c r="A2776">
        <v>2775</v>
      </c>
      <c r="B2776">
        <v>56</v>
      </c>
      <c r="C2776" t="str" cm="1">
        <f t="array" ref="C2776">_xlfn.IFS(
  AND(B2776&gt;=18, B2776&lt;=24), "18-24",
  AND(B2776&gt;=25, B2776&lt;=34), "25-34",
  AND(B2776&gt;=35, B2776&lt;=44), "35-44",
  AND(B2776&gt;=45, B2776&lt;=54), "45-54",
  B2776&gt;=55, "55+"
)</f>
        <v>55+</v>
      </c>
      <c r="D2776" t="s">
        <v>153</v>
      </c>
      <c r="E2776" t="s">
        <v>132</v>
      </c>
      <c r="F2776" t="s">
        <v>43</v>
      </c>
      <c r="G2776">
        <v>40</v>
      </c>
      <c r="H2776" t="s">
        <v>101</v>
      </c>
      <c r="I2776" t="s">
        <v>23</v>
      </c>
      <c r="J2776" t="s">
        <v>139</v>
      </c>
      <c r="K2776" t="s">
        <v>58</v>
      </c>
      <c r="L2776">
        <v>4.0999999999999996</v>
      </c>
      <c r="M2776" t="s">
        <v>152</v>
      </c>
      <c r="N2776" t="s">
        <v>34</v>
      </c>
      <c r="O2776" t="s">
        <v>55</v>
      </c>
      <c r="P2776" t="s">
        <v>152</v>
      </c>
      <c r="Q2776" t="s">
        <v>152</v>
      </c>
      <c r="R2776">
        <v>42</v>
      </c>
      <c r="S2776" t="s">
        <v>27</v>
      </c>
      <c r="T2776" t="str">
        <f t="shared" si="86"/>
        <v>Quarterly</v>
      </c>
      <c r="U2776">
        <f>VLOOKUP(T2776,[1]tablescore!$B$3:$C$8, 2,FALSE)</f>
        <v>4</v>
      </c>
      <c r="V2776" t="str">
        <f t="shared" si="87"/>
        <v>Low Loyalty</v>
      </c>
      <c r="W2776" t="s">
        <v>60</v>
      </c>
    </row>
    <row r="2777" spans="1:23" x14ac:dyDescent="0.25">
      <c r="A2777">
        <v>2776</v>
      </c>
      <c r="B2777">
        <v>37</v>
      </c>
      <c r="C2777" t="str" cm="1">
        <f t="array" ref="C2777">_xlfn.IFS(
  AND(B2777&gt;=18, B2777&lt;=24), "18-24",
  AND(B2777&gt;=25, B2777&lt;=34), "25-34",
  AND(B2777&gt;=35, B2777&lt;=44), "35-44",
  AND(B2777&gt;=45, B2777&lt;=54), "45-54",
  B2777&gt;=55, "55+"
)</f>
        <v>35-44</v>
      </c>
      <c r="D2777" t="s">
        <v>153</v>
      </c>
      <c r="E2777" t="s">
        <v>131</v>
      </c>
      <c r="F2777" t="s">
        <v>21</v>
      </c>
      <c r="G2777">
        <v>25</v>
      </c>
      <c r="H2777" t="s">
        <v>57</v>
      </c>
      <c r="I2777" t="s">
        <v>23</v>
      </c>
      <c r="J2777" t="s">
        <v>108</v>
      </c>
      <c r="K2777" t="s">
        <v>58</v>
      </c>
      <c r="L2777">
        <v>3.6</v>
      </c>
      <c r="M2777" t="s">
        <v>152</v>
      </c>
      <c r="N2777" t="s">
        <v>29</v>
      </c>
      <c r="O2777" t="s">
        <v>40</v>
      </c>
      <c r="P2777" t="s">
        <v>152</v>
      </c>
      <c r="Q2777" t="s">
        <v>152</v>
      </c>
      <c r="R2777">
        <v>16</v>
      </c>
      <c r="S2777" t="s">
        <v>59</v>
      </c>
      <c r="T2777" t="str">
        <f t="shared" si="86"/>
        <v>Daily</v>
      </c>
      <c r="U2777">
        <f>VLOOKUP(T2777,[1]tablescore!$B$3:$C$8, 2,FALSE)</f>
        <v>30</v>
      </c>
      <c r="V2777" t="str">
        <f t="shared" si="87"/>
        <v>Highly Loyal</v>
      </c>
      <c r="W2777" t="s">
        <v>41</v>
      </c>
    </row>
    <row r="2778" spans="1:23" x14ac:dyDescent="0.25">
      <c r="A2778">
        <v>2777</v>
      </c>
      <c r="B2778">
        <v>46</v>
      </c>
      <c r="C2778" t="str" cm="1">
        <f t="array" ref="C2778">_xlfn.IFS(
  AND(B2778&gt;=18, B2778&lt;=24), "18-24",
  AND(B2778&gt;=25, B2778&lt;=34), "25-34",
  AND(B2778&gt;=35, B2778&lt;=44), "35-44",
  AND(B2778&gt;=45, B2778&lt;=54), "45-54",
  B2778&gt;=55, "55+"
)</f>
        <v>45-54</v>
      </c>
      <c r="D2778" t="s">
        <v>153</v>
      </c>
      <c r="E2778" t="s">
        <v>119</v>
      </c>
      <c r="F2778" t="s">
        <v>69</v>
      </c>
      <c r="G2778">
        <v>62</v>
      </c>
      <c r="H2778" t="s">
        <v>52</v>
      </c>
      <c r="I2778" t="s">
        <v>23</v>
      </c>
      <c r="J2778" t="s">
        <v>96</v>
      </c>
      <c r="K2778" t="s">
        <v>58</v>
      </c>
      <c r="L2778">
        <v>2.9</v>
      </c>
      <c r="M2778" t="s">
        <v>152</v>
      </c>
      <c r="N2778" t="s">
        <v>59</v>
      </c>
      <c r="O2778" t="s">
        <v>40</v>
      </c>
      <c r="P2778" t="s">
        <v>152</v>
      </c>
      <c r="Q2778" t="s">
        <v>152</v>
      </c>
      <c r="R2778">
        <v>6</v>
      </c>
      <c r="S2778" t="s">
        <v>34</v>
      </c>
      <c r="T2778" t="str">
        <f t="shared" si="86"/>
        <v>Annually</v>
      </c>
      <c r="U2778">
        <f>VLOOKUP(T2778,[1]tablescore!$B$3:$C$8, 2,FALSE)</f>
        <v>1</v>
      </c>
      <c r="V2778" t="str">
        <f t="shared" si="87"/>
        <v>Low Loyalty</v>
      </c>
      <c r="W2778" t="s">
        <v>50</v>
      </c>
    </row>
    <row r="2779" spans="1:23" x14ac:dyDescent="0.25">
      <c r="A2779">
        <v>2778</v>
      </c>
      <c r="B2779">
        <v>52</v>
      </c>
      <c r="C2779" t="str" cm="1">
        <f t="array" ref="C2779">_xlfn.IFS(
  AND(B2779&gt;=18, B2779&lt;=24), "18-24",
  AND(B2779&gt;=25, B2779&lt;=34), "25-34",
  AND(B2779&gt;=35, B2779&lt;=44), "35-44",
  AND(B2779&gt;=45, B2779&lt;=54), "45-54",
  B2779&gt;=55, "55+"
)</f>
        <v>45-54</v>
      </c>
      <c r="D2779" t="s">
        <v>153</v>
      </c>
      <c r="E2779" t="s">
        <v>20</v>
      </c>
      <c r="F2779" t="s">
        <v>21</v>
      </c>
      <c r="G2779">
        <v>24</v>
      </c>
      <c r="H2779" t="s">
        <v>144</v>
      </c>
      <c r="I2779" t="s">
        <v>45</v>
      </c>
      <c r="J2779" t="s">
        <v>147</v>
      </c>
      <c r="K2779" t="s">
        <v>58</v>
      </c>
      <c r="L2779">
        <v>4.8</v>
      </c>
      <c r="M2779" t="s">
        <v>152</v>
      </c>
      <c r="N2779" t="s">
        <v>59</v>
      </c>
      <c r="O2779" t="s">
        <v>55</v>
      </c>
      <c r="P2779" t="s">
        <v>152</v>
      </c>
      <c r="Q2779" t="s">
        <v>152</v>
      </c>
      <c r="R2779">
        <v>28</v>
      </c>
      <c r="S2779" t="s">
        <v>27</v>
      </c>
      <c r="T2779" t="str">
        <f t="shared" si="86"/>
        <v>Quarterly</v>
      </c>
      <c r="U2779">
        <f>VLOOKUP(T2779,[1]tablescore!$B$3:$C$8, 2,FALSE)</f>
        <v>4</v>
      </c>
      <c r="V2779" t="str">
        <f t="shared" si="87"/>
        <v>Low Loyalty</v>
      </c>
      <c r="W2779" t="s">
        <v>97</v>
      </c>
    </row>
    <row r="2780" spans="1:23" x14ac:dyDescent="0.25">
      <c r="A2780">
        <v>2779</v>
      </c>
      <c r="B2780">
        <v>70</v>
      </c>
      <c r="C2780" t="str" cm="1">
        <f t="array" ref="C2780">_xlfn.IFS(
  AND(B2780&gt;=18, B2780&lt;=24), "18-24",
  AND(B2780&gt;=25, B2780&lt;=34), "25-34",
  AND(B2780&gt;=35, B2780&lt;=44), "35-44",
  AND(B2780&gt;=45, B2780&lt;=54), "45-54",
  B2780&gt;=55, "55+"
)</f>
        <v>55+</v>
      </c>
      <c r="D2780" t="s">
        <v>153</v>
      </c>
      <c r="E2780" t="s">
        <v>136</v>
      </c>
      <c r="F2780" t="s">
        <v>69</v>
      </c>
      <c r="G2780">
        <v>57</v>
      </c>
      <c r="H2780" t="s">
        <v>141</v>
      </c>
      <c r="I2780" t="s">
        <v>23</v>
      </c>
      <c r="J2780" t="s">
        <v>139</v>
      </c>
      <c r="K2780" t="s">
        <v>39</v>
      </c>
      <c r="L2780">
        <v>3.2</v>
      </c>
      <c r="M2780" t="s">
        <v>152</v>
      </c>
      <c r="N2780" t="s">
        <v>35</v>
      </c>
      <c r="O2780" t="s">
        <v>55</v>
      </c>
      <c r="P2780" t="s">
        <v>152</v>
      </c>
      <c r="Q2780" t="s">
        <v>152</v>
      </c>
      <c r="R2780">
        <v>24</v>
      </c>
      <c r="S2780" t="s">
        <v>27</v>
      </c>
      <c r="T2780" t="str">
        <f t="shared" si="86"/>
        <v>2-week</v>
      </c>
      <c r="U2780">
        <f>VLOOKUP(T2780,[1]tablescore!$B$3:$C$8, 2,FALSE)</f>
        <v>26</v>
      </c>
      <c r="V2780" t="str">
        <f t="shared" si="87"/>
        <v>Loyal</v>
      </c>
      <c r="W2780" t="s">
        <v>77</v>
      </c>
    </row>
    <row r="2781" spans="1:23" x14ac:dyDescent="0.25">
      <c r="A2781">
        <v>2780</v>
      </c>
      <c r="B2781">
        <v>61</v>
      </c>
      <c r="C2781" t="str" cm="1">
        <f t="array" ref="C2781">_xlfn.IFS(
  AND(B2781&gt;=18, B2781&lt;=24), "18-24",
  AND(B2781&gt;=25, B2781&lt;=34), "25-34",
  AND(B2781&gt;=35, B2781&lt;=44), "35-44",
  AND(B2781&gt;=45, B2781&lt;=54), "45-54",
  B2781&gt;=55, "55+"
)</f>
        <v>55+</v>
      </c>
      <c r="D2781" t="s">
        <v>153</v>
      </c>
      <c r="E2781" t="s">
        <v>89</v>
      </c>
      <c r="F2781" t="s">
        <v>69</v>
      </c>
      <c r="G2781">
        <v>66</v>
      </c>
      <c r="H2781" t="s">
        <v>57</v>
      </c>
      <c r="I2781" t="s">
        <v>23</v>
      </c>
      <c r="J2781" t="s">
        <v>138</v>
      </c>
      <c r="K2781" t="s">
        <v>25</v>
      </c>
      <c r="L2781">
        <v>4.3</v>
      </c>
      <c r="M2781" t="s">
        <v>152</v>
      </c>
      <c r="N2781" t="s">
        <v>34</v>
      </c>
      <c r="O2781" t="s">
        <v>28</v>
      </c>
      <c r="P2781" t="s">
        <v>152</v>
      </c>
      <c r="Q2781" t="s">
        <v>152</v>
      </c>
      <c r="R2781">
        <v>14</v>
      </c>
      <c r="S2781" t="s">
        <v>27</v>
      </c>
      <c r="T2781" t="str">
        <f t="shared" si="86"/>
        <v>2-week</v>
      </c>
      <c r="U2781">
        <f>VLOOKUP(T2781,[1]tablescore!$B$3:$C$8, 2,FALSE)</f>
        <v>26</v>
      </c>
      <c r="V2781" t="str">
        <f t="shared" si="87"/>
        <v>Loyal</v>
      </c>
      <c r="W2781" t="s">
        <v>30</v>
      </c>
    </row>
    <row r="2782" spans="1:23" x14ac:dyDescent="0.25">
      <c r="A2782">
        <v>2781</v>
      </c>
      <c r="B2782">
        <v>33</v>
      </c>
      <c r="C2782" t="str" cm="1">
        <f t="array" ref="C2782">_xlfn.IFS(
  AND(B2782&gt;=18, B2782&lt;=24), "18-24",
  AND(B2782&gt;=25, B2782&lt;=34), "25-34",
  AND(B2782&gt;=35, B2782&lt;=44), "35-44",
  AND(B2782&gt;=45, B2782&lt;=54), "45-54",
  B2782&gt;=55, "55+"
)</f>
        <v>25-34</v>
      </c>
      <c r="D2782" t="s">
        <v>153</v>
      </c>
      <c r="E2782" t="s">
        <v>132</v>
      </c>
      <c r="F2782" t="s">
        <v>43</v>
      </c>
      <c r="G2782">
        <v>70</v>
      </c>
      <c r="H2782" t="s">
        <v>124</v>
      </c>
      <c r="I2782" t="s">
        <v>45</v>
      </c>
      <c r="J2782" t="s">
        <v>63</v>
      </c>
      <c r="K2782" t="s">
        <v>25</v>
      </c>
      <c r="L2782">
        <v>4.0999999999999996</v>
      </c>
      <c r="M2782" t="s">
        <v>152</v>
      </c>
      <c r="N2782" t="s">
        <v>34</v>
      </c>
      <c r="O2782" t="s">
        <v>47</v>
      </c>
      <c r="P2782" t="s">
        <v>152</v>
      </c>
      <c r="Q2782" t="s">
        <v>152</v>
      </c>
      <c r="R2782">
        <v>29</v>
      </c>
      <c r="S2782" t="s">
        <v>46</v>
      </c>
      <c r="T2782" t="str">
        <f t="shared" si="86"/>
        <v>2-week</v>
      </c>
      <c r="U2782">
        <f>VLOOKUP(T2782,[1]tablescore!$B$3:$C$8, 2,FALSE)</f>
        <v>26</v>
      </c>
      <c r="V2782" t="str">
        <f t="shared" si="87"/>
        <v>Loyal</v>
      </c>
      <c r="W2782" t="s">
        <v>30</v>
      </c>
    </row>
    <row r="2783" spans="1:23" x14ac:dyDescent="0.25">
      <c r="A2783">
        <v>2782</v>
      </c>
      <c r="B2783">
        <v>65</v>
      </c>
      <c r="C2783" t="str" cm="1">
        <f t="array" ref="C2783">_xlfn.IFS(
  AND(B2783&gt;=18, B2783&lt;=24), "18-24",
  AND(B2783&gt;=25, B2783&lt;=34), "25-34",
  AND(B2783&gt;=35, B2783&lt;=44), "35-44",
  AND(B2783&gt;=45, B2783&lt;=54), "45-54",
  B2783&gt;=55, "55+"
)</f>
        <v>55+</v>
      </c>
      <c r="D2783" t="s">
        <v>153</v>
      </c>
      <c r="E2783" t="s">
        <v>42</v>
      </c>
      <c r="F2783" t="s">
        <v>43</v>
      </c>
      <c r="G2783">
        <v>39</v>
      </c>
      <c r="H2783" t="s">
        <v>91</v>
      </c>
      <c r="I2783" t="s">
        <v>45</v>
      </c>
      <c r="J2783" t="s">
        <v>138</v>
      </c>
      <c r="K2783" t="s">
        <v>39</v>
      </c>
      <c r="L2783">
        <v>4.5999999999999996</v>
      </c>
      <c r="M2783" t="s">
        <v>152</v>
      </c>
      <c r="N2783" t="s">
        <v>29</v>
      </c>
      <c r="O2783" t="s">
        <v>55</v>
      </c>
      <c r="P2783" t="s">
        <v>152</v>
      </c>
      <c r="Q2783" t="s">
        <v>152</v>
      </c>
      <c r="R2783">
        <v>33</v>
      </c>
      <c r="S2783" t="s">
        <v>46</v>
      </c>
      <c r="T2783" t="str">
        <f t="shared" si="86"/>
        <v>Daily</v>
      </c>
      <c r="U2783">
        <f>VLOOKUP(T2783,[1]tablescore!$B$3:$C$8, 2,FALSE)</f>
        <v>30</v>
      </c>
      <c r="V2783" t="str">
        <f t="shared" si="87"/>
        <v>Highly Loyal</v>
      </c>
      <c r="W2783" t="s">
        <v>41</v>
      </c>
    </row>
    <row r="2784" spans="1:23" x14ac:dyDescent="0.25">
      <c r="A2784">
        <v>2783</v>
      </c>
      <c r="B2784">
        <v>41</v>
      </c>
      <c r="C2784" t="str" cm="1">
        <f t="array" ref="C2784">_xlfn.IFS(
  AND(B2784&gt;=18, B2784&lt;=24), "18-24",
  AND(B2784&gt;=25, B2784&lt;=34), "25-34",
  AND(B2784&gt;=35, B2784&lt;=44), "35-44",
  AND(B2784&gt;=45, B2784&lt;=54), "45-54",
  B2784&gt;=55, "55+"
)</f>
        <v>35-44</v>
      </c>
      <c r="D2784" t="s">
        <v>153</v>
      </c>
      <c r="E2784" t="s">
        <v>127</v>
      </c>
      <c r="F2784" t="s">
        <v>69</v>
      </c>
      <c r="G2784">
        <v>34</v>
      </c>
      <c r="H2784" t="s">
        <v>144</v>
      </c>
      <c r="I2784" t="s">
        <v>38</v>
      </c>
      <c r="J2784" t="s">
        <v>109</v>
      </c>
      <c r="K2784" t="s">
        <v>39</v>
      </c>
      <c r="L2784">
        <v>3.8</v>
      </c>
      <c r="M2784" t="s">
        <v>152</v>
      </c>
      <c r="N2784" t="s">
        <v>46</v>
      </c>
      <c r="O2784" t="s">
        <v>40</v>
      </c>
      <c r="P2784" t="s">
        <v>152</v>
      </c>
      <c r="Q2784" t="s">
        <v>152</v>
      </c>
      <c r="R2784">
        <v>30</v>
      </c>
      <c r="S2784" t="s">
        <v>46</v>
      </c>
      <c r="T2784" t="str">
        <f t="shared" si="86"/>
        <v>Annually</v>
      </c>
      <c r="U2784">
        <f>VLOOKUP(T2784,[1]tablescore!$B$3:$C$8, 2,FALSE)</f>
        <v>1</v>
      </c>
      <c r="V2784" t="str">
        <f t="shared" si="87"/>
        <v>Low Loyalty</v>
      </c>
      <c r="W2784" t="s">
        <v>50</v>
      </c>
    </row>
    <row r="2785" spans="1:23" x14ac:dyDescent="0.25">
      <c r="A2785">
        <v>2784</v>
      </c>
      <c r="B2785">
        <v>19</v>
      </c>
      <c r="C2785" t="str" cm="1">
        <f t="array" ref="C2785">_xlfn.IFS(
  AND(B2785&gt;=18, B2785&lt;=24), "18-24",
  AND(B2785&gt;=25, B2785&lt;=34), "25-34",
  AND(B2785&gt;=35, B2785&lt;=44), "35-44",
  AND(B2785&gt;=45, B2785&lt;=54), "45-54",
  B2785&gt;=55, "55+"
)</f>
        <v>18-24</v>
      </c>
      <c r="D2785" t="s">
        <v>153</v>
      </c>
      <c r="E2785" t="s">
        <v>87</v>
      </c>
      <c r="F2785" t="s">
        <v>21</v>
      </c>
      <c r="G2785">
        <v>38</v>
      </c>
      <c r="H2785" t="s">
        <v>128</v>
      </c>
      <c r="I2785" t="s">
        <v>45</v>
      </c>
      <c r="J2785" t="s">
        <v>67</v>
      </c>
      <c r="K2785" t="s">
        <v>39</v>
      </c>
      <c r="L2785">
        <v>4.5</v>
      </c>
      <c r="M2785" t="s">
        <v>152</v>
      </c>
      <c r="N2785" t="s">
        <v>27</v>
      </c>
      <c r="O2785" t="s">
        <v>47</v>
      </c>
      <c r="P2785" t="s">
        <v>152</v>
      </c>
      <c r="Q2785" t="s">
        <v>152</v>
      </c>
      <c r="R2785">
        <v>26</v>
      </c>
      <c r="S2785" t="s">
        <v>27</v>
      </c>
      <c r="T2785" t="str">
        <f t="shared" si="86"/>
        <v>Quarterly</v>
      </c>
      <c r="U2785">
        <f>VLOOKUP(T2785,[1]tablescore!$B$3:$C$8, 2,FALSE)</f>
        <v>4</v>
      </c>
      <c r="V2785" t="str">
        <f t="shared" si="87"/>
        <v>Low Loyalty</v>
      </c>
      <c r="W2785" t="s">
        <v>60</v>
      </c>
    </row>
    <row r="2786" spans="1:23" x14ac:dyDescent="0.25">
      <c r="A2786">
        <v>2785</v>
      </c>
      <c r="B2786">
        <v>33</v>
      </c>
      <c r="C2786" t="str" cm="1">
        <f t="array" ref="C2786">_xlfn.IFS(
  AND(B2786&gt;=18, B2786&lt;=24), "18-24",
  AND(B2786&gt;=25, B2786&lt;=34), "25-34",
  AND(B2786&gt;=35, B2786&lt;=44), "35-44",
  AND(B2786&gt;=45, B2786&lt;=54), "45-54",
  B2786&gt;=55, "55+"
)</f>
        <v>25-34</v>
      </c>
      <c r="D2786" t="s">
        <v>153</v>
      </c>
      <c r="E2786" t="s">
        <v>87</v>
      </c>
      <c r="F2786" t="s">
        <v>21</v>
      </c>
      <c r="G2786">
        <v>70</v>
      </c>
      <c r="H2786" t="s">
        <v>144</v>
      </c>
      <c r="I2786" t="s">
        <v>45</v>
      </c>
      <c r="J2786" t="s">
        <v>94</v>
      </c>
      <c r="K2786" t="s">
        <v>25</v>
      </c>
      <c r="L2786">
        <v>3.1</v>
      </c>
      <c r="M2786" t="s">
        <v>152</v>
      </c>
      <c r="N2786" t="s">
        <v>34</v>
      </c>
      <c r="O2786" t="s">
        <v>28</v>
      </c>
      <c r="P2786" t="s">
        <v>152</v>
      </c>
      <c r="Q2786" t="s">
        <v>152</v>
      </c>
      <c r="R2786">
        <v>12</v>
      </c>
      <c r="S2786" t="s">
        <v>46</v>
      </c>
      <c r="T2786" t="str">
        <f t="shared" si="86"/>
        <v>Quarterly</v>
      </c>
      <c r="U2786">
        <f>VLOOKUP(T2786,[1]tablescore!$B$3:$C$8, 2,FALSE)</f>
        <v>4</v>
      </c>
      <c r="V2786" t="str">
        <f t="shared" si="87"/>
        <v>Low Loyalty</v>
      </c>
      <c r="W2786" t="s">
        <v>97</v>
      </c>
    </row>
    <row r="2787" spans="1:23" x14ac:dyDescent="0.25">
      <c r="A2787">
        <v>2786</v>
      </c>
      <c r="B2787">
        <v>53</v>
      </c>
      <c r="C2787" t="str" cm="1">
        <f t="array" ref="C2787">_xlfn.IFS(
  AND(B2787&gt;=18, B2787&lt;=24), "18-24",
  AND(B2787&gt;=25, B2787&lt;=34), "25-34",
  AND(B2787&gt;=35, B2787&lt;=44), "35-44",
  AND(B2787&gt;=45, B2787&lt;=54), "45-54",
  B2787&gt;=55, "55+"
)</f>
        <v>45-54</v>
      </c>
      <c r="D2787" t="s">
        <v>153</v>
      </c>
      <c r="E2787" t="s">
        <v>20</v>
      </c>
      <c r="F2787" t="s">
        <v>21</v>
      </c>
      <c r="G2787">
        <v>80</v>
      </c>
      <c r="H2787" t="s">
        <v>62</v>
      </c>
      <c r="I2787" t="s">
        <v>38</v>
      </c>
      <c r="J2787" t="s">
        <v>96</v>
      </c>
      <c r="K2787" t="s">
        <v>54</v>
      </c>
      <c r="L2787">
        <v>2.9</v>
      </c>
      <c r="M2787" t="s">
        <v>152</v>
      </c>
      <c r="N2787" t="s">
        <v>27</v>
      </c>
      <c r="O2787" t="s">
        <v>47</v>
      </c>
      <c r="P2787" t="s">
        <v>152</v>
      </c>
      <c r="Q2787" t="s">
        <v>152</v>
      </c>
      <c r="R2787">
        <v>13</v>
      </c>
      <c r="S2787" t="s">
        <v>34</v>
      </c>
      <c r="T2787" t="str">
        <f t="shared" si="86"/>
        <v>Month</v>
      </c>
      <c r="U2787">
        <f>VLOOKUP(T2787,[1]tablescore!$B$3:$C$8, 2,FALSE)</f>
        <v>12</v>
      </c>
      <c r="V2787" t="str">
        <f t="shared" si="87"/>
        <v>Moderate</v>
      </c>
      <c r="W2787" t="s">
        <v>88</v>
      </c>
    </row>
    <row r="2788" spans="1:23" x14ac:dyDescent="0.25">
      <c r="A2788">
        <v>2787</v>
      </c>
      <c r="B2788">
        <v>54</v>
      </c>
      <c r="C2788" t="str" cm="1">
        <f t="array" ref="C2788">_xlfn.IFS(
  AND(B2788&gt;=18, B2788&lt;=24), "18-24",
  AND(B2788&gt;=25, B2788&lt;=34), "25-34",
  AND(B2788&gt;=35, B2788&lt;=44), "35-44",
  AND(B2788&gt;=45, B2788&lt;=54), "45-54",
  B2788&gt;=55, "55+"
)</f>
        <v>45-54</v>
      </c>
      <c r="D2788" t="s">
        <v>153</v>
      </c>
      <c r="E2788" t="s">
        <v>68</v>
      </c>
      <c r="F2788" t="s">
        <v>69</v>
      </c>
      <c r="G2788">
        <v>51</v>
      </c>
      <c r="H2788" t="s">
        <v>112</v>
      </c>
      <c r="I2788" t="s">
        <v>45</v>
      </c>
      <c r="J2788" t="s">
        <v>84</v>
      </c>
      <c r="K2788" t="s">
        <v>39</v>
      </c>
      <c r="L2788">
        <v>3.8</v>
      </c>
      <c r="M2788" t="s">
        <v>152</v>
      </c>
      <c r="N2788" t="s">
        <v>46</v>
      </c>
      <c r="O2788" t="s">
        <v>47</v>
      </c>
      <c r="P2788" t="s">
        <v>152</v>
      </c>
      <c r="Q2788" t="s">
        <v>152</v>
      </c>
      <c r="R2788">
        <v>41</v>
      </c>
      <c r="S2788" t="s">
        <v>59</v>
      </c>
      <c r="T2788" t="str">
        <f t="shared" si="86"/>
        <v>Quarterly</v>
      </c>
      <c r="U2788">
        <f>VLOOKUP(T2788,[1]tablescore!$B$3:$C$8, 2,FALSE)</f>
        <v>4</v>
      </c>
      <c r="V2788" t="str">
        <f t="shared" si="87"/>
        <v>Low Loyalty</v>
      </c>
      <c r="W2788" t="s">
        <v>97</v>
      </c>
    </row>
    <row r="2789" spans="1:23" x14ac:dyDescent="0.25">
      <c r="A2789">
        <v>2788</v>
      </c>
      <c r="B2789">
        <v>36</v>
      </c>
      <c r="C2789" t="str" cm="1">
        <f t="array" ref="C2789">_xlfn.IFS(
  AND(B2789&gt;=18, B2789&lt;=24), "18-24",
  AND(B2789&gt;=25, B2789&lt;=34), "25-34",
  AND(B2789&gt;=35, B2789&lt;=44), "35-44",
  AND(B2789&gt;=45, B2789&lt;=54), "45-54",
  B2789&gt;=55, "55+"
)</f>
        <v>35-44</v>
      </c>
      <c r="D2789" t="s">
        <v>153</v>
      </c>
      <c r="E2789" t="s">
        <v>132</v>
      </c>
      <c r="F2789" t="s">
        <v>43</v>
      </c>
      <c r="G2789">
        <v>79</v>
      </c>
      <c r="H2789" t="s">
        <v>66</v>
      </c>
      <c r="I2789" t="s">
        <v>92</v>
      </c>
      <c r="J2789" t="s">
        <v>71</v>
      </c>
      <c r="K2789" t="s">
        <v>39</v>
      </c>
      <c r="L2789">
        <v>4.0999999999999996</v>
      </c>
      <c r="M2789" t="s">
        <v>152</v>
      </c>
      <c r="N2789" t="s">
        <v>35</v>
      </c>
      <c r="O2789" t="s">
        <v>47</v>
      </c>
      <c r="P2789" t="s">
        <v>152</v>
      </c>
      <c r="Q2789" t="s">
        <v>152</v>
      </c>
      <c r="R2789">
        <v>4</v>
      </c>
      <c r="S2789" t="s">
        <v>29</v>
      </c>
      <c r="T2789" t="str">
        <f t="shared" si="86"/>
        <v>2-week</v>
      </c>
      <c r="U2789">
        <f>VLOOKUP(T2789,[1]tablescore!$B$3:$C$8, 2,FALSE)</f>
        <v>26</v>
      </c>
      <c r="V2789" t="str">
        <f t="shared" si="87"/>
        <v>Loyal</v>
      </c>
      <c r="W2789" t="s">
        <v>30</v>
      </c>
    </row>
    <row r="2790" spans="1:23" x14ac:dyDescent="0.25">
      <c r="A2790">
        <v>2789</v>
      </c>
      <c r="B2790">
        <v>56</v>
      </c>
      <c r="C2790" t="str" cm="1">
        <f t="array" ref="C2790">_xlfn.IFS(
  AND(B2790&gt;=18, B2790&lt;=24), "18-24",
  AND(B2790&gt;=25, B2790&lt;=34), "25-34",
  AND(B2790&gt;=35, B2790&lt;=44), "35-44",
  AND(B2790&gt;=45, B2790&lt;=54), "45-54",
  B2790&gt;=55, "55+"
)</f>
        <v>55+</v>
      </c>
      <c r="D2790" t="s">
        <v>153</v>
      </c>
      <c r="E2790" t="s">
        <v>132</v>
      </c>
      <c r="F2790" t="s">
        <v>43</v>
      </c>
      <c r="G2790">
        <v>92</v>
      </c>
      <c r="H2790" t="s">
        <v>44</v>
      </c>
      <c r="I2790" t="s">
        <v>45</v>
      </c>
      <c r="J2790" t="s">
        <v>79</v>
      </c>
      <c r="K2790" t="s">
        <v>54</v>
      </c>
      <c r="L2790">
        <v>3.1</v>
      </c>
      <c r="M2790" t="s">
        <v>152</v>
      </c>
      <c r="N2790" t="s">
        <v>35</v>
      </c>
      <c r="O2790" t="s">
        <v>40</v>
      </c>
      <c r="P2790" t="s">
        <v>152</v>
      </c>
      <c r="Q2790" t="s">
        <v>152</v>
      </c>
      <c r="R2790">
        <v>2</v>
      </c>
      <c r="S2790" t="s">
        <v>27</v>
      </c>
      <c r="T2790" t="str">
        <f t="shared" si="86"/>
        <v>Annually</v>
      </c>
      <c r="U2790">
        <f>VLOOKUP(T2790,[1]tablescore!$B$3:$C$8, 2,FALSE)</f>
        <v>1</v>
      </c>
      <c r="V2790" t="str">
        <f t="shared" si="87"/>
        <v>Low Loyalty</v>
      </c>
      <c r="W2790" t="s">
        <v>50</v>
      </c>
    </row>
    <row r="2791" spans="1:23" x14ac:dyDescent="0.25">
      <c r="A2791">
        <v>2790</v>
      </c>
      <c r="B2791">
        <v>28</v>
      </c>
      <c r="C2791" t="str" cm="1">
        <f t="array" ref="C2791">_xlfn.IFS(
  AND(B2791&gt;=18, B2791&lt;=24), "18-24",
  AND(B2791&gt;=25, B2791&lt;=34), "25-34",
  AND(B2791&gt;=35, B2791&lt;=44), "35-44",
  AND(B2791&gt;=45, B2791&lt;=54), "45-54",
  B2791&gt;=55, "55+"
)</f>
        <v>25-34</v>
      </c>
      <c r="D2791" t="s">
        <v>153</v>
      </c>
      <c r="E2791" t="s">
        <v>31</v>
      </c>
      <c r="F2791" t="s">
        <v>21</v>
      </c>
      <c r="G2791">
        <v>85</v>
      </c>
      <c r="H2791" t="s">
        <v>98</v>
      </c>
      <c r="I2791" t="s">
        <v>23</v>
      </c>
      <c r="J2791" t="s">
        <v>121</v>
      </c>
      <c r="K2791" t="s">
        <v>58</v>
      </c>
      <c r="L2791">
        <v>5</v>
      </c>
      <c r="M2791" t="s">
        <v>152</v>
      </c>
      <c r="N2791" t="s">
        <v>35</v>
      </c>
      <c r="O2791" t="s">
        <v>28</v>
      </c>
      <c r="P2791" t="s">
        <v>152</v>
      </c>
      <c r="Q2791" t="s">
        <v>152</v>
      </c>
      <c r="R2791">
        <v>28</v>
      </c>
      <c r="S2791" t="s">
        <v>27</v>
      </c>
      <c r="T2791" t="str">
        <f t="shared" si="86"/>
        <v>2-week</v>
      </c>
      <c r="U2791">
        <f>VLOOKUP(T2791,[1]tablescore!$B$3:$C$8, 2,FALSE)</f>
        <v>26</v>
      </c>
      <c r="V2791" t="str">
        <f t="shared" si="87"/>
        <v>Loyal</v>
      </c>
      <c r="W2791" t="s">
        <v>77</v>
      </c>
    </row>
    <row r="2792" spans="1:23" x14ac:dyDescent="0.25">
      <c r="A2792">
        <v>2791</v>
      </c>
      <c r="B2792">
        <v>34</v>
      </c>
      <c r="C2792" t="str" cm="1">
        <f t="array" ref="C2792">_xlfn.IFS(
  AND(B2792&gt;=18, B2792&lt;=24), "18-24",
  AND(B2792&gt;=25, B2792&lt;=34), "25-34",
  AND(B2792&gt;=35, B2792&lt;=44), "35-44",
  AND(B2792&gt;=45, B2792&lt;=54), "45-54",
  B2792&gt;=55, "55+"
)</f>
        <v>25-34</v>
      </c>
      <c r="D2792" t="s">
        <v>153</v>
      </c>
      <c r="E2792" t="s">
        <v>131</v>
      </c>
      <c r="F2792" t="s">
        <v>21</v>
      </c>
      <c r="G2792">
        <v>63</v>
      </c>
      <c r="H2792" t="s">
        <v>32</v>
      </c>
      <c r="I2792" t="s">
        <v>45</v>
      </c>
      <c r="J2792" t="s">
        <v>94</v>
      </c>
      <c r="K2792" t="s">
        <v>39</v>
      </c>
      <c r="L2792">
        <v>4.5</v>
      </c>
      <c r="M2792" t="s">
        <v>152</v>
      </c>
      <c r="N2792" t="s">
        <v>35</v>
      </c>
      <c r="O2792" t="s">
        <v>40</v>
      </c>
      <c r="P2792" t="s">
        <v>152</v>
      </c>
      <c r="Q2792" t="s">
        <v>152</v>
      </c>
      <c r="R2792">
        <v>24</v>
      </c>
      <c r="S2792" t="s">
        <v>59</v>
      </c>
      <c r="T2792" t="str">
        <f t="shared" si="86"/>
        <v>Annually</v>
      </c>
      <c r="U2792">
        <f>VLOOKUP(T2792,[1]tablescore!$B$3:$C$8, 2,FALSE)</f>
        <v>1</v>
      </c>
      <c r="V2792" t="str">
        <f t="shared" si="87"/>
        <v>Low Loyalty</v>
      </c>
      <c r="W2792" t="s">
        <v>50</v>
      </c>
    </row>
    <row r="2793" spans="1:23" x14ac:dyDescent="0.25">
      <c r="A2793">
        <v>2792</v>
      </c>
      <c r="B2793">
        <v>43</v>
      </c>
      <c r="C2793" t="str" cm="1">
        <f t="array" ref="C2793">_xlfn.IFS(
  AND(B2793&gt;=18, B2793&lt;=24), "18-24",
  AND(B2793&gt;=25, B2793&lt;=34), "25-34",
  AND(B2793&gt;=35, B2793&lt;=44), "35-44",
  AND(B2793&gt;=45, B2793&lt;=54), "45-54",
  B2793&gt;=55, "55+"
)</f>
        <v>35-44</v>
      </c>
      <c r="D2793" t="s">
        <v>153</v>
      </c>
      <c r="E2793" t="s">
        <v>127</v>
      </c>
      <c r="F2793" t="s">
        <v>69</v>
      </c>
      <c r="G2793">
        <v>60</v>
      </c>
      <c r="H2793" t="s">
        <v>150</v>
      </c>
      <c r="I2793" t="s">
        <v>45</v>
      </c>
      <c r="J2793" t="s">
        <v>139</v>
      </c>
      <c r="K2793" t="s">
        <v>58</v>
      </c>
      <c r="L2793">
        <v>2.8</v>
      </c>
      <c r="M2793" t="s">
        <v>152</v>
      </c>
      <c r="N2793" t="s">
        <v>27</v>
      </c>
      <c r="O2793" t="s">
        <v>28</v>
      </c>
      <c r="P2793" t="s">
        <v>152</v>
      </c>
      <c r="Q2793" t="s">
        <v>152</v>
      </c>
      <c r="R2793">
        <v>14</v>
      </c>
      <c r="S2793" t="s">
        <v>29</v>
      </c>
      <c r="T2793" t="str">
        <f t="shared" si="86"/>
        <v>2-week</v>
      </c>
      <c r="U2793">
        <f>VLOOKUP(T2793,[1]tablescore!$B$3:$C$8, 2,FALSE)</f>
        <v>26</v>
      </c>
      <c r="V2793" t="str">
        <f t="shared" si="87"/>
        <v>Loyal</v>
      </c>
      <c r="W2793" t="s">
        <v>30</v>
      </c>
    </row>
    <row r="2794" spans="1:23" x14ac:dyDescent="0.25">
      <c r="A2794">
        <v>2793</v>
      </c>
      <c r="B2794">
        <v>54</v>
      </c>
      <c r="C2794" t="str" cm="1">
        <f t="array" ref="C2794">_xlfn.IFS(
  AND(B2794&gt;=18, B2794&lt;=24), "18-24",
  AND(B2794&gt;=25, B2794&lt;=34), "25-34",
  AND(B2794&gt;=35, B2794&lt;=44), "35-44",
  AND(B2794&gt;=45, B2794&lt;=54), "45-54",
  B2794&gt;=55, "55+"
)</f>
        <v>45-54</v>
      </c>
      <c r="D2794" t="s">
        <v>153</v>
      </c>
      <c r="E2794" t="s">
        <v>61</v>
      </c>
      <c r="F2794" t="s">
        <v>21</v>
      </c>
      <c r="G2794">
        <v>44</v>
      </c>
      <c r="H2794" t="s">
        <v>22</v>
      </c>
      <c r="I2794" t="s">
        <v>23</v>
      </c>
      <c r="J2794" t="s">
        <v>84</v>
      </c>
      <c r="K2794" t="s">
        <v>25</v>
      </c>
      <c r="L2794">
        <v>3.2</v>
      </c>
      <c r="M2794" t="s">
        <v>152</v>
      </c>
      <c r="N2794" t="s">
        <v>59</v>
      </c>
      <c r="O2794" t="s">
        <v>28</v>
      </c>
      <c r="P2794" t="s">
        <v>152</v>
      </c>
      <c r="Q2794" t="s">
        <v>152</v>
      </c>
      <c r="R2794">
        <v>11</v>
      </c>
      <c r="S2794" t="s">
        <v>27</v>
      </c>
      <c r="T2794" t="str">
        <f t="shared" si="86"/>
        <v>Daily</v>
      </c>
      <c r="U2794">
        <f>VLOOKUP(T2794,[1]tablescore!$B$3:$C$8, 2,FALSE)</f>
        <v>30</v>
      </c>
      <c r="V2794" t="str">
        <f t="shared" si="87"/>
        <v>Highly Loyal</v>
      </c>
      <c r="W2794" t="s">
        <v>41</v>
      </c>
    </row>
    <row r="2795" spans="1:23" x14ac:dyDescent="0.25">
      <c r="A2795">
        <v>2794</v>
      </c>
      <c r="B2795">
        <v>37</v>
      </c>
      <c r="C2795" t="str" cm="1">
        <f t="array" ref="C2795">_xlfn.IFS(
  AND(B2795&gt;=18, B2795&lt;=24), "18-24",
  AND(B2795&gt;=25, B2795&lt;=34), "25-34",
  AND(B2795&gt;=35, B2795&lt;=44), "35-44",
  AND(B2795&gt;=45, B2795&lt;=54), "45-54",
  B2795&gt;=55, "55+"
)</f>
        <v>35-44</v>
      </c>
      <c r="D2795" t="s">
        <v>153</v>
      </c>
      <c r="E2795" t="s">
        <v>132</v>
      </c>
      <c r="F2795" t="s">
        <v>43</v>
      </c>
      <c r="G2795">
        <v>57</v>
      </c>
      <c r="H2795" t="s">
        <v>37</v>
      </c>
      <c r="I2795" t="s">
        <v>45</v>
      </c>
      <c r="J2795" t="s">
        <v>67</v>
      </c>
      <c r="K2795" t="s">
        <v>39</v>
      </c>
      <c r="L2795">
        <v>3.1</v>
      </c>
      <c r="M2795" t="s">
        <v>152</v>
      </c>
      <c r="N2795" t="s">
        <v>34</v>
      </c>
      <c r="O2795" t="s">
        <v>55</v>
      </c>
      <c r="P2795" t="s">
        <v>152</v>
      </c>
      <c r="Q2795" t="s">
        <v>152</v>
      </c>
      <c r="R2795">
        <v>27</v>
      </c>
      <c r="S2795" t="s">
        <v>59</v>
      </c>
      <c r="T2795" t="str">
        <f t="shared" si="86"/>
        <v>2-week</v>
      </c>
      <c r="U2795">
        <f>VLOOKUP(T2795,[1]tablescore!$B$3:$C$8, 2,FALSE)</f>
        <v>26</v>
      </c>
      <c r="V2795" t="str">
        <f t="shared" si="87"/>
        <v>Loyal</v>
      </c>
      <c r="W2795" t="s">
        <v>77</v>
      </c>
    </row>
    <row r="2796" spans="1:23" x14ac:dyDescent="0.25">
      <c r="A2796">
        <v>2795</v>
      </c>
      <c r="B2796">
        <v>33</v>
      </c>
      <c r="C2796" t="str" cm="1">
        <f t="array" ref="C2796">_xlfn.IFS(
  AND(B2796&gt;=18, B2796&lt;=24), "18-24",
  AND(B2796&gt;=25, B2796&lt;=34), "25-34",
  AND(B2796&gt;=35, B2796&lt;=44), "35-44",
  AND(B2796&gt;=45, B2796&lt;=54), "45-54",
  B2796&gt;=55, "55+"
)</f>
        <v>25-34</v>
      </c>
      <c r="D2796" t="s">
        <v>153</v>
      </c>
      <c r="E2796" t="s">
        <v>102</v>
      </c>
      <c r="F2796" t="s">
        <v>65</v>
      </c>
      <c r="G2796">
        <v>24</v>
      </c>
      <c r="H2796" t="s">
        <v>85</v>
      </c>
      <c r="I2796" t="s">
        <v>45</v>
      </c>
      <c r="J2796" t="s">
        <v>81</v>
      </c>
      <c r="K2796" t="s">
        <v>58</v>
      </c>
      <c r="L2796">
        <v>3.3</v>
      </c>
      <c r="M2796" t="s">
        <v>152</v>
      </c>
      <c r="N2796" t="s">
        <v>46</v>
      </c>
      <c r="O2796" t="s">
        <v>55</v>
      </c>
      <c r="P2796" t="s">
        <v>152</v>
      </c>
      <c r="Q2796" t="s">
        <v>152</v>
      </c>
      <c r="R2796">
        <v>7</v>
      </c>
      <c r="S2796" t="s">
        <v>35</v>
      </c>
      <c r="T2796" t="str">
        <f t="shared" si="86"/>
        <v>2-week</v>
      </c>
      <c r="U2796">
        <f>VLOOKUP(T2796,[1]tablescore!$B$3:$C$8, 2,FALSE)</f>
        <v>26</v>
      </c>
      <c r="V2796" t="str">
        <f t="shared" si="87"/>
        <v>Loyal</v>
      </c>
      <c r="W2796" t="s">
        <v>30</v>
      </c>
    </row>
    <row r="2797" spans="1:23" x14ac:dyDescent="0.25">
      <c r="A2797">
        <v>2796</v>
      </c>
      <c r="B2797">
        <v>33</v>
      </c>
      <c r="C2797" t="str" cm="1">
        <f t="array" ref="C2797">_xlfn.IFS(
  AND(B2797&gt;=18, B2797&lt;=24), "18-24",
  AND(B2797&gt;=25, B2797&lt;=34), "25-34",
  AND(B2797&gt;=35, B2797&lt;=44), "35-44",
  AND(B2797&gt;=45, B2797&lt;=54), "45-54",
  B2797&gt;=55, "55+"
)</f>
        <v>25-34</v>
      </c>
      <c r="D2797" t="s">
        <v>153</v>
      </c>
      <c r="E2797" t="s">
        <v>119</v>
      </c>
      <c r="F2797" t="s">
        <v>69</v>
      </c>
      <c r="G2797">
        <v>35</v>
      </c>
      <c r="H2797" t="s">
        <v>143</v>
      </c>
      <c r="I2797" t="s">
        <v>45</v>
      </c>
      <c r="J2797" t="s">
        <v>147</v>
      </c>
      <c r="K2797" t="s">
        <v>25</v>
      </c>
      <c r="L2797">
        <v>3.4</v>
      </c>
      <c r="M2797" t="s">
        <v>152</v>
      </c>
      <c r="N2797" t="s">
        <v>34</v>
      </c>
      <c r="O2797" t="s">
        <v>76</v>
      </c>
      <c r="P2797" t="s">
        <v>152</v>
      </c>
      <c r="Q2797" t="s">
        <v>152</v>
      </c>
      <c r="R2797">
        <v>49</v>
      </c>
      <c r="S2797" t="s">
        <v>46</v>
      </c>
      <c r="T2797" t="str">
        <f t="shared" si="86"/>
        <v>Annually</v>
      </c>
      <c r="U2797">
        <f>VLOOKUP(T2797,[1]tablescore!$B$3:$C$8, 2,FALSE)</f>
        <v>1</v>
      </c>
      <c r="V2797" t="str">
        <f t="shared" si="87"/>
        <v>Low Loyalty</v>
      </c>
      <c r="W2797" t="s">
        <v>50</v>
      </c>
    </row>
    <row r="2798" spans="1:23" x14ac:dyDescent="0.25">
      <c r="A2798">
        <v>2797</v>
      </c>
      <c r="B2798">
        <v>55</v>
      </c>
      <c r="C2798" t="str" cm="1">
        <f t="array" ref="C2798">_xlfn.IFS(
  AND(B2798&gt;=18, B2798&lt;=24), "18-24",
  AND(B2798&gt;=25, B2798&lt;=34), "25-34",
  AND(B2798&gt;=35, B2798&lt;=44), "35-44",
  AND(B2798&gt;=45, B2798&lt;=54), "45-54",
  B2798&gt;=55, "55+"
)</f>
        <v>55+</v>
      </c>
      <c r="D2798" t="s">
        <v>153</v>
      </c>
      <c r="E2798" t="s">
        <v>102</v>
      </c>
      <c r="F2798" t="s">
        <v>65</v>
      </c>
      <c r="G2798">
        <v>73</v>
      </c>
      <c r="H2798" t="s">
        <v>101</v>
      </c>
      <c r="I2798" t="s">
        <v>45</v>
      </c>
      <c r="J2798" t="s">
        <v>108</v>
      </c>
      <c r="K2798" t="s">
        <v>25</v>
      </c>
      <c r="L2798">
        <v>3.8</v>
      </c>
      <c r="M2798" t="s">
        <v>152</v>
      </c>
      <c r="N2798" t="s">
        <v>35</v>
      </c>
      <c r="O2798" t="s">
        <v>76</v>
      </c>
      <c r="P2798" t="s">
        <v>152</v>
      </c>
      <c r="Q2798" t="s">
        <v>152</v>
      </c>
      <c r="R2798">
        <v>21</v>
      </c>
      <c r="S2798" t="s">
        <v>35</v>
      </c>
      <c r="T2798" t="str">
        <f t="shared" si="86"/>
        <v>Annually</v>
      </c>
      <c r="U2798">
        <f>VLOOKUP(T2798,[1]tablescore!$B$3:$C$8, 2,FALSE)</f>
        <v>1</v>
      </c>
      <c r="V2798" t="str">
        <f t="shared" si="87"/>
        <v>Low Loyalty</v>
      </c>
      <c r="W2798" t="s">
        <v>50</v>
      </c>
    </row>
    <row r="2799" spans="1:23" x14ac:dyDescent="0.25">
      <c r="A2799">
        <v>2798</v>
      </c>
      <c r="B2799">
        <v>63</v>
      </c>
      <c r="C2799" t="str" cm="1">
        <f t="array" ref="C2799">_xlfn.IFS(
  AND(B2799&gt;=18, B2799&lt;=24), "18-24",
  AND(B2799&gt;=25, B2799&lt;=34), "25-34",
  AND(B2799&gt;=35, B2799&lt;=44), "35-44",
  AND(B2799&gt;=45, B2799&lt;=54), "45-54",
  B2799&gt;=55, "55+"
)</f>
        <v>55+</v>
      </c>
      <c r="D2799" t="s">
        <v>153</v>
      </c>
      <c r="E2799" t="s">
        <v>106</v>
      </c>
      <c r="F2799" t="s">
        <v>69</v>
      </c>
      <c r="G2799">
        <v>42</v>
      </c>
      <c r="H2799" t="s">
        <v>101</v>
      </c>
      <c r="I2799" t="s">
        <v>45</v>
      </c>
      <c r="J2799" t="s">
        <v>96</v>
      </c>
      <c r="K2799" t="s">
        <v>25</v>
      </c>
      <c r="L2799">
        <v>3.5</v>
      </c>
      <c r="M2799" t="s">
        <v>152</v>
      </c>
      <c r="N2799" t="s">
        <v>46</v>
      </c>
      <c r="O2799" t="s">
        <v>28</v>
      </c>
      <c r="P2799" t="s">
        <v>152</v>
      </c>
      <c r="Q2799" t="s">
        <v>152</v>
      </c>
      <c r="R2799">
        <v>10</v>
      </c>
      <c r="S2799" t="s">
        <v>29</v>
      </c>
      <c r="T2799" t="str">
        <f t="shared" si="86"/>
        <v>Quarterly</v>
      </c>
      <c r="U2799">
        <f>VLOOKUP(T2799,[1]tablescore!$B$3:$C$8, 2,FALSE)</f>
        <v>4</v>
      </c>
      <c r="V2799" t="str">
        <f t="shared" si="87"/>
        <v>Low Loyalty</v>
      </c>
      <c r="W2799" t="s">
        <v>97</v>
      </c>
    </row>
    <row r="2800" spans="1:23" x14ac:dyDescent="0.25">
      <c r="A2800">
        <v>2799</v>
      </c>
      <c r="B2800">
        <v>52</v>
      </c>
      <c r="C2800" t="str" cm="1">
        <f t="array" ref="C2800">_xlfn.IFS(
  AND(B2800&gt;=18, B2800&lt;=24), "18-24",
  AND(B2800&gt;=25, B2800&lt;=34), "25-34",
  AND(B2800&gt;=35, B2800&lt;=44), "35-44",
  AND(B2800&gt;=45, B2800&lt;=54), "45-54",
  B2800&gt;=55, "55+"
)</f>
        <v>45-54</v>
      </c>
      <c r="D2800" t="s">
        <v>153</v>
      </c>
      <c r="E2800" t="s">
        <v>104</v>
      </c>
      <c r="F2800" t="s">
        <v>21</v>
      </c>
      <c r="G2800">
        <v>20</v>
      </c>
      <c r="H2800" t="s">
        <v>44</v>
      </c>
      <c r="I2800" t="s">
        <v>92</v>
      </c>
      <c r="J2800" t="s">
        <v>108</v>
      </c>
      <c r="K2800" t="s">
        <v>25</v>
      </c>
      <c r="L2800">
        <v>4.8</v>
      </c>
      <c r="M2800" t="s">
        <v>152</v>
      </c>
      <c r="N2800" t="s">
        <v>27</v>
      </c>
      <c r="O2800" t="s">
        <v>76</v>
      </c>
      <c r="P2800" t="s">
        <v>152</v>
      </c>
      <c r="Q2800" t="s">
        <v>152</v>
      </c>
      <c r="R2800">
        <v>37</v>
      </c>
      <c r="S2800" t="s">
        <v>46</v>
      </c>
      <c r="T2800" t="str">
        <f t="shared" si="86"/>
        <v>Daily</v>
      </c>
      <c r="U2800">
        <f>VLOOKUP(T2800,[1]tablescore!$B$3:$C$8, 2,FALSE)</f>
        <v>30</v>
      </c>
      <c r="V2800" t="str">
        <f t="shared" si="87"/>
        <v>Highly Loyal</v>
      </c>
      <c r="W2800" t="s">
        <v>41</v>
      </c>
    </row>
    <row r="2801" spans="1:23" x14ac:dyDescent="0.25">
      <c r="A2801">
        <v>2800</v>
      </c>
      <c r="B2801">
        <v>23</v>
      </c>
      <c r="C2801" t="str" cm="1">
        <f t="array" ref="C2801">_xlfn.IFS(
  AND(B2801&gt;=18, B2801&lt;=24), "18-24",
  AND(B2801&gt;=25, B2801&lt;=34), "25-34",
  AND(B2801&gt;=35, B2801&lt;=44), "35-44",
  AND(B2801&gt;=45, B2801&lt;=54), "45-54",
  B2801&gt;=55, "55+"
)</f>
        <v>18-24</v>
      </c>
      <c r="D2801" t="s">
        <v>153</v>
      </c>
      <c r="E2801" t="s">
        <v>113</v>
      </c>
      <c r="F2801" t="s">
        <v>21</v>
      </c>
      <c r="G2801">
        <v>89</v>
      </c>
      <c r="H2801" t="s">
        <v>32</v>
      </c>
      <c r="I2801" t="s">
        <v>23</v>
      </c>
      <c r="J2801" t="s">
        <v>71</v>
      </c>
      <c r="K2801" t="s">
        <v>39</v>
      </c>
      <c r="L2801">
        <v>3.9</v>
      </c>
      <c r="M2801" t="s">
        <v>152</v>
      </c>
      <c r="N2801" t="s">
        <v>27</v>
      </c>
      <c r="O2801" t="s">
        <v>40</v>
      </c>
      <c r="P2801" t="s">
        <v>152</v>
      </c>
      <c r="Q2801" t="s">
        <v>152</v>
      </c>
      <c r="R2801">
        <v>9</v>
      </c>
      <c r="S2801" t="s">
        <v>34</v>
      </c>
      <c r="T2801" t="str">
        <f t="shared" si="86"/>
        <v>Quarterly</v>
      </c>
      <c r="U2801">
        <f>VLOOKUP(T2801,[1]tablescore!$B$3:$C$8, 2,FALSE)</f>
        <v>4</v>
      </c>
      <c r="V2801" t="str">
        <f t="shared" si="87"/>
        <v>Low Loyalty</v>
      </c>
      <c r="W2801" t="s">
        <v>97</v>
      </c>
    </row>
    <row r="2802" spans="1:23" x14ac:dyDescent="0.25">
      <c r="A2802">
        <v>2801</v>
      </c>
      <c r="B2802">
        <v>70</v>
      </c>
      <c r="C2802" t="str" cm="1">
        <f t="array" ref="C2802">_xlfn.IFS(
  AND(B2802&gt;=18, B2802&lt;=24), "18-24",
  AND(B2802&gt;=25, B2802&lt;=34), "25-34",
  AND(B2802&gt;=35, B2802&lt;=44), "35-44",
  AND(B2802&gt;=45, B2802&lt;=54), "45-54",
  B2802&gt;=55, "55+"
)</f>
        <v>55+</v>
      </c>
      <c r="D2802" t="s">
        <v>153</v>
      </c>
      <c r="E2802" t="s">
        <v>56</v>
      </c>
      <c r="F2802" t="s">
        <v>21</v>
      </c>
      <c r="G2802">
        <v>76</v>
      </c>
      <c r="H2802" t="s">
        <v>74</v>
      </c>
      <c r="I2802" t="s">
        <v>23</v>
      </c>
      <c r="J2802" t="s">
        <v>84</v>
      </c>
      <c r="K2802" t="s">
        <v>58</v>
      </c>
      <c r="L2802">
        <v>3.4</v>
      </c>
      <c r="M2802" t="s">
        <v>152</v>
      </c>
      <c r="N2802" t="s">
        <v>46</v>
      </c>
      <c r="O2802" t="s">
        <v>40</v>
      </c>
      <c r="P2802" t="s">
        <v>152</v>
      </c>
      <c r="Q2802" t="s">
        <v>152</v>
      </c>
      <c r="R2802">
        <v>14</v>
      </c>
      <c r="S2802" t="s">
        <v>35</v>
      </c>
      <c r="T2802" t="str">
        <f t="shared" si="86"/>
        <v>2-week</v>
      </c>
      <c r="U2802">
        <f>VLOOKUP(T2802,[1]tablescore!$B$3:$C$8, 2,FALSE)</f>
        <v>26</v>
      </c>
      <c r="V2802" t="str">
        <f t="shared" si="87"/>
        <v>Loyal</v>
      </c>
      <c r="W2802" t="s">
        <v>77</v>
      </c>
    </row>
    <row r="2803" spans="1:23" x14ac:dyDescent="0.25">
      <c r="A2803">
        <v>2802</v>
      </c>
      <c r="B2803">
        <v>64</v>
      </c>
      <c r="C2803" t="str" cm="1">
        <f t="array" ref="C2803">_xlfn.IFS(
  AND(B2803&gt;=18, B2803&lt;=24), "18-24",
  AND(B2803&gt;=25, B2803&lt;=34), "25-34",
  AND(B2803&gt;=35, B2803&lt;=44), "35-44",
  AND(B2803&gt;=45, B2803&lt;=54), "45-54",
  B2803&gt;=55, "55+"
)</f>
        <v>55+</v>
      </c>
      <c r="D2803" t="s">
        <v>153</v>
      </c>
      <c r="E2803" t="s">
        <v>56</v>
      </c>
      <c r="F2803" t="s">
        <v>21</v>
      </c>
      <c r="G2803">
        <v>56</v>
      </c>
      <c r="H2803" t="s">
        <v>123</v>
      </c>
      <c r="I2803" t="s">
        <v>45</v>
      </c>
      <c r="J2803" t="s">
        <v>129</v>
      </c>
      <c r="K2803" t="s">
        <v>25</v>
      </c>
      <c r="L2803">
        <v>2.6</v>
      </c>
      <c r="M2803" t="s">
        <v>152</v>
      </c>
      <c r="N2803" t="s">
        <v>35</v>
      </c>
      <c r="O2803" t="s">
        <v>28</v>
      </c>
      <c r="P2803" t="s">
        <v>152</v>
      </c>
      <c r="Q2803" t="s">
        <v>152</v>
      </c>
      <c r="R2803">
        <v>30</v>
      </c>
      <c r="S2803" t="s">
        <v>46</v>
      </c>
      <c r="T2803" t="str">
        <f t="shared" si="86"/>
        <v>Annually</v>
      </c>
      <c r="U2803">
        <f>VLOOKUP(T2803,[1]tablescore!$B$3:$C$8, 2,FALSE)</f>
        <v>1</v>
      </c>
      <c r="V2803" t="str">
        <f t="shared" si="87"/>
        <v>Low Loyalty</v>
      </c>
      <c r="W2803" t="s">
        <v>50</v>
      </c>
    </row>
    <row r="2804" spans="1:23" x14ac:dyDescent="0.25">
      <c r="A2804">
        <v>2803</v>
      </c>
      <c r="B2804">
        <v>22</v>
      </c>
      <c r="C2804" t="str" cm="1">
        <f t="array" ref="C2804">_xlfn.IFS(
  AND(B2804&gt;=18, B2804&lt;=24), "18-24",
  AND(B2804&gt;=25, B2804&lt;=34), "25-34",
  AND(B2804&gt;=35, B2804&lt;=44), "35-44",
  AND(B2804&gt;=45, B2804&lt;=54), "45-54",
  B2804&gt;=55, "55+"
)</f>
        <v>18-24</v>
      </c>
      <c r="D2804" t="s">
        <v>153</v>
      </c>
      <c r="E2804" t="s">
        <v>64</v>
      </c>
      <c r="F2804" t="s">
        <v>65</v>
      </c>
      <c r="G2804">
        <v>100</v>
      </c>
      <c r="H2804" t="s">
        <v>78</v>
      </c>
      <c r="I2804" t="s">
        <v>23</v>
      </c>
      <c r="J2804" t="s">
        <v>108</v>
      </c>
      <c r="K2804" t="s">
        <v>58</v>
      </c>
      <c r="L2804">
        <v>3.1</v>
      </c>
      <c r="M2804" t="s">
        <v>152</v>
      </c>
      <c r="N2804" t="s">
        <v>34</v>
      </c>
      <c r="O2804" t="s">
        <v>76</v>
      </c>
      <c r="P2804" t="s">
        <v>152</v>
      </c>
      <c r="Q2804" t="s">
        <v>152</v>
      </c>
      <c r="R2804">
        <v>42</v>
      </c>
      <c r="S2804" t="s">
        <v>27</v>
      </c>
      <c r="T2804" t="str">
        <f t="shared" si="86"/>
        <v>2-week</v>
      </c>
      <c r="U2804">
        <f>VLOOKUP(T2804,[1]tablescore!$B$3:$C$8, 2,FALSE)</f>
        <v>26</v>
      </c>
      <c r="V2804" t="str">
        <f t="shared" si="87"/>
        <v>Loyal</v>
      </c>
      <c r="W2804" t="s">
        <v>30</v>
      </c>
    </row>
    <row r="2805" spans="1:23" x14ac:dyDescent="0.25">
      <c r="A2805">
        <v>2804</v>
      </c>
      <c r="B2805">
        <v>46</v>
      </c>
      <c r="C2805" t="str" cm="1">
        <f t="array" ref="C2805">_xlfn.IFS(
  AND(B2805&gt;=18, B2805&lt;=24), "18-24",
  AND(B2805&gt;=25, B2805&lt;=34), "25-34",
  AND(B2805&gt;=35, B2805&lt;=44), "35-44",
  AND(B2805&gt;=45, B2805&lt;=54), "45-54",
  B2805&gt;=55, "55+"
)</f>
        <v>45-54</v>
      </c>
      <c r="D2805" t="s">
        <v>153</v>
      </c>
      <c r="E2805" t="s">
        <v>113</v>
      </c>
      <c r="F2805" t="s">
        <v>21</v>
      </c>
      <c r="G2805">
        <v>44</v>
      </c>
      <c r="H2805" t="s">
        <v>144</v>
      </c>
      <c r="I2805" t="s">
        <v>45</v>
      </c>
      <c r="J2805" t="s">
        <v>84</v>
      </c>
      <c r="K2805" t="s">
        <v>25</v>
      </c>
      <c r="L2805">
        <v>3.3</v>
      </c>
      <c r="M2805" t="s">
        <v>152</v>
      </c>
      <c r="N2805" t="s">
        <v>27</v>
      </c>
      <c r="O2805" t="s">
        <v>40</v>
      </c>
      <c r="P2805" t="s">
        <v>152</v>
      </c>
      <c r="Q2805" t="s">
        <v>152</v>
      </c>
      <c r="R2805">
        <v>31</v>
      </c>
      <c r="S2805" t="s">
        <v>34</v>
      </c>
      <c r="T2805" t="str">
        <f t="shared" si="86"/>
        <v>Month</v>
      </c>
      <c r="U2805">
        <f>VLOOKUP(T2805,[1]tablescore!$B$3:$C$8, 2,FALSE)</f>
        <v>12</v>
      </c>
      <c r="V2805" t="str">
        <f t="shared" si="87"/>
        <v>Moderate</v>
      </c>
      <c r="W2805" t="s">
        <v>88</v>
      </c>
    </row>
    <row r="2806" spans="1:23" x14ac:dyDescent="0.25">
      <c r="A2806">
        <v>2805</v>
      </c>
      <c r="B2806">
        <v>65</v>
      </c>
      <c r="C2806" t="str" cm="1">
        <f t="array" ref="C2806">_xlfn.IFS(
  AND(B2806&gt;=18, B2806&lt;=24), "18-24",
  AND(B2806&gt;=25, B2806&lt;=34), "25-34",
  AND(B2806&gt;=35, B2806&lt;=44), "35-44",
  AND(B2806&gt;=45, B2806&lt;=54), "45-54",
  B2806&gt;=55, "55+"
)</f>
        <v>55+</v>
      </c>
      <c r="D2806" t="s">
        <v>153</v>
      </c>
      <c r="E2806" t="s">
        <v>104</v>
      </c>
      <c r="F2806" t="s">
        <v>21</v>
      </c>
      <c r="G2806">
        <v>76</v>
      </c>
      <c r="H2806" t="s">
        <v>126</v>
      </c>
      <c r="I2806" t="s">
        <v>45</v>
      </c>
      <c r="J2806" t="s">
        <v>109</v>
      </c>
      <c r="K2806" t="s">
        <v>39</v>
      </c>
      <c r="L2806">
        <v>2.8</v>
      </c>
      <c r="M2806" t="s">
        <v>152</v>
      </c>
      <c r="N2806" t="s">
        <v>27</v>
      </c>
      <c r="O2806" t="s">
        <v>55</v>
      </c>
      <c r="P2806" t="s">
        <v>152</v>
      </c>
      <c r="Q2806" t="s">
        <v>152</v>
      </c>
      <c r="R2806">
        <v>48</v>
      </c>
      <c r="S2806" t="s">
        <v>34</v>
      </c>
      <c r="T2806" t="str">
        <f t="shared" si="86"/>
        <v>Quarterly</v>
      </c>
      <c r="U2806">
        <f>VLOOKUP(T2806,[1]tablescore!$B$3:$C$8, 2,FALSE)</f>
        <v>4</v>
      </c>
      <c r="V2806" t="str">
        <f t="shared" si="87"/>
        <v>Low Loyalty</v>
      </c>
      <c r="W2806" t="s">
        <v>97</v>
      </c>
    </row>
    <row r="2807" spans="1:23" x14ac:dyDescent="0.25">
      <c r="A2807">
        <v>2806</v>
      </c>
      <c r="B2807">
        <v>18</v>
      </c>
      <c r="C2807" t="str" cm="1">
        <f t="array" ref="C2807">_xlfn.IFS(
  AND(B2807&gt;=18, B2807&lt;=24), "18-24",
  AND(B2807&gt;=25, B2807&lt;=34), "25-34",
  AND(B2807&gt;=35, B2807&lt;=44), "35-44",
  AND(B2807&gt;=45, B2807&lt;=54), "45-54",
  B2807&gt;=55, "55+"
)</f>
        <v>18-24</v>
      </c>
      <c r="D2807" t="s">
        <v>153</v>
      </c>
      <c r="E2807" t="s">
        <v>89</v>
      </c>
      <c r="F2807" t="s">
        <v>69</v>
      </c>
      <c r="G2807">
        <v>97</v>
      </c>
      <c r="H2807" t="s">
        <v>107</v>
      </c>
      <c r="I2807" t="s">
        <v>38</v>
      </c>
      <c r="J2807" t="s">
        <v>94</v>
      </c>
      <c r="K2807" t="s">
        <v>58</v>
      </c>
      <c r="L2807">
        <v>4.3</v>
      </c>
      <c r="M2807" t="s">
        <v>152</v>
      </c>
      <c r="N2807" t="s">
        <v>35</v>
      </c>
      <c r="O2807" t="s">
        <v>55</v>
      </c>
      <c r="P2807" t="s">
        <v>152</v>
      </c>
      <c r="Q2807" t="s">
        <v>152</v>
      </c>
      <c r="R2807">
        <v>48</v>
      </c>
      <c r="S2807" t="s">
        <v>35</v>
      </c>
      <c r="T2807" t="str">
        <f t="shared" si="86"/>
        <v>Quarterly</v>
      </c>
      <c r="U2807">
        <f>VLOOKUP(T2807,[1]tablescore!$B$3:$C$8, 2,FALSE)</f>
        <v>4</v>
      </c>
      <c r="V2807" t="str">
        <f t="shared" si="87"/>
        <v>Low Loyalty</v>
      </c>
      <c r="W2807" t="s">
        <v>60</v>
      </c>
    </row>
    <row r="2808" spans="1:23" x14ac:dyDescent="0.25">
      <c r="A2808">
        <v>2807</v>
      </c>
      <c r="B2808">
        <v>45</v>
      </c>
      <c r="C2808" t="str" cm="1">
        <f t="array" ref="C2808">_xlfn.IFS(
  AND(B2808&gt;=18, B2808&lt;=24), "18-24",
  AND(B2808&gt;=25, B2808&lt;=34), "25-34",
  AND(B2808&gt;=35, B2808&lt;=44), "35-44",
  AND(B2808&gt;=45, B2808&lt;=54), "45-54",
  B2808&gt;=55, "55+"
)</f>
        <v>45-54</v>
      </c>
      <c r="D2808" t="s">
        <v>153</v>
      </c>
      <c r="E2808" t="s">
        <v>20</v>
      </c>
      <c r="F2808" t="s">
        <v>21</v>
      </c>
      <c r="G2808">
        <v>39</v>
      </c>
      <c r="H2808" t="s">
        <v>126</v>
      </c>
      <c r="I2808" t="s">
        <v>23</v>
      </c>
      <c r="J2808" t="s">
        <v>75</v>
      </c>
      <c r="K2808" t="s">
        <v>39</v>
      </c>
      <c r="L2808">
        <v>2.7</v>
      </c>
      <c r="M2808" t="s">
        <v>152</v>
      </c>
      <c r="N2808" t="s">
        <v>46</v>
      </c>
      <c r="O2808" t="s">
        <v>55</v>
      </c>
      <c r="P2808" t="s">
        <v>152</v>
      </c>
      <c r="Q2808" t="s">
        <v>152</v>
      </c>
      <c r="R2808">
        <v>50</v>
      </c>
      <c r="S2808" t="s">
        <v>27</v>
      </c>
      <c r="T2808" t="str">
        <f t="shared" si="86"/>
        <v>Annually</v>
      </c>
      <c r="U2808">
        <f>VLOOKUP(T2808,[1]tablescore!$B$3:$C$8, 2,FALSE)</f>
        <v>1</v>
      </c>
      <c r="V2808" t="str">
        <f t="shared" si="87"/>
        <v>Low Loyalty</v>
      </c>
      <c r="W2808" t="s">
        <v>50</v>
      </c>
    </row>
    <row r="2809" spans="1:23" x14ac:dyDescent="0.25">
      <c r="A2809">
        <v>2808</v>
      </c>
      <c r="B2809">
        <v>56</v>
      </c>
      <c r="C2809" t="str" cm="1">
        <f t="array" ref="C2809">_xlfn.IFS(
  AND(B2809&gt;=18, B2809&lt;=24), "18-24",
  AND(B2809&gt;=25, B2809&lt;=34), "25-34",
  AND(B2809&gt;=35, B2809&lt;=44), "35-44",
  AND(B2809&gt;=45, B2809&lt;=54), "45-54",
  B2809&gt;=55, "55+"
)</f>
        <v>55+</v>
      </c>
      <c r="D2809" t="s">
        <v>153</v>
      </c>
      <c r="E2809" t="s">
        <v>104</v>
      </c>
      <c r="F2809" t="s">
        <v>21</v>
      </c>
      <c r="G2809">
        <v>100</v>
      </c>
      <c r="H2809" t="s">
        <v>135</v>
      </c>
      <c r="I2809" t="s">
        <v>45</v>
      </c>
      <c r="J2809" t="s">
        <v>63</v>
      </c>
      <c r="K2809" t="s">
        <v>39</v>
      </c>
      <c r="L2809">
        <v>4.4000000000000004</v>
      </c>
      <c r="M2809" t="s">
        <v>152</v>
      </c>
      <c r="N2809" t="s">
        <v>59</v>
      </c>
      <c r="O2809" t="s">
        <v>72</v>
      </c>
      <c r="P2809" t="s">
        <v>152</v>
      </c>
      <c r="Q2809" t="s">
        <v>152</v>
      </c>
      <c r="R2809">
        <v>10</v>
      </c>
      <c r="S2809" t="s">
        <v>59</v>
      </c>
      <c r="T2809" t="str">
        <f t="shared" si="86"/>
        <v>2-week</v>
      </c>
      <c r="U2809">
        <f>VLOOKUP(T2809,[1]tablescore!$B$3:$C$8, 2,FALSE)</f>
        <v>26</v>
      </c>
      <c r="V2809" t="str">
        <f t="shared" si="87"/>
        <v>Loyal</v>
      </c>
      <c r="W2809" t="s">
        <v>30</v>
      </c>
    </row>
    <row r="2810" spans="1:23" x14ac:dyDescent="0.25">
      <c r="A2810">
        <v>2809</v>
      </c>
      <c r="B2810">
        <v>49</v>
      </c>
      <c r="C2810" t="str" cm="1">
        <f t="array" ref="C2810">_xlfn.IFS(
  AND(B2810&gt;=18, B2810&lt;=24), "18-24",
  AND(B2810&gt;=25, B2810&lt;=34), "25-34",
  AND(B2810&gt;=35, B2810&lt;=44), "35-44",
  AND(B2810&gt;=45, B2810&lt;=54), "45-54",
  B2810&gt;=55, "55+"
)</f>
        <v>45-54</v>
      </c>
      <c r="D2810" t="s">
        <v>153</v>
      </c>
      <c r="E2810" t="s">
        <v>87</v>
      </c>
      <c r="F2810" t="s">
        <v>21</v>
      </c>
      <c r="G2810">
        <v>62</v>
      </c>
      <c r="H2810" t="s">
        <v>122</v>
      </c>
      <c r="I2810" t="s">
        <v>45</v>
      </c>
      <c r="J2810" t="s">
        <v>118</v>
      </c>
      <c r="K2810" t="s">
        <v>39</v>
      </c>
      <c r="L2810">
        <v>3.9</v>
      </c>
      <c r="M2810" t="s">
        <v>152</v>
      </c>
      <c r="N2810" t="s">
        <v>27</v>
      </c>
      <c r="O2810" t="s">
        <v>40</v>
      </c>
      <c r="P2810" t="s">
        <v>152</v>
      </c>
      <c r="Q2810" t="s">
        <v>152</v>
      </c>
      <c r="R2810">
        <v>45</v>
      </c>
      <c r="S2810" t="s">
        <v>46</v>
      </c>
      <c r="T2810" t="str">
        <f t="shared" si="86"/>
        <v>Quarterly</v>
      </c>
      <c r="U2810">
        <f>VLOOKUP(T2810,[1]tablescore!$B$3:$C$8, 2,FALSE)</f>
        <v>4</v>
      </c>
      <c r="V2810" t="str">
        <f t="shared" si="87"/>
        <v>Low Loyalty</v>
      </c>
      <c r="W2810" t="s">
        <v>97</v>
      </c>
    </row>
    <row r="2811" spans="1:23" x14ac:dyDescent="0.25">
      <c r="A2811">
        <v>2810</v>
      </c>
      <c r="B2811">
        <v>66</v>
      </c>
      <c r="C2811" t="str" cm="1">
        <f t="array" ref="C2811">_xlfn.IFS(
  AND(B2811&gt;=18, B2811&lt;=24), "18-24",
  AND(B2811&gt;=25, B2811&lt;=34), "25-34",
  AND(B2811&gt;=35, B2811&lt;=44), "35-44",
  AND(B2811&gt;=45, B2811&lt;=54), "45-54",
  B2811&gt;=55, "55+"
)</f>
        <v>55+</v>
      </c>
      <c r="D2811" t="s">
        <v>153</v>
      </c>
      <c r="E2811" t="s">
        <v>61</v>
      </c>
      <c r="F2811" t="s">
        <v>21</v>
      </c>
      <c r="G2811">
        <v>98</v>
      </c>
      <c r="H2811" t="s">
        <v>74</v>
      </c>
      <c r="I2811" t="s">
        <v>92</v>
      </c>
      <c r="J2811" t="s">
        <v>86</v>
      </c>
      <c r="K2811" t="s">
        <v>54</v>
      </c>
      <c r="L2811">
        <v>3</v>
      </c>
      <c r="M2811" t="s">
        <v>152</v>
      </c>
      <c r="N2811" t="s">
        <v>59</v>
      </c>
      <c r="O2811" t="s">
        <v>55</v>
      </c>
      <c r="P2811" t="s">
        <v>152</v>
      </c>
      <c r="Q2811" t="s">
        <v>152</v>
      </c>
      <c r="R2811">
        <v>27</v>
      </c>
      <c r="S2811" t="s">
        <v>59</v>
      </c>
      <c r="T2811" t="str">
        <f t="shared" si="86"/>
        <v>Quarterly</v>
      </c>
      <c r="U2811">
        <f>VLOOKUP(T2811,[1]tablescore!$B$3:$C$8, 2,FALSE)</f>
        <v>4</v>
      </c>
      <c r="V2811" t="str">
        <f t="shared" si="87"/>
        <v>Low Loyalty</v>
      </c>
      <c r="W2811" t="s">
        <v>60</v>
      </c>
    </row>
    <row r="2812" spans="1:23" x14ac:dyDescent="0.25">
      <c r="A2812">
        <v>2811</v>
      </c>
      <c r="B2812">
        <v>27</v>
      </c>
      <c r="C2812" t="str" cm="1">
        <f t="array" ref="C2812">_xlfn.IFS(
  AND(B2812&gt;=18, B2812&lt;=24), "18-24",
  AND(B2812&gt;=25, B2812&lt;=34), "25-34",
  AND(B2812&gt;=35, B2812&lt;=44), "35-44",
  AND(B2812&gt;=45, B2812&lt;=54), "45-54",
  B2812&gt;=55, "55+"
)</f>
        <v>25-34</v>
      </c>
      <c r="D2812" t="s">
        <v>153</v>
      </c>
      <c r="E2812" t="s">
        <v>36</v>
      </c>
      <c r="F2812" t="s">
        <v>21</v>
      </c>
      <c r="G2812">
        <v>31</v>
      </c>
      <c r="H2812" t="s">
        <v>117</v>
      </c>
      <c r="I2812" t="s">
        <v>45</v>
      </c>
      <c r="J2812" t="s">
        <v>75</v>
      </c>
      <c r="K2812" t="s">
        <v>54</v>
      </c>
      <c r="L2812">
        <v>4</v>
      </c>
      <c r="M2812" t="s">
        <v>152</v>
      </c>
      <c r="N2812" t="s">
        <v>27</v>
      </c>
      <c r="O2812" t="s">
        <v>55</v>
      </c>
      <c r="P2812" t="s">
        <v>152</v>
      </c>
      <c r="Q2812" t="s">
        <v>152</v>
      </c>
      <c r="R2812">
        <v>10</v>
      </c>
      <c r="S2812" t="s">
        <v>59</v>
      </c>
      <c r="T2812" t="str">
        <f t="shared" si="86"/>
        <v>2-week</v>
      </c>
      <c r="U2812">
        <f>VLOOKUP(T2812,[1]tablescore!$B$3:$C$8, 2,FALSE)</f>
        <v>26</v>
      </c>
      <c r="V2812" t="str">
        <f t="shared" si="87"/>
        <v>Loyal</v>
      </c>
      <c r="W2812" t="s">
        <v>30</v>
      </c>
    </row>
    <row r="2813" spans="1:23" x14ac:dyDescent="0.25">
      <c r="A2813">
        <v>2812</v>
      </c>
      <c r="B2813">
        <v>69</v>
      </c>
      <c r="C2813" t="str" cm="1">
        <f t="array" ref="C2813">_xlfn.IFS(
  AND(B2813&gt;=18, B2813&lt;=24), "18-24",
  AND(B2813&gt;=25, B2813&lt;=34), "25-34",
  AND(B2813&gt;=35, B2813&lt;=44), "35-44",
  AND(B2813&gt;=45, B2813&lt;=54), "45-54",
  B2813&gt;=55, "55+"
)</f>
        <v>55+</v>
      </c>
      <c r="D2813" t="s">
        <v>153</v>
      </c>
      <c r="E2813" t="s">
        <v>102</v>
      </c>
      <c r="F2813" t="s">
        <v>65</v>
      </c>
      <c r="G2813">
        <v>89</v>
      </c>
      <c r="H2813" t="s">
        <v>124</v>
      </c>
      <c r="I2813" t="s">
        <v>45</v>
      </c>
      <c r="J2813" t="s">
        <v>138</v>
      </c>
      <c r="K2813" t="s">
        <v>58</v>
      </c>
      <c r="L2813">
        <v>3.7</v>
      </c>
      <c r="M2813" t="s">
        <v>152</v>
      </c>
      <c r="N2813" t="s">
        <v>46</v>
      </c>
      <c r="O2813" t="s">
        <v>76</v>
      </c>
      <c r="P2813" t="s">
        <v>152</v>
      </c>
      <c r="Q2813" t="s">
        <v>152</v>
      </c>
      <c r="R2813">
        <v>19</v>
      </c>
      <c r="S2813" t="s">
        <v>27</v>
      </c>
      <c r="T2813" t="str">
        <f t="shared" si="86"/>
        <v>Quarterly</v>
      </c>
      <c r="U2813">
        <f>VLOOKUP(T2813,[1]tablescore!$B$3:$C$8, 2,FALSE)</f>
        <v>4</v>
      </c>
      <c r="V2813" t="str">
        <f t="shared" si="87"/>
        <v>Low Loyalty</v>
      </c>
      <c r="W2813" t="s">
        <v>60</v>
      </c>
    </row>
    <row r="2814" spans="1:23" x14ac:dyDescent="0.25">
      <c r="A2814">
        <v>2813</v>
      </c>
      <c r="B2814">
        <v>66</v>
      </c>
      <c r="C2814" t="str" cm="1">
        <f t="array" ref="C2814">_xlfn.IFS(
  AND(B2814&gt;=18, B2814&lt;=24), "18-24",
  AND(B2814&gt;=25, B2814&lt;=34), "25-34",
  AND(B2814&gt;=35, B2814&lt;=44), "35-44",
  AND(B2814&gt;=45, B2814&lt;=54), "45-54",
  B2814&gt;=55, "55+"
)</f>
        <v>55+</v>
      </c>
      <c r="D2814" t="s">
        <v>153</v>
      </c>
      <c r="E2814" t="s">
        <v>104</v>
      </c>
      <c r="F2814" t="s">
        <v>21</v>
      </c>
      <c r="G2814">
        <v>91</v>
      </c>
      <c r="H2814" t="s">
        <v>114</v>
      </c>
      <c r="I2814" t="s">
        <v>92</v>
      </c>
      <c r="J2814" t="s">
        <v>147</v>
      </c>
      <c r="K2814" t="s">
        <v>58</v>
      </c>
      <c r="L2814">
        <v>3.8</v>
      </c>
      <c r="M2814" t="s">
        <v>152</v>
      </c>
      <c r="N2814" t="s">
        <v>59</v>
      </c>
      <c r="O2814" t="s">
        <v>76</v>
      </c>
      <c r="P2814" t="s">
        <v>152</v>
      </c>
      <c r="Q2814" t="s">
        <v>152</v>
      </c>
      <c r="R2814">
        <v>1</v>
      </c>
      <c r="S2814" t="s">
        <v>27</v>
      </c>
      <c r="T2814" t="str">
        <f t="shared" si="86"/>
        <v>Quarterly</v>
      </c>
      <c r="U2814">
        <f>VLOOKUP(T2814,[1]tablescore!$B$3:$C$8, 2,FALSE)</f>
        <v>4</v>
      </c>
      <c r="V2814" t="str">
        <f t="shared" si="87"/>
        <v>Low Loyalty</v>
      </c>
      <c r="W2814" t="s">
        <v>97</v>
      </c>
    </row>
    <row r="2815" spans="1:23" x14ac:dyDescent="0.25">
      <c r="A2815">
        <v>2814</v>
      </c>
      <c r="B2815">
        <v>45</v>
      </c>
      <c r="C2815" t="str" cm="1">
        <f t="array" ref="C2815">_xlfn.IFS(
  AND(B2815&gt;=18, B2815&lt;=24), "18-24",
  AND(B2815&gt;=25, B2815&lt;=34), "25-34",
  AND(B2815&gt;=35, B2815&lt;=44), "35-44",
  AND(B2815&gt;=45, B2815&lt;=54), "45-54",
  B2815&gt;=55, "55+"
)</f>
        <v>45-54</v>
      </c>
      <c r="D2815" t="s">
        <v>153</v>
      </c>
      <c r="E2815" t="s">
        <v>56</v>
      </c>
      <c r="F2815" t="s">
        <v>21</v>
      </c>
      <c r="G2815">
        <v>50</v>
      </c>
      <c r="H2815" t="s">
        <v>145</v>
      </c>
      <c r="I2815" t="s">
        <v>38</v>
      </c>
      <c r="J2815" t="s">
        <v>33</v>
      </c>
      <c r="K2815" t="s">
        <v>54</v>
      </c>
      <c r="L2815">
        <v>3.3</v>
      </c>
      <c r="M2815" t="s">
        <v>152</v>
      </c>
      <c r="N2815" t="s">
        <v>59</v>
      </c>
      <c r="O2815" t="s">
        <v>72</v>
      </c>
      <c r="P2815" t="s">
        <v>152</v>
      </c>
      <c r="Q2815" t="s">
        <v>152</v>
      </c>
      <c r="R2815">
        <v>39</v>
      </c>
      <c r="S2815" t="s">
        <v>59</v>
      </c>
      <c r="T2815" t="str">
        <f t="shared" si="86"/>
        <v>Quarterly</v>
      </c>
      <c r="U2815">
        <f>VLOOKUP(T2815,[1]tablescore!$B$3:$C$8, 2,FALSE)</f>
        <v>4</v>
      </c>
      <c r="V2815" t="str">
        <f t="shared" si="87"/>
        <v>Low Loyalty</v>
      </c>
      <c r="W2815" t="s">
        <v>60</v>
      </c>
    </row>
    <row r="2816" spans="1:23" x14ac:dyDescent="0.25">
      <c r="A2816">
        <v>2815</v>
      </c>
      <c r="B2816">
        <v>31</v>
      </c>
      <c r="C2816" t="str" cm="1">
        <f t="array" ref="C2816">_xlfn.IFS(
  AND(B2816&gt;=18, B2816&lt;=24), "18-24",
  AND(B2816&gt;=25, B2816&lt;=34), "25-34",
  AND(B2816&gt;=35, B2816&lt;=44), "35-44",
  AND(B2816&gt;=45, B2816&lt;=54), "45-54",
  B2816&gt;=55, "55+"
)</f>
        <v>25-34</v>
      </c>
      <c r="D2816" t="s">
        <v>153</v>
      </c>
      <c r="E2816" t="s">
        <v>113</v>
      </c>
      <c r="F2816" t="s">
        <v>21</v>
      </c>
      <c r="G2816">
        <v>32</v>
      </c>
      <c r="H2816" t="s">
        <v>134</v>
      </c>
      <c r="I2816" t="s">
        <v>23</v>
      </c>
      <c r="J2816" t="s">
        <v>81</v>
      </c>
      <c r="K2816" t="s">
        <v>25</v>
      </c>
      <c r="L2816">
        <v>3.6</v>
      </c>
      <c r="M2816" t="s">
        <v>152</v>
      </c>
      <c r="N2816" t="s">
        <v>29</v>
      </c>
      <c r="O2816" t="s">
        <v>55</v>
      </c>
      <c r="P2816" t="s">
        <v>152</v>
      </c>
      <c r="Q2816" t="s">
        <v>152</v>
      </c>
      <c r="R2816">
        <v>14</v>
      </c>
      <c r="S2816" t="s">
        <v>34</v>
      </c>
      <c r="T2816" t="str">
        <f t="shared" si="86"/>
        <v>Month</v>
      </c>
      <c r="U2816">
        <f>VLOOKUP(T2816,[1]tablescore!$B$3:$C$8, 2,FALSE)</f>
        <v>12</v>
      </c>
      <c r="V2816" t="str">
        <f t="shared" si="87"/>
        <v>Moderate</v>
      </c>
      <c r="W2816" t="s">
        <v>88</v>
      </c>
    </row>
    <row r="2817" spans="1:23" x14ac:dyDescent="0.25">
      <c r="A2817">
        <v>2816</v>
      </c>
      <c r="B2817">
        <v>33</v>
      </c>
      <c r="C2817" t="str" cm="1">
        <f t="array" ref="C2817">_xlfn.IFS(
  AND(B2817&gt;=18, B2817&lt;=24), "18-24",
  AND(B2817&gt;=25, B2817&lt;=34), "25-34",
  AND(B2817&gt;=35, B2817&lt;=44), "35-44",
  AND(B2817&gt;=45, B2817&lt;=54), "45-54",
  B2817&gt;=55, "55+"
)</f>
        <v>25-34</v>
      </c>
      <c r="D2817" t="s">
        <v>153</v>
      </c>
      <c r="E2817" t="s">
        <v>20</v>
      </c>
      <c r="F2817" t="s">
        <v>21</v>
      </c>
      <c r="G2817">
        <v>67</v>
      </c>
      <c r="H2817" t="s">
        <v>144</v>
      </c>
      <c r="I2817" t="s">
        <v>23</v>
      </c>
      <c r="J2817" t="s">
        <v>94</v>
      </c>
      <c r="K2817" t="s">
        <v>58</v>
      </c>
      <c r="L2817">
        <v>3.9</v>
      </c>
      <c r="M2817" t="s">
        <v>152</v>
      </c>
      <c r="N2817" t="s">
        <v>35</v>
      </c>
      <c r="O2817" t="s">
        <v>40</v>
      </c>
      <c r="P2817" t="s">
        <v>152</v>
      </c>
      <c r="Q2817" t="s">
        <v>152</v>
      </c>
      <c r="R2817">
        <v>40</v>
      </c>
      <c r="S2817" t="s">
        <v>29</v>
      </c>
      <c r="T2817" t="str">
        <f t="shared" si="86"/>
        <v>Quarterly</v>
      </c>
      <c r="U2817">
        <f>VLOOKUP(T2817,[1]tablescore!$B$3:$C$8, 2,FALSE)</f>
        <v>4</v>
      </c>
      <c r="V2817" t="str">
        <f t="shared" si="87"/>
        <v>Low Loyalty</v>
      </c>
      <c r="W2817" t="s">
        <v>97</v>
      </c>
    </row>
    <row r="2818" spans="1:23" x14ac:dyDescent="0.25">
      <c r="A2818">
        <v>2817</v>
      </c>
      <c r="B2818">
        <v>43</v>
      </c>
      <c r="C2818" t="str" cm="1">
        <f t="array" ref="C2818">_xlfn.IFS(
  AND(B2818&gt;=18, B2818&lt;=24), "18-24",
  AND(B2818&gt;=25, B2818&lt;=34), "25-34",
  AND(B2818&gt;=35, B2818&lt;=44), "35-44",
  AND(B2818&gt;=45, B2818&lt;=54), "45-54",
  B2818&gt;=55, "55+"
)</f>
        <v>35-44</v>
      </c>
      <c r="D2818" t="s">
        <v>153</v>
      </c>
      <c r="E2818" t="s">
        <v>87</v>
      </c>
      <c r="F2818" t="s">
        <v>21</v>
      </c>
      <c r="G2818">
        <v>28</v>
      </c>
      <c r="H2818" t="s">
        <v>135</v>
      </c>
      <c r="I2818" t="s">
        <v>45</v>
      </c>
      <c r="J2818" t="s">
        <v>94</v>
      </c>
      <c r="K2818" t="s">
        <v>39</v>
      </c>
      <c r="L2818">
        <v>3.5</v>
      </c>
      <c r="M2818" t="s">
        <v>152</v>
      </c>
      <c r="N2818" t="s">
        <v>34</v>
      </c>
      <c r="O2818" t="s">
        <v>40</v>
      </c>
      <c r="P2818" t="s">
        <v>152</v>
      </c>
      <c r="Q2818" t="s">
        <v>152</v>
      </c>
      <c r="R2818">
        <v>45</v>
      </c>
      <c r="S2818" t="s">
        <v>29</v>
      </c>
      <c r="T2818" t="str">
        <f t="shared" si="86"/>
        <v>Daily</v>
      </c>
      <c r="U2818">
        <f>VLOOKUP(T2818,[1]tablescore!$B$3:$C$8, 2,FALSE)</f>
        <v>30</v>
      </c>
      <c r="V2818" t="str">
        <f t="shared" si="87"/>
        <v>Highly Loyal</v>
      </c>
      <c r="W2818" t="s">
        <v>41</v>
      </c>
    </row>
    <row r="2819" spans="1:23" x14ac:dyDescent="0.25">
      <c r="A2819">
        <v>2818</v>
      </c>
      <c r="B2819">
        <v>25</v>
      </c>
      <c r="C2819" t="str" cm="1">
        <f t="array" ref="C2819">_xlfn.IFS(
  AND(B2819&gt;=18, B2819&lt;=24), "18-24",
  AND(B2819&gt;=25, B2819&lt;=34), "25-34",
  AND(B2819&gt;=35, B2819&lt;=44), "35-44",
  AND(B2819&gt;=45, B2819&lt;=54), "45-54",
  B2819&gt;=55, "55+"
)</f>
        <v>25-34</v>
      </c>
      <c r="D2819" t="s">
        <v>153</v>
      </c>
      <c r="E2819" t="s">
        <v>133</v>
      </c>
      <c r="F2819" t="s">
        <v>69</v>
      </c>
      <c r="G2819">
        <v>65</v>
      </c>
      <c r="H2819" t="s">
        <v>126</v>
      </c>
      <c r="I2819" t="s">
        <v>92</v>
      </c>
      <c r="J2819" t="s">
        <v>139</v>
      </c>
      <c r="K2819" t="s">
        <v>25</v>
      </c>
      <c r="L2819">
        <v>3.4</v>
      </c>
      <c r="M2819" t="s">
        <v>152</v>
      </c>
      <c r="N2819" t="s">
        <v>27</v>
      </c>
      <c r="O2819" t="s">
        <v>55</v>
      </c>
      <c r="P2819" t="s">
        <v>152</v>
      </c>
      <c r="Q2819" t="s">
        <v>152</v>
      </c>
      <c r="R2819">
        <v>6</v>
      </c>
      <c r="S2819" t="s">
        <v>29</v>
      </c>
      <c r="T2819" t="str">
        <f t="shared" ref="T2819:T2882" si="88">IF(TRIM(W2819)="Every 3 months","Quarterly",IF(TRIM(W2819)="Fortnightly","2-week",IF(TRIM(W2819)="Bi-Weekly","2-week",IF(TRIM(W2819)="Weekly","Daily",IF(TRIM(W2819)="Monthly","Month",TRIM(W2819))))))</f>
        <v>Daily</v>
      </c>
      <c r="U2819">
        <f>VLOOKUP(T2819,[1]tablescore!$B$3:$C$8, 2,FALSE)</f>
        <v>30</v>
      </c>
      <c r="V2819" t="str">
        <f t="shared" ref="V2819:V2882" si="89">_xlfn.IFS(U2819&gt;=30, "Highly Loyal", U2819&gt;=26, "Loyal", U2819&gt;=12, "Moderate", U2819&lt;5, "Low Loyalty")</f>
        <v>Highly Loyal</v>
      </c>
      <c r="W2819" t="s">
        <v>41</v>
      </c>
    </row>
    <row r="2820" spans="1:23" x14ac:dyDescent="0.25">
      <c r="A2820">
        <v>2819</v>
      </c>
      <c r="B2820">
        <v>46</v>
      </c>
      <c r="C2820" t="str" cm="1">
        <f t="array" ref="C2820">_xlfn.IFS(
  AND(B2820&gt;=18, B2820&lt;=24), "18-24",
  AND(B2820&gt;=25, B2820&lt;=34), "25-34",
  AND(B2820&gt;=35, B2820&lt;=44), "35-44",
  AND(B2820&gt;=45, B2820&lt;=54), "45-54",
  B2820&gt;=55, "55+"
)</f>
        <v>45-54</v>
      </c>
      <c r="D2820" t="s">
        <v>153</v>
      </c>
      <c r="E2820" t="s">
        <v>61</v>
      </c>
      <c r="F2820" t="s">
        <v>21</v>
      </c>
      <c r="G2820">
        <v>73</v>
      </c>
      <c r="H2820" t="s">
        <v>99</v>
      </c>
      <c r="I2820" t="s">
        <v>45</v>
      </c>
      <c r="J2820" t="s">
        <v>49</v>
      </c>
      <c r="K2820" t="s">
        <v>58</v>
      </c>
      <c r="L2820">
        <v>4.7</v>
      </c>
      <c r="M2820" t="s">
        <v>152</v>
      </c>
      <c r="N2820" t="s">
        <v>29</v>
      </c>
      <c r="O2820" t="s">
        <v>47</v>
      </c>
      <c r="P2820" t="s">
        <v>152</v>
      </c>
      <c r="Q2820" t="s">
        <v>152</v>
      </c>
      <c r="R2820">
        <v>12</v>
      </c>
      <c r="S2820" t="s">
        <v>59</v>
      </c>
      <c r="T2820" t="str">
        <f t="shared" si="88"/>
        <v>Annually</v>
      </c>
      <c r="U2820">
        <f>VLOOKUP(T2820,[1]tablescore!$B$3:$C$8, 2,FALSE)</f>
        <v>1</v>
      </c>
      <c r="V2820" t="str">
        <f t="shared" si="89"/>
        <v>Low Loyalty</v>
      </c>
      <c r="W2820" t="s">
        <v>50</v>
      </c>
    </row>
    <row r="2821" spans="1:23" x14ac:dyDescent="0.25">
      <c r="A2821">
        <v>2820</v>
      </c>
      <c r="B2821">
        <v>67</v>
      </c>
      <c r="C2821" t="str" cm="1">
        <f t="array" ref="C2821">_xlfn.IFS(
  AND(B2821&gt;=18, B2821&lt;=24), "18-24",
  AND(B2821&gt;=25, B2821&lt;=34), "25-34",
  AND(B2821&gt;=35, B2821&lt;=44), "35-44",
  AND(B2821&gt;=45, B2821&lt;=54), "45-54",
  B2821&gt;=55, "55+"
)</f>
        <v>55+</v>
      </c>
      <c r="D2821" t="s">
        <v>153</v>
      </c>
      <c r="E2821" t="s">
        <v>56</v>
      </c>
      <c r="F2821" t="s">
        <v>21</v>
      </c>
      <c r="G2821">
        <v>27</v>
      </c>
      <c r="H2821" t="s">
        <v>142</v>
      </c>
      <c r="I2821" t="s">
        <v>23</v>
      </c>
      <c r="J2821" t="s">
        <v>93</v>
      </c>
      <c r="K2821" t="s">
        <v>39</v>
      </c>
      <c r="L2821">
        <v>3</v>
      </c>
      <c r="M2821" t="s">
        <v>152</v>
      </c>
      <c r="N2821" t="s">
        <v>27</v>
      </c>
      <c r="O2821" t="s">
        <v>40</v>
      </c>
      <c r="P2821" t="s">
        <v>152</v>
      </c>
      <c r="Q2821" t="s">
        <v>152</v>
      </c>
      <c r="R2821">
        <v>19</v>
      </c>
      <c r="S2821" t="s">
        <v>35</v>
      </c>
      <c r="T2821" t="str">
        <f t="shared" si="88"/>
        <v>Month</v>
      </c>
      <c r="U2821">
        <f>VLOOKUP(T2821,[1]tablescore!$B$3:$C$8, 2,FALSE)</f>
        <v>12</v>
      </c>
      <c r="V2821" t="str">
        <f t="shared" si="89"/>
        <v>Moderate</v>
      </c>
      <c r="W2821" t="s">
        <v>88</v>
      </c>
    </row>
    <row r="2822" spans="1:23" x14ac:dyDescent="0.25">
      <c r="A2822">
        <v>2821</v>
      </c>
      <c r="B2822">
        <v>26</v>
      </c>
      <c r="C2822" t="str" cm="1">
        <f t="array" ref="C2822">_xlfn.IFS(
  AND(B2822&gt;=18, B2822&lt;=24), "18-24",
  AND(B2822&gt;=25, B2822&lt;=34), "25-34",
  AND(B2822&gt;=35, B2822&lt;=44), "35-44",
  AND(B2822&gt;=45, B2822&lt;=54), "45-54",
  B2822&gt;=55, "55+"
)</f>
        <v>25-34</v>
      </c>
      <c r="D2822" t="s">
        <v>153</v>
      </c>
      <c r="E2822" t="s">
        <v>133</v>
      </c>
      <c r="F2822" t="s">
        <v>69</v>
      </c>
      <c r="G2822">
        <v>89</v>
      </c>
      <c r="H2822" t="s">
        <v>145</v>
      </c>
      <c r="I2822" t="s">
        <v>23</v>
      </c>
      <c r="J2822" t="s">
        <v>139</v>
      </c>
      <c r="K2822" t="s">
        <v>54</v>
      </c>
      <c r="L2822">
        <v>3.9</v>
      </c>
      <c r="M2822" t="s">
        <v>152</v>
      </c>
      <c r="N2822" t="s">
        <v>29</v>
      </c>
      <c r="O2822" t="s">
        <v>40</v>
      </c>
      <c r="P2822" t="s">
        <v>152</v>
      </c>
      <c r="Q2822" t="s">
        <v>152</v>
      </c>
      <c r="R2822">
        <v>5</v>
      </c>
      <c r="S2822" t="s">
        <v>35</v>
      </c>
      <c r="T2822" t="str">
        <f t="shared" si="88"/>
        <v>2-week</v>
      </c>
      <c r="U2822">
        <f>VLOOKUP(T2822,[1]tablescore!$B$3:$C$8, 2,FALSE)</f>
        <v>26</v>
      </c>
      <c r="V2822" t="str">
        <f t="shared" si="89"/>
        <v>Loyal</v>
      </c>
      <c r="W2822" t="s">
        <v>77</v>
      </c>
    </row>
    <row r="2823" spans="1:23" x14ac:dyDescent="0.25">
      <c r="A2823">
        <v>2822</v>
      </c>
      <c r="B2823">
        <v>35</v>
      </c>
      <c r="C2823" t="str" cm="1">
        <f t="array" ref="C2823">_xlfn.IFS(
  AND(B2823&gt;=18, B2823&lt;=24), "18-24",
  AND(B2823&gt;=25, B2823&lt;=34), "25-34",
  AND(B2823&gt;=35, B2823&lt;=44), "35-44",
  AND(B2823&gt;=45, B2823&lt;=54), "45-54",
  B2823&gt;=55, "55+"
)</f>
        <v>35-44</v>
      </c>
      <c r="D2823" t="s">
        <v>153</v>
      </c>
      <c r="E2823" t="s">
        <v>73</v>
      </c>
      <c r="F2823" t="s">
        <v>43</v>
      </c>
      <c r="G2823">
        <v>72</v>
      </c>
      <c r="H2823" t="s">
        <v>142</v>
      </c>
      <c r="I2823" t="s">
        <v>23</v>
      </c>
      <c r="J2823" t="s">
        <v>79</v>
      </c>
      <c r="K2823" t="s">
        <v>54</v>
      </c>
      <c r="L2823">
        <v>4.5</v>
      </c>
      <c r="M2823" t="s">
        <v>152</v>
      </c>
      <c r="N2823" t="s">
        <v>27</v>
      </c>
      <c r="O2823" t="s">
        <v>55</v>
      </c>
      <c r="P2823" t="s">
        <v>152</v>
      </c>
      <c r="Q2823" t="s">
        <v>152</v>
      </c>
      <c r="R2823">
        <v>37</v>
      </c>
      <c r="S2823" t="s">
        <v>29</v>
      </c>
      <c r="T2823" t="str">
        <f t="shared" si="88"/>
        <v>Month</v>
      </c>
      <c r="U2823">
        <f>VLOOKUP(T2823,[1]tablescore!$B$3:$C$8, 2,FALSE)</f>
        <v>12</v>
      </c>
      <c r="V2823" t="str">
        <f t="shared" si="89"/>
        <v>Moderate</v>
      </c>
      <c r="W2823" t="s">
        <v>88</v>
      </c>
    </row>
    <row r="2824" spans="1:23" x14ac:dyDescent="0.25">
      <c r="A2824">
        <v>2823</v>
      </c>
      <c r="B2824">
        <v>61</v>
      </c>
      <c r="C2824" t="str" cm="1">
        <f t="array" ref="C2824">_xlfn.IFS(
  AND(B2824&gt;=18, B2824&lt;=24), "18-24",
  AND(B2824&gt;=25, B2824&lt;=34), "25-34",
  AND(B2824&gt;=35, B2824&lt;=44), "35-44",
  AND(B2824&gt;=45, B2824&lt;=54), "45-54",
  B2824&gt;=55, "55+"
)</f>
        <v>55+</v>
      </c>
      <c r="D2824" t="s">
        <v>153</v>
      </c>
      <c r="E2824" t="s">
        <v>87</v>
      </c>
      <c r="F2824" t="s">
        <v>21</v>
      </c>
      <c r="G2824">
        <v>37</v>
      </c>
      <c r="H2824" t="s">
        <v>137</v>
      </c>
      <c r="I2824" t="s">
        <v>38</v>
      </c>
      <c r="J2824" t="s">
        <v>110</v>
      </c>
      <c r="K2824" t="s">
        <v>58</v>
      </c>
      <c r="L2824">
        <v>4.0999999999999996</v>
      </c>
      <c r="M2824" t="s">
        <v>152</v>
      </c>
      <c r="N2824" t="s">
        <v>46</v>
      </c>
      <c r="O2824" t="s">
        <v>55</v>
      </c>
      <c r="P2824" t="s">
        <v>152</v>
      </c>
      <c r="Q2824" t="s">
        <v>152</v>
      </c>
      <c r="R2824">
        <v>33</v>
      </c>
      <c r="S2824" t="s">
        <v>46</v>
      </c>
      <c r="T2824" t="str">
        <f t="shared" si="88"/>
        <v>Quarterly</v>
      </c>
      <c r="U2824">
        <f>VLOOKUP(T2824,[1]tablescore!$B$3:$C$8, 2,FALSE)</f>
        <v>4</v>
      </c>
      <c r="V2824" t="str">
        <f t="shared" si="89"/>
        <v>Low Loyalty</v>
      </c>
      <c r="W2824" t="s">
        <v>60</v>
      </c>
    </row>
    <row r="2825" spans="1:23" x14ac:dyDescent="0.25">
      <c r="A2825">
        <v>2824</v>
      </c>
      <c r="B2825">
        <v>26</v>
      </c>
      <c r="C2825" t="str" cm="1">
        <f t="array" ref="C2825">_xlfn.IFS(
  AND(B2825&gt;=18, B2825&lt;=24), "18-24",
  AND(B2825&gt;=25, B2825&lt;=34), "25-34",
  AND(B2825&gt;=35, B2825&lt;=44), "35-44",
  AND(B2825&gt;=45, B2825&lt;=54), "45-54",
  B2825&gt;=55, "55+"
)</f>
        <v>25-34</v>
      </c>
      <c r="D2825" t="s">
        <v>153</v>
      </c>
      <c r="E2825" t="s">
        <v>82</v>
      </c>
      <c r="F2825" t="s">
        <v>21</v>
      </c>
      <c r="G2825">
        <v>63</v>
      </c>
      <c r="H2825" t="s">
        <v>149</v>
      </c>
      <c r="I2825" t="s">
        <v>45</v>
      </c>
      <c r="J2825" t="s">
        <v>79</v>
      </c>
      <c r="K2825" t="s">
        <v>54</v>
      </c>
      <c r="L2825">
        <v>4.5</v>
      </c>
      <c r="M2825" t="s">
        <v>152</v>
      </c>
      <c r="N2825" t="s">
        <v>29</v>
      </c>
      <c r="O2825" t="s">
        <v>55</v>
      </c>
      <c r="P2825" t="s">
        <v>152</v>
      </c>
      <c r="Q2825" t="s">
        <v>152</v>
      </c>
      <c r="R2825">
        <v>47</v>
      </c>
      <c r="S2825" t="s">
        <v>59</v>
      </c>
      <c r="T2825" t="str">
        <f t="shared" si="88"/>
        <v>2-week</v>
      </c>
      <c r="U2825">
        <f>VLOOKUP(T2825,[1]tablescore!$B$3:$C$8, 2,FALSE)</f>
        <v>26</v>
      </c>
      <c r="V2825" t="str">
        <f t="shared" si="89"/>
        <v>Loyal</v>
      </c>
      <c r="W2825" t="s">
        <v>77</v>
      </c>
    </row>
    <row r="2826" spans="1:23" x14ac:dyDescent="0.25">
      <c r="A2826">
        <v>2825</v>
      </c>
      <c r="B2826">
        <v>39</v>
      </c>
      <c r="C2826" t="str" cm="1">
        <f t="array" ref="C2826">_xlfn.IFS(
  AND(B2826&gt;=18, B2826&lt;=24), "18-24",
  AND(B2826&gt;=25, B2826&lt;=34), "25-34",
  AND(B2826&gt;=35, B2826&lt;=44), "35-44",
  AND(B2826&gt;=45, B2826&lt;=54), "45-54",
  B2826&gt;=55, "55+"
)</f>
        <v>35-44</v>
      </c>
      <c r="D2826" t="s">
        <v>153</v>
      </c>
      <c r="E2826" t="s">
        <v>125</v>
      </c>
      <c r="F2826" t="s">
        <v>69</v>
      </c>
      <c r="G2826">
        <v>90</v>
      </c>
      <c r="H2826" t="s">
        <v>149</v>
      </c>
      <c r="I2826" t="s">
        <v>45</v>
      </c>
      <c r="J2826" t="s">
        <v>75</v>
      </c>
      <c r="K2826" t="s">
        <v>58</v>
      </c>
      <c r="L2826">
        <v>4</v>
      </c>
      <c r="M2826" t="s">
        <v>152</v>
      </c>
      <c r="N2826" t="s">
        <v>59</v>
      </c>
      <c r="O2826" t="s">
        <v>40</v>
      </c>
      <c r="P2826" t="s">
        <v>152</v>
      </c>
      <c r="Q2826" t="s">
        <v>152</v>
      </c>
      <c r="R2826">
        <v>49</v>
      </c>
      <c r="S2826" t="s">
        <v>59</v>
      </c>
      <c r="T2826" t="str">
        <f t="shared" si="88"/>
        <v>Quarterly</v>
      </c>
      <c r="U2826">
        <f>VLOOKUP(T2826,[1]tablescore!$B$3:$C$8, 2,FALSE)</f>
        <v>4</v>
      </c>
      <c r="V2826" t="str">
        <f t="shared" si="89"/>
        <v>Low Loyalty</v>
      </c>
      <c r="W2826" t="s">
        <v>60</v>
      </c>
    </row>
    <row r="2827" spans="1:23" x14ac:dyDescent="0.25">
      <c r="A2827">
        <v>2826</v>
      </c>
      <c r="B2827">
        <v>69</v>
      </c>
      <c r="C2827" t="str" cm="1">
        <f t="array" ref="C2827">_xlfn.IFS(
  AND(B2827&gt;=18, B2827&lt;=24), "18-24",
  AND(B2827&gt;=25, B2827&lt;=34), "25-34",
  AND(B2827&gt;=35, B2827&lt;=44), "35-44",
  AND(B2827&gt;=45, B2827&lt;=54), "45-54",
  B2827&gt;=55, "55+"
)</f>
        <v>55+</v>
      </c>
      <c r="D2827" t="s">
        <v>153</v>
      </c>
      <c r="E2827" t="s">
        <v>68</v>
      </c>
      <c r="F2827" t="s">
        <v>69</v>
      </c>
      <c r="G2827">
        <v>62</v>
      </c>
      <c r="H2827" t="s">
        <v>98</v>
      </c>
      <c r="I2827" t="s">
        <v>45</v>
      </c>
      <c r="J2827" t="s">
        <v>139</v>
      </c>
      <c r="K2827" t="s">
        <v>25</v>
      </c>
      <c r="L2827">
        <v>4.3</v>
      </c>
      <c r="M2827" t="s">
        <v>152</v>
      </c>
      <c r="N2827" t="s">
        <v>35</v>
      </c>
      <c r="O2827" t="s">
        <v>72</v>
      </c>
      <c r="P2827" t="s">
        <v>152</v>
      </c>
      <c r="Q2827" t="s">
        <v>152</v>
      </c>
      <c r="R2827">
        <v>28</v>
      </c>
      <c r="S2827" t="s">
        <v>34</v>
      </c>
      <c r="T2827" t="str">
        <f t="shared" si="88"/>
        <v>Annually</v>
      </c>
      <c r="U2827">
        <f>VLOOKUP(T2827,[1]tablescore!$B$3:$C$8, 2,FALSE)</f>
        <v>1</v>
      </c>
      <c r="V2827" t="str">
        <f t="shared" si="89"/>
        <v>Low Loyalty</v>
      </c>
      <c r="W2827" t="s">
        <v>50</v>
      </c>
    </row>
    <row r="2828" spans="1:23" x14ac:dyDescent="0.25">
      <c r="A2828">
        <v>2827</v>
      </c>
      <c r="B2828">
        <v>32</v>
      </c>
      <c r="C2828" t="str" cm="1">
        <f t="array" ref="C2828">_xlfn.IFS(
  AND(B2828&gt;=18, B2828&lt;=24), "18-24",
  AND(B2828&gt;=25, B2828&lt;=34), "25-34",
  AND(B2828&gt;=35, B2828&lt;=44), "35-44",
  AND(B2828&gt;=45, B2828&lt;=54), "45-54",
  B2828&gt;=55, "55+"
)</f>
        <v>25-34</v>
      </c>
      <c r="D2828" t="s">
        <v>153</v>
      </c>
      <c r="E2828" t="s">
        <v>68</v>
      </c>
      <c r="F2828" t="s">
        <v>69</v>
      </c>
      <c r="G2828">
        <v>43</v>
      </c>
      <c r="H2828" t="s">
        <v>103</v>
      </c>
      <c r="I2828" t="s">
        <v>23</v>
      </c>
      <c r="J2828" t="s">
        <v>110</v>
      </c>
      <c r="K2828" t="s">
        <v>58</v>
      </c>
      <c r="L2828">
        <v>3.6</v>
      </c>
      <c r="M2828" t="s">
        <v>152</v>
      </c>
      <c r="N2828" t="s">
        <v>59</v>
      </c>
      <c r="O2828" t="s">
        <v>28</v>
      </c>
      <c r="P2828" t="s">
        <v>152</v>
      </c>
      <c r="Q2828" t="s">
        <v>152</v>
      </c>
      <c r="R2828">
        <v>23</v>
      </c>
      <c r="S2828" t="s">
        <v>29</v>
      </c>
      <c r="T2828" t="str">
        <f t="shared" si="88"/>
        <v>Annually</v>
      </c>
      <c r="U2828">
        <f>VLOOKUP(T2828,[1]tablescore!$B$3:$C$8, 2,FALSE)</f>
        <v>1</v>
      </c>
      <c r="V2828" t="str">
        <f t="shared" si="89"/>
        <v>Low Loyalty</v>
      </c>
      <c r="W2828" t="s">
        <v>50</v>
      </c>
    </row>
    <row r="2829" spans="1:23" x14ac:dyDescent="0.25">
      <c r="A2829">
        <v>2828</v>
      </c>
      <c r="B2829">
        <v>20</v>
      </c>
      <c r="C2829" t="str" cm="1">
        <f t="array" ref="C2829">_xlfn.IFS(
  AND(B2829&gt;=18, B2829&lt;=24), "18-24",
  AND(B2829&gt;=25, B2829&lt;=34), "25-34",
  AND(B2829&gt;=35, B2829&lt;=44), "35-44",
  AND(B2829&gt;=45, B2829&lt;=54), "45-54",
  B2829&gt;=55, "55+"
)</f>
        <v>18-24</v>
      </c>
      <c r="D2829" t="s">
        <v>153</v>
      </c>
      <c r="E2829" t="s">
        <v>20</v>
      </c>
      <c r="F2829" t="s">
        <v>21</v>
      </c>
      <c r="G2829">
        <v>96</v>
      </c>
      <c r="H2829" t="s">
        <v>148</v>
      </c>
      <c r="I2829" t="s">
        <v>45</v>
      </c>
      <c r="J2829" t="s">
        <v>147</v>
      </c>
      <c r="K2829" t="s">
        <v>58</v>
      </c>
      <c r="L2829">
        <v>3.1</v>
      </c>
      <c r="M2829" t="s">
        <v>152</v>
      </c>
      <c r="N2829" t="s">
        <v>27</v>
      </c>
      <c r="O2829" t="s">
        <v>47</v>
      </c>
      <c r="P2829" t="s">
        <v>152</v>
      </c>
      <c r="Q2829" t="s">
        <v>152</v>
      </c>
      <c r="R2829">
        <v>11</v>
      </c>
      <c r="S2829" t="s">
        <v>34</v>
      </c>
      <c r="T2829" t="str">
        <f t="shared" si="88"/>
        <v>2-week</v>
      </c>
      <c r="U2829">
        <f>VLOOKUP(T2829,[1]tablescore!$B$3:$C$8, 2,FALSE)</f>
        <v>26</v>
      </c>
      <c r="V2829" t="str">
        <f t="shared" si="89"/>
        <v>Loyal</v>
      </c>
      <c r="W2829" t="s">
        <v>77</v>
      </c>
    </row>
    <row r="2830" spans="1:23" x14ac:dyDescent="0.25">
      <c r="A2830">
        <v>2829</v>
      </c>
      <c r="B2830">
        <v>25</v>
      </c>
      <c r="C2830" t="str" cm="1">
        <f t="array" ref="C2830">_xlfn.IFS(
  AND(B2830&gt;=18, B2830&lt;=24), "18-24",
  AND(B2830&gt;=25, B2830&lt;=34), "25-34",
  AND(B2830&gt;=35, B2830&lt;=44), "35-44",
  AND(B2830&gt;=45, B2830&lt;=54), "45-54",
  B2830&gt;=55, "55+"
)</f>
        <v>25-34</v>
      </c>
      <c r="D2830" t="s">
        <v>153</v>
      </c>
      <c r="E2830" t="s">
        <v>119</v>
      </c>
      <c r="F2830" t="s">
        <v>69</v>
      </c>
      <c r="G2830">
        <v>83</v>
      </c>
      <c r="H2830" t="s">
        <v>122</v>
      </c>
      <c r="I2830" t="s">
        <v>23</v>
      </c>
      <c r="J2830" t="s">
        <v>93</v>
      </c>
      <c r="K2830" t="s">
        <v>58</v>
      </c>
      <c r="L2830">
        <v>2.6</v>
      </c>
      <c r="M2830" t="s">
        <v>152</v>
      </c>
      <c r="N2830" t="s">
        <v>27</v>
      </c>
      <c r="O2830" t="s">
        <v>55</v>
      </c>
      <c r="P2830" t="s">
        <v>152</v>
      </c>
      <c r="Q2830" t="s">
        <v>152</v>
      </c>
      <c r="R2830">
        <v>33</v>
      </c>
      <c r="S2830" t="s">
        <v>46</v>
      </c>
      <c r="T2830" t="str">
        <f t="shared" si="88"/>
        <v>Quarterly</v>
      </c>
      <c r="U2830">
        <f>VLOOKUP(T2830,[1]tablescore!$B$3:$C$8, 2,FALSE)</f>
        <v>4</v>
      </c>
      <c r="V2830" t="str">
        <f t="shared" si="89"/>
        <v>Low Loyalty</v>
      </c>
      <c r="W2830" t="s">
        <v>60</v>
      </c>
    </row>
    <row r="2831" spans="1:23" x14ac:dyDescent="0.25">
      <c r="A2831">
        <v>2830</v>
      </c>
      <c r="B2831">
        <v>56</v>
      </c>
      <c r="C2831" t="str" cm="1">
        <f t="array" ref="C2831">_xlfn.IFS(
  AND(B2831&gt;=18, B2831&lt;=24), "18-24",
  AND(B2831&gt;=25, B2831&lt;=34), "25-34",
  AND(B2831&gt;=35, B2831&lt;=44), "35-44",
  AND(B2831&gt;=45, B2831&lt;=54), "45-54",
  B2831&gt;=55, "55+"
)</f>
        <v>55+</v>
      </c>
      <c r="D2831" t="s">
        <v>153</v>
      </c>
      <c r="E2831" t="s">
        <v>106</v>
      </c>
      <c r="F2831" t="s">
        <v>69</v>
      </c>
      <c r="G2831">
        <v>67</v>
      </c>
      <c r="H2831" t="s">
        <v>117</v>
      </c>
      <c r="I2831" t="s">
        <v>92</v>
      </c>
      <c r="J2831" t="s">
        <v>86</v>
      </c>
      <c r="K2831" t="s">
        <v>58</v>
      </c>
      <c r="L2831">
        <v>3.4</v>
      </c>
      <c r="M2831" t="s">
        <v>152</v>
      </c>
      <c r="N2831" t="s">
        <v>46</v>
      </c>
      <c r="O2831" t="s">
        <v>47</v>
      </c>
      <c r="P2831" t="s">
        <v>152</v>
      </c>
      <c r="Q2831" t="s">
        <v>152</v>
      </c>
      <c r="R2831">
        <v>47</v>
      </c>
      <c r="S2831" t="s">
        <v>35</v>
      </c>
      <c r="T2831" t="str">
        <f t="shared" si="88"/>
        <v>Daily</v>
      </c>
      <c r="U2831">
        <f>VLOOKUP(T2831,[1]tablescore!$B$3:$C$8, 2,FALSE)</f>
        <v>30</v>
      </c>
      <c r="V2831" t="str">
        <f t="shared" si="89"/>
        <v>Highly Loyal</v>
      </c>
      <c r="W2831" t="s">
        <v>41</v>
      </c>
    </row>
    <row r="2832" spans="1:23" x14ac:dyDescent="0.25">
      <c r="A2832">
        <v>2831</v>
      </c>
      <c r="B2832">
        <v>63</v>
      </c>
      <c r="C2832" t="str" cm="1">
        <f t="array" ref="C2832">_xlfn.IFS(
  AND(B2832&gt;=18, B2832&lt;=24), "18-24",
  AND(B2832&gt;=25, B2832&lt;=34), "25-34",
  AND(B2832&gt;=35, B2832&lt;=44), "35-44",
  AND(B2832&gt;=45, B2832&lt;=54), "45-54",
  B2832&gt;=55, "55+"
)</f>
        <v>55+</v>
      </c>
      <c r="D2832" t="s">
        <v>153</v>
      </c>
      <c r="E2832" t="s">
        <v>87</v>
      </c>
      <c r="F2832" t="s">
        <v>21</v>
      </c>
      <c r="G2832">
        <v>90</v>
      </c>
      <c r="H2832" t="s">
        <v>48</v>
      </c>
      <c r="I2832" t="s">
        <v>23</v>
      </c>
      <c r="J2832" t="s">
        <v>109</v>
      </c>
      <c r="K2832" t="s">
        <v>39</v>
      </c>
      <c r="L2832">
        <v>2.9</v>
      </c>
      <c r="M2832" t="s">
        <v>152</v>
      </c>
      <c r="N2832" t="s">
        <v>27</v>
      </c>
      <c r="O2832" t="s">
        <v>76</v>
      </c>
      <c r="P2832" t="s">
        <v>152</v>
      </c>
      <c r="Q2832" t="s">
        <v>152</v>
      </c>
      <c r="R2832">
        <v>13</v>
      </c>
      <c r="S2832" t="s">
        <v>29</v>
      </c>
      <c r="T2832" t="str">
        <f t="shared" si="88"/>
        <v>Quarterly</v>
      </c>
      <c r="U2832">
        <f>VLOOKUP(T2832,[1]tablescore!$B$3:$C$8, 2,FALSE)</f>
        <v>4</v>
      </c>
      <c r="V2832" t="str">
        <f t="shared" si="89"/>
        <v>Low Loyalty</v>
      </c>
      <c r="W2832" t="s">
        <v>97</v>
      </c>
    </row>
    <row r="2833" spans="1:23" x14ac:dyDescent="0.25">
      <c r="A2833">
        <v>2832</v>
      </c>
      <c r="B2833">
        <v>34</v>
      </c>
      <c r="C2833" t="str" cm="1">
        <f t="array" ref="C2833">_xlfn.IFS(
  AND(B2833&gt;=18, B2833&lt;=24), "18-24",
  AND(B2833&gt;=25, B2833&lt;=34), "25-34",
  AND(B2833&gt;=35, B2833&lt;=44), "35-44",
  AND(B2833&gt;=45, B2833&lt;=54), "45-54",
  B2833&gt;=55, "55+"
)</f>
        <v>25-34</v>
      </c>
      <c r="D2833" t="s">
        <v>153</v>
      </c>
      <c r="E2833" t="s">
        <v>104</v>
      </c>
      <c r="F2833" t="s">
        <v>21</v>
      </c>
      <c r="G2833">
        <v>53</v>
      </c>
      <c r="H2833" t="s">
        <v>128</v>
      </c>
      <c r="I2833" t="s">
        <v>23</v>
      </c>
      <c r="J2833" t="s">
        <v>71</v>
      </c>
      <c r="K2833" t="s">
        <v>25</v>
      </c>
      <c r="L2833">
        <v>5</v>
      </c>
      <c r="M2833" t="s">
        <v>152</v>
      </c>
      <c r="N2833" t="s">
        <v>35</v>
      </c>
      <c r="O2833" t="s">
        <v>28</v>
      </c>
      <c r="P2833" t="s">
        <v>152</v>
      </c>
      <c r="Q2833" t="s">
        <v>152</v>
      </c>
      <c r="R2833">
        <v>4</v>
      </c>
      <c r="S2833" t="s">
        <v>27</v>
      </c>
      <c r="T2833" t="str">
        <f t="shared" si="88"/>
        <v>Daily</v>
      </c>
      <c r="U2833">
        <f>VLOOKUP(T2833,[1]tablescore!$B$3:$C$8, 2,FALSE)</f>
        <v>30</v>
      </c>
      <c r="V2833" t="str">
        <f t="shared" si="89"/>
        <v>Highly Loyal</v>
      </c>
      <c r="W2833" t="s">
        <v>41</v>
      </c>
    </row>
    <row r="2834" spans="1:23" x14ac:dyDescent="0.25">
      <c r="A2834">
        <v>2833</v>
      </c>
      <c r="B2834">
        <v>29</v>
      </c>
      <c r="C2834" t="str" cm="1">
        <f t="array" ref="C2834">_xlfn.IFS(
  AND(B2834&gt;=18, B2834&lt;=24), "18-24",
  AND(B2834&gt;=25, B2834&lt;=34), "25-34",
  AND(B2834&gt;=35, B2834&lt;=44), "35-44",
  AND(B2834&gt;=45, B2834&lt;=54), "45-54",
  B2834&gt;=55, "55+"
)</f>
        <v>25-34</v>
      </c>
      <c r="D2834" t="s">
        <v>153</v>
      </c>
      <c r="E2834" t="s">
        <v>119</v>
      </c>
      <c r="F2834" t="s">
        <v>69</v>
      </c>
      <c r="G2834">
        <v>37</v>
      </c>
      <c r="H2834" t="s">
        <v>135</v>
      </c>
      <c r="I2834" t="s">
        <v>45</v>
      </c>
      <c r="J2834" t="s">
        <v>147</v>
      </c>
      <c r="K2834" t="s">
        <v>54</v>
      </c>
      <c r="L2834">
        <v>4.5999999999999996</v>
      </c>
      <c r="M2834" t="s">
        <v>152</v>
      </c>
      <c r="N2834" t="s">
        <v>35</v>
      </c>
      <c r="O2834" t="s">
        <v>55</v>
      </c>
      <c r="P2834" t="s">
        <v>152</v>
      </c>
      <c r="Q2834" t="s">
        <v>152</v>
      </c>
      <c r="R2834">
        <v>40</v>
      </c>
      <c r="S2834" t="s">
        <v>46</v>
      </c>
      <c r="T2834" t="str">
        <f t="shared" si="88"/>
        <v>Quarterly</v>
      </c>
      <c r="U2834">
        <f>VLOOKUP(T2834,[1]tablescore!$B$3:$C$8, 2,FALSE)</f>
        <v>4</v>
      </c>
      <c r="V2834" t="str">
        <f t="shared" si="89"/>
        <v>Low Loyalty</v>
      </c>
      <c r="W2834" t="s">
        <v>60</v>
      </c>
    </row>
    <row r="2835" spans="1:23" x14ac:dyDescent="0.25">
      <c r="A2835">
        <v>2834</v>
      </c>
      <c r="B2835">
        <v>43</v>
      </c>
      <c r="C2835" t="str" cm="1">
        <f t="array" ref="C2835">_xlfn.IFS(
  AND(B2835&gt;=18, B2835&lt;=24), "18-24",
  AND(B2835&gt;=25, B2835&lt;=34), "25-34",
  AND(B2835&gt;=35, B2835&lt;=44), "35-44",
  AND(B2835&gt;=45, B2835&lt;=54), "45-54",
  B2835&gt;=55, "55+"
)</f>
        <v>35-44</v>
      </c>
      <c r="D2835" t="s">
        <v>153</v>
      </c>
      <c r="E2835" t="s">
        <v>36</v>
      </c>
      <c r="F2835" t="s">
        <v>21</v>
      </c>
      <c r="G2835">
        <v>56</v>
      </c>
      <c r="H2835" t="s">
        <v>74</v>
      </c>
      <c r="I2835" t="s">
        <v>45</v>
      </c>
      <c r="J2835" t="s">
        <v>86</v>
      </c>
      <c r="K2835" t="s">
        <v>58</v>
      </c>
      <c r="L2835">
        <v>3.3</v>
      </c>
      <c r="M2835" t="s">
        <v>152</v>
      </c>
      <c r="N2835" t="s">
        <v>46</v>
      </c>
      <c r="O2835" t="s">
        <v>40</v>
      </c>
      <c r="P2835" t="s">
        <v>152</v>
      </c>
      <c r="Q2835" t="s">
        <v>152</v>
      </c>
      <c r="R2835">
        <v>19</v>
      </c>
      <c r="S2835" t="s">
        <v>35</v>
      </c>
      <c r="T2835" t="str">
        <f t="shared" si="88"/>
        <v>Month</v>
      </c>
      <c r="U2835">
        <f>VLOOKUP(T2835,[1]tablescore!$B$3:$C$8, 2,FALSE)</f>
        <v>12</v>
      </c>
      <c r="V2835" t="str">
        <f t="shared" si="89"/>
        <v>Moderate</v>
      </c>
      <c r="W2835" t="s">
        <v>88</v>
      </c>
    </row>
    <row r="2836" spans="1:23" x14ac:dyDescent="0.25">
      <c r="A2836">
        <v>2835</v>
      </c>
      <c r="B2836">
        <v>39</v>
      </c>
      <c r="C2836" t="str" cm="1">
        <f t="array" ref="C2836">_xlfn.IFS(
  AND(B2836&gt;=18, B2836&lt;=24), "18-24",
  AND(B2836&gt;=25, B2836&lt;=34), "25-34",
  AND(B2836&gt;=35, B2836&lt;=44), "35-44",
  AND(B2836&gt;=45, B2836&lt;=54), "45-54",
  B2836&gt;=55, "55+"
)</f>
        <v>35-44</v>
      </c>
      <c r="D2836" t="s">
        <v>153</v>
      </c>
      <c r="E2836" t="s">
        <v>102</v>
      </c>
      <c r="F2836" t="s">
        <v>65</v>
      </c>
      <c r="G2836">
        <v>43</v>
      </c>
      <c r="H2836" t="s">
        <v>105</v>
      </c>
      <c r="I2836" t="s">
        <v>45</v>
      </c>
      <c r="J2836" t="s">
        <v>129</v>
      </c>
      <c r="K2836" t="s">
        <v>58</v>
      </c>
      <c r="L2836">
        <v>2.9</v>
      </c>
      <c r="M2836" t="s">
        <v>152</v>
      </c>
      <c r="N2836" t="s">
        <v>27</v>
      </c>
      <c r="O2836" t="s">
        <v>72</v>
      </c>
      <c r="P2836" t="s">
        <v>152</v>
      </c>
      <c r="Q2836" t="s">
        <v>152</v>
      </c>
      <c r="R2836">
        <v>17</v>
      </c>
      <c r="S2836" t="s">
        <v>27</v>
      </c>
      <c r="T2836" t="str">
        <f t="shared" si="88"/>
        <v>Daily</v>
      </c>
      <c r="U2836">
        <f>VLOOKUP(T2836,[1]tablescore!$B$3:$C$8, 2,FALSE)</f>
        <v>30</v>
      </c>
      <c r="V2836" t="str">
        <f t="shared" si="89"/>
        <v>Highly Loyal</v>
      </c>
      <c r="W2836" t="s">
        <v>41</v>
      </c>
    </row>
    <row r="2837" spans="1:23" x14ac:dyDescent="0.25">
      <c r="A2837">
        <v>2836</v>
      </c>
      <c r="B2837">
        <v>33</v>
      </c>
      <c r="C2837" t="str" cm="1">
        <f t="array" ref="C2837">_xlfn.IFS(
  AND(B2837&gt;=18, B2837&lt;=24), "18-24",
  AND(B2837&gt;=25, B2837&lt;=34), "25-34",
  AND(B2837&gt;=35, B2837&lt;=44), "35-44",
  AND(B2837&gt;=45, B2837&lt;=54), "45-54",
  B2837&gt;=55, "55+"
)</f>
        <v>25-34</v>
      </c>
      <c r="D2837" t="s">
        <v>153</v>
      </c>
      <c r="E2837" t="s">
        <v>113</v>
      </c>
      <c r="F2837" t="s">
        <v>21</v>
      </c>
      <c r="G2837">
        <v>84</v>
      </c>
      <c r="H2837" t="s">
        <v>145</v>
      </c>
      <c r="I2837" t="s">
        <v>38</v>
      </c>
      <c r="J2837" t="s">
        <v>71</v>
      </c>
      <c r="K2837" t="s">
        <v>25</v>
      </c>
      <c r="L2837">
        <v>4.9000000000000004</v>
      </c>
      <c r="M2837" t="s">
        <v>152</v>
      </c>
      <c r="N2837" t="s">
        <v>27</v>
      </c>
      <c r="O2837" t="s">
        <v>40</v>
      </c>
      <c r="P2837" t="s">
        <v>152</v>
      </c>
      <c r="Q2837" t="s">
        <v>152</v>
      </c>
      <c r="R2837">
        <v>7</v>
      </c>
      <c r="S2837" t="s">
        <v>29</v>
      </c>
      <c r="T2837" t="str">
        <f t="shared" si="88"/>
        <v>Annually</v>
      </c>
      <c r="U2837">
        <f>VLOOKUP(T2837,[1]tablescore!$B$3:$C$8, 2,FALSE)</f>
        <v>1</v>
      </c>
      <c r="V2837" t="str">
        <f t="shared" si="89"/>
        <v>Low Loyalty</v>
      </c>
      <c r="W2837" t="s">
        <v>50</v>
      </c>
    </row>
    <row r="2838" spans="1:23" x14ac:dyDescent="0.25">
      <c r="A2838">
        <v>2837</v>
      </c>
      <c r="B2838">
        <v>51</v>
      </c>
      <c r="C2838" t="str" cm="1">
        <f t="array" ref="C2838">_xlfn.IFS(
  AND(B2838&gt;=18, B2838&lt;=24), "18-24",
  AND(B2838&gt;=25, B2838&lt;=34), "25-34",
  AND(B2838&gt;=35, B2838&lt;=44), "35-44",
  AND(B2838&gt;=45, B2838&lt;=54), "45-54",
  B2838&gt;=55, "55+"
)</f>
        <v>45-54</v>
      </c>
      <c r="D2838" t="s">
        <v>153</v>
      </c>
      <c r="E2838" t="s">
        <v>95</v>
      </c>
      <c r="F2838" t="s">
        <v>21</v>
      </c>
      <c r="G2838">
        <v>50</v>
      </c>
      <c r="H2838" t="s">
        <v>52</v>
      </c>
      <c r="I2838" t="s">
        <v>45</v>
      </c>
      <c r="J2838" t="s">
        <v>63</v>
      </c>
      <c r="K2838" t="s">
        <v>25</v>
      </c>
      <c r="L2838">
        <v>5</v>
      </c>
      <c r="M2838" t="s">
        <v>152</v>
      </c>
      <c r="N2838" t="s">
        <v>29</v>
      </c>
      <c r="O2838" t="s">
        <v>72</v>
      </c>
      <c r="P2838" t="s">
        <v>152</v>
      </c>
      <c r="Q2838" t="s">
        <v>152</v>
      </c>
      <c r="R2838">
        <v>21</v>
      </c>
      <c r="S2838" t="s">
        <v>35</v>
      </c>
      <c r="T2838" t="str">
        <f t="shared" si="88"/>
        <v>2-week</v>
      </c>
      <c r="U2838">
        <f>VLOOKUP(T2838,[1]tablescore!$B$3:$C$8, 2,FALSE)</f>
        <v>26</v>
      </c>
      <c r="V2838" t="str">
        <f t="shared" si="89"/>
        <v>Loyal</v>
      </c>
      <c r="W2838" t="s">
        <v>77</v>
      </c>
    </row>
    <row r="2839" spans="1:23" x14ac:dyDescent="0.25">
      <c r="A2839">
        <v>2838</v>
      </c>
      <c r="B2839">
        <v>65</v>
      </c>
      <c r="C2839" t="str" cm="1">
        <f t="array" ref="C2839">_xlfn.IFS(
  AND(B2839&gt;=18, B2839&lt;=24), "18-24",
  AND(B2839&gt;=25, B2839&lt;=34), "25-34",
  AND(B2839&gt;=35, B2839&lt;=44), "35-44",
  AND(B2839&gt;=45, B2839&lt;=54), "45-54",
  B2839&gt;=55, "55+"
)</f>
        <v>55+</v>
      </c>
      <c r="D2839" t="s">
        <v>153</v>
      </c>
      <c r="E2839" t="s">
        <v>73</v>
      </c>
      <c r="F2839" t="s">
        <v>43</v>
      </c>
      <c r="G2839">
        <v>88</v>
      </c>
      <c r="H2839" t="s">
        <v>90</v>
      </c>
      <c r="I2839" t="s">
        <v>45</v>
      </c>
      <c r="J2839" t="s">
        <v>110</v>
      </c>
      <c r="K2839" t="s">
        <v>54</v>
      </c>
      <c r="L2839">
        <v>4.5</v>
      </c>
      <c r="M2839" t="s">
        <v>152</v>
      </c>
      <c r="N2839" t="s">
        <v>29</v>
      </c>
      <c r="O2839" t="s">
        <v>28</v>
      </c>
      <c r="P2839" t="s">
        <v>152</v>
      </c>
      <c r="Q2839" t="s">
        <v>152</v>
      </c>
      <c r="R2839">
        <v>44</v>
      </c>
      <c r="S2839" t="s">
        <v>46</v>
      </c>
      <c r="T2839" t="str">
        <f t="shared" si="88"/>
        <v>Daily</v>
      </c>
      <c r="U2839">
        <f>VLOOKUP(T2839,[1]tablescore!$B$3:$C$8, 2,FALSE)</f>
        <v>30</v>
      </c>
      <c r="V2839" t="str">
        <f t="shared" si="89"/>
        <v>Highly Loyal</v>
      </c>
      <c r="W2839" t="s">
        <v>41</v>
      </c>
    </row>
    <row r="2840" spans="1:23" x14ac:dyDescent="0.25">
      <c r="A2840">
        <v>2839</v>
      </c>
      <c r="B2840">
        <v>51</v>
      </c>
      <c r="C2840" t="str" cm="1">
        <f t="array" ref="C2840">_xlfn.IFS(
  AND(B2840&gt;=18, B2840&lt;=24), "18-24",
  AND(B2840&gt;=25, B2840&lt;=34), "25-34",
  AND(B2840&gt;=35, B2840&lt;=44), "35-44",
  AND(B2840&gt;=45, B2840&lt;=54), "45-54",
  B2840&gt;=55, "55+"
)</f>
        <v>45-54</v>
      </c>
      <c r="D2840" t="s">
        <v>153</v>
      </c>
      <c r="E2840" t="s">
        <v>102</v>
      </c>
      <c r="F2840" t="s">
        <v>65</v>
      </c>
      <c r="G2840">
        <v>50</v>
      </c>
      <c r="H2840" t="s">
        <v>32</v>
      </c>
      <c r="I2840" t="s">
        <v>45</v>
      </c>
      <c r="J2840" t="s">
        <v>138</v>
      </c>
      <c r="K2840" t="s">
        <v>58</v>
      </c>
      <c r="L2840">
        <v>3.7</v>
      </c>
      <c r="M2840" t="s">
        <v>152</v>
      </c>
      <c r="N2840" t="s">
        <v>29</v>
      </c>
      <c r="O2840" t="s">
        <v>40</v>
      </c>
      <c r="P2840" t="s">
        <v>152</v>
      </c>
      <c r="Q2840" t="s">
        <v>152</v>
      </c>
      <c r="R2840">
        <v>2</v>
      </c>
      <c r="S2840" t="s">
        <v>34</v>
      </c>
      <c r="T2840" t="str">
        <f t="shared" si="88"/>
        <v>Daily</v>
      </c>
      <c r="U2840">
        <f>VLOOKUP(T2840,[1]tablescore!$B$3:$C$8, 2,FALSE)</f>
        <v>30</v>
      </c>
      <c r="V2840" t="str">
        <f t="shared" si="89"/>
        <v>Highly Loyal</v>
      </c>
      <c r="W2840" t="s">
        <v>41</v>
      </c>
    </row>
    <row r="2841" spans="1:23" x14ac:dyDescent="0.25">
      <c r="A2841">
        <v>2840</v>
      </c>
      <c r="B2841">
        <v>70</v>
      </c>
      <c r="C2841" t="str" cm="1">
        <f t="array" ref="C2841">_xlfn.IFS(
  AND(B2841&gt;=18, B2841&lt;=24), "18-24",
  AND(B2841&gt;=25, B2841&lt;=34), "25-34",
  AND(B2841&gt;=35, B2841&lt;=44), "35-44",
  AND(B2841&gt;=45, B2841&lt;=54), "45-54",
  B2841&gt;=55, "55+"
)</f>
        <v>55+</v>
      </c>
      <c r="D2841" t="s">
        <v>153</v>
      </c>
      <c r="E2841" t="s">
        <v>119</v>
      </c>
      <c r="F2841" t="s">
        <v>69</v>
      </c>
      <c r="G2841">
        <v>80</v>
      </c>
      <c r="H2841" t="s">
        <v>130</v>
      </c>
      <c r="I2841" t="s">
        <v>23</v>
      </c>
      <c r="J2841" t="s">
        <v>86</v>
      </c>
      <c r="K2841" t="s">
        <v>54</v>
      </c>
      <c r="L2841">
        <v>2.8</v>
      </c>
      <c r="M2841" t="s">
        <v>152</v>
      </c>
      <c r="N2841" t="s">
        <v>35</v>
      </c>
      <c r="O2841" t="s">
        <v>76</v>
      </c>
      <c r="P2841" t="s">
        <v>152</v>
      </c>
      <c r="Q2841" t="s">
        <v>152</v>
      </c>
      <c r="R2841">
        <v>30</v>
      </c>
      <c r="S2841" t="s">
        <v>34</v>
      </c>
      <c r="T2841" t="str">
        <f t="shared" si="88"/>
        <v>Month</v>
      </c>
      <c r="U2841">
        <f>VLOOKUP(T2841,[1]tablescore!$B$3:$C$8, 2,FALSE)</f>
        <v>12</v>
      </c>
      <c r="V2841" t="str">
        <f t="shared" si="89"/>
        <v>Moderate</v>
      </c>
      <c r="W2841" t="s">
        <v>88</v>
      </c>
    </row>
    <row r="2842" spans="1:23" x14ac:dyDescent="0.25">
      <c r="A2842">
        <v>2841</v>
      </c>
      <c r="B2842">
        <v>40</v>
      </c>
      <c r="C2842" t="str" cm="1">
        <f t="array" ref="C2842">_xlfn.IFS(
  AND(B2842&gt;=18, B2842&lt;=24), "18-24",
  AND(B2842&gt;=25, B2842&lt;=34), "25-34",
  AND(B2842&gt;=35, B2842&lt;=44), "35-44",
  AND(B2842&gt;=45, B2842&lt;=54), "45-54",
  B2842&gt;=55, "55+"
)</f>
        <v>35-44</v>
      </c>
      <c r="D2842" t="s">
        <v>153</v>
      </c>
      <c r="E2842" t="s">
        <v>113</v>
      </c>
      <c r="F2842" t="s">
        <v>21</v>
      </c>
      <c r="G2842">
        <v>47</v>
      </c>
      <c r="H2842" t="s">
        <v>66</v>
      </c>
      <c r="I2842" t="s">
        <v>23</v>
      </c>
      <c r="J2842" t="s">
        <v>71</v>
      </c>
      <c r="K2842" t="s">
        <v>39</v>
      </c>
      <c r="L2842">
        <v>3.5</v>
      </c>
      <c r="M2842" t="s">
        <v>152</v>
      </c>
      <c r="N2842" t="s">
        <v>34</v>
      </c>
      <c r="O2842" t="s">
        <v>76</v>
      </c>
      <c r="P2842" t="s">
        <v>152</v>
      </c>
      <c r="Q2842" t="s">
        <v>152</v>
      </c>
      <c r="R2842">
        <v>41</v>
      </c>
      <c r="S2842" t="s">
        <v>35</v>
      </c>
      <c r="T2842" t="str">
        <f t="shared" si="88"/>
        <v>Annually</v>
      </c>
      <c r="U2842">
        <f>VLOOKUP(T2842,[1]tablescore!$B$3:$C$8, 2,FALSE)</f>
        <v>1</v>
      </c>
      <c r="V2842" t="str">
        <f t="shared" si="89"/>
        <v>Low Loyalty</v>
      </c>
      <c r="W2842" t="s">
        <v>50</v>
      </c>
    </row>
    <row r="2843" spans="1:23" x14ac:dyDescent="0.25">
      <c r="A2843">
        <v>2842</v>
      </c>
      <c r="B2843">
        <v>19</v>
      </c>
      <c r="C2843" t="str" cm="1">
        <f t="array" ref="C2843">_xlfn.IFS(
  AND(B2843&gt;=18, B2843&lt;=24), "18-24",
  AND(B2843&gt;=25, B2843&lt;=34), "25-34",
  AND(B2843&gt;=35, B2843&lt;=44), "35-44",
  AND(B2843&gt;=45, B2843&lt;=54), "45-54",
  B2843&gt;=55, "55+"
)</f>
        <v>18-24</v>
      </c>
      <c r="D2843" t="s">
        <v>153</v>
      </c>
      <c r="E2843" t="s">
        <v>82</v>
      </c>
      <c r="F2843" t="s">
        <v>21</v>
      </c>
      <c r="G2843">
        <v>33</v>
      </c>
      <c r="H2843" t="s">
        <v>124</v>
      </c>
      <c r="I2843" t="s">
        <v>92</v>
      </c>
      <c r="J2843" t="s">
        <v>147</v>
      </c>
      <c r="K2843" t="s">
        <v>25</v>
      </c>
      <c r="L2843">
        <v>3</v>
      </c>
      <c r="M2843" t="s">
        <v>152</v>
      </c>
      <c r="N2843" t="s">
        <v>27</v>
      </c>
      <c r="O2843" t="s">
        <v>72</v>
      </c>
      <c r="P2843" t="s">
        <v>152</v>
      </c>
      <c r="Q2843" t="s">
        <v>152</v>
      </c>
      <c r="R2843">
        <v>31</v>
      </c>
      <c r="S2843" t="s">
        <v>35</v>
      </c>
      <c r="T2843" t="str">
        <f t="shared" si="88"/>
        <v>Daily</v>
      </c>
      <c r="U2843">
        <f>VLOOKUP(T2843,[1]tablescore!$B$3:$C$8, 2,FALSE)</f>
        <v>30</v>
      </c>
      <c r="V2843" t="str">
        <f t="shared" si="89"/>
        <v>Highly Loyal</v>
      </c>
      <c r="W2843" t="s">
        <v>41</v>
      </c>
    </row>
    <row r="2844" spans="1:23" x14ac:dyDescent="0.25">
      <c r="A2844">
        <v>2843</v>
      </c>
      <c r="B2844">
        <v>28</v>
      </c>
      <c r="C2844" t="str" cm="1">
        <f t="array" ref="C2844">_xlfn.IFS(
  AND(B2844&gt;=18, B2844&lt;=24), "18-24",
  AND(B2844&gt;=25, B2844&lt;=34), "25-34",
  AND(B2844&gt;=35, B2844&lt;=44), "35-44",
  AND(B2844&gt;=45, B2844&lt;=54), "45-54",
  B2844&gt;=55, "55+"
)</f>
        <v>25-34</v>
      </c>
      <c r="D2844" t="s">
        <v>153</v>
      </c>
      <c r="E2844" t="s">
        <v>64</v>
      </c>
      <c r="F2844" t="s">
        <v>65</v>
      </c>
      <c r="G2844">
        <v>100</v>
      </c>
      <c r="H2844" t="s">
        <v>117</v>
      </c>
      <c r="I2844" t="s">
        <v>23</v>
      </c>
      <c r="J2844" t="s">
        <v>96</v>
      </c>
      <c r="K2844" t="s">
        <v>58</v>
      </c>
      <c r="L2844">
        <v>4.3</v>
      </c>
      <c r="M2844" t="s">
        <v>152</v>
      </c>
      <c r="N2844" t="s">
        <v>35</v>
      </c>
      <c r="O2844" t="s">
        <v>55</v>
      </c>
      <c r="P2844" t="s">
        <v>152</v>
      </c>
      <c r="Q2844" t="s">
        <v>152</v>
      </c>
      <c r="R2844">
        <v>48</v>
      </c>
      <c r="S2844" t="s">
        <v>59</v>
      </c>
      <c r="T2844" t="str">
        <f t="shared" si="88"/>
        <v>Quarterly</v>
      </c>
      <c r="U2844">
        <f>VLOOKUP(T2844,[1]tablescore!$B$3:$C$8, 2,FALSE)</f>
        <v>4</v>
      </c>
      <c r="V2844" t="str">
        <f t="shared" si="89"/>
        <v>Low Loyalty</v>
      </c>
      <c r="W2844" t="s">
        <v>60</v>
      </c>
    </row>
    <row r="2845" spans="1:23" x14ac:dyDescent="0.25">
      <c r="A2845">
        <v>2844</v>
      </c>
      <c r="B2845">
        <v>51</v>
      </c>
      <c r="C2845" t="str" cm="1">
        <f t="array" ref="C2845">_xlfn.IFS(
  AND(B2845&gt;=18, B2845&lt;=24), "18-24",
  AND(B2845&gt;=25, B2845&lt;=34), "25-34",
  AND(B2845&gt;=35, B2845&lt;=44), "35-44",
  AND(B2845&gt;=45, B2845&lt;=54), "45-54",
  B2845&gt;=55, "55+"
)</f>
        <v>45-54</v>
      </c>
      <c r="D2845" t="s">
        <v>153</v>
      </c>
      <c r="E2845" t="s">
        <v>31</v>
      </c>
      <c r="F2845" t="s">
        <v>21</v>
      </c>
      <c r="G2845">
        <v>26</v>
      </c>
      <c r="H2845" t="s">
        <v>124</v>
      </c>
      <c r="I2845" t="s">
        <v>45</v>
      </c>
      <c r="J2845" t="s">
        <v>53</v>
      </c>
      <c r="K2845" t="s">
        <v>54</v>
      </c>
      <c r="L2845">
        <v>3.6</v>
      </c>
      <c r="M2845" t="s">
        <v>152</v>
      </c>
      <c r="N2845" t="s">
        <v>35</v>
      </c>
      <c r="O2845" t="s">
        <v>76</v>
      </c>
      <c r="P2845" t="s">
        <v>152</v>
      </c>
      <c r="Q2845" t="s">
        <v>152</v>
      </c>
      <c r="R2845">
        <v>41</v>
      </c>
      <c r="S2845" t="s">
        <v>29</v>
      </c>
      <c r="T2845" t="str">
        <f t="shared" si="88"/>
        <v>Daily</v>
      </c>
      <c r="U2845">
        <f>VLOOKUP(T2845,[1]tablescore!$B$3:$C$8, 2,FALSE)</f>
        <v>30</v>
      </c>
      <c r="V2845" t="str">
        <f t="shared" si="89"/>
        <v>Highly Loyal</v>
      </c>
      <c r="W2845" t="s">
        <v>41</v>
      </c>
    </row>
    <row r="2846" spans="1:23" x14ac:dyDescent="0.25">
      <c r="A2846">
        <v>2845</v>
      </c>
      <c r="B2846">
        <v>32</v>
      </c>
      <c r="C2846" t="str" cm="1">
        <f t="array" ref="C2846">_xlfn.IFS(
  AND(B2846&gt;=18, B2846&lt;=24), "18-24",
  AND(B2846&gt;=25, B2846&lt;=34), "25-34",
  AND(B2846&gt;=35, B2846&lt;=44), "35-44",
  AND(B2846&gt;=45, B2846&lt;=54), "45-54",
  B2846&gt;=55, "55+"
)</f>
        <v>25-34</v>
      </c>
      <c r="D2846" t="s">
        <v>153</v>
      </c>
      <c r="E2846" t="s">
        <v>125</v>
      </c>
      <c r="F2846" t="s">
        <v>69</v>
      </c>
      <c r="G2846">
        <v>79</v>
      </c>
      <c r="H2846" t="s">
        <v>123</v>
      </c>
      <c r="I2846" t="s">
        <v>45</v>
      </c>
      <c r="J2846" t="s">
        <v>129</v>
      </c>
      <c r="K2846" t="s">
        <v>54</v>
      </c>
      <c r="L2846">
        <v>4.4000000000000004</v>
      </c>
      <c r="M2846" t="s">
        <v>152</v>
      </c>
      <c r="N2846" t="s">
        <v>29</v>
      </c>
      <c r="O2846" t="s">
        <v>55</v>
      </c>
      <c r="P2846" t="s">
        <v>152</v>
      </c>
      <c r="Q2846" t="s">
        <v>152</v>
      </c>
      <c r="R2846">
        <v>42</v>
      </c>
      <c r="S2846" t="s">
        <v>29</v>
      </c>
      <c r="T2846" t="str">
        <f t="shared" si="88"/>
        <v>Annually</v>
      </c>
      <c r="U2846">
        <f>VLOOKUP(T2846,[1]tablescore!$B$3:$C$8, 2,FALSE)</f>
        <v>1</v>
      </c>
      <c r="V2846" t="str">
        <f t="shared" si="89"/>
        <v>Low Loyalty</v>
      </c>
      <c r="W2846" t="s">
        <v>50</v>
      </c>
    </row>
    <row r="2847" spans="1:23" x14ac:dyDescent="0.25">
      <c r="A2847">
        <v>2846</v>
      </c>
      <c r="B2847">
        <v>26</v>
      </c>
      <c r="C2847" t="str" cm="1">
        <f t="array" ref="C2847">_xlfn.IFS(
  AND(B2847&gt;=18, B2847&lt;=24), "18-24",
  AND(B2847&gt;=25, B2847&lt;=34), "25-34",
  AND(B2847&gt;=35, B2847&lt;=44), "35-44",
  AND(B2847&gt;=45, B2847&lt;=54), "45-54",
  B2847&gt;=55, "55+"
)</f>
        <v>25-34</v>
      </c>
      <c r="D2847" t="s">
        <v>153</v>
      </c>
      <c r="E2847" t="s">
        <v>133</v>
      </c>
      <c r="F2847" t="s">
        <v>69</v>
      </c>
      <c r="G2847">
        <v>77</v>
      </c>
      <c r="H2847" t="s">
        <v>130</v>
      </c>
      <c r="I2847" t="s">
        <v>23</v>
      </c>
      <c r="J2847" t="s">
        <v>93</v>
      </c>
      <c r="K2847" t="s">
        <v>54</v>
      </c>
      <c r="L2847">
        <v>4.0999999999999996</v>
      </c>
      <c r="M2847" t="s">
        <v>152</v>
      </c>
      <c r="N2847" t="s">
        <v>35</v>
      </c>
      <c r="O2847" t="s">
        <v>28</v>
      </c>
      <c r="P2847" t="s">
        <v>152</v>
      </c>
      <c r="Q2847" t="s">
        <v>152</v>
      </c>
      <c r="R2847">
        <v>39</v>
      </c>
      <c r="S2847" t="s">
        <v>59</v>
      </c>
      <c r="T2847" t="str">
        <f t="shared" si="88"/>
        <v>Quarterly</v>
      </c>
      <c r="U2847">
        <f>VLOOKUP(T2847,[1]tablescore!$B$3:$C$8, 2,FALSE)</f>
        <v>4</v>
      </c>
      <c r="V2847" t="str">
        <f t="shared" si="89"/>
        <v>Low Loyalty</v>
      </c>
      <c r="W2847" t="s">
        <v>97</v>
      </c>
    </row>
    <row r="2848" spans="1:23" x14ac:dyDescent="0.25">
      <c r="A2848">
        <v>2847</v>
      </c>
      <c r="B2848">
        <v>50</v>
      </c>
      <c r="C2848" t="str" cm="1">
        <f t="array" ref="C2848">_xlfn.IFS(
  AND(B2848&gt;=18, B2848&lt;=24), "18-24",
  AND(B2848&gt;=25, B2848&lt;=34), "25-34",
  AND(B2848&gt;=35, B2848&lt;=44), "35-44",
  AND(B2848&gt;=45, B2848&lt;=54), "45-54",
  B2848&gt;=55, "55+"
)</f>
        <v>45-54</v>
      </c>
      <c r="D2848" t="s">
        <v>153</v>
      </c>
      <c r="E2848" t="s">
        <v>131</v>
      </c>
      <c r="F2848" t="s">
        <v>21</v>
      </c>
      <c r="G2848">
        <v>36</v>
      </c>
      <c r="H2848" t="s">
        <v>101</v>
      </c>
      <c r="I2848" t="s">
        <v>92</v>
      </c>
      <c r="J2848" t="s">
        <v>94</v>
      </c>
      <c r="K2848" t="s">
        <v>58</v>
      </c>
      <c r="L2848">
        <v>2.8</v>
      </c>
      <c r="M2848" t="s">
        <v>152</v>
      </c>
      <c r="N2848" t="s">
        <v>35</v>
      </c>
      <c r="O2848" t="s">
        <v>47</v>
      </c>
      <c r="P2848" t="s">
        <v>152</v>
      </c>
      <c r="Q2848" t="s">
        <v>152</v>
      </c>
      <c r="R2848">
        <v>15</v>
      </c>
      <c r="S2848" t="s">
        <v>46</v>
      </c>
      <c r="T2848" t="str">
        <f t="shared" si="88"/>
        <v>2-week</v>
      </c>
      <c r="U2848">
        <f>VLOOKUP(T2848,[1]tablescore!$B$3:$C$8, 2,FALSE)</f>
        <v>26</v>
      </c>
      <c r="V2848" t="str">
        <f t="shared" si="89"/>
        <v>Loyal</v>
      </c>
      <c r="W2848" t="s">
        <v>77</v>
      </c>
    </row>
    <row r="2849" spans="1:23" x14ac:dyDescent="0.25">
      <c r="A2849">
        <v>2848</v>
      </c>
      <c r="B2849">
        <v>68</v>
      </c>
      <c r="C2849" t="str" cm="1">
        <f t="array" ref="C2849">_xlfn.IFS(
  AND(B2849&gt;=18, B2849&lt;=24), "18-24",
  AND(B2849&gt;=25, B2849&lt;=34), "25-34",
  AND(B2849&gt;=35, B2849&lt;=44), "35-44",
  AND(B2849&gt;=45, B2849&lt;=54), "45-54",
  B2849&gt;=55, "55+"
)</f>
        <v>55+</v>
      </c>
      <c r="D2849" t="s">
        <v>153</v>
      </c>
      <c r="E2849" t="s">
        <v>106</v>
      </c>
      <c r="F2849" t="s">
        <v>69</v>
      </c>
      <c r="G2849">
        <v>21</v>
      </c>
      <c r="H2849" t="s">
        <v>146</v>
      </c>
      <c r="I2849" t="s">
        <v>23</v>
      </c>
      <c r="J2849" t="s">
        <v>63</v>
      </c>
      <c r="K2849" t="s">
        <v>25</v>
      </c>
      <c r="L2849">
        <v>2.8</v>
      </c>
      <c r="M2849" t="s">
        <v>152</v>
      </c>
      <c r="N2849" t="s">
        <v>29</v>
      </c>
      <c r="O2849" t="s">
        <v>40</v>
      </c>
      <c r="P2849" t="s">
        <v>152</v>
      </c>
      <c r="Q2849" t="s">
        <v>152</v>
      </c>
      <c r="R2849">
        <v>3</v>
      </c>
      <c r="S2849" t="s">
        <v>46</v>
      </c>
      <c r="T2849" t="str">
        <f t="shared" si="88"/>
        <v>Quarterly</v>
      </c>
      <c r="U2849">
        <f>VLOOKUP(T2849,[1]tablescore!$B$3:$C$8, 2,FALSE)</f>
        <v>4</v>
      </c>
      <c r="V2849" t="str">
        <f t="shared" si="89"/>
        <v>Low Loyalty</v>
      </c>
      <c r="W2849" t="s">
        <v>97</v>
      </c>
    </row>
    <row r="2850" spans="1:23" x14ac:dyDescent="0.25">
      <c r="A2850">
        <v>2849</v>
      </c>
      <c r="B2850">
        <v>33</v>
      </c>
      <c r="C2850" t="str" cm="1">
        <f t="array" ref="C2850">_xlfn.IFS(
  AND(B2850&gt;=18, B2850&lt;=24), "18-24",
  AND(B2850&gt;=25, B2850&lt;=34), "25-34",
  AND(B2850&gt;=35, B2850&lt;=44), "35-44",
  AND(B2850&gt;=45, B2850&lt;=54), "45-54",
  B2850&gt;=55, "55+"
)</f>
        <v>25-34</v>
      </c>
      <c r="D2850" t="s">
        <v>153</v>
      </c>
      <c r="E2850" t="s">
        <v>132</v>
      </c>
      <c r="F2850" t="s">
        <v>43</v>
      </c>
      <c r="G2850">
        <v>72</v>
      </c>
      <c r="H2850" t="s">
        <v>148</v>
      </c>
      <c r="I2850" t="s">
        <v>23</v>
      </c>
      <c r="J2850" t="s">
        <v>24</v>
      </c>
      <c r="K2850" t="s">
        <v>58</v>
      </c>
      <c r="L2850">
        <v>4.9000000000000004</v>
      </c>
      <c r="M2850" t="s">
        <v>152</v>
      </c>
      <c r="N2850" t="s">
        <v>59</v>
      </c>
      <c r="O2850" t="s">
        <v>76</v>
      </c>
      <c r="P2850" t="s">
        <v>152</v>
      </c>
      <c r="Q2850" t="s">
        <v>152</v>
      </c>
      <c r="R2850">
        <v>28</v>
      </c>
      <c r="S2850" t="s">
        <v>34</v>
      </c>
      <c r="T2850" t="str">
        <f t="shared" si="88"/>
        <v>Quarterly</v>
      </c>
      <c r="U2850">
        <f>VLOOKUP(T2850,[1]tablescore!$B$3:$C$8, 2,FALSE)</f>
        <v>4</v>
      </c>
      <c r="V2850" t="str">
        <f t="shared" si="89"/>
        <v>Low Loyalty</v>
      </c>
      <c r="W2850" t="s">
        <v>60</v>
      </c>
    </row>
    <row r="2851" spans="1:23" x14ac:dyDescent="0.25">
      <c r="A2851">
        <v>2850</v>
      </c>
      <c r="B2851">
        <v>56</v>
      </c>
      <c r="C2851" t="str" cm="1">
        <f t="array" ref="C2851">_xlfn.IFS(
  AND(B2851&gt;=18, B2851&lt;=24), "18-24",
  AND(B2851&gt;=25, B2851&lt;=34), "25-34",
  AND(B2851&gt;=35, B2851&lt;=44), "35-44",
  AND(B2851&gt;=45, B2851&lt;=54), "45-54",
  B2851&gt;=55, "55+"
)</f>
        <v>55+</v>
      </c>
      <c r="D2851" t="s">
        <v>153</v>
      </c>
      <c r="E2851" t="s">
        <v>64</v>
      </c>
      <c r="F2851" t="s">
        <v>65</v>
      </c>
      <c r="G2851">
        <v>25</v>
      </c>
      <c r="H2851" t="s">
        <v>83</v>
      </c>
      <c r="I2851" t="s">
        <v>45</v>
      </c>
      <c r="J2851" t="s">
        <v>81</v>
      </c>
      <c r="K2851" t="s">
        <v>39</v>
      </c>
      <c r="L2851">
        <v>4.0999999999999996</v>
      </c>
      <c r="M2851" t="s">
        <v>152</v>
      </c>
      <c r="N2851" t="s">
        <v>27</v>
      </c>
      <c r="O2851" t="s">
        <v>28</v>
      </c>
      <c r="P2851" t="s">
        <v>152</v>
      </c>
      <c r="Q2851" t="s">
        <v>152</v>
      </c>
      <c r="R2851">
        <v>27</v>
      </c>
      <c r="S2851" t="s">
        <v>46</v>
      </c>
      <c r="T2851" t="str">
        <f t="shared" si="88"/>
        <v>2-week</v>
      </c>
      <c r="U2851">
        <f>VLOOKUP(T2851,[1]tablescore!$B$3:$C$8, 2,FALSE)</f>
        <v>26</v>
      </c>
      <c r="V2851" t="str">
        <f t="shared" si="89"/>
        <v>Loyal</v>
      </c>
      <c r="W2851" t="s">
        <v>77</v>
      </c>
    </row>
    <row r="2852" spans="1:23" x14ac:dyDescent="0.25">
      <c r="A2852">
        <v>2851</v>
      </c>
      <c r="B2852">
        <v>57</v>
      </c>
      <c r="C2852" t="str" cm="1">
        <f t="array" ref="C2852">_xlfn.IFS(
  AND(B2852&gt;=18, B2852&lt;=24), "18-24",
  AND(B2852&gt;=25, B2852&lt;=34), "25-34",
  AND(B2852&gt;=35, B2852&lt;=44), "35-44",
  AND(B2852&gt;=45, B2852&lt;=54), "45-54",
  B2852&gt;=55, "55+"
)</f>
        <v>55+</v>
      </c>
      <c r="D2852" t="s">
        <v>153</v>
      </c>
      <c r="E2852" t="s">
        <v>31</v>
      </c>
      <c r="F2852" t="s">
        <v>21</v>
      </c>
      <c r="G2852">
        <v>79</v>
      </c>
      <c r="H2852" t="s">
        <v>143</v>
      </c>
      <c r="I2852" t="s">
        <v>45</v>
      </c>
      <c r="J2852" t="s">
        <v>67</v>
      </c>
      <c r="K2852" t="s">
        <v>39</v>
      </c>
      <c r="L2852">
        <v>3</v>
      </c>
      <c r="M2852" t="s">
        <v>152</v>
      </c>
      <c r="N2852" t="s">
        <v>27</v>
      </c>
      <c r="O2852" t="s">
        <v>76</v>
      </c>
      <c r="P2852" t="s">
        <v>152</v>
      </c>
      <c r="Q2852" t="s">
        <v>152</v>
      </c>
      <c r="R2852">
        <v>36</v>
      </c>
      <c r="S2852" t="s">
        <v>59</v>
      </c>
      <c r="T2852" t="str">
        <f t="shared" si="88"/>
        <v>Annually</v>
      </c>
      <c r="U2852">
        <f>VLOOKUP(T2852,[1]tablescore!$B$3:$C$8, 2,FALSE)</f>
        <v>1</v>
      </c>
      <c r="V2852" t="str">
        <f t="shared" si="89"/>
        <v>Low Loyalty</v>
      </c>
      <c r="W2852" t="s">
        <v>50</v>
      </c>
    </row>
    <row r="2853" spans="1:23" x14ac:dyDescent="0.25">
      <c r="A2853">
        <v>2852</v>
      </c>
      <c r="B2853">
        <v>58</v>
      </c>
      <c r="C2853" t="str" cm="1">
        <f t="array" ref="C2853">_xlfn.IFS(
  AND(B2853&gt;=18, B2853&lt;=24), "18-24",
  AND(B2853&gt;=25, B2853&lt;=34), "25-34",
  AND(B2853&gt;=35, B2853&lt;=44), "35-44",
  AND(B2853&gt;=45, B2853&lt;=54), "45-54",
  B2853&gt;=55, "55+"
)</f>
        <v>55+</v>
      </c>
      <c r="D2853" t="s">
        <v>153</v>
      </c>
      <c r="E2853" t="s">
        <v>20</v>
      </c>
      <c r="F2853" t="s">
        <v>21</v>
      </c>
      <c r="G2853">
        <v>73</v>
      </c>
      <c r="H2853" t="s">
        <v>107</v>
      </c>
      <c r="I2853" t="s">
        <v>23</v>
      </c>
      <c r="J2853" t="s">
        <v>86</v>
      </c>
      <c r="K2853" t="s">
        <v>54</v>
      </c>
      <c r="L2853">
        <v>3</v>
      </c>
      <c r="M2853" t="s">
        <v>152</v>
      </c>
      <c r="N2853" t="s">
        <v>34</v>
      </c>
      <c r="O2853" t="s">
        <v>76</v>
      </c>
      <c r="P2853" t="s">
        <v>152</v>
      </c>
      <c r="Q2853" t="s">
        <v>152</v>
      </c>
      <c r="R2853">
        <v>42</v>
      </c>
      <c r="S2853" t="s">
        <v>59</v>
      </c>
      <c r="T2853" t="str">
        <f t="shared" si="88"/>
        <v>Month</v>
      </c>
      <c r="U2853">
        <f>VLOOKUP(T2853,[1]tablescore!$B$3:$C$8, 2,FALSE)</f>
        <v>12</v>
      </c>
      <c r="V2853" t="str">
        <f t="shared" si="89"/>
        <v>Moderate</v>
      </c>
      <c r="W2853" t="s">
        <v>88</v>
      </c>
    </row>
    <row r="2854" spans="1:23" x14ac:dyDescent="0.25">
      <c r="A2854">
        <v>2853</v>
      </c>
      <c r="B2854">
        <v>40</v>
      </c>
      <c r="C2854" t="str" cm="1">
        <f t="array" ref="C2854">_xlfn.IFS(
  AND(B2854&gt;=18, B2854&lt;=24), "18-24",
  AND(B2854&gt;=25, B2854&lt;=34), "25-34",
  AND(B2854&gt;=35, B2854&lt;=44), "35-44",
  AND(B2854&gt;=45, B2854&lt;=54), "45-54",
  B2854&gt;=55, "55+"
)</f>
        <v>35-44</v>
      </c>
      <c r="D2854" t="s">
        <v>153</v>
      </c>
      <c r="E2854" t="s">
        <v>136</v>
      </c>
      <c r="F2854" t="s">
        <v>69</v>
      </c>
      <c r="G2854">
        <v>71</v>
      </c>
      <c r="H2854" t="s">
        <v>85</v>
      </c>
      <c r="I2854" t="s">
        <v>45</v>
      </c>
      <c r="J2854" t="s">
        <v>147</v>
      </c>
      <c r="K2854" t="s">
        <v>39</v>
      </c>
      <c r="L2854">
        <v>3</v>
      </c>
      <c r="M2854" t="s">
        <v>152</v>
      </c>
      <c r="N2854" t="s">
        <v>27</v>
      </c>
      <c r="O2854" t="s">
        <v>76</v>
      </c>
      <c r="P2854" t="s">
        <v>152</v>
      </c>
      <c r="Q2854" t="s">
        <v>152</v>
      </c>
      <c r="R2854">
        <v>30</v>
      </c>
      <c r="S2854" t="s">
        <v>29</v>
      </c>
      <c r="T2854" t="str">
        <f t="shared" si="88"/>
        <v>Daily</v>
      </c>
      <c r="U2854">
        <f>VLOOKUP(T2854,[1]tablescore!$B$3:$C$8, 2,FALSE)</f>
        <v>30</v>
      </c>
      <c r="V2854" t="str">
        <f t="shared" si="89"/>
        <v>Highly Loyal</v>
      </c>
      <c r="W2854" t="s">
        <v>41</v>
      </c>
    </row>
    <row r="2855" spans="1:23" x14ac:dyDescent="0.25">
      <c r="A2855">
        <v>2854</v>
      </c>
      <c r="B2855">
        <v>37</v>
      </c>
      <c r="C2855" t="str" cm="1">
        <f t="array" ref="C2855">_xlfn.IFS(
  AND(B2855&gt;=18, B2855&lt;=24), "18-24",
  AND(B2855&gt;=25, B2855&lt;=34), "25-34",
  AND(B2855&gt;=35, B2855&lt;=44), "35-44",
  AND(B2855&gt;=45, B2855&lt;=54), "45-54",
  B2855&gt;=55, "55+"
)</f>
        <v>35-44</v>
      </c>
      <c r="D2855" t="s">
        <v>153</v>
      </c>
      <c r="E2855" t="s">
        <v>125</v>
      </c>
      <c r="F2855" t="s">
        <v>69</v>
      </c>
      <c r="G2855">
        <v>48</v>
      </c>
      <c r="H2855" t="s">
        <v>141</v>
      </c>
      <c r="I2855" t="s">
        <v>45</v>
      </c>
      <c r="J2855" t="s">
        <v>147</v>
      </c>
      <c r="K2855" t="s">
        <v>25</v>
      </c>
      <c r="L2855">
        <v>3.2</v>
      </c>
      <c r="M2855" t="s">
        <v>152</v>
      </c>
      <c r="N2855" t="s">
        <v>35</v>
      </c>
      <c r="O2855" t="s">
        <v>47</v>
      </c>
      <c r="P2855" t="s">
        <v>152</v>
      </c>
      <c r="Q2855" t="s">
        <v>152</v>
      </c>
      <c r="R2855">
        <v>9</v>
      </c>
      <c r="S2855" t="s">
        <v>46</v>
      </c>
      <c r="T2855" t="str">
        <f t="shared" si="88"/>
        <v>Daily</v>
      </c>
      <c r="U2855">
        <f>VLOOKUP(T2855,[1]tablescore!$B$3:$C$8, 2,FALSE)</f>
        <v>30</v>
      </c>
      <c r="V2855" t="str">
        <f t="shared" si="89"/>
        <v>Highly Loyal</v>
      </c>
      <c r="W2855" t="s">
        <v>41</v>
      </c>
    </row>
    <row r="2856" spans="1:23" x14ac:dyDescent="0.25">
      <c r="A2856">
        <v>2855</v>
      </c>
      <c r="B2856">
        <v>36</v>
      </c>
      <c r="C2856" t="str" cm="1">
        <f t="array" ref="C2856">_xlfn.IFS(
  AND(B2856&gt;=18, B2856&lt;=24), "18-24",
  AND(B2856&gt;=25, B2856&lt;=34), "25-34",
  AND(B2856&gt;=35, B2856&lt;=44), "35-44",
  AND(B2856&gt;=45, B2856&lt;=54), "45-54",
  B2856&gt;=55, "55+"
)</f>
        <v>35-44</v>
      </c>
      <c r="D2856" t="s">
        <v>153</v>
      </c>
      <c r="E2856" t="s">
        <v>42</v>
      </c>
      <c r="F2856" t="s">
        <v>43</v>
      </c>
      <c r="G2856">
        <v>28</v>
      </c>
      <c r="H2856" t="s">
        <v>80</v>
      </c>
      <c r="I2856" t="s">
        <v>45</v>
      </c>
      <c r="J2856" t="s">
        <v>118</v>
      </c>
      <c r="K2856" t="s">
        <v>58</v>
      </c>
      <c r="L2856">
        <v>2.7</v>
      </c>
      <c r="M2856" t="s">
        <v>152</v>
      </c>
      <c r="N2856" t="s">
        <v>59</v>
      </c>
      <c r="O2856" t="s">
        <v>76</v>
      </c>
      <c r="P2856" t="s">
        <v>152</v>
      </c>
      <c r="Q2856" t="s">
        <v>152</v>
      </c>
      <c r="R2856">
        <v>25</v>
      </c>
      <c r="S2856" t="s">
        <v>29</v>
      </c>
      <c r="T2856" t="str">
        <f t="shared" si="88"/>
        <v>Month</v>
      </c>
      <c r="U2856">
        <f>VLOOKUP(T2856,[1]tablescore!$B$3:$C$8, 2,FALSE)</f>
        <v>12</v>
      </c>
      <c r="V2856" t="str">
        <f t="shared" si="89"/>
        <v>Moderate</v>
      </c>
      <c r="W2856" t="s">
        <v>88</v>
      </c>
    </row>
    <row r="2857" spans="1:23" x14ac:dyDescent="0.25">
      <c r="A2857">
        <v>2856</v>
      </c>
      <c r="B2857">
        <v>29</v>
      </c>
      <c r="C2857" t="str" cm="1">
        <f t="array" ref="C2857">_xlfn.IFS(
  AND(B2857&gt;=18, B2857&lt;=24), "18-24",
  AND(B2857&gt;=25, B2857&lt;=34), "25-34",
  AND(B2857&gt;=35, B2857&lt;=44), "35-44",
  AND(B2857&gt;=45, B2857&lt;=54), "45-54",
  B2857&gt;=55, "55+"
)</f>
        <v>25-34</v>
      </c>
      <c r="D2857" t="s">
        <v>153</v>
      </c>
      <c r="E2857" t="s">
        <v>132</v>
      </c>
      <c r="F2857" t="s">
        <v>43</v>
      </c>
      <c r="G2857">
        <v>95</v>
      </c>
      <c r="H2857" t="s">
        <v>91</v>
      </c>
      <c r="I2857" t="s">
        <v>38</v>
      </c>
      <c r="J2857" t="s">
        <v>33</v>
      </c>
      <c r="K2857" t="s">
        <v>25</v>
      </c>
      <c r="L2857">
        <v>3.8</v>
      </c>
      <c r="M2857" t="s">
        <v>152</v>
      </c>
      <c r="N2857" t="s">
        <v>59</v>
      </c>
      <c r="O2857" t="s">
        <v>72</v>
      </c>
      <c r="P2857" t="s">
        <v>152</v>
      </c>
      <c r="Q2857" t="s">
        <v>152</v>
      </c>
      <c r="R2857">
        <v>33</v>
      </c>
      <c r="S2857" t="s">
        <v>46</v>
      </c>
      <c r="T2857" t="str">
        <f t="shared" si="88"/>
        <v>Quarterly</v>
      </c>
      <c r="U2857">
        <f>VLOOKUP(T2857,[1]tablescore!$B$3:$C$8, 2,FALSE)</f>
        <v>4</v>
      </c>
      <c r="V2857" t="str">
        <f t="shared" si="89"/>
        <v>Low Loyalty</v>
      </c>
      <c r="W2857" t="s">
        <v>60</v>
      </c>
    </row>
    <row r="2858" spans="1:23" x14ac:dyDescent="0.25">
      <c r="A2858">
        <v>2857</v>
      </c>
      <c r="B2858">
        <v>65</v>
      </c>
      <c r="C2858" t="str" cm="1">
        <f t="array" ref="C2858">_xlfn.IFS(
  AND(B2858&gt;=18, B2858&lt;=24), "18-24",
  AND(B2858&gt;=25, B2858&lt;=34), "25-34",
  AND(B2858&gt;=35, B2858&lt;=44), "35-44",
  AND(B2858&gt;=45, B2858&lt;=54), "45-54",
  B2858&gt;=55, "55+"
)</f>
        <v>55+</v>
      </c>
      <c r="D2858" t="s">
        <v>153</v>
      </c>
      <c r="E2858" t="s">
        <v>102</v>
      </c>
      <c r="F2858" t="s">
        <v>65</v>
      </c>
      <c r="G2858">
        <v>48</v>
      </c>
      <c r="H2858" t="s">
        <v>150</v>
      </c>
      <c r="I2858" t="s">
        <v>45</v>
      </c>
      <c r="J2858" t="s">
        <v>129</v>
      </c>
      <c r="K2858" t="s">
        <v>25</v>
      </c>
      <c r="L2858">
        <v>3.5</v>
      </c>
      <c r="M2858" t="s">
        <v>152</v>
      </c>
      <c r="N2858" t="s">
        <v>59</v>
      </c>
      <c r="O2858" t="s">
        <v>72</v>
      </c>
      <c r="P2858" t="s">
        <v>152</v>
      </c>
      <c r="Q2858" t="s">
        <v>152</v>
      </c>
      <c r="R2858">
        <v>31</v>
      </c>
      <c r="S2858" t="s">
        <v>27</v>
      </c>
      <c r="T2858" t="str">
        <f t="shared" si="88"/>
        <v>Month</v>
      </c>
      <c r="U2858">
        <f>VLOOKUP(T2858,[1]tablescore!$B$3:$C$8, 2,FALSE)</f>
        <v>12</v>
      </c>
      <c r="V2858" t="str">
        <f t="shared" si="89"/>
        <v>Moderate</v>
      </c>
      <c r="W2858" t="s">
        <v>88</v>
      </c>
    </row>
    <row r="2859" spans="1:23" x14ac:dyDescent="0.25">
      <c r="A2859">
        <v>2858</v>
      </c>
      <c r="B2859">
        <v>44</v>
      </c>
      <c r="C2859" t="str" cm="1">
        <f t="array" ref="C2859">_xlfn.IFS(
  AND(B2859&gt;=18, B2859&lt;=24), "18-24",
  AND(B2859&gt;=25, B2859&lt;=34), "25-34",
  AND(B2859&gt;=35, B2859&lt;=44), "35-44",
  AND(B2859&gt;=45, B2859&lt;=54), "45-54",
  B2859&gt;=55, "55+"
)</f>
        <v>35-44</v>
      </c>
      <c r="D2859" t="s">
        <v>153</v>
      </c>
      <c r="E2859" t="s">
        <v>82</v>
      </c>
      <c r="F2859" t="s">
        <v>21</v>
      </c>
      <c r="G2859">
        <v>93</v>
      </c>
      <c r="H2859" t="s">
        <v>149</v>
      </c>
      <c r="I2859" t="s">
        <v>38</v>
      </c>
      <c r="J2859" t="s">
        <v>33</v>
      </c>
      <c r="K2859" t="s">
        <v>39</v>
      </c>
      <c r="L2859">
        <v>3.8</v>
      </c>
      <c r="M2859" t="s">
        <v>152</v>
      </c>
      <c r="N2859" t="s">
        <v>29</v>
      </c>
      <c r="O2859" t="s">
        <v>47</v>
      </c>
      <c r="P2859" t="s">
        <v>152</v>
      </c>
      <c r="Q2859" t="s">
        <v>152</v>
      </c>
      <c r="R2859">
        <v>35</v>
      </c>
      <c r="S2859" t="s">
        <v>59</v>
      </c>
      <c r="T2859" t="str">
        <f t="shared" si="88"/>
        <v>Month</v>
      </c>
      <c r="U2859">
        <f>VLOOKUP(T2859,[1]tablescore!$B$3:$C$8, 2,FALSE)</f>
        <v>12</v>
      </c>
      <c r="V2859" t="str">
        <f t="shared" si="89"/>
        <v>Moderate</v>
      </c>
      <c r="W2859" t="s">
        <v>88</v>
      </c>
    </row>
    <row r="2860" spans="1:23" x14ac:dyDescent="0.25">
      <c r="A2860">
        <v>2859</v>
      </c>
      <c r="B2860">
        <v>34</v>
      </c>
      <c r="C2860" t="str" cm="1">
        <f t="array" ref="C2860">_xlfn.IFS(
  AND(B2860&gt;=18, B2860&lt;=24), "18-24",
  AND(B2860&gt;=25, B2860&lt;=34), "25-34",
  AND(B2860&gt;=35, B2860&lt;=44), "35-44",
  AND(B2860&gt;=45, B2860&lt;=54), "45-54",
  B2860&gt;=55, "55+"
)</f>
        <v>25-34</v>
      </c>
      <c r="D2860" t="s">
        <v>153</v>
      </c>
      <c r="E2860" t="s">
        <v>36</v>
      </c>
      <c r="F2860" t="s">
        <v>21</v>
      </c>
      <c r="G2860">
        <v>87</v>
      </c>
      <c r="H2860" t="s">
        <v>135</v>
      </c>
      <c r="I2860" t="s">
        <v>23</v>
      </c>
      <c r="J2860" t="s">
        <v>86</v>
      </c>
      <c r="K2860" t="s">
        <v>54</v>
      </c>
      <c r="L2860">
        <v>3.8</v>
      </c>
      <c r="M2860" t="s">
        <v>152</v>
      </c>
      <c r="N2860" t="s">
        <v>35</v>
      </c>
      <c r="O2860" t="s">
        <v>72</v>
      </c>
      <c r="P2860" t="s">
        <v>152</v>
      </c>
      <c r="Q2860" t="s">
        <v>152</v>
      </c>
      <c r="R2860">
        <v>46</v>
      </c>
      <c r="S2860" t="s">
        <v>34</v>
      </c>
      <c r="T2860" t="str">
        <f t="shared" si="88"/>
        <v>Month</v>
      </c>
      <c r="U2860">
        <f>VLOOKUP(T2860,[1]tablescore!$B$3:$C$8, 2,FALSE)</f>
        <v>12</v>
      </c>
      <c r="V2860" t="str">
        <f t="shared" si="89"/>
        <v>Moderate</v>
      </c>
      <c r="W2860" t="s">
        <v>88</v>
      </c>
    </row>
    <row r="2861" spans="1:23" x14ac:dyDescent="0.25">
      <c r="A2861">
        <v>2860</v>
      </c>
      <c r="B2861">
        <v>31</v>
      </c>
      <c r="C2861" t="str" cm="1">
        <f t="array" ref="C2861">_xlfn.IFS(
  AND(B2861&gt;=18, B2861&lt;=24), "18-24",
  AND(B2861&gt;=25, B2861&lt;=34), "25-34",
  AND(B2861&gt;=35, B2861&lt;=44), "35-44",
  AND(B2861&gt;=45, B2861&lt;=54), "45-54",
  B2861&gt;=55, "55+"
)</f>
        <v>25-34</v>
      </c>
      <c r="D2861" t="s">
        <v>153</v>
      </c>
      <c r="E2861" t="s">
        <v>61</v>
      </c>
      <c r="F2861" t="s">
        <v>21</v>
      </c>
      <c r="G2861">
        <v>32</v>
      </c>
      <c r="H2861" t="s">
        <v>149</v>
      </c>
      <c r="I2861" t="s">
        <v>23</v>
      </c>
      <c r="J2861" t="s">
        <v>139</v>
      </c>
      <c r="K2861" t="s">
        <v>58</v>
      </c>
      <c r="L2861">
        <v>3.4</v>
      </c>
      <c r="M2861" t="s">
        <v>152</v>
      </c>
      <c r="N2861" t="s">
        <v>29</v>
      </c>
      <c r="O2861" t="s">
        <v>28</v>
      </c>
      <c r="P2861" t="s">
        <v>152</v>
      </c>
      <c r="Q2861" t="s">
        <v>152</v>
      </c>
      <c r="R2861">
        <v>29</v>
      </c>
      <c r="S2861" t="s">
        <v>34</v>
      </c>
      <c r="T2861" t="str">
        <f t="shared" si="88"/>
        <v>Annually</v>
      </c>
      <c r="U2861">
        <f>VLOOKUP(T2861,[1]tablescore!$B$3:$C$8, 2,FALSE)</f>
        <v>1</v>
      </c>
      <c r="V2861" t="str">
        <f t="shared" si="89"/>
        <v>Low Loyalty</v>
      </c>
      <c r="W2861" t="s">
        <v>50</v>
      </c>
    </row>
    <row r="2862" spans="1:23" x14ac:dyDescent="0.25">
      <c r="A2862">
        <v>2861</v>
      </c>
      <c r="B2862">
        <v>28</v>
      </c>
      <c r="C2862" t="str" cm="1">
        <f t="array" ref="C2862">_xlfn.IFS(
  AND(B2862&gt;=18, B2862&lt;=24), "18-24",
  AND(B2862&gt;=25, B2862&lt;=34), "25-34",
  AND(B2862&gt;=35, B2862&lt;=44), "35-44",
  AND(B2862&gt;=45, B2862&lt;=54), "45-54",
  B2862&gt;=55, "55+"
)</f>
        <v>25-34</v>
      </c>
      <c r="D2862" t="s">
        <v>153</v>
      </c>
      <c r="E2862" t="s">
        <v>56</v>
      </c>
      <c r="F2862" t="s">
        <v>21</v>
      </c>
      <c r="G2862">
        <v>38</v>
      </c>
      <c r="H2862" t="s">
        <v>44</v>
      </c>
      <c r="I2862" t="s">
        <v>45</v>
      </c>
      <c r="J2862" t="s">
        <v>81</v>
      </c>
      <c r="K2862" t="s">
        <v>39</v>
      </c>
      <c r="L2862">
        <v>2.9</v>
      </c>
      <c r="M2862" t="s">
        <v>152</v>
      </c>
      <c r="N2862" t="s">
        <v>46</v>
      </c>
      <c r="O2862" t="s">
        <v>47</v>
      </c>
      <c r="P2862" t="s">
        <v>152</v>
      </c>
      <c r="Q2862" t="s">
        <v>152</v>
      </c>
      <c r="R2862">
        <v>49</v>
      </c>
      <c r="S2862" t="s">
        <v>34</v>
      </c>
      <c r="T2862" t="str">
        <f t="shared" si="88"/>
        <v>Daily</v>
      </c>
      <c r="U2862">
        <f>VLOOKUP(T2862,[1]tablescore!$B$3:$C$8, 2,FALSE)</f>
        <v>30</v>
      </c>
      <c r="V2862" t="str">
        <f t="shared" si="89"/>
        <v>Highly Loyal</v>
      </c>
      <c r="W2862" t="s">
        <v>41</v>
      </c>
    </row>
    <row r="2863" spans="1:23" x14ac:dyDescent="0.25">
      <c r="A2863">
        <v>2862</v>
      </c>
      <c r="B2863">
        <v>66</v>
      </c>
      <c r="C2863" t="str" cm="1">
        <f t="array" ref="C2863">_xlfn.IFS(
  AND(B2863&gt;=18, B2863&lt;=24), "18-24",
  AND(B2863&gt;=25, B2863&lt;=34), "25-34",
  AND(B2863&gt;=35, B2863&lt;=44), "35-44",
  AND(B2863&gt;=45, B2863&lt;=54), "45-54",
  B2863&gt;=55, "55+"
)</f>
        <v>55+</v>
      </c>
      <c r="D2863" t="s">
        <v>153</v>
      </c>
      <c r="E2863" t="s">
        <v>64</v>
      </c>
      <c r="F2863" t="s">
        <v>65</v>
      </c>
      <c r="G2863">
        <v>54</v>
      </c>
      <c r="H2863" t="s">
        <v>135</v>
      </c>
      <c r="I2863" t="s">
        <v>45</v>
      </c>
      <c r="J2863" t="s">
        <v>86</v>
      </c>
      <c r="K2863" t="s">
        <v>58</v>
      </c>
      <c r="L2863">
        <v>3.4</v>
      </c>
      <c r="M2863" t="s">
        <v>152</v>
      </c>
      <c r="N2863" t="s">
        <v>59</v>
      </c>
      <c r="O2863" t="s">
        <v>40</v>
      </c>
      <c r="P2863" t="s">
        <v>152</v>
      </c>
      <c r="Q2863" t="s">
        <v>152</v>
      </c>
      <c r="R2863">
        <v>27</v>
      </c>
      <c r="S2863" t="s">
        <v>27</v>
      </c>
      <c r="T2863" t="str">
        <f t="shared" si="88"/>
        <v>Month</v>
      </c>
      <c r="U2863">
        <f>VLOOKUP(T2863,[1]tablescore!$B$3:$C$8, 2,FALSE)</f>
        <v>12</v>
      </c>
      <c r="V2863" t="str">
        <f t="shared" si="89"/>
        <v>Moderate</v>
      </c>
      <c r="W2863" t="s">
        <v>88</v>
      </c>
    </row>
    <row r="2864" spans="1:23" x14ac:dyDescent="0.25">
      <c r="A2864">
        <v>2863</v>
      </c>
      <c r="B2864">
        <v>68</v>
      </c>
      <c r="C2864" t="str" cm="1">
        <f t="array" ref="C2864">_xlfn.IFS(
  AND(B2864&gt;=18, B2864&lt;=24), "18-24",
  AND(B2864&gt;=25, B2864&lt;=34), "25-34",
  AND(B2864&gt;=35, B2864&lt;=44), "35-44",
  AND(B2864&gt;=45, B2864&lt;=54), "45-54",
  B2864&gt;=55, "55+"
)</f>
        <v>55+</v>
      </c>
      <c r="D2864" t="s">
        <v>153</v>
      </c>
      <c r="E2864" t="s">
        <v>64</v>
      </c>
      <c r="F2864" t="s">
        <v>65</v>
      </c>
      <c r="G2864">
        <v>75</v>
      </c>
      <c r="H2864" t="s">
        <v>78</v>
      </c>
      <c r="I2864" t="s">
        <v>38</v>
      </c>
      <c r="J2864" t="s">
        <v>84</v>
      </c>
      <c r="K2864" t="s">
        <v>54</v>
      </c>
      <c r="L2864">
        <v>4.7</v>
      </c>
      <c r="M2864" t="s">
        <v>152</v>
      </c>
      <c r="N2864" t="s">
        <v>34</v>
      </c>
      <c r="O2864" t="s">
        <v>76</v>
      </c>
      <c r="P2864" t="s">
        <v>152</v>
      </c>
      <c r="Q2864" t="s">
        <v>152</v>
      </c>
      <c r="R2864">
        <v>5</v>
      </c>
      <c r="S2864" t="s">
        <v>34</v>
      </c>
      <c r="T2864" t="str">
        <f t="shared" si="88"/>
        <v>Quarterly</v>
      </c>
      <c r="U2864">
        <f>VLOOKUP(T2864,[1]tablescore!$B$3:$C$8, 2,FALSE)</f>
        <v>4</v>
      </c>
      <c r="V2864" t="str">
        <f t="shared" si="89"/>
        <v>Low Loyalty</v>
      </c>
      <c r="W2864" t="s">
        <v>97</v>
      </c>
    </row>
    <row r="2865" spans="1:23" x14ac:dyDescent="0.25">
      <c r="A2865">
        <v>2864</v>
      </c>
      <c r="B2865">
        <v>37</v>
      </c>
      <c r="C2865" t="str" cm="1">
        <f t="array" ref="C2865">_xlfn.IFS(
  AND(B2865&gt;=18, B2865&lt;=24), "18-24",
  AND(B2865&gt;=25, B2865&lt;=34), "25-34",
  AND(B2865&gt;=35, B2865&lt;=44), "35-44",
  AND(B2865&gt;=45, B2865&lt;=54), "45-54",
  B2865&gt;=55, "55+"
)</f>
        <v>35-44</v>
      </c>
      <c r="D2865" t="s">
        <v>153</v>
      </c>
      <c r="E2865" t="s">
        <v>113</v>
      </c>
      <c r="F2865" t="s">
        <v>21</v>
      </c>
      <c r="G2865">
        <v>56</v>
      </c>
      <c r="H2865" t="s">
        <v>146</v>
      </c>
      <c r="I2865" t="s">
        <v>45</v>
      </c>
      <c r="J2865" t="s">
        <v>139</v>
      </c>
      <c r="K2865" t="s">
        <v>58</v>
      </c>
      <c r="L2865">
        <v>3.9</v>
      </c>
      <c r="M2865" t="s">
        <v>152</v>
      </c>
      <c r="N2865" t="s">
        <v>59</v>
      </c>
      <c r="O2865" t="s">
        <v>72</v>
      </c>
      <c r="P2865" t="s">
        <v>152</v>
      </c>
      <c r="Q2865" t="s">
        <v>152</v>
      </c>
      <c r="R2865">
        <v>18</v>
      </c>
      <c r="S2865" t="s">
        <v>29</v>
      </c>
      <c r="T2865" t="str">
        <f t="shared" si="88"/>
        <v>Month</v>
      </c>
      <c r="U2865">
        <f>VLOOKUP(T2865,[1]tablescore!$B$3:$C$8, 2,FALSE)</f>
        <v>12</v>
      </c>
      <c r="V2865" t="str">
        <f t="shared" si="89"/>
        <v>Moderate</v>
      </c>
      <c r="W2865" t="s">
        <v>88</v>
      </c>
    </row>
    <row r="2866" spans="1:23" x14ac:dyDescent="0.25">
      <c r="A2866">
        <v>2865</v>
      </c>
      <c r="B2866">
        <v>58</v>
      </c>
      <c r="C2866" t="str" cm="1">
        <f t="array" ref="C2866">_xlfn.IFS(
  AND(B2866&gt;=18, B2866&lt;=24), "18-24",
  AND(B2866&gt;=25, B2866&lt;=34), "25-34",
  AND(B2866&gt;=35, B2866&lt;=44), "35-44",
  AND(B2866&gt;=45, B2866&lt;=54), "45-54",
  B2866&gt;=55, "55+"
)</f>
        <v>55+</v>
      </c>
      <c r="D2866" t="s">
        <v>153</v>
      </c>
      <c r="E2866" t="s">
        <v>31</v>
      </c>
      <c r="F2866" t="s">
        <v>21</v>
      </c>
      <c r="G2866">
        <v>43</v>
      </c>
      <c r="H2866" t="s">
        <v>115</v>
      </c>
      <c r="I2866" t="s">
        <v>38</v>
      </c>
      <c r="J2866" t="s">
        <v>33</v>
      </c>
      <c r="K2866" t="s">
        <v>58</v>
      </c>
      <c r="L2866">
        <v>3.6</v>
      </c>
      <c r="M2866" t="s">
        <v>152</v>
      </c>
      <c r="N2866" t="s">
        <v>59</v>
      </c>
      <c r="O2866" t="s">
        <v>76</v>
      </c>
      <c r="P2866" t="s">
        <v>152</v>
      </c>
      <c r="Q2866" t="s">
        <v>152</v>
      </c>
      <c r="R2866">
        <v>31</v>
      </c>
      <c r="S2866" t="s">
        <v>29</v>
      </c>
      <c r="T2866" t="str">
        <f t="shared" si="88"/>
        <v>Daily</v>
      </c>
      <c r="U2866">
        <f>VLOOKUP(T2866,[1]tablescore!$B$3:$C$8, 2,FALSE)</f>
        <v>30</v>
      </c>
      <c r="V2866" t="str">
        <f t="shared" si="89"/>
        <v>Highly Loyal</v>
      </c>
      <c r="W2866" t="s">
        <v>41</v>
      </c>
    </row>
    <row r="2867" spans="1:23" x14ac:dyDescent="0.25">
      <c r="A2867">
        <v>2866</v>
      </c>
      <c r="B2867">
        <v>28</v>
      </c>
      <c r="C2867" t="str" cm="1">
        <f t="array" ref="C2867">_xlfn.IFS(
  AND(B2867&gt;=18, B2867&lt;=24), "18-24",
  AND(B2867&gt;=25, B2867&lt;=34), "25-34",
  AND(B2867&gt;=35, B2867&lt;=44), "35-44",
  AND(B2867&gt;=45, B2867&lt;=54), "45-54",
  B2867&gt;=55, "55+"
)</f>
        <v>25-34</v>
      </c>
      <c r="D2867" t="s">
        <v>153</v>
      </c>
      <c r="E2867" t="s">
        <v>87</v>
      </c>
      <c r="F2867" t="s">
        <v>21</v>
      </c>
      <c r="G2867">
        <v>97</v>
      </c>
      <c r="H2867" t="s">
        <v>99</v>
      </c>
      <c r="I2867" t="s">
        <v>45</v>
      </c>
      <c r="J2867" t="s">
        <v>67</v>
      </c>
      <c r="K2867" t="s">
        <v>58</v>
      </c>
      <c r="L2867">
        <v>3.7</v>
      </c>
      <c r="M2867" t="s">
        <v>152</v>
      </c>
      <c r="N2867" t="s">
        <v>35</v>
      </c>
      <c r="O2867" t="s">
        <v>40</v>
      </c>
      <c r="P2867" t="s">
        <v>152</v>
      </c>
      <c r="Q2867" t="s">
        <v>152</v>
      </c>
      <c r="R2867">
        <v>27</v>
      </c>
      <c r="S2867" t="s">
        <v>35</v>
      </c>
      <c r="T2867" t="str">
        <f t="shared" si="88"/>
        <v>2-week</v>
      </c>
      <c r="U2867">
        <f>VLOOKUP(T2867,[1]tablescore!$B$3:$C$8, 2,FALSE)</f>
        <v>26</v>
      </c>
      <c r="V2867" t="str">
        <f t="shared" si="89"/>
        <v>Loyal</v>
      </c>
      <c r="W2867" t="s">
        <v>30</v>
      </c>
    </row>
    <row r="2868" spans="1:23" x14ac:dyDescent="0.25">
      <c r="A2868">
        <v>2867</v>
      </c>
      <c r="B2868">
        <v>54</v>
      </c>
      <c r="C2868" t="str" cm="1">
        <f t="array" ref="C2868">_xlfn.IFS(
  AND(B2868&gt;=18, B2868&lt;=24), "18-24",
  AND(B2868&gt;=25, B2868&lt;=34), "25-34",
  AND(B2868&gt;=35, B2868&lt;=44), "35-44",
  AND(B2868&gt;=45, B2868&lt;=54), "45-54",
  B2868&gt;=55, "55+"
)</f>
        <v>45-54</v>
      </c>
      <c r="D2868" t="s">
        <v>153</v>
      </c>
      <c r="E2868" t="s">
        <v>20</v>
      </c>
      <c r="F2868" t="s">
        <v>21</v>
      </c>
      <c r="G2868">
        <v>75</v>
      </c>
      <c r="H2868" t="s">
        <v>146</v>
      </c>
      <c r="I2868" t="s">
        <v>38</v>
      </c>
      <c r="J2868" t="s">
        <v>84</v>
      </c>
      <c r="K2868" t="s">
        <v>54</v>
      </c>
      <c r="L2868">
        <v>3.1</v>
      </c>
      <c r="M2868" t="s">
        <v>152</v>
      </c>
      <c r="N2868" t="s">
        <v>29</v>
      </c>
      <c r="O2868" t="s">
        <v>40</v>
      </c>
      <c r="P2868" t="s">
        <v>152</v>
      </c>
      <c r="Q2868" t="s">
        <v>152</v>
      </c>
      <c r="R2868">
        <v>19</v>
      </c>
      <c r="S2868" t="s">
        <v>35</v>
      </c>
      <c r="T2868" t="str">
        <f t="shared" si="88"/>
        <v>Annually</v>
      </c>
      <c r="U2868">
        <f>VLOOKUP(T2868,[1]tablescore!$B$3:$C$8, 2,FALSE)</f>
        <v>1</v>
      </c>
      <c r="V2868" t="str">
        <f t="shared" si="89"/>
        <v>Low Loyalty</v>
      </c>
      <c r="W2868" t="s">
        <v>50</v>
      </c>
    </row>
    <row r="2869" spans="1:23" x14ac:dyDescent="0.25">
      <c r="A2869">
        <v>2868</v>
      </c>
      <c r="B2869">
        <v>21</v>
      </c>
      <c r="C2869" t="str" cm="1">
        <f t="array" ref="C2869">_xlfn.IFS(
  AND(B2869&gt;=18, B2869&lt;=24), "18-24",
  AND(B2869&gt;=25, B2869&lt;=34), "25-34",
  AND(B2869&gt;=35, B2869&lt;=44), "35-44",
  AND(B2869&gt;=45, B2869&lt;=54), "45-54",
  B2869&gt;=55, "55+"
)</f>
        <v>18-24</v>
      </c>
      <c r="D2869" t="s">
        <v>153</v>
      </c>
      <c r="E2869" t="s">
        <v>51</v>
      </c>
      <c r="F2869" t="s">
        <v>43</v>
      </c>
      <c r="G2869">
        <v>55</v>
      </c>
      <c r="H2869" t="s">
        <v>112</v>
      </c>
      <c r="I2869" t="s">
        <v>23</v>
      </c>
      <c r="J2869" t="s">
        <v>53</v>
      </c>
      <c r="K2869" t="s">
        <v>54</v>
      </c>
      <c r="L2869">
        <v>4.9000000000000004</v>
      </c>
      <c r="M2869" t="s">
        <v>152</v>
      </c>
      <c r="N2869" t="s">
        <v>29</v>
      </c>
      <c r="O2869" t="s">
        <v>47</v>
      </c>
      <c r="P2869" t="s">
        <v>152</v>
      </c>
      <c r="Q2869" t="s">
        <v>152</v>
      </c>
      <c r="R2869">
        <v>33</v>
      </c>
      <c r="S2869" t="s">
        <v>35</v>
      </c>
      <c r="T2869" t="str">
        <f t="shared" si="88"/>
        <v>2-week</v>
      </c>
      <c r="U2869">
        <f>VLOOKUP(T2869,[1]tablescore!$B$3:$C$8, 2,FALSE)</f>
        <v>26</v>
      </c>
      <c r="V2869" t="str">
        <f t="shared" si="89"/>
        <v>Loyal</v>
      </c>
      <c r="W2869" t="s">
        <v>30</v>
      </c>
    </row>
    <row r="2870" spans="1:23" x14ac:dyDescent="0.25">
      <c r="A2870">
        <v>2869</v>
      </c>
      <c r="B2870">
        <v>45</v>
      </c>
      <c r="C2870" t="str" cm="1">
        <f t="array" ref="C2870">_xlfn.IFS(
  AND(B2870&gt;=18, B2870&lt;=24), "18-24",
  AND(B2870&gt;=25, B2870&lt;=34), "25-34",
  AND(B2870&gt;=35, B2870&lt;=44), "35-44",
  AND(B2870&gt;=45, B2870&lt;=54), "45-54",
  B2870&gt;=55, "55+"
)</f>
        <v>45-54</v>
      </c>
      <c r="D2870" t="s">
        <v>153</v>
      </c>
      <c r="E2870" t="s">
        <v>133</v>
      </c>
      <c r="F2870" t="s">
        <v>69</v>
      </c>
      <c r="G2870">
        <v>49</v>
      </c>
      <c r="H2870" t="s">
        <v>112</v>
      </c>
      <c r="I2870" t="s">
        <v>45</v>
      </c>
      <c r="J2870" t="s">
        <v>94</v>
      </c>
      <c r="K2870" t="s">
        <v>25</v>
      </c>
      <c r="L2870">
        <v>2.6</v>
      </c>
      <c r="M2870" t="s">
        <v>152</v>
      </c>
      <c r="N2870" t="s">
        <v>59</v>
      </c>
      <c r="O2870" t="s">
        <v>47</v>
      </c>
      <c r="P2870" t="s">
        <v>152</v>
      </c>
      <c r="Q2870" t="s">
        <v>152</v>
      </c>
      <c r="R2870">
        <v>42</v>
      </c>
      <c r="S2870" t="s">
        <v>46</v>
      </c>
      <c r="T2870" t="str">
        <f t="shared" si="88"/>
        <v>Quarterly</v>
      </c>
      <c r="U2870">
        <f>VLOOKUP(T2870,[1]tablescore!$B$3:$C$8, 2,FALSE)</f>
        <v>4</v>
      </c>
      <c r="V2870" t="str">
        <f t="shared" si="89"/>
        <v>Low Loyalty</v>
      </c>
      <c r="W2870" t="s">
        <v>97</v>
      </c>
    </row>
    <row r="2871" spans="1:23" x14ac:dyDescent="0.25">
      <c r="A2871">
        <v>2870</v>
      </c>
      <c r="B2871">
        <v>57</v>
      </c>
      <c r="C2871" t="str" cm="1">
        <f t="array" ref="C2871">_xlfn.IFS(
  AND(B2871&gt;=18, B2871&lt;=24), "18-24",
  AND(B2871&gt;=25, B2871&lt;=34), "25-34",
  AND(B2871&gt;=35, B2871&lt;=44), "35-44",
  AND(B2871&gt;=45, B2871&lt;=54), "45-54",
  B2871&gt;=55, "55+"
)</f>
        <v>55+</v>
      </c>
      <c r="D2871" t="s">
        <v>153</v>
      </c>
      <c r="E2871" t="s">
        <v>131</v>
      </c>
      <c r="F2871" t="s">
        <v>21</v>
      </c>
      <c r="G2871">
        <v>58</v>
      </c>
      <c r="H2871" t="s">
        <v>142</v>
      </c>
      <c r="I2871" t="s">
        <v>45</v>
      </c>
      <c r="J2871" t="s">
        <v>53</v>
      </c>
      <c r="K2871" t="s">
        <v>54</v>
      </c>
      <c r="L2871">
        <v>4.2</v>
      </c>
      <c r="M2871" t="s">
        <v>152</v>
      </c>
      <c r="N2871" t="s">
        <v>35</v>
      </c>
      <c r="O2871" t="s">
        <v>55</v>
      </c>
      <c r="P2871" t="s">
        <v>152</v>
      </c>
      <c r="Q2871" t="s">
        <v>152</v>
      </c>
      <c r="R2871">
        <v>16</v>
      </c>
      <c r="S2871" t="s">
        <v>34</v>
      </c>
      <c r="T2871" t="str">
        <f t="shared" si="88"/>
        <v>Daily</v>
      </c>
      <c r="U2871">
        <f>VLOOKUP(T2871,[1]tablescore!$B$3:$C$8, 2,FALSE)</f>
        <v>30</v>
      </c>
      <c r="V2871" t="str">
        <f t="shared" si="89"/>
        <v>Highly Loyal</v>
      </c>
      <c r="W2871" t="s">
        <v>41</v>
      </c>
    </row>
    <row r="2872" spans="1:23" x14ac:dyDescent="0.25">
      <c r="A2872">
        <v>2871</v>
      </c>
      <c r="B2872">
        <v>47</v>
      </c>
      <c r="C2872" t="str" cm="1">
        <f t="array" ref="C2872">_xlfn.IFS(
  AND(B2872&gt;=18, B2872&lt;=24), "18-24",
  AND(B2872&gt;=25, B2872&lt;=34), "25-34",
  AND(B2872&gt;=35, B2872&lt;=44), "35-44",
  AND(B2872&gt;=45, B2872&lt;=54), "45-54",
  B2872&gt;=55, "55+"
)</f>
        <v>45-54</v>
      </c>
      <c r="D2872" t="s">
        <v>153</v>
      </c>
      <c r="E2872" t="s">
        <v>106</v>
      </c>
      <c r="F2872" t="s">
        <v>69</v>
      </c>
      <c r="G2872">
        <v>34</v>
      </c>
      <c r="H2872" t="s">
        <v>114</v>
      </c>
      <c r="I2872" t="s">
        <v>45</v>
      </c>
      <c r="J2872" t="s">
        <v>138</v>
      </c>
      <c r="K2872" t="s">
        <v>25</v>
      </c>
      <c r="L2872">
        <v>4.8</v>
      </c>
      <c r="M2872" t="s">
        <v>152</v>
      </c>
      <c r="N2872" t="s">
        <v>59</v>
      </c>
      <c r="O2872" t="s">
        <v>40</v>
      </c>
      <c r="P2872" t="s">
        <v>152</v>
      </c>
      <c r="Q2872" t="s">
        <v>152</v>
      </c>
      <c r="R2872">
        <v>49</v>
      </c>
      <c r="S2872" t="s">
        <v>59</v>
      </c>
      <c r="T2872" t="str">
        <f t="shared" si="88"/>
        <v>Quarterly</v>
      </c>
      <c r="U2872">
        <f>VLOOKUP(T2872,[1]tablescore!$B$3:$C$8, 2,FALSE)</f>
        <v>4</v>
      </c>
      <c r="V2872" t="str">
        <f t="shared" si="89"/>
        <v>Low Loyalty</v>
      </c>
      <c r="W2872" t="s">
        <v>97</v>
      </c>
    </row>
    <row r="2873" spans="1:23" x14ac:dyDescent="0.25">
      <c r="A2873">
        <v>2872</v>
      </c>
      <c r="B2873">
        <v>46</v>
      </c>
      <c r="C2873" t="str" cm="1">
        <f t="array" ref="C2873">_xlfn.IFS(
  AND(B2873&gt;=18, B2873&lt;=24), "18-24",
  AND(B2873&gt;=25, B2873&lt;=34), "25-34",
  AND(B2873&gt;=35, B2873&lt;=44), "35-44",
  AND(B2873&gt;=45, B2873&lt;=54), "45-54",
  B2873&gt;=55, "55+"
)</f>
        <v>45-54</v>
      </c>
      <c r="D2873" t="s">
        <v>153</v>
      </c>
      <c r="E2873" t="s">
        <v>61</v>
      </c>
      <c r="F2873" t="s">
        <v>21</v>
      </c>
      <c r="G2873">
        <v>43</v>
      </c>
      <c r="H2873" t="s">
        <v>144</v>
      </c>
      <c r="I2873" t="s">
        <v>38</v>
      </c>
      <c r="J2873" t="s">
        <v>94</v>
      </c>
      <c r="K2873" t="s">
        <v>54</v>
      </c>
      <c r="L2873">
        <v>2.7</v>
      </c>
      <c r="M2873" t="s">
        <v>152</v>
      </c>
      <c r="N2873" t="s">
        <v>35</v>
      </c>
      <c r="O2873" t="s">
        <v>72</v>
      </c>
      <c r="P2873" t="s">
        <v>152</v>
      </c>
      <c r="Q2873" t="s">
        <v>152</v>
      </c>
      <c r="R2873">
        <v>40</v>
      </c>
      <c r="S2873" t="s">
        <v>29</v>
      </c>
      <c r="T2873" t="str">
        <f t="shared" si="88"/>
        <v>2-week</v>
      </c>
      <c r="U2873">
        <f>VLOOKUP(T2873,[1]tablescore!$B$3:$C$8, 2,FALSE)</f>
        <v>26</v>
      </c>
      <c r="V2873" t="str">
        <f t="shared" si="89"/>
        <v>Loyal</v>
      </c>
      <c r="W2873" t="s">
        <v>77</v>
      </c>
    </row>
    <row r="2874" spans="1:23" x14ac:dyDescent="0.25">
      <c r="A2874">
        <v>2873</v>
      </c>
      <c r="B2874">
        <v>63</v>
      </c>
      <c r="C2874" t="str" cm="1">
        <f t="array" ref="C2874">_xlfn.IFS(
  AND(B2874&gt;=18, B2874&lt;=24), "18-24",
  AND(B2874&gt;=25, B2874&lt;=34), "25-34",
  AND(B2874&gt;=35, B2874&lt;=44), "35-44",
  AND(B2874&gt;=45, B2874&lt;=54), "45-54",
  B2874&gt;=55, "55+"
)</f>
        <v>55+</v>
      </c>
      <c r="D2874" t="s">
        <v>153</v>
      </c>
      <c r="E2874" t="s">
        <v>106</v>
      </c>
      <c r="F2874" t="s">
        <v>69</v>
      </c>
      <c r="G2874">
        <v>48</v>
      </c>
      <c r="H2874" t="s">
        <v>146</v>
      </c>
      <c r="I2874" t="s">
        <v>23</v>
      </c>
      <c r="J2874" t="s">
        <v>79</v>
      </c>
      <c r="K2874" t="s">
        <v>58</v>
      </c>
      <c r="L2874">
        <v>2.6</v>
      </c>
      <c r="M2874" t="s">
        <v>152</v>
      </c>
      <c r="N2874" t="s">
        <v>29</v>
      </c>
      <c r="O2874" t="s">
        <v>47</v>
      </c>
      <c r="P2874" t="s">
        <v>152</v>
      </c>
      <c r="Q2874" t="s">
        <v>152</v>
      </c>
      <c r="R2874">
        <v>5</v>
      </c>
      <c r="S2874" t="s">
        <v>35</v>
      </c>
      <c r="T2874" t="str">
        <f t="shared" si="88"/>
        <v>Annually</v>
      </c>
      <c r="U2874">
        <f>VLOOKUP(T2874,[1]tablescore!$B$3:$C$8, 2,FALSE)</f>
        <v>1</v>
      </c>
      <c r="V2874" t="str">
        <f t="shared" si="89"/>
        <v>Low Loyalty</v>
      </c>
      <c r="W2874" t="s">
        <v>50</v>
      </c>
    </row>
    <row r="2875" spans="1:23" x14ac:dyDescent="0.25">
      <c r="A2875">
        <v>2874</v>
      </c>
      <c r="B2875">
        <v>44</v>
      </c>
      <c r="C2875" t="str" cm="1">
        <f t="array" ref="C2875">_xlfn.IFS(
  AND(B2875&gt;=18, B2875&lt;=24), "18-24",
  AND(B2875&gt;=25, B2875&lt;=34), "25-34",
  AND(B2875&gt;=35, B2875&lt;=44), "35-44",
  AND(B2875&gt;=45, B2875&lt;=54), "45-54",
  B2875&gt;=55, "55+"
)</f>
        <v>35-44</v>
      </c>
      <c r="D2875" t="s">
        <v>153</v>
      </c>
      <c r="E2875" t="s">
        <v>31</v>
      </c>
      <c r="F2875" t="s">
        <v>21</v>
      </c>
      <c r="G2875">
        <v>40</v>
      </c>
      <c r="H2875" t="s">
        <v>57</v>
      </c>
      <c r="I2875" t="s">
        <v>45</v>
      </c>
      <c r="J2875" t="s">
        <v>86</v>
      </c>
      <c r="K2875" t="s">
        <v>39</v>
      </c>
      <c r="L2875">
        <v>2.6</v>
      </c>
      <c r="M2875" t="s">
        <v>152</v>
      </c>
      <c r="N2875" t="s">
        <v>46</v>
      </c>
      <c r="O2875" t="s">
        <v>40</v>
      </c>
      <c r="P2875" t="s">
        <v>152</v>
      </c>
      <c r="Q2875" t="s">
        <v>152</v>
      </c>
      <c r="R2875">
        <v>8</v>
      </c>
      <c r="S2875" t="s">
        <v>34</v>
      </c>
      <c r="T2875" t="str">
        <f t="shared" si="88"/>
        <v>Month</v>
      </c>
      <c r="U2875">
        <f>VLOOKUP(T2875,[1]tablescore!$B$3:$C$8, 2,FALSE)</f>
        <v>12</v>
      </c>
      <c r="V2875" t="str">
        <f t="shared" si="89"/>
        <v>Moderate</v>
      </c>
      <c r="W2875" t="s">
        <v>88</v>
      </c>
    </row>
    <row r="2876" spans="1:23" x14ac:dyDescent="0.25">
      <c r="A2876">
        <v>2875</v>
      </c>
      <c r="B2876">
        <v>36</v>
      </c>
      <c r="C2876" t="str" cm="1">
        <f t="array" ref="C2876">_xlfn.IFS(
  AND(B2876&gt;=18, B2876&lt;=24), "18-24",
  AND(B2876&gt;=25, B2876&lt;=34), "25-34",
  AND(B2876&gt;=35, B2876&lt;=44), "35-44",
  AND(B2876&gt;=45, B2876&lt;=54), "45-54",
  B2876&gt;=55, "55+"
)</f>
        <v>35-44</v>
      </c>
      <c r="D2876" t="s">
        <v>153</v>
      </c>
      <c r="E2876" t="s">
        <v>56</v>
      </c>
      <c r="F2876" t="s">
        <v>21</v>
      </c>
      <c r="G2876">
        <v>29</v>
      </c>
      <c r="H2876" t="s">
        <v>112</v>
      </c>
      <c r="I2876" t="s">
        <v>23</v>
      </c>
      <c r="J2876" t="s">
        <v>67</v>
      </c>
      <c r="K2876" t="s">
        <v>54</v>
      </c>
      <c r="L2876">
        <v>3.1</v>
      </c>
      <c r="M2876" t="s">
        <v>152</v>
      </c>
      <c r="N2876" t="s">
        <v>59</v>
      </c>
      <c r="O2876" t="s">
        <v>55</v>
      </c>
      <c r="P2876" t="s">
        <v>152</v>
      </c>
      <c r="Q2876" t="s">
        <v>152</v>
      </c>
      <c r="R2876">
        <v>2</v>
      </c>
      <c r="S2876" t="s">
        <v>59</v>
      </c>
      <c r="T2876" t="str">
        <f t="shared" si="88"/>
        <v>Annually</v>
      </c>
      <c r="U2876">
        <f>VLOOKUP(T2876,[1]tablescore!$B$3:$C$8, 2,FALSE)</f>
        <v>1</v>
      </c>
      <c r="V2876" t="str">
        <f t="shared" si="89"/>
        <v>Low Loyalty</v>
      </c>
      <c r="W2876" t="s">
        <v>50</v>
      </c>
    </row>
    <row r="2877" spans="1:23" x14ac:dyDescent="0.25">
      <c r="A2877">
        <v>2876</v>
      </c>
      <c r="B2877">
        <v>24</v>
      </c>
      <c r="C2877" t="str" cm="1">
        <f t="array" ref="C2877">_xlfn.IFS(
  AND(B2877&gt;=18, B2877&lt;=24), "18-24",
  AND(B2877&gt;=25, B2877&lt;=34), "25-34",
  AND(B2877&gt;=35, B2877&lt;=44), "35-44",
  AND(B2877&gt;=45, B2877&lt;=54), "45-54",
  B2877&gt;=55, "55+"
)</f>
        <v>18-24</v>
      </c>
      <c r="D2877" t="s">
        <v>153</v>
      </c>
      <c r="E2877" t="s">
        <v>95</v>
      </c>
      <c r="F2877" t="s">
        <v>21</v>
      </c>
      <c r="G2877">
        <v>81</v>
      </c>
      <c r="H2877" t="s">
        <v>22</v>
      </c>
      <c r="I2877" t="s">
        <v>45</v>
      </c>
      <c r="J2877" t="s">
        <v>71</v>
      </c>
      <c r="K2877" t="s">
        <v>58</v>
      </c>
      <c r="L2877">
        <v>2.6</v>
      </c>
      <c r="M2877" t="s">
        <v>152</v>
      </c>
      <c r="N2877" t="s">
        <v>27</v>
      </c>
      <c r="O2877" t="s">
        <v>40</v>
      </c>
      <c r="P2877" t="s">
        <v>152</v>
      </c>
      <c r="Q2877" t="s">
        <v>152</v>
      </c>
      <c r="R2877">
        <v>14</v>
      </c>
      <c r="S2877" t="s">
        <v>59</v>
      </c>
      <c r="T2877" t="str">
        <f t="shared" si="88"/>
        <v>Daily</v>
      </c>
      <c r="U2877">
        <f>VLOOKUP(T2877,[1]tablescore!$B$3:$C$8, 2,FALSE)</f>
        <v>30</v>
      </c>
      <c r="V2877" t="str">
        <f t="shared" si="89"/>
        <v>Highly Loyal</v>
      </c>
      <c r="W2877" t="s">
        <v>41</v>
      </c>
    </row>
    <row r="2878" spans="1:23" x14ac:dyDescent="0.25">
      <c r="A2878">
        <v>2877</v>
      </c>
      <c r="B2878">
        <v>65</v>
      </c>
      <c r="C2878" t="str" cm="1">
        <f t="array" ref="C2878">_xlfn.IFS(
  AND(B2878&gt;=18, B2878&lt;=24), "18-24",
  AND(B2878&gt;=25, B2878&lt;=34), "25-34",
  AND(B2878&gt;=35, B2878&lt;=44), "35-44",
  AND(B2878&gt;=45, B2878&lt;=54), "45-54",
  B2878&gt;=55, "55+"
)</f>
        <v>55+</v>
      </c>
      <c r="D2878" t="s">
        <v>153</v>
      </c>
      <c r="E2878" t="s">
        <v>104</v>
      </c>
      <c r="F2878" t="s">
        <v>21</v>
      </c>
      <c r="G2878">
        <v>84</v>
      </c>
      <c r="H2878" t="s">
        <v>123</v>
      </c>
      <c r="I2878" t="s">
        <v>45</v>
      </c>
      <c r="J2878" t="s">
        <v>63</v>
      </c>
      <c r="K2878" t="s">
        <v>39</v>
      </c>
      <c r="L2878">
        <v>3.4</v>
      </c>
      <c r="M2878" t="s">
        <v>152</v>
      </c>
      <c r="N2878" t="s">
        <v>27</v>
      </c>
      <c r="O2878" t="s">
        <v>72</v>
      </c>
      <c r="P2878" t="s">
        <v>152</v>
      </c>
      <c r="Q2878" t="s">
        <v>152</v>
      </c>
      <c r="R2878">
        <v>5</v>
      </c>
      <c r="S2878" t="s">
        <v>34</v>
      </c>
      <c r="T2878" t="str">
        <f t="shared" si="88"/>
        <v>2-week</v>
      </c>
      <c r="U2878">
        <f>VLOOKUP(T2878,[1]tablescore!$B$3:$C$8, 2,FALSE)</f>
        <v>26</v>
      </c>
      <c r="V2878" t="str">
        <f t="shared" si="89"/>
        <v>Loyal</v>
      </c>
      <c r="W2878" t="s">
        <v>30</v>
      </c>
    </row>
    <row r="2879" spans="1:23" x14ac:dyDescent="0.25">
      <c r="A2879">
        <v>2878</v>
      </c>
      <c r="B2879">
        <v>32</v>
      </c>
      <c r="C2879" t="str" cm="1">
        <f t="array" ref="C2879">_xlfn.IFS(
  AND(B2879&gt;=18, B2879&lt;=24), "18-24",
  AND(B2879&gt;=25, B2879&lt;=34), "25-34",
  AND(B2879&gt;=35, B2879&lt;=44), "35-44",
  AND(B2879&gt;=45, B2879&lt;=54), "45-54",
  B2879&gt;=55, "55+"
)</f>
        <v>25-34</v>
      </c>
      <c r="D2879" t="s">
        <v>153</v>
      </c>
      <c r="E2879" t="s">
        <v>131</v>
      </c>
      <c r="F2879" t="s">
        <v>21</v>
      </c>
      <c r="G2879">
        <v>46</v>
      </c>
      <c r="H2879" t="s">
        <v>137</v>
      </c>
      <c r="I2879" t="s">
        <v>45</v>
      </c>
      <c r="J2879" t="s">
        <v>67</v>
      </c>
      <c r="K2879" t="s">
        <v>54</v>
      </c>
      <c r="L2879">
        <v>3.6</v>
      </c>
      <c r="M2879" t="s">
        <v>152</v>
      </c>
      <c r="N2879" t="s">
        <v>46</v>
      </c>
      <c r="O2879" t="s">
        <v>55</v>
      </c>
      <c r="P2879" t="s">
        <v>152</v>
      </c>
      <c r="Q2879" t="s">
        <v>152</v>
      </c>
      <c r="R2879">
        <v>34</v>
      </c>
      <c r="S2879" t="s">
        <v>29</v>
      </c>
      <c r="T2879" t="str">
        <f t="shared" si="88"/>
        <v>Month</v>
      </c>
      <c r="U2879">
        <f>VLOOKUP(T2879,[1]tablescore!$B$3:$C$8, 2,FALSE)</f>
        <v>12</v>
      </c>
      <c r="V2879" t="str">
        <f t="shared" si="89"/>
        <v>Moderate</v>
      </c>
      <c r="W2879" t="s">
        <v>88</v>
      </c>
    </row>
    <row r="2880" spans="1:23" x14ac:dyDescent="0.25">
      <c r="A2880">
        <v>2879</v>
      </c>
      <c r="B2880">
        <v>63</v>
      </c>
      <c r="C2880" t="str" cm="1">
        <f t="array" ref="C2880">_xlfn.IFS(
  AND(B2880&gt;=18, B2880&lt;=24), "18-24",
  AND(B2880&gt;=25, B2880&lt;=34), "25-34",
  AND(B2880&gt;=35, B2880&lt;=44), "35-44",
  AND(B2880&gt;=45, B2880&lt;=54), "45-54",
  B2880&gt;=55, "55+"
)</f>
        <v>55+</v>
      </c>
      <c r="D2880" t="s">
        <v>153</v>
      </c>
      <c r="E2880" t="s">
        <v>82</v>
      </c>
      <c r="F2880" t="s">
        <v>21</v>
      </c>
      <c r="G2880">
        <v>86</v>
      </c>
      <c r="H2880" t="s">
        <v>99</v>
      </c>
      <c r="I2880" t="s">
        <v>23</v>
      </c>
      <c r="J2880" t="s">
        <v>49</v>
      </c>
      <c r="K2880" t="s">
        <v>54</v>
      </c>
      <c r="L2880">
        <v>4.3</v>
      </c>
      <c r="M2880" t="s">
        <v>152</v>
      </c>
      <c r="N2880" t="s">
        <v>29</v>
      </c>
      <c r="O2880" t="s">
        <v>47</v>
      </c>
      <c r="P2880" t="s">
        <v>152</v>
      </c>
      <c r="Q2880" t="s">
        <v>152</v>
      </c>
      <c r="R2880">
        <v>13</v>
      </c>
      <c r="S2880" t="s">
        <v>34</v>
      </c>
      <c r="T2880" t="str">
        <f t="shared" si="88"/>
        <v>Annually</v>
      </c>
      <c r="U2880">
        <f>VLOOKUP(T2880,[1]tablescore!$B$3:$C$8, 2,FALSE)</f>
        <v>1</v>
      </c>
      <c r="V2880" t="str">
        <f t="shared" si="89"/>
        <v>Low Loyalty</v>
      </c>
      <c r="W2880" t="s">
        <v>50</v>
      </c>
    </row>
    <row r="2881" spans="1:23" x14ac:dyDescent="0.25">
      <c r="A2881">
        <v>2880</v>
      </c>
      <c r="B2881">
        <v>62</v>
      </c>
      <c r="C2881" t="str" cm="1">
        <f t="array" ref="C2881">_xlfn.IFS(
  AND(B2881&gt;=18, B2881&lt;=24), "18-24",
  AND(B2881&gt;=25, B2881&lt;=34), "25-34",
  AND(B2881&gt;=35, B2881&lt;=44), "35-44",
  AND(B2881&gt;=45, B2881&lt;=54), "45-54",
  B2881&gt;=55, "55+"
)</f>
        <v>55+</v>
      </c>
      <c r="D2881" t="s">
        <v>153</v>
      </c>
      <c r="E2881" t="s">
        <v>20</v>
      </c>
      <c r="F2881" t="s">
        <v>21</v>
      </c>
      <c r="G2881">
        <v>57</v>
      </c>
      <c r="H2881" t="s">
        <v>114</v>
      </c>
      <c r="I2881" t="s">
        <v>92</v>
      </c>
      <c r="J2881" t="s">
        <v>49</v>
      </c>
      <c r="K2881" t="s">
        <v>25</v>
      </c>
      <c r="L2881">
        <v>4.9000000000000004</v>
      </c>
      <c r="M2881" t="s">
        <v>152</v>
      </c>
      <c r="N2881" t="s">
        <v>27</v>
      </c>
      <c r="O2881" t="s">
        <v>40</v>
      </c>
      <c r="P2881" t="s">
        <v>152</v>
      </c>
      <c r="Q2881" t="s">
        <v>152</v>
      </c>
      <c r="R2881">
        <v>31</v>
      </c>
      <c r="S2881" t="s">
        <v>29</v>
      </c>
      <c r="T2881" t="str">
        <f t="shared" si="88"/>
        <v>Annually</v>
      </c>
      <c r="U2881">
        <f>VLOOKUP(T2881,[1]tablescore!$B$3:$C$8, 2,FALSE)</f>
        <v>1</v>
      </c>
      <c r="V2881" t="str">
        <f t="shared" si="89"/>
        <v>Low Loyalty</v>
      </c>
      <c r="W2881" t="s">
        <v>50</v>
      </c>
    </row>
    <row r="2882" spans="1:23" x14ac:dyDescent="0.25">
      <c r="A2882">
        <v>2881</v>
      </c>
      <c r="B2882">
        <v>19</v>
      </c>
      <c r="C2882" t="str" cm="1">
        <f t="array" ref="C2882">_xlfn.IFS(
  AND(B2882&gt;=18, B2882&lt;=24), "18-24",
  AND(B2882&gt;=25, B2882&lt;=34), "25-34",
  AND(B2882&gt;=35, B2882&lt;=44), "35-44",
  AND(B2882&gt;=45, B2882&lt;=54), "45-54",
  B2882&gt;=55, "55+"
)</f>
        <v>18-24</v>
      </c>
      <c r="D2882" t="s">
        <v>153</v>
      </c>
      <c r="E2882" t="s">
        <v>87</v>
      </c>
      <c r="F2882" t="s">
        <v>21</v>
      </c>
      <c r="G2882">
        <v>61</v>
      </c>
      <c r="H2882" t="s">
        <v>103</v>
      </c>
      <c r="I2882" t="s">
        <v>23</v>
      </c>
      <c r="J2882" t="s">
        <v>118</v>
      </c>
      <c r="K2882" t="s">
        <v>25</v>
      </c>
      <c r="L2882">
        <v>4.8</v>
      </c>
      <c r="M2882" t="s">
        <v>152</v>
      </c>
      <c r="N2882" t="s">
        <v>59</v>
      </c>
      <c r="O2882" t="s">
        <v>76</v>
      </c>
      <c r="P2882" t="s">
        <v>152</v>
      </c>
      <c r="Q2882" t="s">
        <v>152</v>
      </c>
      <c r="R2882">
        <v>43</v>
      </c>
      <c r="S2882" t="s">
        <v>46</v>
      </c>
      <c r="T2882" t="str">
        <f t="shared" si="88"/>
        <v>Quarterly</v>
      </c>
      <c r="U2882">
        <f>VLOOKUP(T2882,[1]tablescore!$B$3:$C$8, 2,FALSE)</f>
        <v>4</v>
      </c>
      <c r="V2882" t="str">
        <f t="shared" si="89"/>
        <v>Low Loyalty</v>
      </c>
      <c r="W2882" t="s">
        <v>60</v>
      </c>
    </row>
    <row r="2883" spans="1:23" x14ac:dyDescent="0.25">
      <c r="A2883">
        <v>2882</v>
      </c>
      <c r="B2883">
        <v>38</v>
      </c>
      <c r="C2883" t="str" cm="1">
        <f t="array" ref="C2883">_xlfn.IFS(
  AND(B2883&gt;=18, B2883&lt;=24), "18-24",
  AND(B2883&gt;=25, B2883&lt;=34), "25-34",
  AND(B2883&gt;=35, B2883&lt;=44), "35-44",
  AND(B2883&gt;=45, B2883&lt;=54), "45-54",
  B2883&gt;=55, "55+"
)</f>
        <v>35-44</v>
      </c>
      <c r="D2883" t="s">
        <v>153</v>
      </c>
      <c r="E2883" t="s">
        <v>133</v>
      </c>
      <c r="F2883" t="s">
        <v>69</v>
      </c>
      <c r="G2883">
        <v>90</v>
      </c>
      <c r="H2883" t="s">
        <v>105</v>
      </c>
      <c r="I2883" t="s">
        <v>45</v>
      </c>
      <c r="J2883" t="s">
        <v>109</v>
      </c>
      <c r="K2883" t="s">
        <v>25</v>
      </c>
      <c r="L2883">
        <v>4.2</v>
      </c>
      <c r="M2883" t="s">
        <v>152</v>
      </c>
      <c r="N2883" t="s">
        <v>27</v>
      </c>
      <c r="O2883" t="s">
        <v>40</v>
      </c>
      <c r="P2883" t="s">
        <v>152</v>
      </c>
      <c r="Q2883" t="s">
        <v>152</v>
      </c>
      <c r="R2883">
        <v>6</v>
      </c>
      <c r="S2883" t="s">
        <v>34</v>
      </c>
      <c r="T2883" t="str">
        <f t="shared" ref="T2883:T2946" si="90">IF(TRIM(W2883)="Every 3 months","Quarterly",IF(TRIM(W2883)="Fortnightly","2-week",IF(TRIM(W2883)="Bi-Weekly","2-week",IF(TRIM(W2883)="Weekly","Daily",IF(TRIM(W2883)="Monthly","Month",TRIM(W2883))))))</f>
        <v>Annually</v>
      </c>
      <c r="U2883">
        <f>VLOOKUP(T2883,[1]tablescore!$B$3:$C$8, 2,FALSE)</f>
        <v>1</v>
      </c>
      <c r="V2883" t="str">
        <f t="shared" ref="V2883:V2946" si="91">_xlfn.IFS(U2883&gt;=30, "Highly Loyal", U2883&gt;=26, "Loyal", U2883&gt;=12, "Moderate", U2883&lt;5, "Low Loyalty")</f>
        <v>Low Loyalty</v>
      </c>
      <c r="W2883" t="s">
        <v>50</v>
      </c>
    </row>
    <row r="2884" spans="1:23" x14ac:dyDescent="0.25">
      <c r="A2884">
        <v>2883</v>
      </c>
      <c r="B2884">
        <v>59</v>
      </c>
      <c r="C2884" t="str" cm="1">
        <f t="array" ref="C2884">_xlfn.IFS(
  AND(B2884&gt;=18, B2884&lt;=24), "18-24",
  AND(B2884&gt;=25, B2884&lt;=34), "25-34",
  AND(B2884&gt;=35, B2884&lt;=44), "35-44",
  AND(B2884&gt;=45, B2884&lt;=54), "45-54",
  B2884&gt;=55, "55+"
)</f>
        <v>55+</v>
      </c>
      <c r="D2884" t="s">
        <v>153</v>
      </c>
      <c r="E2884" t="s">
        <v>20</v>
      </c>
      <c r="F2884" t="s">
        <v>21</v>
      </c>
      <c r="G2884">
        <v>51</v>
      </c>
      <c r="H2884" t="s">
        <v>101</v>
      </c>
      <c r="I2884" t="s">
        <v>23</v>
      </c>
      <c r="J2884" t="s">
        <v>81</v>
      </c>
      <c r="K2884" t="s">
        <v>25</v>
      </c>
      <c r="L2884">
        <v>2.6</v>
      </c>
      <c r="M2884" t="s">
        <v>152</v>
      </c>
      <c r="N2884" t="s">
        <v>27</v>
      </c>
      <c r="O2884" t="s">
        <v>76</v>
      </c>
      <c r="P2884" t="s">
        <v>152</v>
      </c>
      <c r="Q2884" t="s">
        <v>152</v>
      </c>
      <c r="R2884">
        <v>23</v>
      </c>
      <c r="S2884" t="s">
        <v>27</v>
      </c>
      <c r="T2884" t="str">
        <f t="shared" si="90"/>
        <v>2-week</v>
      </c>
      <c r="U2884">
        <f>VLOOKUP(T2884,[1]tablescore!$B$3:$C$8, 2,FALSE)</f>
        <v>26</v>
      </c>
      <c r="V2884" t="str">
        <f t="shared" si="91"/>
        <v>Loyal</v>
      </c>
      <c r="W2884" t="s">
        <v>77</v>
      </c>
    </row>
    <row r="2885" spans="1:23" x14ac:dyDescent="0.25">
      <c r="A2885">
        <v>2884</v>
      </c>
      <c r="B2885">
        <v>22</v>
      </c>
      <c r="C2885" t="str" cm="1">
        <f t="array" ref="C2885">_xlfn.IFS(
  AND(B2885&gt;=18, B2885&lt;=24), "18-24",
  AND(B2885&gt;=25, B2885&lt;=34), "25-34",
  AND(B2885&gt;=35, B2885&lt;=44), "35-44",
  AND(B2885&gt;=45, B2885&lt;=54), "45-54",
  B2885&gt;=55, "55+"
)</f>
        <v>18-24</v>
      </c>
      <c r="D2885" t="s">
        <v>153</v>
      </c>
      <c r="E2885" t="s">
        <v>131</v>
      </c>
      <c r="F2885" t="s">
        <v>21</v>
      </c>
      <c r="G2885">
        <v>48</v>
      </c>
      <c r="H2885" t="s">
        <v>44</v>
      </c>
      <c r="I2885" t="s">
        <v>92</v>
      </c>
      <c r="J2885" t="s">
        <v>67</v>
      </c>
      <c r="K2885" t="s">
        <v>39</v>
      </c>
      <c r="L2885">
        <v>3.2</v>
      </c>
      <c r="M2885" t="s">
        <v>152</v>
      </c>
      <c r="N2885" t="s">
        <v>59</v>
      </c>
      <c r="O2885" t="s">
        <v>55</v>
      </c>
      <c r="P2885" t="s">
        <v>152</v>
      </c>
      <c r="Q2885" t="s">
        <v>152</v>
      </c>
      <c r="R2885">
        <v>10</v>
      </c>
      <c r="S2885" t="s">
        <v>46</v>
      </c>
      <c r="T2885" t="str">
        <f t="shared" si="90"/>
        <v>Daily</v>
      </c>
      <c r="U2885">
        <f>VLOOKUP(T2885,[1]tablescore!$B$3:$C$8, 2,FALSE)</f>
        <v>30</v>
      </c>
      <c r="V2885" t="str">
        <f t="shared" si="91"/>
        <v>Highly Loyal</v>
      </c>
      <c r="W2885" t="s">
        <v>41</v>
      </c>
    </row>
    <row r="2886" spans="1:23" x14ac:dyDescent="0.25">
      <c r="A2886">
        <v>2885</v>
      </c>
      <c r="B2886">
        <v>55</v>
      </c>
      <c r="C2886" t="str" cm="1">
        <f t="array" ref="C2886">_xlfn.IFS(
  AND(B2886&gt;=18, B2886&lt;=24), "18-24",
  AND(B2886&gt;=25, B2886&lt;=34), "25-34",
  AND(B2886&gt;=35, B2886&lt;=44), "35-44",
  AND(B2886&gt;=45, B2886&lt;=54), "45-54",
  B2886&gt;=55, "55+"
)</f>
        <v>55+</v>
      </c>
      <c r="D2886" t="s">
        <v>153</v>
      </c>
      <c r="E2886" t="s">
        <v>132</v>
      </c>
      <c r="F2886" t="s">
        <v>43</v>
      </c>
      <c r="G2886">
        <v>50</v>
      </c>
      <c r="H2886" t="s">
        <v>74</v>
      </c>
      <c r="I2886" t="s">
        <v>45</v>
      </c>
      <c r="J2886" t="s">
        <v>75</v>
      </c>
      <c r="K2886" t="s">
        <v>54</v>
      </c>
      <c r="L2886">
        <v>3.4</v>
      </c>
      <c r="M2886" t="s">
        <v>152</v>
      </c>
      <c r="N2886" t="s">
        <v>34</v>
      </c>
      <c r="O2886" t="s">
        <v>72</v>
      </c>
      <c r="P2886" t="s">
        <v>152</v>
      </c>
      <c r="Q2886" t="s">
        <v>152</v>
      </c>
      <c r="R2886">
        <v>47</v>
      </c>
      <c r="S2886" t="s">
        <v>27</v>
      </c>
      <c r="T2886" t="str">
        <f t="shared" si="90"/>
        <v>Quarterly</v>
      </c>
      <c r="U2886">
        <f>VLOOKUP(T2886,[1]tablescore!$B$3:$C$8, 2,FALSE)</f>
        <v>4</v>
      </c>
      <c r="V2886" t="str">
        <f t="shared" si="91"/>
        <v>Low Loyalty</v>
      </c>
      <c r="W2886" t="s">
        <v>97</v>
      </c>
    </row>
    <row r="2887" spans="1:23" x14ac:dyDescent="0.25">
      <c r="A2887">
        <v>2886</v>
      </c>
      <c r="B2887">
        <v>29</v>
      </c>
      <c r="C2887" t="str" cm="1">
        <f t="array" ref="C2887">_xlfn.IFS(
  AND(B2887&gt;=18, B2887&lt;=24), "18-24",
  AND(B2887&gt;=25, B2887&lt;=34), "25-34",
  AND(B2887&gt;=35, B2887&lt;=44), "35-44",
  AND(B2887&gt;=45, B2887&lt;=54), "45-54",
  B2887&gt;=55, "55+"
)</f>
        <v>25-34</v>
      </c>
      <c r="D2887" t="s">
        <v>153</v>
      </c>
      <c r="E2887" t="s">
        <v>133</v>
      </c>
      <c r="F2887" t="s">
        <v>69</v>
      </c>
      <c r="G2887">
        <v>82</v>
      </c>
      <c r="H2887" t="s">
        <v>107</v>
      </c>
      <c r="I2887" t="s">
        <v>45</v>
      </c>
      <c r="J2887" t="s">
        <v>139</v>
      </c>
      <c r="K2887" t="s">
        <v>54</v>
      </c>
      <c r="L2887">
        <v>3.5</v>
      </c>
      <c r="M2887" t="s">
        <v>152</v>
      </c>
      <c r="N2887" t="s">
        <v>34</v>
      </c>
      <c r="O2887" t="s">
        <v>47</v>
      </c>
      <c r="P2887" t="s">
        <v>152</v>
      </c>
      <c r="Q2887" t="s">
        <v>152</v>
      </c>
      <c r="R2887">
        <v>14</v>
      </c>
      <c r="S2887" t="s">
        <v>27</v>
      </c>
      <c r="T2887" t="str">
        <f t="shared" si="90"/>
        <v>2-week</v>
      </c>
      <c r="U2887">
        <f>VLOOKUP(T2887,[1]tablescore!$B$3:$C$8, 2,FALSE)</f>
        <v>26</v>
      </c>
      <c r="V2887" t="str">
        <f t="shared" si="91"/>
        <v>Loyal</v>
      </c>
      <c r="W2887" t="s">
        <v>77</v>
      </c>
    </row>
    <row r="2888" spans="1:23" x14ac:dyDescent="0.25">
      <c r="A2888">
        <v>2887</v>
      </c>
      <c r="B2888">
        <v>42</v>
      </c>
      <c r="C2888" t="str" cm="1">
        <f t="array" ref="C2888">_xlfn.IFS(
  AND(B2888&gt;=18, B2888&lt;=24), "18-24",
  AND(B2888&gt;=25, B2888&lt;=34), "25-34",
  AND(B2888&gt;=35, B2888&lt;=44), "35-44",
  AND(B2888&gt;=45, B2888&lt;=54), "45-54",
  B2888&gt;=55, "55+"
)</f>
        <v>35-44</v>
      </c>
      <c r="D2888" t="s">
        <v>153</v>
      </c>
      <c r="E2888" t="s">
        <v>125</v>
      </c>
      <c r="F2888" t="s">
        <v>69</v>
      </c>
      <c r="G2888">
        <v>33</v>
      </c>
      <c r="H2888" t="s">
        <v>149</v>
      </c>
      <c r="I2888" t="s">
        <v>23</v>
      </c>
      <c r="J2888" t="s">
        <v>138</v>
      </c>
      <c r="K2888" t="s">
        <v>39</v>
      </c>
      <c r="L2888">
        <v>4.2</v>
      </c>
      <c r="M2888" t="s">
        <v>152</v>
      </c>
      <c r="N2888" t="s">
        <v>27</v>
      </c>
      <c r="O2888" t="s">
        <v>40</v>
      </c>
      <c r="P2888" t="s">
        <v>152</v>
      </c>
      <c r="Q2888" t="s">
        <v>152</v>
      </c>
      <c r="R2888">
        <v>29</v>
      </c>
      <c r="S2888" t="s">
        <v>46</v>
      </c>
      <c r="T2888" t="str">
        <f t="shared" si="90"/>
        <v>Daily</v>
      </c>
      <c r="U2888">
        <f>VLOOKUP(T2888,[1]tablescore!$B$3:$C$8, 2,FALSE)</f>
        <v>30</v>
      </c>
      <c r="V2888" t="str">
        <f t="shared" si="91"/>
        <v>Highly Loyal</v>
      </c>
      <c r="W2888" t="s">
        <v>41</v>
      </c>
    </row>
    <row r="2889" spans="1:23" x14ac:dyDescent="0.25">
      <c r="A2889">
        <v>2888</v>
      </c>
      <c r="B2889">
        <v>23</v>
      </c>
      <c r="C2889" t="str" cm="1">
        <f t="array" ref="C2889">_xlfn.IFS(
  AND(B2889&gt;=18, B2889&lt;=24), "18-24",
  AND(B2889&gt;=25, B2889&lt;=34), "25-34",
  AND(B2889&gt;=35, B2889&lt;=44), "35-44",
  AND(B2889&gt;=45, B2889&lt;=54), "45-54",
  B2889&gt;=55, "55+"
)</f>
        <v>18-24</v>
      </c>
      <c r="D2889" t="s">
        <v>153</v>
      </c>
      <c r="E2889" t="s">
        <v>42</v>
      </c>
      <c r="F2889" t="s">
        <v>43</v>
      </c>
      <c r="G2889">
        <v>28</v>
      </c>
      <c r="H2889" t="s">
        <v>22</v>
      </c>
      <c r="I2889" t="s">
        <v>23</v>
      </c>
      <c r="J2889" t="s">
        <v>138</v>
      </c>
      <c r="K2889" t="s">
        <v>25</v>
      </c>
      <c r="L2889">
        <v>2.8</v>
      </c>
      <c r="M2889" t="s">
        <v>152</v>
      </c>
      <c r="N2889" t="s">
        <v>59</v>
      </c>
      <c r="O2889" t="s">
        <v>28</v>
      </c>
      <c r="P2889" t="s">
        <v>152</v>
      </c>
      <c r="Q2889" t="s">
        <v>152</v>
      </c>
      <c r="R2889">
        <v>12</v>
      </c>
      <c r="S2889" t="s">
        <v>35</v>
      </c>
      <c r="T2889" t="str">
        <f t="shared" si="90"/>
        <v>2-week</v>
      </c>
      <c r="U2889">
        <f>VLOOKUP(T2889,[1]tablescore!$B$3:$C$8, 2,FALSE)</f>
        <v>26</v>
      </c>
      <c r="V2889" t="str">
        <f t="shared" si="91"/>
        <v>Loyal</v>
      </c>
      <c r="W2889" t="s">
        <v>77</v>
      </c>
    </row>
    <row r="2890" spans="1:23" x14ac:dyDescent="0.25">
      <c r="A2890">
        <v>2889</v>
      </c>
      <c r="B2890">
        <v>70</v>
      </c>
      <c r="C2890" t="str" cm="1">
        <f t="array" ref="C2890">_xlfn.IFS(
  AND(B2890&gt;=18, B2890&lt;=24), "18-24",
  AND(B2890&gt;=25, B2890&lt;=34), "25-34",
  AND(B2890&gt;=35, B2890&lt;=44), "35-44",
  AND(B2890&gt;=45, B2890&lt;=54), "45-54",
  B2890&gt;=55, "55+"
)</f>
        <v>55+</v>
      </c>
      <c r="D2890" t="s">
        <v>153</v>
      </c>
      <c r="E2890" t="s">
        <v>104</v>
      </c>
      <c r="F2890" t="s">
        <v>21</v>
      </c>
      <c r="G2890">
        <v>42</v>
      </c>
      <c r="H2890" t="s">
        <v>148</v>
      </c>
      <c r="I2890" t="s">
        <v>23</v>
      </c>
      <c r="J2890" t="s">
        <v>96</v>
      </c>
      <c r="K2890" t="s">
        <v>39</v>
      </c>
      <c r="L2890">
        <v>5</v>
      </c>
      <c r="M2890" t="s">
        <v>152</v>
      </c>
      <c r="N2890" t="s">
        <v>29</v>
      </c>
      <c r="O2890" t="s">
        <v>72</v>
      </c>
      <c r="P2890" t="s">
        <v>152</v>
      </c>
      <c r="Q2890" t="s">
        <v>152</v>
      </c>
      <c r="R2890">
        <v>25</v>
      </c>
      <c r="S2890" t="s">
        <v>59</v>
      </c>
      <c r="T2890" t="str">
        <f t="shared" si="90"/>
        <v>Quarterly</v>
      </c>
      <c r="U2890">
        <f>VLOOKUP(T2890,[1]tablescore!$B$3:$C$8, 2,FALSE)</f>
        <v>4</v>
      </c>
      <c r="V2890" t="str">
        <f t="shared" si="91"/>
        <v>Low Loyalty</v>
      </c>
      <c r="W2890" t="s">
        <v>60</v>
      </c>
    </row>
    <row r="2891" spans="1:23" x14ac:dyDescent="0.25">
      <c r="A2891">
        <v>2890</v>
      </c>
      <c r="B2891">
        <v>64</v>
      </c>
      <c r="C2891" t="str" cm="1">
        <f t="array" ref="C2891">_xlfn.IFS(
  AND(B2891&gt;=18, B2891&lt;=24), "18-24",
  AND(B2891&gt;=25, B2891&lt;=34), "25-34",
  AND(B2891&gt;=35, B2891&lt;=44), "35-44",
  AND(B2891&gt;=45, B2891&lt;=54), "45-54",
  B2891&gt;=55, "55+"
)</f>
        <v>55+</v>
      </c>
      <c r="D2891" t="s">
        <v>153</v>
      </c>
      <c r="E2891" t="s">
        <v>89</v>
      </c>
      <c r="F2891" t="s">
        <v>69</v>
      </c>
      <c r="G2891">
        <v>43</v>
      </c>
      <c r="H2891" t="s">
        <v>134</v>
      </c>
      <c r="I2891" t="s">
        <v>45</v>
      </c>
      <c r="J2891" t="s">
        <v>63</v>
      </c>
      <c r="K2891" t="s">
        <v>58</v>
      </c>
      <c r="L2891">
        <v>3.3</v>
      </c>
      <c r="M2891" t="s">
        <v>152</v>
      </c>
      <c r="N2891" t="s">
        <v>27</v>
      </c>
      <c r="O2891" t="s">
        <v>76</v>
      </c>
      <c r="P2891" t="s">
        <v>152</v>
      </c>
      <c r="Q2891" t="s">
        <v>152</v>
      </c>
      <c r="R2891">
        <v>21</v>
      </c>
      <c r="S2891" t="s">
        <v>29</v>
      </c>
      <c r="T2891" t="str">
        <f t="shared" si="90"/>
        <v>Annually</v>
      </c>
      <c r="U2891">
        <f>VLOOKUP(T2891,[1]tablescore!$B$3:$C$8, 2,FALSE)</f>
        <v>1</v>
      </c>
      <c r="V2891" t="str">
        <f t="shared" si="91"/>
        <v>Low Loyalty</v>
      </c>
      <c r="W2891" t="s">
        <v>50</v>
      </c>
    </row>
    <row r="2892" spans="1:23" x14ac:dyDescent="0.25">
      <c r="A2892">
        <v>2891</v>
      </c>
      <c r="B2892">
        <v>39</v>
      </c>
      <c r="C2892" t="str" cm="1">
        <f t="array" ref="C2892">_xlfn.IFS(
  AND(B2892&gt;=18, B2892&lt;=24), "18-24",
  AND(B2892&gt;=25, B2892&lt;=34), "25-34",
  AND(B2892&gt;=35, B2892&lt;=44), "35-44",
  AND(B2892&gt;=45, B2892&lt;=54), "45-54",
  B2892&gt;=55, "55+"
)</f>
        <v>35-44</v>
      </c>
      <c r="D2892" t="s">
        <v>153</v>
      </c>
      <c r="E2892" t="s">
        <v>36</v>
      </c>
      <c r="F2892" t="s">
        <v>21</v>
      </c>
      <c r="G2892">
        <v>55</v>
      </c>
      <c r="H2892" t="s">
        <v>114</v>
      </c>
      <c r="I2892" t="s">
        <v>45</v>
      </c>
      <c r="J2892" t="s">
        <v>84</v>
      </c>
      <c r="K2892" t="s">
        <v>25</v>
      </c>
      <c r="L2892">
        <v>3.7</v>
      </c>
      <c r="M2892" t="s">
        <v>152</v>
      </c>
      <c r="N2892" t="s">
        <v>46</v>
      </c>
      <c r="O2892" t="s">
        <v>40</v>
      </c>
      <c r="P2892" t="s">
        <v>152</v>
      </c>
      <c r="Q2892" t="s">
        <v>152</v>
      </c>
      <c r="R2892">
        <v>23</v>
      </c>
      <c r="S2892" t="s">
        <v>27</v>
      </c>
      <c r="T2892" t="str">
        <f t="shared" si="90"/>
        <v>Month</v>
      </c>
      <c r="U2892">
        <f>VLOOKUP(T2892,[1]tablescore!$B$3:$C$8, 2,FALSE)</f>
        <v>12</v>
      </c>
      <c r="V2892" t="str">
        <f t="shared" si="91"/>
        <v>Moderate</v>
      </c>
      <c r="W2892" t="s">
        <v>88</v>
      </c>
    </row>
    <row r="2893" spans="1:23" x14ac:dyDescent="0.25">
      <c r="A2893">
        <v>2892</v>
      </c>
      <c r="B2893">
        <v>47</v>
      </c>
      <c r="C2893" t="str" cm="1">
        <f t="array" ref="C2893">_xlfn.IFS(
  AND(B2893&gt;=18, B2893&lt;=24), "18-24",
  AND(B2893&gt;=25, B2893&lt;=34), "25-34",
  AND(B2893&gt;=35, B2893&lt;=44), "35-44",
  AND(B2893&gt;=45, B2893&lt;=54), "45-54",
  B2893&gt;=55, "55+"
)</f>
        <v>45-54</v>
      </c>
      <c r="D2893" t="s">
        <v>153</v>
      </c>
      <c r="E2893" t="s">
        <v>113</v>
      </c>
      <c r="F2893" t="s">
        <v>21</v>
      </c>
      <c r="G2893">
        <v>73</v>
      </c>
      <c r="H2893" t="s">
        <v>124</v>
      </c>
      <c r="I2893" t="s">
        <v>92</v>
      </c>
      <c r="J2893" t="s">
        <v>94</v>
      </c>
      <c r="K2893" t="s">
        <v>25</v>
      </c>
      <c r="L2893">
        <v>2.5</v>
      </c>
      <c r="M2893" t="s">
        <v>152</v>
      </c>
      <c r="N2893" t="s">
        <v>29</v>
      </c>
      <c r="O2893" t="s">
        <v>40</v>
      </c>
      <c r="P2893" t="s">
        <v>152</v>
      </c>
      <c r="Q2893" t="s">
        <v>152</v>
      </c>
      <c r="R2893">
        <v>10</v>
      </c>
      <c r="S2893" t="s">
        <v>46</v>
      </c>
      <c r="T2893" t="str">
        <f t="shared" si="90"/>
        <v>Month</v>
      </c>
      <c r="U2893">
        <f>VLOOKUP(T2893,[1]tablescore!$B$3:$C$8, 2,FALSE)</f>
        <v>12</v>
      </c>
      <c r="V2893" t="str">
        <f t="shared" si="91"/>
        <v>Moderate</v>
      </c>
      <c r="W2893" t="s">
        <v>88</v>
      </c>
    </row>
    <row r="2894" spans="1:23" x14ac:dyDescent="0.25">
      <c r="A2894">
        <v>2893</v>
      </c>
      <c r="B2894">
        <v>22</v>
      </c>
      <c r="C2894" t="str" cm="1">
        <f t="array" ref="C2894">_xlfn.IFS(
  AND(B2894&gt;=18, B2894&lt;=24), "18-24",
  AND(B2894&gt;=25, B2894&lt;=34), "25-34",
  AND(B2894&gt;=35, B2894&lt;=44), "35-44",
  AND(B2894&gt;=45, B2894&lt;=54), "45-54",
  B2894&gt;=55, "55+"
)</f>
        <v>18-24</v>
      </c>
      <c r="D2894" t="s">
        <v>153</v>
      </c>
      <c r="E2894" t="s">
        <v>82</v>
      </c>
      <c r="F2894" t="s">
        <v>21</v>
      </c>
      <c r="G2894">
        <v>39</v>
      </c>
      <c r="H2894" t="s">
        <v>107</v>
      </c>
      <c r="I2894" t="s">
        <v>45</v>
      </c>
      <c r="J2894" t="s">
        <v>86</v>
      </c>
      <c r="K2894" t="s">
        <v>39</v>
      </c>
      <c r="L2894">
        <v>3.2</v>
      </c>
      <c r="M2894" t="s">
        <v>152</v>
      </c>
      <c r="N2894" t="s">
        <v>34</v>
      </c>
      <c r="O2894" t="s">
        <v>55</v>
      </c>
      <c r="P2894" t="s">
        <v>152</v>
      </c>
      <c r="Q2894" t="s">
        <v>152</v>
      </c>
      <c r="R2894">
        <v>47</v>
      </c>
      <c r="S2894" t="s">
        <v>27</v>
      </c>
      <c r="T2894" t="str">
        <f t="shared" si="90"/>
        <v>Month</v>
      </c>
      <c r="U2894">
        <f>VLOOKUP(T2894,[1]tablescore!$B$3:$C$8, 2,FALSE)</f>
        <v>12</v>
      </c>
      <c r="V2894" t="str">
        <f t="shared" si="91"/>
        <v>Moderate</v>
      </c>
      <c r="W2894" t="s">
        <v>88</v>
      </c>
    </row>
    <row r="2895" spans="1:23" x14ac:dyDescent="0.25">
      <c r="A2895">
        <v>2894</v>
      </c>
      <c r="B2895">
        <v>69</v>
      </c>
      <c r="C2895" t="str" cm="1">
        <f t="array" ref="C2895">_xlfn.IFS(
  AND(B2895&gt;=18, B2895&lt;=24), "18-24",
  AND(B2895&gt;=25, B2895&lt;=34), "25-34",
  AND(B2895&gt;=35, B2895&lt;=44), "35-44",
  AND(B2895&gt;=45, B2895&lt;=54), "45-54",
  B2895&gt;=55, "55+"
)</f>
        <v>55+</v>
      </c>
      <c r="D2895" t="s">
        <v>153</v>
      </c>
      <c r="E2895" t="s">
        <v>136</v>
      </c>
      <c r="F2895" t="s">
        <v>69</v>
      </c>
      <c r="G2895">
        <v>20</v>
      </c>
      <c r="H2895" t="s">
        <v>22</v>
      </c>
      <c r="I2895" t="s">
        <v>38</v>
      </c>
      <c r="J2895" t="s">
        <v>121</v>
      </c>
      <c r="K2895" t="s">
        <v>39</v>
      </c>
      <c r="L2895">
        <v>3.1</v>
      </c>
      <c r="M2895" t="s">
        <v>152</v>
      </c>
      <c r="N2895" t="s">
        <v>27</v>
      </c>
      <c r="O2895" t="s">
        <v>40</v>
      </c>
      <c r="P2895" t="s">
        <v>152</v>
      </c>
      <c r="Q2895" t="s">
        <v>152</v>
      </c>
      <c r="R2895">
        <v>44</v>
      </c>
      <c r="S2895" t="s">
        <v>59</v>
      </c>
      <c r="T2895" t="str">
        <f t="shared" si="90"/>
        <v>Quarterly</v>
      </c>
      <c r="U2895">
        <f>VLOOKUP(T2895,[1]tablescore!$B$3:$C$8, 2,FALSE)</f>
        <v>4</v>
      </c>
      <c r="V2895" t="str">
        <f t="shared" si="91"/>
        <v>Low Loyalty</v>
      </c>
      <c r="W2895" t="s">
        <v>97</v>
      </c>
    </row>
    <row r="2896" spans="1:23" x14ac:dyDescent="0.25">
      <c r="A2896">
        <v>2895</v>
      </c>
      <c r="B2896">
        <v>35</v>
      </c>
      <c r="C2896" t="str" cm="1">
        <f t="array" ref="C2896">_xlfn.IFS(
  AND(B2896&gt;=18, B2896&lt;=24), "18-24",
  AND(B2896&gt;=25, B2896&lt;=34), "25-34",
  AND(B2896&gt;=35, B2896&lt;=44), "35-44",
  AND(B2896&gt;=45, B2896&lt;=54), "45-54",
  B2896&gt;=55, "55+"
)</f>
        <v>35-44</v>
      </c>
      <c r="D2896" t="s">
        <v>153</v>
      </c>
      <c r="E2896" t="s">
        <v>106</v>
      </c>
      <c r="F2896" t="s">
        <v>69</v>
      </c>
      <c r="G2896">
        <v>32</v>
      </c>
      <c r="H2896" t="s">
        <v>22</v>
      </c>
      <c r="I2896" t="s">
        <v>38</v>
      </c>
      <c r="J2896" t="s">
        <v>110</v>
      </c>
      <c r="K2896" t="s">
        <v>39</v>
      </c>
      <c r="L2896">
        <v>3.5</v>
      </c>
      <c r="M2896" t="s">
        <v>152</v>
      </c>
      <c r="N2896" t="s">
        <v>35</v>
      </c>
      <c r="O2896" t="s">
        <v>55</v>
      </c>
      <c r="P2896" t="s">
        <v>152</v>
      </c>
      <c r="Q2896" t="s">
        <v>152</v>
      </c>
      <c r="R2896">
        <v>41</v>
      </c>
      <c r="S2896" t="s">
        <v>29</v>
      </c>
      <c r="T2896" t="str">
        <f t="shared" si="90"/>
        <v>Annually</v>
      </c>
      <c r="U2896">
        <f>VLOOKUP(T2896,[1]tablescore!$B$3:$C$8, 2,FALSE)</f>
        <v>1</v>
      </c>
      <c r="V2896" t="str">
        <f t="shared" si="91"/>
        <v>Low Loyalty</v>
      </c>
      <c r="W2896" t="s">
        <v>50</v>
      </c>
    </row>
    <row r="2897" spans="1:23" x14ac:dyDescent="0.25">
      <c r="A2897">
        <v>2896</v>
      </c>
      <c r="B2897">
        <v>56</v>
      </c>
      <c r="C2897" t="str" cm="1">
        <f t="array" ref="C2897">_xlfn.IFS(
  AND(B2897&gt;=18, B2897&lt;=24), "18-24",
  AND(B2897&gt;=25, B2897&lt;=34), "25-34",
  AND(B2897&gt;=35, B2897&lt;=44), "35-44",
  AND(B2897&gt;=45, B2897&lt;=54), "45-54",
  B2897&gt;=55, "55+"
)</f>
        <v>55+</v>
      </c>
      <c r="D2897" t="s">
        <v>153</v>
      </c>
      <c r="E2897" t="s">
        <v>104</v>
      </c>
      <c r="F2897" t="s">
        <v>21</v>
      </c>
      <c r="G2897">
        <v>86</v>
      </c>
      <c r="H2897" t="s">
        <v>57</v>
      </c>
      <c r="I2897" t="s">
        <v>23</v>
      </c>
      <c r="J2897" t="s">
        <v>96</v>
      </c>
      <c r="K2897" t="s">
        <v>54</v>
      </c>
      <c r="L2897">
        <v>4.5999999999999996</v>
      </c>
      <c r="M2897" t="s">
        <v>152</v>
      </c>
      <c r="N2897" t="s">
        <v>59</v>
      </c>
      <c r="O2897" t="s">
        <v>55</v>
      </c>
      <c r="P2897" t="s">
        <v>152</v>
      </c>
      <c r="Q2897" t="s">
        <v>152</v>
      </c>
      <c r="R2897">
        <v>29</v>
      </c>
      <c r="S2897" t="s">
        <v>34</v>
      </c>
      <c r="T2897" t="str">
        <f t="shared" si="90"/>
        <v>Month</v>
      </c>
      <c r="U2897">
        <f>VLOOKUP(T2897,[1]tablescore!$B$3:$C$8, 2,FALSE)</f>
        <v>12</v>
      </c>
      <c r="V2897" t="str">
        <f t="shared" si="91"/>
        <v>Moderate</v>
      </c>
      <c r="W2897" t="s">
        <v>88</v>
      </c>
    </row>
    <row r="2898" spans="1:23" x14ac:dyDescent="0.25">
      <c r="A2898">
        <v>2897</v>
      </c>
      <c r="B2898">
        <v>30</v>
      </c>
      <c r="C2898" t="str" cm="1">
        <f t="array" ref="C2898">_xlfn.IFS(
  AND(B2898&gt;=18, B2898&lt;=24), "18-24",
  AND(B2898&gt;=25, B2898&lt;=34), "25-34",
  AND(B2898&gt;=35, B2898&lt;=44), "35-44",
  AND(B2898&gt;=45, B2898&lt;=54), "45-54",
  B2898&gt;=55, "55+"
)</f>
        <v>25-34</v>
      </c>
      <c r="D2898" t="s">
        <v>153</v>
      </c>
      <c r="E2898" t="s">
        <v>20</v>
      </c>
      <c r="F2898" t="s">
        <v>21</v>
      </c>
      <c r="G2898">
        <v>91</v>
      </c>
      <c r="H2898" t="s">
        <v>80</v>
      </c>
      <c r="I2898" t="s">
        <v>45</v>
      </c>
      <c r="J2898" t="s">
        <v>67</v>
      </c>
      <c r="K2898" t="s">
        <v>54</v>
      </c>
      <c r="L2898">
        <v>3.3</v>
      </c>
      <c r="M2898" t="s">
        <v>152</v>
      </c>
      <c r="N2898" t="s">
        <v>27</v>
      </c>
      <c r="O2898" t="s">
        <v>40</v>
      </c>
      <c r="P2898" t="s">
        <v>152</v>
      </c>
      <c r="Q2898" t="s">
        <v>152</v>
      </c>
      <c r="R2898">
        <v>2</v>
      </c>
      <c r="S2898" t="s">
        <v>29</v>
      </c>
      <c r="T2898" t="str">
        <f t="shared" si="90"/>
        <v>Quarterly</v>
      </c>
      <c r="U2898">
        <f>VLOOKUP(T2898,[1]tablescore!$B$3:$C$8, 2,FALSE)</f>
        <v>4</v>
      </c>
      <c r="V2898" t="str">
        <f t="shared" si="91"/>
        <v>Low Loyalty</v>
      </c>
      <c r="W2898" t="s">
        <v>97</v>
      </c>
    </row>
    <row r="2899" spans="1:23" x14ac:dyDescent="0.25">
      <c r="A2899">
        <v>2898</v>
      </c>
      <c r="B2899">
        <v>43</v>
      </c>
      <c r="C2899" t="str" cm="1">
        <f t="array" ref="C2899">_xlfn.IFS(
  AND(B2899&gt;=18, B2899&lt;=24), "18-24",
  AND(B2899&gt;=25, B2899&lt;=34), "25-34",
  AND(B2899&gt;=35, B2899&lt;=44), "35-44",
  AND(B2899&gt;=45, B2899&lt;=54), "45-54",
  B2899&gt;=55, "55+"
)</f>
        <v>35-44</v>
      </c>
      <c r="D2899" t="s">
        <v>153</v>
      </c>
      <c r="E2899" t="s">
        <v>102</v>
      </c>
      <c r="F2899" t="s">
        <v>65</v>
      </c>
      <c r="G2899">
        <v>59</v>
      </c>
      <c r="H2899" t="s">
        <v>57</v>
      </c>
      <c r="I2899" t="s">
        <v>23</v>
      </c>
      <c r="J2899" t="s">
        <v>84</v>
      </c>
      <c r="K2899" t="s">
        <v>58</v>
      </c>
      <c r="L2899">
        <v>2.5</v>
      </c>
      <c r="M2899" t="s">
        <v>152</v>
      </c>
      <c r="N2899" t="s">
        <v>27</v>
      </c>
      <c r="O2899" t="s">
        <v>40</v>
      </c>
      <c r="P2899" t="s">
        <v>152</v>
      </c>
      <c r="Q2899" t="s">
        <v>152</v>
      </c>
      <c r="R2899">
        <v>2</v>
      </c>
      <c r="S2899" t="s">
        <v>35</v>
      </c>
      <c r="T2899" t="str">
        <f t="shared" si="90"/>
        <v>2-week</v>
      </c>
      <c r="U2899">
        <f>VLOOKUP(T2899,[1]tablescore!$B$3:$C$8, 2,FALSE)</f>
        <v>26</v>
      </c>
      <c r="V2899" t="str">
        <f t="shared" si="91"/>
        <v>Loyal</v>
      </c>
      <c r="W2899" t="s">
        <v>30</v>
      </c>
    </row>
    <row r="2900" spans="1:23" x14ac:dyDescent="0.25">
      <c r="A2900">
        <v>2899</v>
      </c>
      <c r="B2900">
        <v>23</v>
      </c>
      <c r="C2900" t="str" cm="1">
        <f t="array" ref="C2900">_xlfn.IFS(
  AND(B2900&gt;=18, B2900&lt;=24), "18-24",
  AND(B2900&gt;=25, B2900&lt;=34), "25-34",
  AND(B2900&gt;=35, B2900&lt;=44), "35-44",
  AND(B2900&gt;=45, B2900&lt;=54), "45-54",
  B2900&gt;=55, "55+"
)</f>
        <v>18-24</v>
      </c>
      <c r="D2900" t="s">
        <v>153</v>
      </c>
      <c r="E2900" t="s">
        <v>51</v>
      </c>
      <c r="F2900" t="s">
        <v>43</v>
      </c>
      <c r="G2900">
        <v>33</v>
      </c>
      <c r="H2900" t="s">
        <v>137</v>
      </c>
      <c r="I2900" t="s">
        <v>92</v>
      </c>
      <c r="J2900" t="s">
        <v>100</v>
      </c>
      <c r="K2900" t="s">
        <v>54</v>
      </c>
      <c r="L2900">
        <v>4.5999999999999996</v>
      </c>
      <c r="M2900" t="s">
        <v>152</v>
      </c>
      <c r="N2900" t="s">
        <v>27</v>
      </c>
      <c r="O2900" t="s">
        <v>28</v>
      </c>
      <c r="P2900" t="s">
        <v>152</v>
      </c>
      <c r="Q2900" t="s">
        <v>152</v>
      </c>
      <c r="R2900">
        <v>29</v>
      </c>
      <c r="S2900" t="s">
        <v>27</v>
      </c>
      <c r="T2900" t="str">
        <f t="shared" si="90"/>
        <v>Annually</v>
      </c>
      <c r="U2900">
        <f>VLOOKUP(T2900,[1]tablescore!$B$3:$C$8, 2,FALSE)</f>
        <v>1</v>
      </c>
      <c r="V2900" t="str">
        <f t="shared" si="91"/>
        <v>Low Loyalty</v>
      </c>
      <c r="W2900" t="s">
        <v>50</v>
      </c>
    </row>
    <row r="2901" spans="1:23" x14ac:dyDescent="0.25">
      <c r="A2901">
        <v>2900</v>
      </c>
      <c r="B2901">
        <v>50</v>
      </c>
      <c r="C2901" t="str" cm="1">
        <f t="array" ref="C2901">_xlfn.IFS(
  AND(B2901&gt;=18, B2901&lt;=24), "18-24",
  AND(B2901&gt;=25, B2901&lt;=34), "25-34",
  AND(B2901&gt;=35, B2901&lt;=44), "35-44",
  AND(B2901&gt;=45, B2901&lt;=54), "45-54",
  B2901&gt;=55, "55+"
)</f>
        <v>45-54</v>
      </c>
      <c r="D2901" t="s">
        <v>153</v>
      </c>
      <c r="E2901" t="s">
        <v>132</v>
      </c>
      <c r="F2901" t="s">
        <v>43</v>
      </c>
      <c r="G2901">
        <v>64</v>
      </c>
      <c r="H2901" t="s">
        <v>143</v>
      </c>
      <c r="I2901" t="s">
        <v>45</v>
      </c>
      <c r="J2901" t="s">
        <v>81</v>
      </c>
      <c r="K2901" t="s">
        <v>39</v>
      </c>
      <c r="L2901">
        <v>4.2</v>
      </c>
      <c r="M2901" t="s">
        <v>152</v>
      </c>
      <c r="N2901" t="s">
        <v>46</v>
      </c>
      <c r="O2901" t="s">
        <v>72</v>
      </c>
      <c r="P2901" t="s">
        <v>152</v>
      </c>
      <c r="Q2901" t="s">
        <v>152</v>
      </c>
      <c r="R2901">
        <v>22</v>
      </c>
      <c r="S2901" t="s">
        <v>34</v>
      </c>
      <c r="T2901" t="str">
        <f t="shared" si="90"/>
        <v>2-week</v>
      </c>
      <c r="U2901">
        <f>VLOOKUP(T2901,[1]tablescore!$B$3:$C$8, 2,FALSE)</f>
        <v>26</v>
      </c>
      <c r="V2901" t="str">
        <f t="shared" si="91"/>
        <v>Loyal</v>
      </c>
      <c r="W2901" t="s">
        <v>30</v>
      </c>
    </row>
    <row r="2902" spans="1:23" x14ac:dyDescent="0.25">
      <c r="A2902">
        <v>2901</v>
      </c>
      <c r="B2902">
        <v>41</v>
      </c>
      <c r="C2902" t="str" cm="1">
        <f t="array" ref="C2902">_xlfn.IFS(
  AND(B2902&gt;=18, B2902&lt;=24), "18-24",
  AND(B2902&gt;=25, B2902&lt;=34), "25-34",
  AND(B2902&gt;=35, B2902&lt;=44), "35-44",
  AND(B2902&gt;=45, B2902&lt;=54), "45-54",
  B2902&gt;=55, "55+"
)</f>
        <v>35-44</v>
      </c>
      <c r="D2902" t="s">
        <v>153</v>
      </c>
      <c r="E2902" t="s">
        <v>20</v>
      </c>
      <c r="F2902" t="s">
        <v>21</v>
      </c>
      <c r="G2902">
        <v>67</v>
      </c>
      <c r="H2902" t="s">
        <v>135</v>
      </c>
      <c r="I2902" t="s">
        <v>92</v>
      </c>
      <c r="J2902" t="s">
        <v>84</v>
      </c>
      <c r="K2902" t="s">
        <v>25</v>
      </c>
      <c r="L2902">
        <v>4</v>
      </c>
      <c r="M2902" t="s">
        <v>152</v>
      </c>
      <c r="N2902" t="s">
        <v>34</v>
      </c>
      <c r="O2902" t="s">
        <v>55</v>
      </c>
      <c r="P2902" t="s">
        <v>152</v>
      </c>
      <c r="Q2902" t="s">
        <v>152</v>
      </c>
      <c r="R2902">
        <v>23</v>
      </c>
      <c r="S2902" t="s">
        <v>35</v>
      </c>
      <c r="T2902" t="str">
        <f t="shared" si="90"/>
        <v>2-week</v>
      </c>
      <c r="U2902">
        <f>VLOOKUP(T2902,[1]tablescore!$B$3:$C$8, 2,FALSE)</f>
        <v>26</v>
      </c>
      <c r="V2902" t="str">
        <f t="shared" si="91"/>
        <v>Loyal</v>
      </c>
      <c r="W2902" t="s">
        <v>77</v>
      </c>
    </row>
    <row r="2903" spans="1:23" x14ac:dyDescent="0.25">
      <c r="A2903">
        <v>2902</v>
      </c>
      <c r="B2903">
        <v>41</v>
      </c>
      <c r="C2903" t="str" cm="1">
        <f t="array" ref="C2903">_xlfn.IFS(
  AND(B2903&gt;=18, B2903&lt;=24), "18-24",
  AND(B2903&gt;=25, B2903&lt;=34), "25-34",
  AND(B2903&gt;=35, B2903&lt;=44), "35-44",
  AND(B2903&gt;=45, B2903&lt;=54), "45-54",
  B2903&gt;=55, "55+"
)</f>
        <v>35-44</v>
      </c>
      <c r="D2903" t="s">
        <v>153</v>
      </c>
      <c r="E2903" t="s">
        <v>20</v>
      </c>
      <c r="F2903" t="s">
        <v>21</v>
      </c>
      <c r="G2903">
        <v>43</v>
      </c>
      <c r="H2903" t="s">
        <v>90</v>
      </c>
      <c r="I2903" t="s">
        <v>23</v>
      </c>
      <c r="J2903" t="s">
        <v>79</v>
      </c>
      <c r="K2903" t="s">
        <v>25</v>
      </c>
      <c r="L2903">
        <v>2.6</v>
      </c>
      <c r="M2903" t="s">
        <v>152</v>
      </c>
      <c r="N2903" t="s">
        <v>27</v>
      </c>
      <c r="O2903" t="s">
        <v>40</v>
      </c>
      <c r="P2903" t="s">
        <v>152</v>
      </c>
      <c r="Q2903" t="s">
        <v>152</v>
      </c>
      <c r="R2903">
        <v>46</v>
      </c>
      <c r="S2903" t="s">
        <v>27</v>
      </c>
      <c r="T2903" t="str">
        <f t="shared" si="90"/>
        <v>Quarterly</v>
      </c>
      <c r="U2903">
        <f>VLOOKUP(T2903,[1]tablescore!$B$3:$C$8, 2,FALSE)</f>
        <v>4</v>
      </c>
      <c r="V2903" t="str">
        <f t="shared" si="91"/>
        <v>Low Loyalty</v>
      </c>
      <c r="W2903" t="s">
        <v>60</v>
      </c>
    </row>
    <row r="2904" spans="1:23" x14ac:dyDescent="0.25">
      <c r="A2904">
        <v>2903</v>
      </c>
      <c r="B2904">
        <v>27</v>
      </c>
      <c r="C2904" t="str" cm="1">
        <f t="array" ref="C2904">_xlfn.IFS(
  AND(B2904&gt;=18, B2904&lt;=24), "18-24",
  AND(B2904&gt;=25, B2904&lt;=34), "25-34",
  AND(B2904&gt;=35, B2904&lt;=44), "35-44",
  AND(B2904&gt;=45, B2904&lt;=54), "45-54",
  B2904&gt;=55, "55+"
)</f>
        <v>25-34</v>
      </c>
      <c r="D2904" t="s">
        <v>153</v>
      </c>
      <c r="E2904" t="s">
        <v>132</v>
      </c>
      <c r="F2904" t="s">
        <v>43</v>
      </c>
      <c r="G2904">
        <v>32</v>
      </c>
      <c r="H2904" t="s">
        <v>98</v>
      </c>
      <c r="I2904" t="s">
        <v>38</v>
      </c>
      <c r="J2904" t="s">
        <v>121</v>
      </c>
      <c r="K2904" t="s">
        <v>39</v>
      </c>
      <c r="L2904">
        <v>4.5999999999999996</v>
      </c>
      <c r="M2904" t="s">
        <v>152</v>
      </c>
      <c r="N2904" t="s">
        <v>59</v>
      </c>
      <c r="O2904" t="s">
        <v>55</v>
      </c>
      <c r="P2904" t="s">
        <v>152</v>
      </c>
      <c r="Q2904" t="s">
        <v>152</v>
      </c>
      <c r="R2904">
        <v>19</v>
      </c>
      <c r="S2904" t="s">
        <v>46</v>
      </c>
      <c r="T2904" t="str">
        <f t="shared" si="90"/>
        <v>2-week</v>
      </c>
      <c r="U2904">
        <f>VLOOKUP(T2904,[1]tablescore!$B$3:$C$8, 2,FALSE)</f>
        <v>26</v>
      </c>
      <c r="V2904" t="str">
        <f t="shared" si="91"/>
        <v>Loyal</v>
      </c>
      <c r="W2904" t="s">
        <v>77</v>
      </c>
    </row>
    <row r="2905" spans="1:23" x14ac:dyDescent="0.25">
      <c r="A2905">
        <v>2904</v>
      </c>
      <c r="B2905">
        <v>38</v>
      </c>
      <c r="C2905" t="str" cm="1">
        <f t="array" ref="C2905">_xlfn.IFS(
  AND(B2905&gt;=18, B2905&lt;=24), "18-24",
  AND(B2905&gt;=25, B2905&lt;=34), "25-34",
  AND(B2905&gt;=35, B2905&lt;=44), "35-44",
  AND(B2905&gt;=45, B2905&lt;=54), "45-54",
  B2905&gt;=55, "55+"
)</f>
        <v>35-44</v>
      </c>
      <c r="D2905" t="s">
        <v>153</v>
      </c>
      <c r="E2905" t="s">
        <v>119</v>
      </c>
      <c r="F2905" t="s">
        <v>69</v>
      </c>
      <c r="G2905">
        <v>39</v>
      </c>
      <c r="H2905" t="s">
        <v>80</v>
      </c>
      <c r="I2905" t="s">
        <v>38</v>
      </c>
      <c r="J2905" t="s">
        <v>86</v>
      </c>
      <c r="K2905" t="s">
        <v>39</v>
      </c>
      <c r="L2905">
        <v>3.5</v>
      </c>
      <c r="M2905" t="s">
        <v>152</v>
      </c>
      <c r="N2905" t="s">
        <v>29</v>
      </c>
      <c r="O2905" t="s">
        <v>72</v>
      </c>
      <c r="P2905" t="s">
        <v>152</v>
      </c>
      <c r="Q2905" t="s">
        <v>152</v>
      </c>
      <c r="R2905">
        <v>24</v>
      </c>
      <c r="S2905" t="s">
        <v>27</v>
      </c>
      <c r="T2905" t="str">
        <f t="shared" si="90"/>
        <v>Quarterly</v>
      </c>
      <c r="U2905">
        <f>VLOOKUP(T2905,[1]tablescore!$B$3:$C$8, 2,FALSE)</f>
        <v>4</v>
      </c>
      <c r="V2905" t="str">
        <f t="shared" si="91"/>
        <v>Low Loyalty</v>
      </c>
      <c r="W2905" t="s">
        <v>97</v>
      </c>
    </row>
    <row r="2906" spans="1:23" x14ac:dyDescent="0.25">
      <c r="A2906">
        <v>2905</v>
      </c>
      <c r="B2906">
        <v>41</v>
      </c>
      <c r="C2906" t="str" cm="1">
        <f t="array" ref="C2906">_xlfn.IFS(
  AND(B2906&gt;=18, B2906&lt;=24), "18-24",
  AND(B2906&gt;=25, B2906&lt;=34), "25-34",
  AND(B2906&gt;=35, B2906&lt;=44), "35-44",
  AND(B2906&gt;=45, B2906&lt;=54), "45-54",
  B2906&gt;=55, "55+"
)</f>
        <v>35-44</v>
      </c>
      <c r="D2906" t="s">
        <v>153</v>
      </c>
      <c r="E2906" t="s">
        <v>42</v>
      </c>
      <c r="F2906" t="s">
        <v>43</v>
      </c>
      <c r="G2906">
        <v>41</v>
      </c>
      <c r="H2906" t="s">
        <v>150</v>
      </c>
      <c r="I2906" t="s">
        <v>45</v>
      </c>
      <c r="J2906" t="s">
        <v>24</v>
      </c>
      <c r="K2906" t="s">
        <v>39</v>
      </c>
      <c r="L2906">
        <v>4</v>
      </c>
      <c r="M2906" t="s">
        <v>152</v>
      </c>
      <c r="N2906" t="s">
        <v>34</v>
      </c>
      <c r="O2906" t="s">
        <v>72</v>
      </c>
      <c r="P2906" t="s">
        <v>152</v>
      </c>
      <c r="Q2906" t="s">
        <v>152</v>
      </c>
      <c r="R2906">
        <v>43</v>
      </c>
      <c r="S2906" t="s">
        <v>29</v>
      </c>
      <c r="T2906" t="str">
        <f t="shared" si="90"/>
        <v>Month</v>
      </c>
      <c r="U2906">
        <f>VLOOKUP(T2906,[1]tablescore!$B$3:$C$8, 2,FALSE)</f>
        <v>12</v>
      </c>
      <c r="V2906" t="str">
        <f t="shared" si="91"/>
        <v>Moderate</v>
      </c>
      <c r="W2906" t="s">
        <v>88</v>
      </c>
    </row>
    <row r="2907" spans="1:23" x14ac:dyDescent="0.25">
      <c r="A2907">
        <v>2906</v>
      </c>
      <c r="B2907">
        <v>58</v>
      </c>
      <c r="C2907" t="str" cm="1">
        <f t="array" ref="C2907">_xlfn.IFS(
  AND(B2907&gt;=18, B2907&lt;=24), "18-24",
  AND(B2907&gt;=25, B2907&lt;=34), "25-34",
  AND(B2907&gt;=35, B2907&lt;=44), "35-44",
  AND(B2907&gt;=45, B2907&lt;=54), "45-54",
  B2907&gt;=55, "55+"
)</f>
        <v>55+</v>
      </c>
      <c r="D2907" t="s">
        <v>153</v>
      </c>
      <c r="E2907" t="s">
        <v>89</v>
      </c>
      <c r="F2907" t="s">
        <v>69</v>
      </c>
      <c r="G2907">
        <v>53</v>
      </c>
      <c r="H2907" t="s">
        <v>85</v>
      </c>
      <c r="I2907" t="s">
        <v>23</v>
      </c>
      <c r="J2907" t="s">
        <v>94</v>
      </c>
      <c r="K2907" t="s">
        <v>25</v>
      </c>
      <c r="L2907">
        <v>4.8</v>
      </c>
      <c r="M2907" t="s">
        <v>152</v>
      </c>
      <c r="N2907" t="s">
        <v>46</v>
      </c>
      <c r="O2907" t="s">
        <v>55</v>
      </c>
      <c r="P2907" t="s">
        <v>152</v>
      </c>
      <c r="Q2907" t="s">
        <v>152</v>
      </c>
      <c r="R2907">
        <v>14</v>
      </c>
      <c r="S2907" t="s">
        <v>59</v>
      </c>
      <c r="T2907" t="str">
        <f t="shared" si="90"/>
        <v>2-week</v>
      </c>
      <c r="U2907">
        <f>VLOOKUP(T2907,[1]tablescore!$B$3:$C$8, 2,FALSE)</f>
        <v>26</v>
      </c>
      <c r="V2907" t="str">
        <f t="shared" si="91"/>
        <v>Loyal</v>
      </c>
      <c r="W2907" t="s">
        <v>30</v>
      </c>
    </row>
    <row r="2908" spans="1:23" x14ac:dyDescent="0.25">
      <c r="A2908">
        <v>2907</v>
      </c>
      <c r="B2908">
        <v>58</v>
      </c>
      <c r="C2908" t="str" cm="1">
        <f t="array" ref="C2908">_xlfn.IFS(
  AND(B2908&gt;=18, B2908&lt;=24), "18-24",
  AND(B2908&gt;=25, B2908&lt;=34), "25-34",
  AND(B2908&gt;=35, B2908&lt;=44), "35-44",
  AND(B2908&gt;=45, B2908&lt;=54), "45-54",
  B2908&gt;=55, "55+"
)</f>
        <v>55+</v>
      </c>
      <c r="D2908" t="s">
        <v>153</v>
      </c>
      <c r="E2908" t="s">
        <v>64</v>
      </c>
      <c r="F2908" t="s">
        <v>65</v>
      </c>
      <c r="G2908">
        <v>27</v>
      </c>
      <c r="H2908" t="s">
        <v>128</v>
      </c>
      <c r="I2908" t="s">
        <v>45</v>
      </c>
      <c r="J2908" t="s">
        <v>129</v>
      </c>
      <c r="K2908" t="s">
        <v>39</v>
      </c>
      <c r="L2908">
        <v>3.9</v>
      </c>
      <c r="M2908" t="s">
        <v>152</v>
      </c>
      <c r="N2908" t="s">
        <v>46</v>
      </c>
      <c r="O2908" t="s">
        <v>55</v>
      </c>
      <c r="P2908" t="s">
        <v>152</v>
      </c>
      <c r="Q2908" t="s">
        <v>152</v>
      </c>
      <c r="R2908">
        <v>7</v>
      </c>
      <c r="S2908" t="s">
        <v>29</v>
      </c>
      <c r="T2908" t="str">
        <f t="shared" si="90"/>
        <v>Annually</v>
      </c>
      <c r="U2908">
        <f>VLOOKUP(T2908,[1]tablescore!$B$3:$C$8, 2,FALSE)</f>
        <v>1</v>
      </c>
      <c r="V2908" t="str">
        <f t="shared" si="91"/>
        <v>Low Loyalty</v>
      </c>
      <c r="W2908" t="s">
        <v>50</v>
      </c>
    </row>
    <row r="2909" spans="1:23" x14ac:dyDescent="0.25">
      <c r="A2909">
        <v>2908</v>
      </c>
      <c r="B2909">
        <v>19</v>
      </c>
      <c r="C2909" t="str" cm="1">
        <f t="array" ref="C2909">_xlfn.IFS(
  AND(B2909&gt;=18, B2909&lt;=24), "18-24",
  AND(B2909&gt;=25, B2909&lt;=34), "25-34",
  AND(B2909&gt;=35, B2909&lt;=44), "35-44",
  AND(B2909&gt;=45, B2909&lt;=54), "45-54",
  B2909&gt;=55, "55+"
)</f>
        <v>18-24</v>
      </c>
      <c r="D2909" t="s">
        <v>153</v>
      </c>
      <c r="E2909" t="s">
        <v>89</v>
      </c>
      <c r="F2909" t="s">
        <v>69</v>
      </c>
      <c r="G2909">
        <v>82</v>
      </c>
      <c r="H2909" t="s">
        <v>135</v>
      </c>
      <c r="I2909" t="s">
        <v>92</v>
      </c>
      <c r="J2909" t="s">
        <v>93</v>
      </c>
      <c r="K2909" t="s">
        <v>54</v>
      </c>
      <c r="L2909">
        <v>3.7</v>
      </c>
      <c r="M2909" t="s">
        <v>152</v>
      </c>
      <c r="N2909" t="s">
        <v>35</v>
      </c>
      <c r="O2909" t="s">
        <v>47</v>
      </c>
      <c r="P2909" t="s">
        <v>152</v>
      </c>
      <c r="Q2909" t="s">
        <v>152</v>
      </c>
      <c r="R2909">
        <v>50</v>
      </c>
      <c r="S2909" t="s">
        <v>46</v>
      </c>
      <c r="T2909" t="str">
        <f t="shared" si="90"/>
        <v>2-week</v>
      </c>
      <c r="U2909">
        <f>VLOOKUP(T2909,[1]tablescore!$B$3:$C$8, 2,FALSE)</f>
        <v>26</v>
      </c>
      <c r="V2909" t="str">
        <f t="shared" si="91"/>
        <v>Loyal</v>
      </c>
      <c r="W2909" t="s">
        <v>77</v>
      </c>
    </row>
    <row r="2910" spans="1:23" x14ac:dyDescent="0.25">
      <c r="A2910">
        <v>2909</v>
      </c>
      <c r="B2910">
        <v>43</v>
      </c>
      <c r="C2910" t="str" cm="1">
        <f t="array" ref="C2910">_xlfn.IFS(
  AND(B2910&gt;=18, B2910&lt;=24), "18-24",
  AND(B2910&gt;=25, B2910&lt;=34), "25-34",
  AND(B2910&gt;=35, B2910&lt;=44), "35-44",
  AND(B2910&gt;=45, B2910&lt;=54), "45-54",
  B2910&gt;=55, "55+"
)</f>
        <v>35-44</v>
      </c>
      <c r="D2910" t="s">
        <v>153</v>
      </c>
      <c r="E2910" t="s">
        <v>20</v>
      </c>
      <c r="F2910" t="s">
        <v>21</v>
      </c>
      <c r="G2910">
        <v>87</v>
      </c>
      <c r="H2910" t="s">
        <v>105</v>
      </c>
      <c r="I2910" t="s">
        <v>45</v>
      </c>
      <c r="J2910" t="s">
        <v>118</v>
      </c>
      <c r="K2910" t="s">
        <v>25</v>
      </c>
      <c r="L2910">
        <v>3.1</v>
      </c>
      <c r="M2910" t="s">
        <v>152</v>
      </c>
      <c r="N2910" t="s">
        <v>59</v>
      </c>
      <c r="O2910" t="s">
        <v>76</v>
      </c>
      <c r="P2910" t="s">
        <v>152</v>
      </c>
      <c r="Q2910" t="s">
        <v>152</v>
      </c>
      <c r="R2910">
        <v>15</v>
      </c>
      <c r="S2910" t="s">
        <v>59</v>
      </c>
      <c r="T2910" t="str">
        <f t="shared" si="90"/>
        <v>Quarterly</v>
      </c>
      <c r="U2910">
        <f>VLOOKUP(T2910,[1]tablescore!$B$3:$C$8, 2,FALSE)</f>
        <v>4</v>
      </c>
      <c r="V2910" t="str">
        <f t="shared" si="91"/>
        <v>Low Loyalty</v>
      </c>
      <c r="W2910" t="s">
        <v>97</v>
      </c>
    </row>
    <row r="2911" spans="1:23" x14ac:dyDescent="0.25">
      <c r="A2911">
        <v>2910</v>
      </c>
      <c r="B2911">
        <v>27</v>
      </c>
      <c r="C2911" t="str" cm="1">
        <f t="array" ref="C2911">_xlfn.IFS(
  AND(B2911&gt;=18, B2911&lt;=24), "18-24",
  AND(B2911&gt;=25, B2911&lt;=34), "25-34",
  AND(B2911&gt;=35, B2911&lt;=44), "35-44",
  AND(B2911&gt;=45, B2911&lt;=54), "45-54",
  B2911&gt;=55, "55+"
)</f>
        <v>25-34</v>
      </c>
      <c r="D2911" t="s">
        <v>153</v>
      </c>
      <c r="E2911" t="s">
        <v>133</v>
      </c>
      <c r="F2911" t="s">
        <v>69</v>
      </c>
      <c r="G2911">
        <v>78</v>
      </c>
      <c r="H2911" t="s">
        <v>62</v>
      </c>
      <c r="I2911" t="s">
        <v>45</v>
      </c>
      <c r="J2911" t="s">
        <v>129</v>
      </c>
      <c r="K2911" t="s">
        <v>25</v>
      </c>
      <c r="L2911">
        <v>3</v>
      </c>
      <c r="M2911" t="s">
        <v>152</v>
      </c>
      <c r="N2911" t="s">
        <v>34</v>
      </c>
      <c r="O2911" t="s">
        <v>47</v>
      </c>
      <c r="P2911" t="s">
        <v>152</v>
      </c>
      <c r="Q2911" t="s">
        <v>152</v>
      </c>
      <c r="R2911">
        <v>40</v>
      </c>
      <c r="S2911" t="s">
        <v>27</v>
      </c>
      <c r="T2911" t="str">
        <f t="shared" si="90"/>
        <v>Quarterly</v>
      </c>
      <c r="U2911">
        <f>VLOOKUP(T2911,[1]tablescore!$B$3:$C$8, 2,FALSE)</f>
        <v>4</v>
      </c>
      <c r="V2911" t="str">
        <f t="shared" si="91"/>
        <v>Low Loyalty</v>
      </c>
      <c r="W2911" t="s">
        <v>97</v>
      </c>
    </row>
    <row r="2912" spans="1:23" x14ac:dyDescent="0.25">
      <c r="A2912">
        <v>2911</v>
      </c>
      <c r="B2912">
        <v>32</v>
      </c>
      <c r="C2912" t="str" cm="1">
        <f t="array" ref="C2912">_xlfn.IFS(
  AND(B2912&gt;=18, B2912&lt;=24), "18-24",
  AND(B2912&gt;=25, B2912&lt;=34), "25-34",
  AND(B2912&gt;=35, B2912&lt;=44), "35-44",
  AND(B2912&gt;=45, B2912&lt;=54), "45-54",
  B2912&gt;=55, "55+"
)</f>
        <v>25-34</v>
      </c>
      <c r="D2912" t="s">
        <v>153</v>
      </c>
      <c r="E2912" t="s">
        <v>136</v>
      </c>
      <c r="F2912" t="s">
        <v>69</v>
      </c>
      <c r="G2912">
        <v>32</v>
      </c>
      <c r="H2912" t="s">
        <v>91</v>
      </c>
      <c r="I2912" t="s">
        <v>45</v>
      </c>
      <c r="J2912" t="s">
        <v>138</v>
      </c>
      <c r="K2912" t="s">
        <v>54</v>
      </c>
      <c r="L2912">
        <v>2.9</v>
      </c>
      <c r="M2912" t="s">
        <v>152</v>
      </c>
      <c r="N2912" t="s">
        <v>34</v>
      </c>
      <c r="O2912" t="s">
        <v>76</v>
      </c>
      <c r="P2912" t="s">
        <v>152</v>
      </c>
      <c r="Q2912" t="s">
        <v>152</v>
      </c>
      <c r="R2912">
        <v>41</v>
      </c>
      <c r="S2912" t="s">
        <v>27</v>
      </c>
      <c r="T2912" t="str">
        <f t="shared" si="90"/>
        <v>Month</v>
      </c>
      <c r="U2912">
        <f>VLOOKUP(T2912,[1]tablescore!$B$3:$C$8, 2,FALSE)</f>
        <v>12</v>
      </c>
      <c r="V2912" t="str">
        <f t="shared" si="91"/>
        <v>Moderate</v>
      </c>
      <c r="W2912" t="s">
        <v>88</v>
      </c>
    </row>
    <row r="2913" spans="1:23" x14ac:dyDescent="0.25">
      <c r="A2913">
        <v>2912</v>
      </c>
      <c r="B2913">
        <v>28</v>
      </c>
      <c r="C2913" t="str" cm="1">
        <f t="array" ref="C2913">_xlfn.IFS(
  AND(B2913&gt;=18, B2913&lt;=24), "18-24",
  AND(B2913&gt;=25, B2913&lt;=34), "25-34",
  AND(B2913&gt;=35, B2913&lt;=44), "35-44",
  AND(B2913&gt;=45, B2913&lt;=54), "45-54",
  B2913&gt;=55, "55+"
)</f>
        <v>25-34</v>
      </c>
      <c r="D2913" t="s">
        <v>153</v>
      </c>
      <c r="E2913" t="s">
        <v>131</v>
      </c>
      <c r="F2913" t="s">
        <v>21</v>
      </c>
      <c r="G2913">
        <v>38</v>
      </c>
      <c r="H2913" t="s">
        <v>124</v>
      </c>
      <c r="I2913" t="s">
        <v>92</v>
      </c>
      <c r="J2913" t="s">
        <v>121</v>
      </c>
      <c r="K2913" t="s">
        <v>58</v>
      </c>
      <c r="L2913">
        <v>2.9</v>
      </c>
      <c r="M2913" t="s">
        <v>152</v>
      </c>
      <c r="N2913" t="s">
        <v>59</v>
      </c>
      <c r="O2913" t="s">
        <v>47</v>
      </c>
      <c r="P2913" t="s">
        <v>152</v>
      </c>
      <c r="Q2913" t="s">
        <v>152</v>
      </c>
      <c r="R2913">
        <v>34</v>
      </c>
      <c r="S2913" t="s">
        <v>29</v>
      </c>
      <c r="T2913" t="str">
        <f t="shared" si="90"/>
        <v>Quarterly</v>
      </c>
      <c r="U2913">
        <f>VLOOKUP(T2913,[1]tablescore!$B$3:$C$8, 2,FALSE)</f>
        <v>4</v>
      </c>
      <c r="V2913" t="str">
        <f t="shared" si="91"/>
        <v>Low Loyalty</v>
      </c>
      <c r="W2913" t="s">
        <v>60</v>
      </c>
    </row>
    <row r="2914" spans="1:23" x14ac:dyDescent="0.25">
      <c r="A2914">
        <v>2913</v>
      </c>
      <c r="B2914">
        <v>48</v>
      </c>
      <c r="C2914" t="str" cm="1">
        <f t="array" ref="C2914">_xlfn.IFS(
  AND(B2914&gt;=18, B2914&lt;=24), "18-24",
  AND(B2914&gt;=25, B2914&lt;=34), "25-34",
  AND(B2914&gt;=35, B2914&lt;=44), "35-44",
  AND(B2914&gt;=45, B2914&lt;=54), "45-54",
  B2914&gt;=55, "55+"
)</f>
        <v>45-54</v>
      </c>
      <c r="D2914" t="s">
        <v>153</v>
      </c>
      <c r="E2914" t="s">
        <v>73</v>
      </c>
      <c r="F2914" t="s">
        <v>43</v>
      </c>
      <c r="G2914">
        <v>37</v>
      </c>
      <c r="H2914" t="s">
        <v>48</v>
      </c>
      <c r="I2914" t="s">
        <v>45</v>
      </c>
      <c r="J2914" t="s">
        <v>139</v>
      </c>
      <c r="K2914" t="s">
        <v>25</v>
      </c>
      <c r="L2914">
        <v>4</v>
      </c>
      <c r="M2914" t="s">
        <v>152</v>
      </c>
      <c r="N2914" t="s">
        <v>35</v>
      </c>
      <c r="O2914" t="s">
        <v>55</v>
      </c>
      <c r="P2914" t="s">
        <v>152</v>
      </c>
      <c r="Q2914" t="s">
        <v>152</v>
      </c>
      <c r="R2914">
        <v>27</v>
      </c>
      <c r="S2914" t="s">
        <v>35</v>
      </c>
      <c r="T2914" t="str">
        <f t="shared" si="90"/>
        <v>2-week</v>
      </c>
      <c r="U2914">
        <f>VLOOKUP(T2914,[1]tablescore!$B$3:$C$8, 2,FALSE)</f>
        <v>26</v>
      </c>
      <c r="V2914" t="str">
        <f t="shared" si="91"/>
        <v>Loyal</v>
      </c>
      <c r="W2914" t="s">
        <v>77</v>
      </c>
    </row>
    <row r="2915" spans="1:23" x14ac:dyDescent="0.25">
      <c r="A2915">
        <v>2914</v>
      </c>
      <c r="B2915">
        <v>43</v>
      </c>
      <c r="C2915" t="str" cm="1">
        <f t="array" ref="C2915">_xlfn.IFS(
  AND(B2915&gt;=18, B2915&lt;=24), "18-24",
  AND(B2915&gt;=25, B2915&lt;=34), "25-34",
  AND(B2915&gt;=35, B2915&lt;=44), "35-44",
  AND(B2915&gt;=45, B2915&lt;=54), "45-54",
  B2915&gt;=55, "55+"
)</f>
        <v>35-44</v>
      </c>
      <c r="D2915" t="s">
        <v>153</v>
      </c>
      <c r="E2915" t="s">
        <v>64</v>
      </c>
      <c r="F2915" t="s">
        <v>65</v>
      </c>
      <c r="G2915">
        <v>83</v>
      </c>
      <c r="H2915" t="s">
        <v>52</v>
      </c>
      <c r="I2915" t="s">
        <v>23</v>
      </c>
      <c r="J2915" t="s">
        <v>109</v>
      </c>
      <c r="K2915" t="s">
        <v>25</v>
      </c>
      <c r="L2915">
        <v>3.5</v>
      </c>
      <c r="M2915" t="s">
        <v>152</v>
      </c>
      <c r="N2915" t="s">
        <v>59</v>
      </c>
      <c r="O2915" t="s">
        <v>28</v>
      </c>
      <c r="P2915" t="s">
        <v>152</v>
      </c>
      <c r="Q2915" t="s">
        <v>152</v>
      </c>
      <c r="R2915">
        <v>12</v>
      </c>
      <c r="S2915" t="s">
        <v>35</v>
      </c>
      <c r="T2915" t="str">
        <f t="shared" si="90"/>
        <v>Quarterly</v>
      </c>
      <c r="U2915">
        <f>VLOOKUP(T2915,[1]tablescore!$B$3:$C$8, 2,FALSE)</f>
        <v>4</v>
      </c>
      <c r="V2915" t="str">
        <f t="shared" si="91"/>
        <v>Low Loyalty</v>
      </c>
      <c r="W2915" t="s">
        <v>97</v>
      </c>
    </row>
    <row r="2916" spans="1:23" x14ac:dyDescent="0.25">
      <c r="A2916">
        <v>2915</v>
      </c>
      <c r="B2916">
        <v>45</v>
      </c>
      <c r="C2916" t="str" cm="1">
        <f t="array" ref="C2916">_xlfn.IFS(
  AND(B2916&gt;=18, B2916&lt;=24), "18-24",
  AND(B2916&gt;=25, B2916&lt;=34), "25-34",
  AND(B2916&gt;=35, B2916&lt;=44), "35-44",
  AND(B2916&gt;=45, B2916&lt;=54), "45-54",
  B2916&gt;=55, "55+"
)</f>
        <v>45-54</v>
      </c>
      <c r="D2916" t="s">
        <v>153</v>
      </c>
      <c r="E2916" t="s">
        <v>31</v>
      </c>
      <c r="F2916" t="s">
        <v>21</v>
      </c>
      <c r="G2916">
        <v>72</v>
      </c>
      <c r="H2916" t="s">
        <v>141</v>
      </c>
      <c r="I2916" t="s">
        <v>45</v>
      </c>
      <c r="J2916" t="s">
        <v>139</v>
      </c>
      <c r="K2916" t="s">
        <v>58</v>
      </c>
      <c r="L2916">
        <v>3.8</v>
      </c>
      <c r="M2916" t="s">
        <v>152</v>
      </c>
      <c r="N2916" t="s">
        <v>46</v>
      </c>
      <c r="O2916" t="s">
        <v>28</v>
      </c>
      <c r="P2916" t="s">
        <v>152</v>
      </c>
      <c r="Q2916" t="s">
        <v>152</v>
      </c>
      <c r="R2916">
        <v>1</v>
      </c>
      <c r="S2916" t="s">
        <v>59</v>
      </c>
      <c r="T2916" t="str">
        <f t="shared" si="90"/>
        <v>2-week</v>
      </c>
      <c r="U2916">
        <f>VLOOKUP(T2916,[1]tablescore!$B$3:$C$8, 2,FALSE)</f>
        <v>26</v>
      </c>
      <c r="V2916" t="str">
        <f t="shared" si="91"/>
        <v>Loyal</v>
      </c>
      <c r="W2916" t="s">
        <v>77</v>
      </c>
    </row>
    <row r="2917" spans="1:23" x14ac:dyDescent="0.25">
      <c r="A2917">
        <v>2916</v>
      </c>
      <c r="B2917">
        <v>26</v>
      </c>
      <c r="C2917" t="str" cm="1">
        <f t="array" ref="C2917">_xlfn.IFS(
  AND(B2917&gt;=18, B2917&lt;=24), "18-24",
  AND(B2917&gt;=25, B2917&lt;=34), "25-34",
  AND(B2917&gt;=35, B2917&lt;=44), "35-44",
  AND(B2917&gt;=45, B2917&lt;=54), "45-54",
  B2917&gt;=55, "55+"
)</f>
        <v>25-34</v>
      </c>
      <c r="D2917" t="s">
        <v>153</v>
      </c>
      <c r="E2917" t="s">
        <v>56</v>
      </c>
      <c r="F2917" t="s">
        <v>21</v>
      </c>
      <c r="G2917">
        <v>30</v>
      </c>
      <c r="H2917" t="s">
        <v>48</v>
      </c>
      <c r="I2917" t="s">
        <v>45</v>
      </c>
      <c r="J2917" t="s">
        <v>109</v>
      </c>
      <c r="K2917" t="s">
        <v>58</v>
      </c>
      <c r="L2917">
        <v>4.5</v>
      </c>
      <c r="M2917" t="s">
        <v>152</v>
      </c>
      <c r="N2917" t="s">
        <v>27</v>
      </c>
      <c r="O2917" t="s">
        <v>28</v>
      </c>
      <c r="P2917" t="s">
        <v>152</v>
      </c>
      <c r="Q2917" t="s">
        <v>152</v>
      </c>
      <c r="R2917">
        <v>39</v>
      </c>
      <c r="S2917" t="s">
        <v>59</v>
      </c>
      <c r="T2917" t="str">
        <f t="shared" si="90"/>
        <v>2-week</v>
      </c>
      <c r="U2917">
        <f>VLOOKUP(T2917,[1]tablescore!$B$3:$C$8, 2,FALSE)</f>
        <v>26</v>
      </c>
      <c r="V2917" t="str">
        <f t="shared" si="91"/>
        <v>Loyal</v>
      </c>
      <c r="W2917" t="s">
        <v>77</v>
      </c>
    </row>
    <row r="2918" spans="1:23" x14ac:dyDescent="0.25">
      <c r="A2918">
        <v>2917</v>
      </c>
      <c r="B2918">
        <v>62</v>
      </c>
      <c r="C2918" t="str" cm="1">
        <f t="array" ref="C2918">_xlfn.IFS(
  AND(B2918&gt;=18, B2918&lt;=24), "18-24",
  AND(B2918&gt;=25, B2918&lt;=34), "25-34",
  AND(B2918&gt;=35, B2918&lt;=44), "35-44",
  AND(B2918&gt;=45, B2918&lt;=54), "45-54",
  B2918&gt;=55, "55+"
)</f>
        <v>55+</v>
      </c>
      <c r="D2918" t="s">
        <v>153</v>
      </c>
      <c r="E2918" t="s">
        <v>61</v>
      </c>
      <c r="F2918" t="s">
        <v>21</v>
      </c>
      <c r="G2918">
        <v>66</v>
      </c>
      <c r="H2918" t="s">
        <v>101</v>
      </c>
      <c r="I2918" t="s">
        <v>45</v>
      </c>
      <c r="J2918" t="s">
        <v>96</v>
      </c>
      <c r="K2918" t="s">
        <v>25</v>
      </c>
      <c r="L2918">
        <v>2.7</v>
      </c>
      <c r="M2918" t="s">
        <v>152</v>
      </c>
      <c r="N2918" t="s">
        <v>27</v>
      </c>
      <c r="O2918" t="s">
        <v>28</v>
      </c>
      <c r="P2918" t="s">
        <v>152</v>
      </c>
      <c r="Q2918" t="s">
        <v>152</v>
      </c>
      <c r="R2918">
        <v>13</v>
      </c>
      <c r="S2918" t="s">
        <v>27</v>
      </c>
      <c r="T2918" t="str">
        <f t="shared" si="90"/>
        <v>2-week</v>
      </c>
      <c r="U2918">
        <f>VLOOKUP(T2918,[1]tablescore!$B$3:$C$8, 2,FALSE)</f>
        <v>26</v>
      </c>
      <c r="V2918" t="str">
        <f t="shared" si="91"/>
        <v>Loyal</v>
      </c>
      <c r="W2918" t="s">
        <v>77</v>
      </c>
    </row>
    <row r="2919" spans="1:23" x14ac:dyDescent="0.25">
      <c r="A2919">
        <v>2918</v>
      </c>
      <c r="B2919">
        <v>58</v>
      </c>
      <c r="C2919" t="str" cm="1">
        <f t="array" ref="C2919">_xlfn.IFS(
  AND(B2919&gt;=18, B2919&lt;=24), "18-24",
  AND(B2919&gt;=25, B2919&lt;=34), "25-34",
  AND(B2919&gt;=35, B2919&lt;=44), "35-44",
  AND(B2919&gt;=45, B2919&lt;=54), "45-54",
  B2919&gt;=55, "55+"
)</f>
        <v>55+</v>
      </c>
      <c r="D2919" t="s">
        <v>153</v>
      </c>
      <c r="E2919" t="s">
        <v>56</v>
      </c>
      <c r="F2919" t="s">
        <v>21</v>
      </c>
      <c r="G2919">
        <v>45</v>
      </c>
      <c r="H2919" t="s">
        <v>112</v>
      </c>
      <c r="I2919" t="s">
        <v>92</v>
      </c>
      <c r="J2919" t="s">
        <v>53</v>
      </c>
      <c r="K2919" t="s">
        <v>25</v>
      </c>
      <c r="L2919">
        <v>2.9</v>
      </c>
      <c r="M2919" t="s">
        <v>152</v>
      </c>
      <c r="N2919" t="s">
        <v>35</v>
      </c>
      <c r="O2919" t="s">
        <v>76</v>
      </c>
      <c r="P2919" t="s">
        <v>152</v>
      </c>
      <c r="Q2919" t="s">
        <v>152</v>
      </c>
      <c r="R2919">
        <v>50</v>
      </c>
      <c r="S2919" t="s">
        <v>29</v>
      </c>
      <c r="T2919" t="str">
        <f t="shared" si="90"/>
        <v>Annually</v>
      </c>
      <c r="U2919">
        <f>VLOOKUP(T2919,[1]tablescore!$B$3:$C$8, 2,FALSE)</f>
        <v>1</v>
      </c>
      <c r="V2919" t="str">
        <f t="shared" si="91"/>
        <v>Low Loyalty</v>
      </c>
      <c r="W2919" t="s">
        <v>50</v>
      </c>
    </row>
    <row r="2920" spans="1:23" x14ac:dyDescent="0.25">
      <c r="A2920">
        <v>2919</v>
      </c>
      <c r="B2920">
        <v>19</v>
      </c>
      <c r="C2920" t="str" cm="1">
        <f t="array" ref="C2920">_xlfn.IFS(
  AND(B2920&gt;=18, B2920&lt;=24), "18-24",
  AND(B2920&gt;=25, B2920&lt;=34), "25-34",
  AND(B2920&gt;=35, B2920&lt;=44), "35-44",
  AND(B2920&gt;=45, B2920&lt;=54), "45-54",
  B2920&gt;=55, "55+"
)</f>
        <v>18-24</v>
      </c>
      <c r="D2920" t="s">
        <v>153</v>
      </c>
      <c r="E2920" t="s">
        <v>89</v>
      </c>
      <c r="F2920" t="s">
        <v>69</v>
      </c>
      <c r="G2920">
        <v>73</v>
      </c>
      <c r="H2920" t="s">
        <v>85</v>
      </c>
      <c r="I2920" t="s">
        <v>38</v>
      </c>
      <c r="J2920" t="s">
        <v>94</v>
      </c>
      <c r="K2920" t="s">
        <v>58</v>
      </c>
      <c r="L2920">
        <v>4.9000000000000004</v>
      </c>
      <c r="M2920" t="s">
        <v>152</v>
      </c>
      <c r="N2920" t="s">
        <v>27</v>
      </c>
      <c r="O2920" t="s">
        <v>40</v>
      </c>
      <c r="P2920" t="s">
        <v>152</v>
      </c>
      <c r="Q2920" t="s">
        <v>152</v>
      </c>
      <c r="R2920">
        <v>36</v>
      </c>
      <c r="S2920" t="s">
        <v>35</v>
      </c>
      <c r="T2920" t="str">
        <f t="shared" si="90"/>
        <v>Daily</v>
      </c>
      <c r="U2920">
        <f>VLOOKUP(T2920,[1]tablescore!$B$3:$C$8, 2,FALSE)</f>
        <v>30</v>
      </c>
      <c r="V2920" t="str">
        <f t="shared" si="91"/>
        <v>Highly Loyal</v>
      </c>
      <c r="W2920" t="s">
        <v>41</v>
      </c>
    </row>
    <row r="2921" spans="1:23" x14ac:dyDescent="0.25">
      <c r="A2921">
        <v>2920</v>
      </c>
      <c r="B2921">
        <v>64</v>
      </c>
      <c r="C2921" t="str" cm="1">
        <f t="array" ref="C2921">_xlfn.IFS(
  AND(B2921&gt;=18, B2921&lt;=24), "18-24",
  AND(B2921&gt;=25, B2921&lt;=34), "25-34",
  AND(B2921&gt;=35, B2921&lt;=44), "35-44",
  AND(B2921&gt;=45, B2921&lt;=54), "45-54",
  B2921&gt;=55, "55+"
)</f>
        <v>55+</v>
      </c>
      <c r="D2921" t="s">
        <v>153</v>
      </c>
      <c r="E2921" t="s">
        <v>73</v>
      </c>
      <c r="F2921" t="s">
        <v>43</v>
      </c>
      <c r="G2921">
        <v>67</v>
      </c>
      <c r="H2921" t="s">
        <v>134</v>
      </c>
      <c r="I2921" t="s">
        <v>23</v>
      </c>
      <c r="J2921" t="s">
        <v>63</v>
      </c>
      <c r="K2921" t="s">
        <v>25</v>
      </c>
      <c r="L2921">
        <v>3.8</v>
      </c>
      <c r="M2921" t="s">
        <v>152</v>
      </c>
      <c r="N2921" t="s">
        <v>34</v>
      </c>
      <c r="O2921" t="s">
        <v>55</v>
      </c>
      <c r="P2921" t="s">
        <v>152</v>
      </c>
      <c r="Q2921" t="s">
        <v>152</v>
      </c>
      <c r="R2921">
        <v>31</v>
      </c>
      <c r="S2921" t="s">
        <v>59</v>
      </c>
      <c r="T2921" t="str">
        <f t="shared" si="90"/>
        <v>Month</v>
      </c>
      <c r="U2921">
        <f>VLOOKUP(T2921,[1]tablescore!$B$3:$C$8, 2,FALSE)</f>
        <v>12</v>
      </c>
      <c r="V2921" t="str">
        <f t="shared" si="91"/>
        <v>Moderate</v>
      </c>
      <c r="W2921" t="s">
        <v>88</v>
      </c>
    </row>
    <row r="2922" spans="1:23" x14ac:dyDescent="0.25">
      <c r="A2922">
        <v>2921</v>
      </c>
      <c r="B2922">
        <v>33</v>
      </c>
      <c r="C2922" t="str" cm="1">
        <f t="array" ref="C2922">_xlfn.IFS(
  AND(B2922&gt;=18, B2922&lt;=24), "18-24",
  AND(B2922&gt;=25, B2922&lt;=34), "25-34",
  AND(B2922&gt;=35, B2922&lt;=44), "35-44",
  AND(B2922&gt;=45, B2922&lt;=54), "45-54",
  B2922&gt;=55, "55+"
)</f>
        <v>25-34</v>
      </c>
      <c r="D2922" t="s">
        <v>153</v>
      </c>
      <c r="E2922" t="s">
        <v>89</v>
      </c>
      <c r="F2922" t="s">
        <v>69</v>
      </c>
      <c r="G2922">
        <v>72</v>
      </c>
      <c r="H2922" t="s">
        <v>105</v>
      </c>
      <c r="I2922" t="s">
        <v>92</v>
      </c>
      <c r="J2922" t="s">
        <v>110</v>
      </c>
      <c r="K2922" t="s">
        <v>39</v>
      </c>
      <c r="L2922">
        <v>4.9000000000000004</v>
      </c>
      <c r="M2922" t="s">
        <v>152</v>
      </c>
      <c r="N2922" t="s">
        <v>29</v>
      </c>
      <c r="O2922" t="s">
        <v>40</v>
      </c>
      <c r="P2922" t="s">
        <v>152</v>
      </c>
      <c r="Q2922" t="s">
        <v>152</v>
      </c>
      <c r="R2922">
        <v>3</v>
      </c>
      <c r="S2922" t="s">
        <v>59</v>
      </c>
      <c r="T2922" t="str">
        <f t="shared" si="90"/>
        <v>2-week</v>
      </c>
      <c r="U2922">
        <f>VLOOKUP(T2922,[1]tablescore!$B$3:$C$8, 2,FALSE)</f>
        <v>26</v>
      </c>
      <c r="V2922" t="str">
        <f t="shared" si="91"/>
        <v>Loyal</v>
      </c>
      <c r="W2922" t="s">
        <v>77</v>
      </c>
    </row>
    <row r="2923" spans="1:23" x14ac:dyDescent="0.25">
      <c r="A2923">
        <v>2922</v>
      </c>
      <c r="B2923">
        <v>20</v>
      </c>
      <c r="C2923" t="str" cm="1">
        <f t="array" ref="C2923">_xlfn.IFS(
  AND(B2923&gt;=18, B2923&lt;=24), "18-24",
  AND(B2923&gt;=25, B2923&lt;=34), "25-34",
  AND(B2923&gt;=35, B2923&lt;=44), "35-44",
  AND(B2923&gt;=45, B2923&lt;=54), "45-54",
  B2923&gt;=55, "55+"
)</f>
        <v>18-24</v>
      </c>
      <c r="D2923" t="s">
        <v>153</v>
      </c>
      <c r="E2923" t="s">
        <v>68</v>
      </c>
      <c r="F2923" t="s">
        <v>69</v>
      </c>
      <c r="G2923">
        <v>24</v>
      </c>
      <c r="H2923" t="s">
        <v>148</v>
      </c>
      <c r="I2923" t="s">
        <v>45</v>
      </c>
      <c r="J2923" t="s">
        <v>109</v>
      </c>
      <c r="K2923" t="s">
        <v>58</v>
      </c>
      <c r="L2923">
        <v>4.5999999999999996</v>
      </c>
      <c r="M2923" t="s">
        <v>152</v>
      </c>
      <c r="N2923" t="s">
        <v>29</v>
      </c>
      <c r="O2923" t="s">
        <v>55</v>
      </c>
      <c r="P2923" t="s">
        <v>152</v>
      </c>
      <c r="Q2923" t="s">
        <v>152</v>
      </c>
      <c r="R2923">
        <v>11</v>
      </c>
      <c r="S2923" t="s">
        <v>35</v>
      </c>
      <c r="T2923" t="str">
        <f t="shared" si="90"/>
        <v>2-week</v>
      </c>
      <c r="U2923">
        <f>VLOOKUP(T2923,[1]tablescore!$B$3:$C$8, 2,FALSE)</f>
        <v>26</v>
      </c>
      <c r="V2923" t="str">
        <f t="shared" si="91"/>
        <v>Loyal</v>
      </c>
      <c r="W2923" t="s">
        <v>30</v>
      </c>
    </row>
    <row r="2924" spans="1:23" x14ac:dyDescent="0.25">
      <c r="A2924">
        <v>2923</v>
      </c>
      <c r="B2924">
        <v>45</v>
      </c>
      <c r="C2924" t="str" cm="1">
        <f t="array" ref="C2924">_xlfn.IFS(
  AND(B2924&gt;=18, B2924&lt;=24), "18-24",
  AND(B2924&gt;=25, B2924&lt;=34), "25-34",
  AND(B2924&gt;=35, B2924&lt;=44), "35-44",
  AND(B2924&gt;=45, B2924&lt;=54), "45-54",
  B2924&gt;=55, "55+"
)</f>
        <v>45-54</v>
      </c>
      <c r="D2924" t="s">
        <v>153</v>
      </c>
      <c r="E2924" t="s">
        <v>89</v>
      </c>
      <c r="F2924" t="s">
        <v>69</v>
      </c>
      <c r="G2924">
        <v>68</v>
      </c>
      <c r="H2924" t="s">
        <v>22</v>
      </c>
      <c r="I2924" t="s">
        <v>23</v>
      </c>
      <c r="J2924" t="s">
        <v>118</v>
      </c>
      <c r="K2924" t="s">
        <v>25</v>
      </c>
      <c r="L2924">
        <v>3.5</v>
      </c>
      <c r="M2924" t="s">
        <v>152</v>
      </c>
      <c r="N2924" t="s">
        <v>29</v>
      </c>
      <c r="O2924" t="s">
        <v>28</v>
      </c>
      <c r="P2924" t="s">
        <v>152</v>
      </c>
      <c r="Q2924" t="s">
        <v>152</v>
      </c>
      <c r="R2924">
        <v>16</v>
      </c>
      <c r="S2924" t="s">
        <v>46</v>
      </c>
      <c r="T2924" t="str">
        <f t="shared" si="90"/>
        <v>Quarterly</v>
      </c>
      <c r="U2924">
        <f>VLOOKUP(T2924,[1]tablescore!$B$3:$C$8, 2,FALSE)</f>
        <v>4</v>
      </c>
      <c r="V2924" t="str">
        <f t="shared" si="91"/>
        <v>Low Loyalty</v>
      </c>
      <c r="W2924" t="s">
        <v>60</v>
      </c>
    </row>
    <row r="2925" spans="1:23" x14ac:dyDescent="0.25">
      <c r="A2925">
        <v>2924</v>
      </c>
      <c r="B2925">
        <v>28</v>
      </c>
      <c r="C2925" t="str" cm="1">
        <f t="array" ref="C2925">_xlfn.IFS(
  AND(B2925&gt;=18, B2925&lt;=24), "18-24",
  AND(B2925&gt;=25, B2925&lt;=34), "25-34",
  AND(B2925&gt;=35, B2925&lt;=44), "35-44",
  AND(B2925&gt;=45, B2925&lt;=54), "45-54",
  B2925&gt;=55, "55+"
)</f>
        <v>25-34</v>
      </c>
      <c r="D2925" t="s">
        <v>153</v>
      </c>
      <c r="E2925" t="s">
        <v>56</v>
      </c>
      <c r="F2925" t="s">
        <v>21</v>
      </c>
      <c r="G2925">
        <v>70</v>
      </c>
      <c r="H2925" t="s">
        <v>141</v>
      </c>
      <c r="I2925" t="s">
        <v>45</v>
      </c>
      <c r="J2925" t="s">
        <v>147</v>
      </c>
      <c r="K2925" t="s">
        <v>39</v>
      </c>
      <c r="L2925">
        <v>4.2</v>
      </c>
      <c r="M2925" t="s">
        <v>152</v>
      </c>
      <c r="N2925" t="s">
        <v>34</v>
      </c>
      <c r="O2925" t="s">
        <v>72</v>
      </c>
      <c r="P2925" t="s">
        <v>152</v>
      </c>
      <c r="Q2925" t="s">
        <v>152</v>
      </c>
      <c r="R2925">
        <v>12</v>
      </c>
      <c r="S2925" t="s">
        <v>35</v>
      </c>
      <c r="T2925" t="str">
        <f t="shared" si="90"/>
        <v>Quarterly</v>
      </c>
      <c r="U2925">
        <f>VLOOKUP(T2925,[1]tablescore!$B$3:$C$8, 2,FALSE)</f>
        <v>4</v>
      </c>
      <c r="V2925" t="str">
        <f t="shared" si="91"/>
        <v>Low Loyalty</v>
      </c>
      <c r="W2925" t="s">
        <v>60</v>
      </c>
    </row>
    <row r="2926" spans="1:23" x14ac:dyDescent="0.25">
      <c r="A2926">
        <v>2925</v>
      </c>
      <c r="B2926">
        <v>47</v>
      </c>
      <c r="C2926" t="str" cm="1">
        <f t="array" ref="C2926">_xlfn.IFS(
  AND(B2926&gt;=18, B2926&lt;=24), "18-24",
  AND(B2926&gt;=25, B2926&lt;=34), "25-34",
  AND(B2926&gt;=35, B2926&lt;=44), "35-44",
  AND(B2926&gt;=45, B2926&lt;=54), "45-54",
  B2926&gt;=55, "55+"
)</f>
        <v>45-54</v>
      </c>
      <c r="D2926" t="s">
        <v>153</v>
      </c>
      <c r="E2926" t="s">
        <v>56</v>
      </c>
      <c r="F2926" t="s">
        <v>21</v>
      </c>
      <c r="G2926">
        <v>64</v>
      </c>
      <c r="H2926" t="s">
        <v>44</v>
      </c>
      <c r="I2926" t="s">
        <v>23</v>
      </c>
      <c r="J2926" t="s">
        <v>129</v>
      </c>
      <c r="K2926" t="s">
        <v>25</v>
      </c>
      <c r="L2926">
        <v>3.7</v>
      </c>
      <c r="M2926" t="s">
        <v>152</v>
      </c>
      <c r="N2926" t="s">
        <v>34</v>
      </c>
      <c r="O2926" t="s">
        <v>40</v>
      </c>
      <c r="P2926" t="s">
        <v>152</v>
      </c>
      <c r="Q2926" t="s">
        <v>152</v>
      </c>
      <c r="R2926">
        <v>37</v>
      </c>
      <c r="S2926" t="s">
        <v>59</v>
      </c>
      <c r="T2926" t="str">
        <f t="shared" si="90"/>
        <v>Quarterly</v>
      </c>
      <c r="U2926">
        <f>VLOOKUP(T2926,[1]tablescore!$B$3:$C$8, 2,FALSE)</f>
        <v>4</v>
      </c>
      <c r="V2926" t="str">
        <f t="shared" si="91"/>
        <v>Low Loyalty</v>
      </c>
      <c r="W2926" t="s">
        <v>97</v>
      </c>
    </row>
    <row r="2927" spans="1:23" x14ac:dyDescent="0.25">
      <c r="A2927">
        <v>2926</v>
      </c>
      <c r="B2927">
        <v>54</v>
      </c>
      <c r="C2927" t="str" cm="1">
        <f t="array" ref="C2927">_xlfn.IFS(
  AND(B2927&gt;=18, B2927&lt;=24), "18-24",
  AND(B2927&gt;=25, B2927&lt;=34), "25-34",
  AND(B2927&gt;=35, B2927&lt;=44), "35-44",
  AND(B2927&gt;=45, B2927&lt;=54), "45-54",
  B2927&gt;=55, "55+"
)</f>
        <v>45-54</v>
      </c>
      <c r="D2927" t="s">
        <v>153</v>
      </c>
      <c r="E2927" t="s">
        <v>31</v>
      </c>
      <c r="F2927" t="s">
        <v>21</v>
      </c>
      <c r="G2927">
        <v>91</v>
      </c>
      <c r="H2927" t="s">
        <v>115</v>
      </c>
      <c r="I2927" t="s">
        <v>45</v>
      </c>
      <c r="J2927" t="s">
        <v>33</v>
      </c>
      <c r="K2927" t="s">
        <v>39</v>
      </c>
      <c r="L2927">
        <v>2.8</v>
      </c>
      <c r="M2927" t="s">
        <v>152</v>
      </c>
      <c r="N2927" t="s">
        <v>35</v>
      </c>
      <c r="O2927" t="s">
        <v>76</v>
      </c>
      <c r="P2927" t="s">
        <v>152</v>
      </c>
      <c r="Q2927" t="s">
        <v>152</v>
      </c>
      <c r="R2927">
        <v>43</v>
      </c>
      <c r="S2927" t="s">
        <v>27</v>
      </c>
      <c r="T2927" t="str">
        <f t="shared" si="90"/>
        <v>Quarterly</v>
      </c>
      <c r="U2927">
        <f>VLOOKUP(T2927,[1]tablescore!$B$3:$C$8, 2,FALSE)</f>
        <v>4</v>
      </c>
      <c r="V2927" t="str">
        <f t="shared" si="91"/>
        <v>Low Loyalty</v>
      </c>
      <c r="W2927" t="s">
        <v>97</v>
      </c>
    </row>
    <row r="2928" spans="1:23" x14ac:dyDescent="0.25">
      <c r="A2928">
        <v>2927</v>
      </c>
      <c r="B2928">
        <v>64</v>
      </c>
      <c r="C2928" t="str" cm="1">
        <f t="array" ref="C2928">_xlfn.IFS(
  AND(B2928&gt;=18, B2928&lt;=24), "18-24",
  AND(B2928&gt;=25, B2928&lt;=34), "25-34",
  AND(B2928&gt;=35, B2928&lt;=44), "35-44",
  AND(B2928&gt;=45, B2928&lt;=54), "45-54",
  B2928&gt;=55, "55+"
)</f>
        <v>55+</v>
      </c>
      <c r="D2928" t="s">
        <v>153</v>
      </c>
      <c r="E2928" t="s">
        <v>68</v>
      </c>
      <c r="F2928" t="s">
        <v>69</v>
      </c>
      <c r="G2928">
        <v>82</v>
      </c>
      <c r="H2928" t="s">
        <v>135</v>
      </c>
      <c r="I2928" t="s">
        <v>45</v>
      </c>
      <c r="J2928" t="s">
        <v>24</v>
      </c>
      <c r="K2928" t="s">
        <v>25</v>
      </c>
      <c r="L2928">
        <v>4.8</v>
      </c>
      <c r="M2928" t="s">
        <v>152</v>
      </c>
      <c r="N2928" t="s">
        <v>59</v>
      </c>
      <c r="O2928" t="s">
        <v>72</v>
      </c>
      <c r="P2928" t="s">
        <v>152</v>
      </c>
      <c r="Q2928" t="s">
        <v>152</v>
      </c>
      <c r="R2928">
        <v>9</v>
      </c>
      <c r="S2928" t="s">
        <v>35</v>
      </c>
      <c r="T2928" t="str">
        <f t="shared" si="90"/>
        <v>Daily</v>
      </c>
      <c r="U2928">
        <f>VLOOKUP(T2928,[1]tablescore!$B$3:$C$8, 2,FALSE)</f>
        <v>30</v>
      </c>
      <c r="V2928" t="str">
        <f t="shared" si="91"/>
        <v>Highly Loyal</v>
      </c>
      <c r="W2928" t="s">
        <v>41</v>
      </c>
    </row>
    <row r="2929" spans="1:23" x14ac:dyDescent="0.25">
      <c r="A2929">
        <v>2928</v>
      </c>
      <c r="B2929">
        <v>45</v>
      </c>
      <c r="C2929" t="str" cm="1">
        <f t="array" ref="C2929">_xlfn.IFS(
  AND(B2929&gt;=18, B2929&lt;=24), "18-24",
  AND(B2929&gt;=25, B2929&lt;=34), "25-34",
  AND(B2929&gt;=35, B2929&lt;=44), "35-44",
  AND(B2929&gt;=45, B2929&lt;=54), "45-54",
  B2929&gt;=55, "55+"
)</f>
        <v>45-54</v>
      </c>
      <c r="D2929" t="s">
        <v>153</v>
      </c>
      <c r="E2929" t="s">
        <v>56</v>
      </c>
      <c r="F2929" t="s">
        <v>21</v>
      </c>
      <c r="G2929">
        <v>24</v>
      </c>
      <c r="H2929" t="s">
        <v>70</v>
      </c>
      <c r="I2929" t="s">
        <v>45</v>
      </c>
      <c r="J2929" t="s">
        <v>94</v>
      </c>
      <c r="K2929" t="s">
        <v>54</v>
      </c>
      <c r="L2929">
        <v>2.7</v>
      </c>
      <c r="M2929" t="s">
        <v>152</v>
      </c>
      <c r="N2929" t="s">
        <v>59</v>
      </c>
      <c r="O2929" t="s">
        <v>28</v>
      </c>
      <c r="P2929" t="s">
        <v>152</v>
      </c>
      <c r="Q2929" t="s">
        <v>152</v>
      </c>
      <c r="R2929">
        <v>15</v>
      </c>
      <c r="S2929" t="s">
        <v>29</v>
      </c>
      <c r="T2929" t="str">
        <f t="shared" si="90"/>
        <v>2-week</v>
      </c>
      <c r="U2929">
        <f>VLOOKUP(T2929,[1]tablescore!$B$3:$C$8, 2,FALSE)</f>
        <v>26</v>
      </c>
      <c r="V2929" t="str">
        <f t="shared" si="91"/>
        <v>Loyal</v>
      </c>
      <c r="W2929" t="s">
        <v>77</v>
      </c>
    </row>
    <row r="2930" spans="1:23" x14ac:dyDescent="0.25">
      <c r="A2930">
        <v>2929</v>
      </c>
      <c r="B2930">
        <v>40</v>
      </c>
      <c r="C2930" t="str" cm="1">
        <f t="array" ref="C2930">_xlfn.IFS(
  AND(B2930&gt;=18, B2930&lt;=24), "18-24",
  AND(B2930&gt;=25, B2930&lt;=34), "25-34",
  AND(B2930&gt;=35, B2930&lt;=44), "35-44",
  AND(B2930&gt;=45, B2930&lt;=54), "45-54",
  B2930&gt;=55, "55+"
)</f>
        <v>35-44</v>
      </c>
      <c r="D2930" t="s">
        <v>153</v>
      </c>
      <c r="E2930" t="s">
        <v>106</v>
      </c>
      <c r="F2930" t="s">
        <v>69</v>
      </c>
      <c r="G2930">
        <v>80</v>
      </c>
      <c r="H2930" t="s">
        <v>90</v>
      </c>
      <c r="I2930" t="s">
        <v>23</v>
      </c>
      <c r="J2930" t="s">
        <v>139</v>
      </c>
      <c r="K2930" t="s">
        <v>39</v>
      </c>
      <c r="L2930">
        <v>3.6</v>
      </c>
      <c r="M2930" t="s">
        <v>152</v>
      </c>
      <c r="N2930" t="s">
        <v>29</v>
      </c>
      <c r="O2930" t="s">
        <v>76</v>
      </c>
      <c r="P2930" t="s">
        <v>152</v>
      </c>
      <c r="Q2930" t="s">
        <v>152</v>
      </c>
      <c r="R2930">
        <v>17</v>
      </c>
      <c r="S2930" t="s">
        <v>27</v>
      </c>
      <c r="T2930" t="str">
        <f t="shared" si="90"/>
        <v>Daily</v>
      </c>
      <c r="U2930">
        <f>VLOOKUP(T2930,[1]tablescore!$B$3:$C$8, 2,FALSE)</f>
        <v>30</v>
      </c>
      <c r="V2930" t="str">
        <f t="shared" si="91"/>
        <v>Highly Loyal</v>
      </c>
      <c r="W2930" t="s">
        <v>41</v>
      </c>
    </row>
    <row r="2931" spans="1:23" x14ac:dyDescent="0.25">
      <c r="A2931">
        <v>2930</v>
      </c>
      <c r="B2931">
        <v>31</v>
      </c>
      <c r="C2931" t="str" cm="1">
        <f t="array" ref="C2931">_xlfn.IFS(
  AND(B2931&gt;=18, B2931&lt;=24), "18-24",
  AND(B2931&gt;=25, B2931&lt;=34), "25-34",
  AND(B2931&gt;=35, B2931&lt;=44), "35-44",
  AND(B2931&gt;=45, B2931&lt;=54), "45-54",
  B2931&gt;=55, "55+"
)</f>
        <v>25-34</v>
      </c>
      <c r="D2931" t="s">
        <v>153</v>
      </c>
      <c r="E2931" t="s">
        <v>131</v>
      </c>
      <c r="F2931" t="s">
        <v>21</v>
      </c>
      <c r="G2931">
        <v>53</v>
      </c>
      <c r="H2931" t="s">
        <v>32</v>
      </c>
      <c r="I2931" t="s">
        <v>92</v>
      </c>
      <c r="J2931" t="s">
        <v>53</v>
      </c>
      <c r="K2931" t="s">
        <v>25</v>
      </c>
      <c r="L2931">
        <v>4.5</v>
      </c>
      <c r="M2931" t="s">
        <v>152</v>
      </c>
      <c r="N2931" t="s">
        <v>59</v>
      </c>
      <c r="O2931" t="s">
        <v>47</v>
      </c>
      <c r="P2931" t="s">
        <v>152</v>
      </c>
      <c r="Q2931" t="s">
        <v>152</v>
      </c>
      <c r="R2931">
        <v>42</v>
      </c>
      <c r="S2931" t="s">
        <v>29</v>
      </c>
      <c r="T2931" t="str">
        <f t="shared" si="90"/>
        <v>2-week</v>
      </c>
      <c r="U2931">
        <f>VLOOKUP(T2931,[1]tablescore!$B$3:$C$8, 2,FALSE)</f>
        <v>26</v>
      </c>
      <c r="V2931" t="str">
        <f t="shared" si="91"/>
        <v>Loyal</v>
      </c>
      <c r="W2931" t="s">
        <v>30</v>
      </c>
    </row>
    <row r="2932" spans="1:23" x14ac:dyDescent="0.25">
      <c r="A2932">
        <v>2931</v>
      </c>
      <c r="B2932">
        <v>38</v>
      </c>
      <c r="C2932" t="str" cm="1">
        <f t="array" ref="C2932">_xlfn.IFS(
  AND(B2932&gt;=18, B2932&lt;=24), "18-24",
  AND(B2932&gt;=25, B2932&lt;=34), "25-34",
  AND(B2932&gt;=35, B2932&lt;=44), "35-44",
  AND(B2932&gt;=45, B2932&lt;=54), "45-54",
  B2932&gt;=55, "55+"
)</f>
        <v>35-44</v>
      </c>
      <c r="D2932" t="s">
        <v>153</v>
      </c>
      <c r="E2932" t="s">
        <v>113</v>
      </c>
      <c r="F2932" t="s">
        <v>21</v>
      </c>
      <c r="G2932">
        <v>50</v>
      </c>
      <c r="H2932" t="s">
        <v>91</v>
      </c>
      <c r="I2932" t="s">
        <v>45</v>
      </c>
      <c r="J2932" t="s">
        <v>121</v>
      </c>
      <c r="K2932" t="s">
        <v>39</v>
      </c>
      <c r="L2932">
        <v>4</v>
      </c>
      <c r="M2932" t="s">
        <v>152</v>
      </c>
      <c r="N2932" t="s">
        <v>27</v>
      </c>
      <c r="O2932" t="s">
        <v>40</v>
      </c>
      <c r="P2932" t="s">
        <v>152</v>
      </c>
      <c r="Q2932" t="s">
        <v>152</v>
      </c>
      <c r="R2932">
        <v>14</v>
      </c>
      <c r="S2932" t="s">
        <v>29</v>
      </c>
      <c r="T2932" t="str">
        <f t="shared" si="90"/>
        <v>Month</v>
      </c>
      <c r="U2932">
        <f>VLOOKUP(T2932,[1]tablescore!$B$3:$C$8, 2,FALSE)</f>
        <v>12</v>
      </c>
      <c r="V2932" t="str">
        <f t="shared" si="91"/>
        <v>Moderate</v>
      </c>
      <c r="W2932" t="s">
        <v>88</v>
      </c>
    </row>
    <row r="2933" spans="1:23" x14ac:dyDescent="0.25">
      <c r="A2933">
        <v>2932</v>
      </c>
      <c r="B2933">
        <v>36</v>
      </c>
      <c r="C2933" t="str" cm="1">
        <f t="array" ref="C2933">_xlfn.IFS(
  AND(B2933&gt;=18, B2933&lt;=24), "18-24",
  AND(B2933&gt;=25, B2933&lt;=34), "25-34",
  AND(B2933&gt;=35, B2933&lt;=44), "35-44",
  AND(B2933&gt;=45, B2933&lt;=54), "45-54",
  B2933&gt;=55, "55+"
)</f>
        <v>35-44</v>
      </c>
      <c r="D2933" t="s">
        <v>153</v>
      </c>
      <c r="E2933" t="s">
        <v>106</v>
      </c>
      <c r="F2933" t="s">
        <v>69</v>
      </c>
      <c r="G2933">
        <v>31</v>
      </c>
      <c r="H2933" t="s">
        <v>90</v>
      </c>
      <c r="I2933" t="s">
        <v>45</v>
      </c>
      <c r="J2933" t="s">
        <v>147</v>
      </c>
      <c r="K2933" t="s">
        <v>58</v>
      </c>
      <c r="L2933">
        <v>4.5</v>
      </c>
      <c r="M2933" t="s">
        <v>152</v>
      </c>
      <c r="N2933" t="s">
        <v>35</v>
      </c>
      <c r="O2933" t="s">
        <v>72</v>
      </c>
      <c r="P2933" t="s">
        <v>152</v>
      </c>
      <c r="Q2933" t="s">
        <v>152</v>
      </c>
      <c r="R2933">
        <v>49</v>
      </c>
      <c r="S2933" t="s">
        <v>27</v>
      </c>
      <c r="T2933" t="str">
        <f t="shared" si="90"/>
        <v>2-week</v>
      </c>
      <c r="U2933">
        <f>VLOOKUP(T2933,[1]tablescore!$B$3:$C$8, 2,FALSE)</f>
        <v>26</v>
      </c>
      <c r="V2933" t="str">
        <f t="shared" si="91"/>
        <v>Loyal</v>
      </c>
      <c r="W2933" t="s">
        <v>77</v>
      </c>
    </row>
    <row r="2934" spans="1:23" x14ac:dyDescent="0.25">
      <c r="A2934">
        <v>2933</v>
      </c>
      <c r="B2934">
        <v>65</v>
      </c>
      <c r="C2934" t="str" cm="1">
        <f t="array" ref="C2934">_xlfn.IFS(
  AND(B2934&gt;=18, B2934&lt;=24), "18-24",
  AND(B2934&gt;=25, B2934&lt;=34), "25-34",
  AND(B2934&gt;=35, B2934&lt;=44), "35-44",
  AND(B2934&gt;=45, B2934&lt;=54), "45-54",
  B2934&gt;=55, "55+"
)</f>
        <v>55+</v>
      </c>
      <c r="D2934" t="s">
        <v>153</v>
      </c>
      <c r="E2934" t="s">
        <v>133</v>
      </c>
      <c r="F2934" t="s">
        <v>69</v>
      </c>
      <c r="G2934">
        <v>88</v>
      </c>
      <c r="H2934" t="s">
        <v>120</v>
      </c>
      <c r="I2934" t="s">
        <v>23</v>
      </c>
      <c r="J2934" t="s">
        <v>94</v>
      </c>
      <c r="K2934" t="s">
        <v>39</v>
      </c>
      <c r="L2934">
        <v>3.9</v>
      </c>
      <c r="M2934" t="s">
        <v>152</v>
      </c>
      <c r="N2934" t="s">
        <v>27</v>
      </c>
      <c r="O2934" t="s">
        <v>28</v>
      </c>
      <c r="P2934" t="s">
        <v>152</v>
      </c>
      <c r="Q2934" t="s">
        <v>152</v>
      </c>
      <c r="R2934">
        <v>3</v>
      </c>
      <c r="S2934" t="s">
        <v>46</v>
      </c>
      <c r="T2934" t="str">
        <f t="shared" si="90"/>
        <v>Quarterly</v>
      </c>
      <c r="U2934">
        <f>VLOOKUP(T2934,[1]tablescore!$B$3:$C$8, 2,FALSE)</f>
        <v>4</v>
      </c>
      <c r="V2934" t="str">
        <f t="shared" si="91"/>
        <v>Low Loyalty</v>
      </c>
      <c r="W2934" t="s">
        <v>60</v>
      </c>
    </row>
    <row r="2935" spans="1:23" x14ac:dyDescent="0.25">
      <c r="A2935">
        <v>2934</v>
      </c>
      <c r="B2935">
        <v>27</v>
      </c>
      <c r="C2935" t="str" cm="1">
        <f t="array" ref="C2935">_xlfn.IFS(
  AND(B2935&gt;=18, B2935&lt;=24), "18-24",
  AND(B2935&gt;=25, B2935&lt;=34), "25-34",
  AND(B2935&gt;=35, B2935&lt;=44), "35-44",
  AND(B2935&gt;=45, B2935&lt;=54), "45-54",
  B2935&gt;=55, "55+"
)</f>
        <v>25-34</v>
      </c>
      <c r="D2935" t="s">
        <v>153</v>
      </c>
      <c r="E2935" t="s">
        <v>125</v>
      </c>
      <c r="F2935" t="s">
        <v>69</v>
      </c>
      <c r="G2935">
        <v>52</v>
      </c>
      <c r="H2935" t="s">
        <v>115</v>
      </c>
      <c r="I2935" t="s">
        <v>45</v>
      </c>
      <c r="J2935" t="s">
        <v>110</v>
      </c>
      <c r="K2935" t="s">
        <v>54</v>
      </c>
      <c r="L2935">
        <v>3.8</v>
      </c>
      <c r="M2935" t="s">
        <v>152</v>
      </c>
      <c r="N2935" t="s">
        <v>27</v>
      </c>
      <c r="O2935" t="s">
        <v>55</v>
      </c>
      <c r="P2935" t="s">
        <v>152</v>
      </c>
      <c r="Q2935" t="s">
        <v>152</v>
      </c>
      <c r="R2935">
        <v>28</v>
      </c>
      <c r="S2935" t="s">
        <v>29</v>
      </c>
      <c r="T2935" t="str">
        <f t="shared" si="90"/>
        <v>Month</v>
      </c>
      <c r="U2935">
        <f>VLOOKUP(T2935,[1]tablescore!$B$3:$C$8, 2,FALSE)</f>
        <v>12</v>
      </c>
      <c r="V2935" t="str">
        <f t="shared" si="91"/>
        <v>Moderate</v>
      </c>
      <c r="W2935" t="s">
        <v>88</v>
      </c>
    </row>
    <row r="2936" spans="1:23" x14ac:dyDescent="0.25">
      <c r="A2936">
        <v>2935</v>
      </c>
      <c r="B2936">
        <v>38</v>
      </c>
      <c r="C2936" t="str" cm="1">
        <f t="array" ref="C2936">_xlfn.IFS(
  AND(B2936&gt;=18, B2936&lt;=24), "18-24",
  AND(B2936&gt;=25, B2936&lt;=34), "25-34",
  AND(B2936&gt;=35, B2936&lt;=44), "35-44",
  AND(B2936&gt;=45, B2936&lt;=54), "45-54",
  B2936&gt;=55, "55+"
)</f>
        <v>35-44</v>
      </c>
      <c r="D2936" t="s">
        <v>153</v>
      </c>
      <c r="E2936" t="s">
        <v>127</v>
      </c>
      <c r="F2936" t="s">
        <v>69</v>
      </c>
      <c r="G2936">
        <v>22</v>
      </c>
      <c r="H2936" t="s">
        <v>144</v>
      </c>
      <c r="I2936" t="s">
        <v>45</v>
      </c>
      <c r="J2936" t="s">
        <v>121</v>
      </c>
      <c r="K2936" t="s">
        <v>58</v>
      </c>
      <c r="L2936">
        <v>4.7</v>
      </c>
      <c r="M2936" t="s">
        <v>152</v>
      </c>
      <c r="N2936" t="s">
        <v>34</v>
      </c>
      <c r="O2936" t="s">
        <v>47</v>
      </c>
      <c r="P2936" t="s">
        <v>152</v>
      </c>
      <c r="Q2936" t="s">
        <v>152</v>
      </c>
      <c r="R2936">
        <v>41</v>
      </c>
      <c r="S2936" t="s">
        <v>34</v>
      </c>
      <c r="T2936" t="str">
        <f t="shared" si="90"/>
        <v>Quarterly</v>
      </c>
      <c r="U2936">
        <f>VLOOKUP(T2936,[1]tablescore!$B$3:$C$8, 2,FALSE)</f>
        <v>4</v>
      </c>
      <c r="V2936" t="str">
        <f t="shared" si="91"/>
        <v>Low Loyalty</v>
      </c>
      <c r="W2936" t="s">
        <v>60</v>
      </c>
    </row>
    <row r="2937" spans="1:23" x14ac:dyDescent="0.25">
      <c r="A2937">
        <v>2936</v>
      </c>
      <c r="B2937">
        <v>58</v>
      </c>
      <c r="C2937" t="str" cm="1">
        <f t="array" ref="C2937">_xlfn.IFS(
  AND(B2937&gt;=18, B2937&lt;=24), "18-24",
  AND(B2937&gt;=25, B2937&lt;=34), "25-34",
  AND(B2937&gt;=35, B2937&lt;=44), "35-44",
  AND(B2937&gt;=45, B2937&lt;=54), "45-54",
  B2937&gt;=55, "55+"
)</f>
        <v>55+</v>
      </c>
      <c r="D2937" t="s">
        <v>153</v>
      </c>
      <c r="E2937" t="s">
        <v>51</v>
      </c>
      <c r="F2937" t="s">
        <v>43</v>
      </c>
      <c r="G2937">
        <v>27</v>
      </c>
      <c r="H2937" t="s">
        <v>98</v>
      </c>
      <c r="I2937" t="s">
        <v>92</v>
      </c>
      <c r="J2937" t="s">
        <v>24</v>
      </c>
      <c r="K2937" t="s">
        <v>39</v>
      </c>
      <c r="L2937">
        <v>4.5999999999999996</v>
      </c>
      <c r="M2937" t="s">
        <v>152</v>
      </c>
      <c r="N2937" t="s">
        <v>59</v>
      </c>
      <c r="O2937" t="s">
        <v>55</v>
      </c>
      <c r="P2937" t="s">
        <v>152</v>
      </c>
      <c r="Q2937" t="s">
        <v>152</v>
      </c>
      <c r="R2937">
        <v>11</v>
      </c>
      <c r="S2937" t="s">
        <v>29</v>
      </c>
      <c r="T2937" t="str">
        <f t="shared" si="90"/>
        <v>Daily</v>
      </c>
      <c r="U2937">
        <f>VLOOKUP(T2937,[1]tablescore!$B$3:$C$8, 2,FALSE)</f>
        <v>30</v>
      </c>
      <c r="V2937" t="str">
        <f t="shared" si="91"/>
        <v>Highly Loyal</v>
      </c>
      <c r="W2937" t="s">
        <v>41</v>
      </c>
    </row>
    <row r="2938" spans="1:23" x14ac:dyDescent="0.25">
      <c r="A2938">
        <v>2937</v>
      </c>
      <c r="B2938">
        <v>31</v>
      </c>
      <c r="C2938" t="str" cm="1">
        <f t="array" ref="C2938">_xlfn.IFS(
  AND(B2938&gt;=18, B2938&lt;=24), "18-24",
  AND(B2938&gt;=25, B2938&lt;=34), "25-34",
  AND(B2938&gt;=35, B2938&lt;=44), "35-44",
  AND(B2938&gt;=45, B2938&lt;=54), "45-54",
  B2938&gt;=55, "55+"
)</f>
        <v>25-34</v>
      </c>
      <c r="D2938" t="s">
        <v>153</v>
      </c>
      <c r="E2938" t="s">
        <v>87</v>
      </c>
      <c r="F2938" t="s">
        <v>21</v>
      </c>
      <c r="G2938">
        <v>34</v>
      </c>
      <c r="H2938" t="s">
        <v>140</v>
      </c>
      <c r="I2938" t="s">
        <v>45</v>
      </c>
      <c r="J2938" t="s">
        <v>53</v>
      </c>
      <c r="K2938" t="s">
        <v>39</v>
      </c>
      <c r="L2938">
        <v>3.6</v>
      </c>
      <c r="M2938" t="s">
        <v>152</v>
      </c>
      <c r="N2938" t="s">
        <v>59</v>
      </c>
      <c r="O2938" t="s">
        <v>28</v>
      </c>
      <c r="P2938" t="s">
        <v>152</v>
      </c>
      <c r="Q2938" t="s">
        <v>152</v>
      </c>
      <c r="R2938">
        <v>46</v>
      </c>
      <c r="S2938" t="s">
        <v>46</v>
      </c>
      <c r="T2938" t="str">
        <f t="shared" si="90"/>
        <v>Daily</v>
      </c>
      <c r="U2938">
        <f>VLOOKUP(T2938,[1]tablescore!$B$3:$C$8, 2,FALSE)</f>
        <v>30</v>
      </c>
      <c r="V2938" t="str">
        <f t="shared" si="91"/>
        <v>Highly Loyal</v>
      </c>
      <c r="W2938" t="s">
        <v>41</v>
      </c>
    </row>
    <row r="2939" spans="1:23" x14ac:dyDescent="0.25">
      <c r="A2939">
        <v>2938</v>
      </c>
      <c r="B2939">
        <v>28</v>
      </c>
      <c r="C2939" t="str" cm="1">
        <f t="array" ref="C2939">_xlfn.IFS(
  AND(B2939&gt;=18, B2939&lt;=24), "18-24",
  AND(B2939&gt;=25, B2939&lt;=34), "25-34",
  AND(B2939&gt;=35, B2939&lt;=44), "35-44",
  AND(B2939&gt;=45, B2939&lt;=54), "45-54",
  B2939&gt;=55, "55+"
)</f>
        <v>25-34</v>
      </c>
      <c r="D2939" t="s">
        <v>153</v>
      </c>
      <c r="E2939" t="s">
        <v>68</v>
      </c>
      <c r="F2939" t="s">
        <v>69</v>
      </c>
      <c r="G2939">
        <v>39</v>
      </c>
      <c r="H2939" t="s">
        <v>66</v>
      </c>
      <c r="I2939" t="s">
        <v>45</v>
      </c>
      <c r="J2939" t="s">
        <v>53</v>
      </c>
      <c r="K2939" t="s">
        <v>39</v>
      </c>
      <c r="L2939">
        <v>4.3</v>
      </c>
      <c r="M2939" t="s">
        <v>152</v>
      </c>
      <c r="N2939" t="s">
        <v>59</v>
      </c>
      <c r="O2939" t="s">
        <v>72</v>
      </c>
      <c r="P2939" t="s">
        <v>152</v>
      </c>
      <c r="Q2939" t="s">
        <v>152</v>
      </c>
      <c r="R2939">
        <v>15</v>
      </c>
      <c r="S2939" t="s">
        <v>27</v>
      </c>
      <c r="T2939" t="str">
        <f t="shared" si="90"/>
        <v>Daily</v>
      </c>
      <c r="U2939">
        <f>VLOOKUP(T2939,[1]tablescore!$B$3:$C$8, 2,FALSE)</f>
        <v>30</v>
      </c>
      <c r="V2939" t="str">
        <f t="shared" si="91"/>
        <v>Highly Loyal</v>
      </c>
      <c r="W2939" t="s">
        <v>41</v>
      </c>
    </row>
    <row r="2940" spans="1:23" x14ac:dyDescent="0.25">
      <c r="A2940">
        <v>2939</v>
      </c>
      <c r="B2940">
        <v>28</v>
      </c>
      <c r="C2940" t="str" cm="1">
        <f t="array" ref="C2940">_xlfn.IFS(
  AND(B2940&gt;=18, B2940&lt;=24), "18-24",
  AND(B2940&gt;=25, B2940&lt;=34), "25-34",
  AND(B2940&gt;=35, B2940&lt;=44), "35-44",
  AND(B2940&gt;=45, B2940&lt;=54), "45-54",
  B2940&gt;=55, "55+"
)</f>
        <v>25-34</v>
      </c>
      <c r="D2940" t="s">
        <v>153</v>
      </c>
      <c r="E2940" t="s">
        <v>89</v>
      </c>
      <c r="F2940" t="s">
        <v>69</v>
      </c>
      <c r="G2940">
        <v>53</v>
      </c>
      <c r="H2940" t="s">
        <v>32</v>
      </c>
      <c r="I2940" t="s">
        <v>45</v>
      </c>
      <c r="J2940" t="s">
        <v>84</v>
      </c>
      <c r="K2940" t="s">
        <v>58</v>
      </c>
      <c r="L2940">
        <v>3</v>
      </c>
      <c r="M2940" t="s">
        <v>152</v>
      </c>
      <c r="N2940" t="s">
        <v>35</v>
      </c>
      <c r="O2940" t="s">
        <v>55</v>
      </c>
      <c r="P2940" t="s">
        <v>152</v>
      </c>
      <c r="Q2940" t="s">
        <v>152</v>
      </c>
      <c r="R2940">
        <v>15</v>
      </c>
      <c r="S2940" t="s">
        <v>35</v>
      </c>
      <c r="T2940" t="str">
        <f t="shared" si="90"/>
        <v>Month</v>
      </c>
      <c r="U2940">
        <f>VLOOKUP(T2940,[1]tablescore!$B$3:$C$8, 2,FALSE)</f>
        <v>12</v>
      </c>
      <c r="V2940" t="str">
        <f t="shared" si="91"/>
        <v>Moderate</v>
      </c>
      <c r="W2940" t="s">
        <v>88</v>
      </c>
    </row>
    <row r="2941" spans="1:23" x14ac:dyDescent="0.25">
      <c r="A2941">
        <v>2940</v>
      </c>
      <c r="B2941">
        <v>32</v>
      </c>
      <c r="C2941" t="str" cm="1">
        <f t="array" ref="C2941">_xlfn.IFS(
  AND(B2941&gt;=18, B2941&lt;=24), "18-24",
  AND(B2941&gt;=25, B2941&lt;=34), "25-34",
  AND(B2941&gt;=35, B2941&lt;=44), "35-44",
  AND(B2941&gt;=45, B2941&lt;=54), "45-54",
  B2941&gt;=55, "55+"
)</f>
        <v>25-34</v>
      </c>
      <c r="D2941" t="s">
        <v>153</v>
      </c>
      <c r="E2941" t="s">
        <v>31</v>
      </c>
      <c r="F2941" t="s">
        <v>21</v>
      </c>
      <c r="G2941">
        <v>46</v>
      </c>
      <c r="H2941" t="s">
        <v>22</v>
      </c>
      <c r="I2941" t="s">
        <v>45</v>
      </c>
      <c r="J2941" t="s">
        <v>118</v>
      </c>
      <c r="K2941" t="s">
        <v>25</v>
      </c>
      <c r="L2941">
        <v>4.3</v>
      </c>
      <c r="M2941" t="s">
        <v>152</v>
      </c>
      <c r="N2941" t="s">
        <v>46</v>
      </c>
      <c r="O2941" t="s">
        <v>28</v>
      </c>
      <c r="P2941" t="s">
        <v>152</v>
      </c>
      <c r="Q2941" t="s">
        <v>152</v>
      </c>
      <c r="R2941">
        <v>34</v>
      </c>
      <c r="S2941" t="s">
        <v>29</v>
      </c>
      <c r="T2941" t="str">
        <f t="shared" si="90"/>
        <v>Daily</v>
      </c>
      <c r="U2941">
        <f>VLOOKUP(T2941,[1]tablescore!$B$3:$C$8, 2,FALSE)</f>
        <v>30</v>
      </c>
      <c r="V2941" t="str">
        <f t="shared" si="91"/>
        <v>Highly Loyal</v>
      </c>
      <c r="W2941" t="s">
        <v>41</v>
      </c>
    </row>
    <row r="2942" spans="1:23" x14ac:dyDescent="0.25">
      <c r="A2942">
        <v>2941</v>
      </c>
      <c r="B2942">
        <v>61</v>
      </c>
      <c r="C2942" t="str" cm="1">
        <f t="array" ref="C2942">_xlfn.IFS(
  AND(B2942&gt;=18, B2942&lt;=24), "18-24",
  AND(B2942&gt;=25, B2942&lt;=34), "25-34",
  AND(B2942&gt;=35, B2942&lt;=44), "35-44",
  AND(B2942&gt;=45, B2942&lt;=54), "45-54",
  B2942&gt;=55, "55+"
)</f>
        <v>55+</v>
      </c>
      <c r="D2942" t="s">
        <v>153</v>
      </c>
      <c r="E2942" t="s">
        <v>68</v>
      </c>
      <c r="F2942" t="s">
        <v>69</v>
      </c>
      <c r="G2942">
        <v>85</v>
      </c>
      <c r="H2942" t="s">
        <v>37</v>
      </c>
      <c r="I2942" t="s">
        <v>23</v>
      </c>
      <c r="J2942" t="s">
        <v>118</v>
      </c>
      <c r="K2942" t="s">
        <v>54</v>
      </c>
      <c r="L2942">
        <v>4.8</v>
      </c>
      <c r="M2942" t="s">
        <v>152</v>
      </c>
      <c r="N2942" t="s">
        <v>29</v>
      </c>
      <c r="O2942" t="s">
        <v>47</v>
      </c>
      <c r="P2942" t="s">
        <v>152</v>
      </c>
      <c r="Q2942" t="s">
        <v>152</v>
      </c>
      <c r="R2942">
        <v>13</v>
      </c>
      <c r="S2942" t="s">
        <v>35</v>
      </c>
      <c r="T2942" t="str">
        <f t="shared" si="90"/>
        <v>Month</v>
      </c>
      <c r="U2942">
        <f>VLOOKUP(T2942,[1]tablescore!$B$3:$C$8, 2,FALSE)</f>
        <v>12</v>
      </c>
      <c r="V2942" t="str">
        <f t="shared" si="91"/>
        <v>Moderate</v>
      </c>
      <c r="W2942" t="s">
        <v>88</v>
      </c>
    </row>
    <row r="2943" spans="1:23" x14ac:dyDescent="0.25">
      <c r="A2943">
        <v>2942</v>
      </c>
      <c r="B2943">
        <v>38</v>
      </c>
      <c r="C2943" t="str" cm="1">
        <f t="array" ref="C2943">_xlfn.IFS(
  AND(B2943&gt;=18, B2943&lt;=24), "18-24",
  AND(B2943&gt;=25, B2943&lt;=34), "25-34",
  AND(B2943&gt;=35, B2943&lt;=44), "35-44",
  AND(B2943&gt;=45, B2943&lt;=54), "45-54",
  B2943&gt;=55, "55+"
)</f>
        <v>35-44</v>
      </c>
      <c r="D2943" t="s">
        <v>153</v>
      </c>
      <c r="E2943" t="s">
        <v>87</v>
      </c>
      <c r="F2943" t="s">
        <v>21</v>
      </c>
      <c r="G2943">
        <v>86</v>
      </c>
      <c r="H2943" t="s">
        <v>141</v>
      </c>
      <c r="I2943" t="s">
        <v>23</v>
      </c>
      <c r="J2943" t="s">
        <v>75</v>
      </c>
      <c r="K2943" t="s">
        <v>39</v>
      </c>
      <c r="L2943">
        <v>3.7</v>
      </c>
      <c r="M2943" t="s">
        <v>152</v>
      </c>
      <c r="N2943" t="s">
        <v>34</v>
      </c>
      <c r="O2943" t="s">
        <v>40</v>
      </c>
      <c r="P2943" t="s">
        <v>152</v>
      </c>
      <c r="Q2943" t="s">
        <v>152</v>
      </c>
      <c r="R2943">
        <v>27</v>
      </c>
      <c r="S2943" t="s">
        <v>46</v>
      </c>
      <c r="T2943" t="str">
        <f t="shared" si="90"/>
        <v>Month</v>
      </c>
      <c r="U2943">
        <f>VLOOKUP(T2943,[1]tablescore!$B$3:$C$8, 2,FALSE)</f>
        <v>12</v>
      </c>
      <c r="V2943" t="str">
        <f t="shared" si="91"/>
        <v>Moderate</v>
      </c>
      <c r="W2943" t="s">
        <v>88</v>
      </c>
    </row>
    <row r="2944" spans="1:23" x14ac:dyDescent="0.25">
      <c r="A2944">
        <v>2943</v>
      </c>
      <c r="B2944">
        <v>54</v>
      </c>
      <c r="C2944" t="str" cm="1">
        <f t="array" ref="C2944">_xlfn.IFS(
  AND(B2944&gt;=18, B2944&lt;=24), "18-24",
  AND(B2944&gt;=25, B2944&lt;=34), "25-34",
  AND(B2944&gt;=35, B2944&lt;=44), "35-44",
  AND(B2944&gt;=45, B2944&lt;=54), "45-54",
  B2944&gt;=55, "55+"
)</f>
        <v>45-54</v>
      </c>
      <c r="D2944" t="s">
        <v>153</v>
      </c>
      <c r="E2944" t="s">
        <v>131</v>
      </c>
      <c r="F2944" t="s">
        <v>21</v>
      </c>
      <c r="G2944">
        <v>63</v>
      </c>
      <c r="H2944" t="s">
        <v>78</v>
      </c>
      <c r="I2944" t="s">
        <v>45</v>
      </c>
      <c r="J2944" t="s">
        <v>110</v>
      </c>
      <c r="K2944" t="s">
        <v>54</v>
      </c>
      <c r="L2944">
        <v>2.6</v>
      </c>
      <c r="M2944" t="s">
        <v>152</v>
      </c>
      <c r="N2944" t="s">
        <v>35</v>
      </c>
      <c r="O2944" t="s">
        <v>40</v>
      </c>
      <c r="P2944" t="s">
        <v>152</v>
      </c>
      <c r="Q2944" t="s">
        <v>152</v>
      </c>
      <c r="R2944">
        <v>37</v>
      </c>
      <c r="S2944" t="s">
        <v>34</v>
      </c>
      <c r="T2944" t="str">
        <f t="shared" si="90"/>
        <v>Daily</v>
      </c>
      <c r="U2944">
        <f>VLOOKUP(T2944,[1]tablescore!$B$3:$C$8, 2,FALSE)</f>
        <v>30</v>
      </c>
      <c r="V2944" t="str">
        <f t="shared" si="91"/>
        <v>Highly Loyal</v>
      </c>
      <c r="W2944" t="s">
        <v>41</v>
      </c>
    </row>
    <row r="2945" spans="1:23" x14ac:dyDescent="0.25">
      <c r="A2945">
        <v>2944</v>
      </c>
      <c r="B2945">
        <v>29</v>
      </c>
      <c r="C2945" t="str" cm="1">
        <f t="array" ref="C2945">_xlfn.IFS(
  AND(B2945&gt;=18, B2945&lt;=24), "18-24",
  AND(B2945&gt;=25, B2945&lt;=34), "25-34",
  AND(B2945&gt;=35, B2945&lt;=44), "35-44",
  AND(B2945&gt;=45, B2945&lt;=54), "45-54",
  B2945&gt;=55, "55+"
)</f>
        <v>25-34</v>
      </c>
      <c r="D2945" t="s">
        <v>153</v>
      </c>
      <c r="E2945" t="s">
        <v>56</v>
      </c>
      <c r="F2945" t="s">
        <v>21</v>
      </c>
      <c r="G2945">
        <v>44</v>
      </c>
      <c r="H2945" t="s">
        <v>128</v>
      </c>
      <c r="I2945" t="s">
        <v>45</v>
      </c>
      <c r="J2945" t="s">
        <v>121</v>
      </c>
      <c r="K2945" t="s">
        <v>39</v>
      </c>
      <c r="L2945">
        <v>3.4</v>
      </c>
      <c r="M2945" t="s">
        <v>152</v>
      </c>
      <c r="N2945" t="s">
        <v>59</v>
      </c>
      <c r="O2945" t="s">
        <v>55</v>
      </c>
      <c r="P2945" t="s">
        <v>152</v>
      </c>
      <c r="Q2945" t="s">
        <v>152</v>
      </c>
      <c r="R2945">
        <v>37</v>
      </c>
      <c r="S2945" t="s">
        <v>27</v>
      </c>
      <c r="T2945" t="str">
        <f t="shared" si="90"/>
        <v>Month</v>
      </c>
      <c r="U2945">
        <f>VLOOKUP(T2945,[1]tablescore!$B$3:$C$8, 2,FALSE)</f>
        <v>12</v>
      </c>
      <c r="V2945" t="str">
        <f t="shared" si="91"/>
        <v>Moderate</v>
      </c>
      <c r="W2945" t="s">
        <v>88</v>
      </c>
    </row>
    <row r="2946" spans="1:23" x14ac:dyDescent="0.25">
      <c r="A2946">
        <v>2945</v>
      </c>
      <c r="B2946">
        <v>50</v>
      </c>
      <c r="C2946" t="str" cm="1">
        <f t="array" ref="C2946">_xlfn.IFS(
  AND(B2946&gt;=18, B2946&lt;=24), "18-24",
  AND(B2946&gt;=25, B2946&lt;=34), "25-34",
  AND(B2946&gt;=35, B2946&lt;=44), "35-44",
  AND(B2946&gt;=45, B2946&lt;=54), "45-54",
  B2946&gt;=55, "55+"
)</f>
        <v>45-54</v>
      </c>
      <c r="D2946" t="s">
        <v>153</v>
      </c>
      <c r="E2946" t="s">
        <v>51</v>
      </c>
      <c r="F2946" t="s">
        <v>43</v>
      </c>
      <c r="G2946">
        <v>95</v>
      </c>
      <c r="H2946" t="s">
        <v>85</v>
      </c>
      <c r="I2946" t="s">
        <v>92</v>
      </c>
      <c r="J2946" t="s">
        <v>109</v>
      </c>
      <c r="K2946" t="s">
        <v>54</v>
      </c>
      <c r="L2946">
        <v>3.9</v>
      </c>
      <c r="M2946" t="s">
        <v>152</v>
      </c>
      <c r="N2946" t="s">
        <v>35</v>
      </c>
      <c r="O2946" t="s">
        <v>40</v>
      </c>
      <c r="P2946" t="s">
        <v>152</v>
      </c>
      <c r="Q2946" t="s">
        <v>152</v>
      </c>
      <c r="R2946">
        <v>4</v>
      </c>
      <c r="S2946" t="s">
        <v>29</v>
      </c>
      <c r="T2946" t="str">
        <f t="shared" si="90"/>
        <v>Quarterly</v>
      </c>
      <c r="U2946">
        <f>VLOOKUP(T2946,[1]tablescore!$B$3:$C$8, 2,FALSE)</f>
        <v>4</v>
      </c>
      <c r="V2946" t="str">
        <f t="shared" si="91"/>
        <v>Low Loyalty</v>
      </c>
      <c r="W2946" t="s">
        <v>97</v>
      </c>
    </row>
    <row r="2947" spans="1:23" x14ac:dyDescent="0.25">
      <c r="A2947">
        <v>2946</v>
      </c>
      <c r="B2947">
        <v>32</v>
      </c>
      <c r="C2947" t="str" cm="1">
        <f t="array" ref="C2947">_xlfn.IFS(
  AND(B2947&gt;=18, B2947&lt;=24), "18-24",
  AND(B2947&gt;=25, B2947&lt;=34), "25-34",
  AND(B2947&gt;=35, B2947&lt;=44), "35-44",
  AND(B2947&gt;=45, B2947&lt;=54), "45-54",
  B2947&gt;=55, "55+"
)</f>
        <v>25-34</v>
      </c>
      <c r="D2947" t="s">
        <v>153</v>
      </c>
      <c r="E2947" t="s">
        <v>136</v>
      </c>
      <c r="F2947" t="s">
        <v>69</v>
      </c>
      <c r="G2947">
        <v>49</v>
      </c>
      <c r="H2947" t="s">
        <v>80</v>
      </c>
      <c r="I2947" t="s">
        <v>45</v>
      </c>
      <c r="J2947" t="s">
        <v>63</v>
      </c>
      <c r="K2947" t="s">
        <v>54</v>
      </c>
      <c r="L2947">
        <v>4.8</v>
      </c>
      <c r="M2947" t="s">
        <v>152</v>
      </c>
      <c r="N2947" t="s">
        <v>29</v>
      </c>
      <c r="O2947" t="s">
        <v>40</v>
      </c>
      <c r="P2947" t="s">
        <v>152</v>
      </c>
      <c r="Q2947" t="s">
        <v>152</v>
      </c>
      <c r="R2947">
        <v>1</v>
      </c>
      <c r="S2947" t="s">
        <v>27</v>
      </c>
      <c r="T2947" t="str">
        <f t="shared" ref="T2947:T3010" si="92">IF(TRIM(W2947)="Every 3 months","Quarterly",IF(TRIM(W2947)="Fortnightly","2-week",IF(TRIM(W2947)="Bi-Weekly","2-week",IF(TRIM(W2947)="Weekly","Daily",IF(TRIM(W2947)="Monthly","Month",TRIM(W2947))))))</f>
        <v>Quarterly</v>
      </c>
      <c r="U2947">
        <f>VLOOKUP(T2947,[1]tablescore!$B$3:$C$8, 2,FALSE)</f>
        <v>4</v>
      </c>
      <c r="V2947" t="str">
        <f t="shared" ref="V2947:V3010" si="93">_xlfn.IFS(U2947&gt;=30, "Highly Loyal", U2947&gt;=26, "Loyal", U2947&gt;=12, "Moderate", U2947&lt;5, "Low Loyalty")</f>
        <v>Low Loyalty</v>
      </c>
      <c r="W2947" t="s">
        <v>97</v>
      </c>
    </row>
    <row r="2948" spans="1:23" x14ac:dyDescent="0.25">
      <c r="A2948">
        <v>2947</v>
      </c>
      <c r="B2948">
        <v>38</v>
      </c>
      <c r="C2948" t="str" cm="1">
        <f t="array" ref="C2948">_xlfn.IFS(
  AND(B2948&gt;=18, B2948&lt;=24), "18-24",
  AND(B2948&gt;=25, B2948&lt;=34), "25-34",
  AND(B2948&gt;=35, B2948&lt;=44), "35-44",
  AND(B2948&gt;=45, B2948&lt;=54), "45-54",
  B2948&gt;=55, "55+"
)</f>
        <v>35-44</v>
      </c>
      <c r="D2948" t="s">
        <v>153</v>
      </c>
      <c r="E2948" t="s">
        <v>95</v>
      </c>
      <c r="F2948" t="s">
        <v>21</v>
      </c>
      <c r="G2948">
        <v>77</v>
      </c>
      <c r="H2948" t="s">
        <v>78</v>
      </c>
      <c r="I2948" t="s">
        <v>23</v>
      </c>
      <c r="J2948" t="s">
        <v>75</v>
      </c>
      <c r="K2948" t="s">
        <v>39</v>
      </c>
      <c r="L2948">
        <v>2.8</v>
      </c>
      <c r="M2948" t="s">
        <v>152</v>
      </c>
      <c r="N2948" t="s">
        <v>27</v>
      </c>
      <c r="O2948" t="s">
        <v>40</v>
      </c>
      <c r="P2948" t="s">
        <v>152</v>
      </c>
      <c r="Q2948" t="s">
        <v>152</v>
      </c>
      <c r="R2948">
        <v>29</v>
      </c>
      <c r="S2948" t="s">
        <v>34</v>
      </c>
      <c r="T2948" t="str">
        <f t="shared" si="92"/>
        <v>Quarterly</v>
      </c>
      <c r="U2948">
        <f>VLOOKUP(T2948,[1]tablescore!$B$3:$C$8, 2,FALSE)</f>
        <v>4</v>
      </c>
      <c r="V2948" t="str">
        <f t="shared" si="93"/>
        <v>Low Loyalty</v>
      </c>
      <c r="W2948" t="s">
        <v>60</v>
      </c>
    </row>
    <row r="2949" spans="1:23" x14ac:dyDescent="0.25">
      <c r="A2949">
        <v>2948</v>
      </c>
      <c r="B2949">
        <v>52</v>
      </c>
      <c r="C2949" t="str" cm="1">
        <f t="array" ref="C2949">_xlfn.IFS(
  AND(B2949&gt;=18, B2949&lt;=24), "18-24",
  AND(B2949&gt;=25, B2949&lt;=34), "25-34",
  AND(B2949&gt;=35, B2949&lt;=44), "35-44",
  AND(B2949&gt;=45, B2949&lt;=54), "45-54",
  B2949&gt;=55, "55+"
)</f>
        <v>45-54</v>
      </c>
      <c r="D2949" t="s">
        <v>153</v>
      </c>
      <c r="E2949" t="s">
        <v>106</v>
      </c>
      <c r="F2949" t="s">
        <v>69</v>
      </c>
      <c r="G2949">
        <v>63</v>
      </c>
      <c r="H2949" t="s">
        <v>143</v>
      </c>
      <c r="I2949" t="s">
        <v>23</v>
      </c>
      <c r="J2949" t="s">
        <v>100</v>
      </c>
      <c r="K2949" t="s">
        <v>39</v>
      </c>
      <c r="L2949">
        <v>4.4000000000000004</v>
      </c>
      <c r="M2949" t="s">
        <v>152</v>
      </c>
      <c r="N2949" t="s">
        <v>29</v>
      </c>
      <c r="O2949" t="s">
        <v>55</v>
      </c>
      <c r="P2949" t="s">
        <v>152</v>
      </c>
      <c r="Q2949" t="s">
        <v>152</v>
      </c>
      <c r="R2949">
        <v>50</v>
      </c>
      <c r="S2949" t="s">
        <v>29</v>
      </c>
      <c r="T2949" t="str">
        <f t="shared" si="92"/>
        <v>Annually</v>
      </c>
      <c r="U2949">
        <f>VLOOKUP(T2949,[1]tablescore!$B$3:$C$8, 2,FALSE)</f>
        <v>1</v>
      </c>
      <c r="V2949" t="str">
        <f t="shared" si="93"/>
        <v>Low Loyalty</v>
      </c>
      <c r="W2949" t="s">
        <v>50</v>
      </c>
    </row>
    <row r="2950" spans="1:23" x14ac:dyDescent="0.25">
      <c r="A2950">
        <v>2949</v>
      </c>
      <c r="B2950">
        <v>61</v>
      </c>
      <c r="C2950" t="str" cm="1">
        <f t="array" ref="C2950">_xlfn.IFS(
  AND(B2950&gt;=18, B2950&lt;=24), "18-24",
  AND(B2950&gt;=25, B2950&lt;=34), "25-34",
  AND(B2950&gt;=35, B2950&lt;=44), "35-44",
  AND(B2950&gt;=45, B2950&lt;=54), "45-54",
  B2950&gt;=55, "55+"
)</f>
        <v>55+</v>
      </c>
      <c r="D2950" t="s">
        <v>153</v>
      </c>
      <c r="E2950" t="s">
        <v>95</v>
      </c>
      <c r="F2950" t="s">
        <v>21</v>
      </c>
      <c r="G2950">
        <v>83</v>
      </c>
      <c r="H2950" t="s">
        <v>145</v>
      </c>
      <c r="I2950" t="s">
        <v>45</v>
      </c>
      <c r="J2950" t="s">
        <v>84</v>
      </c>
      <c r="K2950" t="s">
        <v>25</v>
      </c>
      <c r="L2950">
        <v>3.1</v>
      </c>
      <c r="M2950" t="s">
        <v>152</v>
      </c>
      <c r="N2950" t="s">
        <v>27</v>
      </c>
      <c r="O2950" t="s">
        <v>55</v>
      </c>
      <c r="P2950" t="s">
        <v>152</v>
      </c>
      <c r="Q2950" t="s">
        <v>152</v>
      </c>
      <c r="R2950">
        <v>38</v>
      </c>
      <c r="S2950" t="s">
        <v>59</v>
      </c>
      <c r="T2950" t="str">
        <f t="shared" si="92"/>
        <v>2-week</v>
      </c>
      <c r="U2950">
        <f>VLOOKUP(T2950,[1]tablescore!$B$3:$C$8, 2,FALSE)</f>
        <v>26</v>
      </c>
      <c r="V2950" t="str">
        <f t="shared" si="93"/>
        <v>Loyal</v>
      </c>
      <c r="W2950" t="s">
        <v>77</v>
      </c>
    </row>
    <row r="2951" spans="1:23" x14ac:dyDescent="0.25">
      <c r="A2951">
        <v>2950</v>
      </c>
      <c r="B2951">
        <v>25</v>
      </c>
      <c r="C2951" t="str" cm="1">
        <f t="array" ref="C2951">_xlfn.IFS(
  AND(B2951&gt;=18, B2951&lt;=24), "18-24",
  AND(B2951&gt;=25, B2951&lt;=34), "25-34",
  AND(B2951&gt;=35, B2951&lt;=44), "35-44",
  AND(B2951&gt;=45, B2951&lt;=54), "45-54",
  B2951&gt;=55, "55+"
)</f>
        <v>25-34</v>
      </c>
      <c r="D2951" t="s">
        <v>153</v>
      </c>
      <c r="E2951" t="s">
        <v>106</v>
      </c>
      <c r="F2951" t="s">
        <v>69</v>
      </c>
      <c r="G2951">
        <v>93</v>
      </c>
      <c r="H2951" t="s">
        <v>150</v>
      </c>
      <c r="I2951" t="s">
        <v>45</v>
      </c>
      <c r="J2951" t="s">
        <v>100</v>
      </c>
      <c r="K2951" t="s">
        <v>39</v>
      </c>
      <c r="L2951">
        <v>3.8</v>
      </c>
      <c r="M2951" t="s">
        <v>152</v>
      </c>
      <c r="N2951" t="s">
        <v>27</v>
      </c>
      <c r="O2951" t="s">
        <v>76</v>
      </c>
      <c r="P2951" t="s">
        <v>152</v>
      </c>
      <c r="Q2951" t="s">
        <v>152</v>
      </c>
      <c r="R2951">
        <v>15</v>
      </c>
      <c r="S2951" t="s">
        <v>46</v>
      </c>
      <c r="T2951" t="str">
        <f t="shared" si="92"/>
        <v>Annually</v>
      </c>
      <c r="U2951">
        <f>VLOOKUP(T2951,[1]tablescore!$B$3:$C$8, 2,FALSE)</f>
        <v>1</v>
      </c>
      <c r="V2951" t="str">
        <f t="shared" si="93"/>
        <v>Low Loyalty</v>
      </c>
      <c r="W2951" t="s">
        <v>50</v>
      </c>
    </row>
    <row r="2952" spans="1:23" x14ac:dyDescent="0.25">
      <c r="A2952">
        <v>2951</v>
      </c>
      <c r="B2952">
        <v>22</v>
      </c>
      <c r="C2952" t="str" cm="1">
        <f t="array" ref="C2952">_xlfn.IFS(
  AND(B2952&gt;=18, B2952&lt;=24), "18-24",
  AND(B2952&gt;=25, B2952&lt;=34), "25-34",
  AND(B2952&gt;=35, B2952&lt;=44), "35-44",
  AND(B2952&gt;=45, B2952&lt;=54), "45-54",
  B2952&gt;=55, "55+"
)</f>
        <v>18-24</v>
      </c>
      <c r="D2952" t="s">
        <v>153</v>
      </c>
      <c r="E2952" t="s">
        <v>36</v>
      </c>
      <c r="F2952" t="s">
        <v>21</v>
      </c>
      <c r="G2952">
        <v>91</v>
      </c>
      <c r="H2952" t="s">
        <v>150</v>
      </c>
      <c r="I2952" t="s">
        <v>38</v>
      </c>
      <c r="J2952" t="s">
        <v>33</v>
      </c>
      <c r="K2952" t="s">
        <v>25</v>
      </c>
      <c r="L2952">
        <v>4.0999999999999996</v>
      </c>
      <c r="M2952" t="s">
        <v>152</v>
      </c>
      <c r="N2952" t="s">
        <v>34</v>
      </c>
      <c r="O2952" t="s">
        <v>72</v>
      </c>
      <c r="P2952" t="s">
        <v>152</v>
      </c>
      <c r="Q2952" t="s">
        <v>152</v>
      </c>
      <c r="R2952">
        <v>44</v>
      </c>
      <c r="S2952" t="s">
        <v>59</v>
      </c>
      <c r="T2952" t="str">
        <f t="shared" si="92"/>
        <v>Quarterly</v>
      </c>
      <c r="U2952">
        <f>VLOOKUP(T2952,[1]tablescore!$B$3:$C$8, 2,FALSE)</f>
        <v>4</v>
      </c>
      <c r="V2952" t="str">
        <f t="shared" si="93"/>
        <v>Low Loyalty</v>
      </c>
      <c r="W2952" t="s">
        <v>97</v>
      </c>
    </row>
    <row r="2953" spans="1:23" x14ac:dyDescent="0.25">
      <c r="A2953">
        <v>2952</v>
      </c>
      <c r="B2953">
        <v>47</v>
      </c>
      <c r="C2953" t="str" cm="1">
        <f t="array" ref="C2953">_xlfn.IFS(
  AND(B2953&gt;=18, B2953&lt;=24), "18-24",
  AND(B2953&gt;=25, B2953&lt;=34), "25-34",
  AND(B2953&gt;=35, B2953&lt;=44), "35-44",
  AND(B2953&gt;=45, B2953&lt;=54), "45-54",
  B2953&gt;=55, "55+"
)</f>
        <v>45-54</v>
      </c>
      <c r="D2953" t="s">
        <v>153</v>
      </c>
      <c r="E2953" t="s">
        <v>119</v>
      </c>
      <c r="F2953" t="s">
        <v>69</v>
      </c>
      <c r="G2953">
        <v>99</v>
      </c>
      <c r="H2953" t="s">
        <v>74</v>
      </c>
      <c r="I2953" t="s">
        <v>23</v>
      </c>
      <c r="J2953" t="s">
        <v>33</v>
      </c>
      <c r="K2953" t="s">
        <v>58</v>
      </c>
      <c r="L2953">
        <v>4.5999999999999996</v>
      </c>
      <c r="M2953" t="s">
        <v>152</v>
      </c>
      <c r="N2953" t="s">
        <v>27</v>
      </c>
      <c r="O2953" t="s">
        <v>40</v>
      </c>
      <c r="P2953" t="s">
        <v>152</v>
      </c>
      <c r="Q2953" t="s">
        <v>152</v>
      </c>
      <c r="R2953">
        <v>14</v>
      </c>
      <c r="S2953" t="s">
        <v>35</v>
      </c>
      <c r="T2953" t="str">
        <f t="shared" si="92"/>
        <v>Daily</v>
      </c>
      <c r="U2953">
        <f>VLOOKUP(T2953,[1]tablescore!$B$3:$C$8, 2,FALSE)</f>
        <v>30</v>
      </c>
      <c r="V2953" t="str">
        <f t="shared" si="93"/>
        <v>Highly Loyal</v>
      </c>
      <c r="W2953" t="s">
        <v>41</v>
      </c>
    </row>
    <row r="2954" spans="1:23" x14ac:dyDescent="0.25">
      <c r="A2954">
        <v>2953</v>
      </c>
      <c r="B2954">
        <v>50</v>
      </c>
      <c r="C2954" t="str" cm="1">
        <f t="array" ref="C2954">_xlfn.IFS(
  AND(B2954&gt;=18, B2954&lt;=24), "18-24",
  AND(B2954&gt;=25, B2954&lt;=34), "25-34",
  AND(B2954&gt;=35, B2954&lt;=44), "35-44",
  AND(B2954&gt;=45, B2954&lt;=54), "45-54",
  B2954&gt;=55, "55+"
)</f>
        <v>45-54</v>
      </c>
      <c r="D2954" t="s">
        <v>153</v>
      </c>
      <c r="E2954" t="s">
        <v>136</v>
      </c>
      <c r="F2954" t="s">
        <v>69</v>
      </c>
      <c r="G2954">
        <v>24</v>
      </c>
      <c r="H2954" t="s">
        <v>90</v>
      </c>
      <c r="I2954" t="s">
        <v>45</v>
      </c>
      <c r="J2954" t="s">
        <v>100</v>
      </c>
      <c r="K2954" t="s">
        <v>39</v>
      </c>
      <c r="L2954">
        <v>4.9000000000000004</v>
      </c>
      <c r="M2954" t="s">
        <v>152</v>
      </c>
      <c r="N2954" t="s">
        <v>46</v>
      </c>
      <c r="O2954" t="s">
        <v>47</v>
      </c>
      <c r="P2954" t="s">
        <v>152</v>
      </c>
      <c r="Q2954" t="s">
        <v>152</v>
      </c>
      <c r="R2954">
        <v>5</v>
      </c>
      <c r="S2954" t="s">
        <v>59</v>
      </c>
      <c r="T2954" t="str">
        <f t="shared" si="92"/>
        <v>Month</v>
      </c>
      <c r="U2954">
        <f>VLOOKUP(T2954,[1]tablescore!$B$3:$C$8, 2,FALSE)</f>
        <v>12</v>
      </c>
      <c r="V2954" t="str">
        <f t="shared" si="93"/>
        <v>Moderate</v>
      </c>
      <c r="W2954" t="s">
        <v>88</v>
      </c>
    </row>
    <row r="2955" spans="1:23" x14ac:dyDescent="0.25">
      <c r="A2955">
        <v>2954</v>
      </c>
      <c r="B2955">
        <v>45</v>
      </c>
      <c r="C2955" t="str" cm="1">
        <f t="array" ref="C2955">_xlfn.IFS(
  AND(B2955&gt;=18, B2955&lt;=24), "18-24",
  AND(B2955&gt;=25, B2955&lt;=34), "25-34",
  AND(B2955&gt;=35, B2955&lt;=44), "35-44",
  AND(B2955&gt;=45, B2955&lt;=54), "45-54",
  B2955&gt;=55, "55+"
)</f>
        <v>45-54</v>
      </c>
      <c r="D2955" t="s">
        <v>153</v>
      </c>
      <c r="E2955" t="s">
        <v>82</v>
      </c>
      <c r="F2955" t="s">
        <v>21</v>
      </c>
      <c r="G2955">
        <v>82</v>
      </c>
      <c r="H2955" t="s">
        <v>135</v>
      </c>
      <c r="I2955" t="s">
        <v>45</v>
      </c>
      <c r="J2955" t="s">
        <v>67</v>
      </c>
      <c r="K2955" t="s">
        <v>54</v>
      </c>
      <c r="L2955">
        <v>4.8</v>
      </c>
      <c r="M2955" t="s">
        <v>152</v>
      </c>
      <c r="N2955" t="s">
        <v>46</v>
      </c>
      <c r="O2955" t="s">
        <v>47</v>
      </c>
      <c r="P2955" t="s">
        <v>152</v>
      </c>
      <c r="Q2955" t="s">
        <v>152</v>
      </c>
      <c r="R2955">
        <v>11</v>
      </c>
      <c r="S2955" t="s">
        <v>27</v>
      </c>
      <c r="T2955" t="str">
        <f t="shared" si="92"/>
        <v>Annually</v>
      </c>
      <c r="U2955">
        <f>VLOOKUP(T2955,[1]tablescore!$B$3:$C$8, 2,FALSE)</f>
        <v>1</v>
      </c>
      <c r="V2955" t="str">
        <f t="shared" si="93"/>
        <v>Low Loyalty</v>
      </c>
      <c r="W2955" t="s">
        <v>50</v>
      </c>
    </row>
    <row r="2956" spans="1:23" x14ac:dyDescent="0.25">
      <c r="A2956">
        <v>2955</v>
      </c>
      <c r="B2956">
        <v>33</v>
      </c>
      <c r="C2956" t="str" cm="1">
        <f t="array" ref="C2956">_xlfn.IFS(
  AND(B2956&gt;=18, B2956&lt;=24), "18-24",
  AND(B2956&gt;=25, B2956&lt;=34), "25-34",
  AND(B2956&gt;=35, B2956&lt;=44), "35-44",
  AND(B2956&gt;=45, B2956&lt;=54), "45-54",
  B2956&gt;=55, "55+"
)</f>
        <v>25-34</v>
      </c>
      <c r="D2956" t="s">
        <v>153</v>
      </c>
      <c r="E2956" t="s">
        <v>113</v>
      </c>
      <c r="F2956" t="s">
        <v>21</v>
      </c>
      <c r="G2956">
        <v>28</v>
      </c>
      <c r="H2956" t="s">
        <v>130</v>
      </c>
      <c r="I2956" t="s">
        <v>45</v>
      </c>
      <c r="J2956" t="s">
        <v>129</v>
      </c>
      <c r="K2956" t="s">
        <v>25</v>
      </c>
      <c r="L2956">
        <v>3.9</v>
      </c>
      <c r="M2956" t="s">
        <v>152</v>
      </c>
      <c r="N2956" t="s">
        <v>46</v>
      </c>
      <c r="O2956" t="s">
        <v>28</v>
      </c>
      <c r="P2956" t="s">
        <v>152</v>
      </c>
      <c r="Q2956" t="s">
        <v>152</v>
      </c>
      <c r="R2956">
        <v>15</v>
      </c>
      <c r="S2956" t="s">
        <v>27</v>
      </c>
      <c r="T2956" t="str">
        <f t="shared" si="92"/>
        <v>Annually</v>
      </c>
      <c r="U2956">
        <f>VLOOKUP(T2956,[1]tablescore!$B$3:$C$8, 2,FALSE)</f>
        <v>1</v>
      </c>
      <c r="V2956" t="str">
        <f t="shared" si="93"/>
        <v>Low Loyalty</v>
      </c>
      <c r="W2956" t="s">
        <v>50</v>
      </c>
    </row>
    <row r="2957" spans="1:23" x14ac:dyDescent="0.25">
      <c r="A2957">
        <v>2956</v>
      </c>
      <c r="B2957">
        <v>42</v>
      </c>
      <c r="C2957" t="str" cm="1">
        <f t="array" ref="C2957">_xlfn.IFS(
  AND(B2957&gt;=18, B2957&lt;=24), "18-24",
  AND(B2957&gt;=25, B2957&lt;=34), "25-34",
  AND(B2957&gt;=35, B2957&lt;=44), "35-44",
  AND(B2957&gt;=45, B2957&lt;=54), "45-54",
  B2957&gt;=55, "55+"
)</f>
        <v>35-44</v>
      </c>
      <c r="D2957" t="s">
        <v>153</v>
      </c>
      <c r="E2957" t="s">
        <v>132</v>
      </c>
      <c r="F2957" t="s">
        <v>43</v>
      </c>
      <c r="G2957">
        <v>67</v>
      </c>
      <c r="H2957" t="s">
        <v>145</v>
      </c>
      <c r="I2957" t="s">
        <v>45</v>
      </c>
      <c r="J2957" t="s">
        <v>67</v>
      </c>
      <c r="K2957" t="s">
        <v>25</v>
      </c>
      <c r="L2957">
        <v>2.6</v>
      </c>
      <c r="M2957" t="s">
        <v>152</v>
      </c>
      <c r="N2957" t="s">
        <v>29</v>
      </c>
      <c r="O2957" t="s">
        <v>40</v>
      </c>
      <c r="P2957" t="s">
        <v>152</v>
      </c>
      <c r="Q2957" t="s">
        <v>152</v>
      </c>
      <c r="R2957">
        <v>46</v>
      </c>
      <c r="S2957" t="s">
        <v>27</v>
      </c>
      <c r="T2957" t="str">
        <f t="shared" si="92"/>
        <v>Annually</v>
      </c>
      <c r="U2957">
        <f>VLOOKUP(T2957,[1]tablescore!$B$3:$C$8, 2,FALSE)</f>
        <v>1</v>
      </c>
      <c r="V2957" t="str">
        <f t="shared" si="93"/>
        <v>Low Loyalty</v>
      </c>
      <c r="W2957" t="s">
        <v>50</v>
      </c>
    </row>
    <row r="2958" spans="1:23" x14ac:dyDescent="0.25">
      <c r="A2958">
        <v>2957</v>
      </c>
      <c r="B2958">
        <v>52</v>
      </c>
      <c r="C2958" t="str" cm="1">
        <f t="array" ref="C2958">_xlfn.IFS(
  AND(B2958&gt;=18, B2958&lt;=24), "18-24",
  AND(B2958&gt;=25, B2958&lt;=34), "25-34",
  AND(B2958&gt;=35, B2958&lt;=44), "35-44",
  AND(B2958&gt;=45, B2958&lt;=54), "45-54",
  B2958&gt;=55, "55+"
)</f>
        <v>45-54</v>
      </c>
      <c r="D2958" t="s">
        <v>153</v>
      </c>
      <c r="E2958" t="s">
        <v>82</v>
      </c>
      <c r="F2958" t="s">
        <v>21</v>
      </c>
      <c r="G2958">
        <v>88</v>
      </c>
      <c r="H2958" t="s">
        <v>57</v>
      </c>
      <c r="I2958" t="s">
        <v>45</v>
      </c>
      <c r="J2958" t="s">
        <v>79</v>
      </c>
      <c r="K2958" t="s">
        <v>58</v>
      </c>
      <c r="L2958">
        <v>3.7</v>
      </c>
      <c r="M2958" t="s">
        <v>152</v>
      </c>
      <c r="N2958" t="s">
        <v>46</v>
      </c>
      <c r="O2958" t="s">
        <v>55</v>
      </c>
      <c r="P2958" t="s">
        <v>152</v>
      </c>
      <c r="Q2958" t="s">
        <v>152</v>
      </c>
      <c r="R2958">
        <v>30</v>
      </c>
      <c r="S2958" t="s">
        <v>29</v>
      </c>
      <c r="T2958" t="str">
        <f t="shared" si="92"/>
        <v>Month</v>
      </c>
      <c r="U2958">
        <f>VLOOKUP(T2958,[1]tablescore!$B$3:$C$8, 2,FALSE)</f>
        <v>12</v>
      </c>
      <c r="V2958" t="str">
        <f t="shared" si="93"/>
        <v>Moderate</v>
      </c>
      <c r="W2958" t="s">
        <v>88</v>
      </c>
    </row>
    <row r="2959" spans="1:23" x14ac:dyDescent="0.25">
      <c r="A2959">
        <v>2958</v>
      </c>
      <c r="B2959">
        <v>69</v>
      </c>
      <c r="C2959" t="str" cm="1">
        <f t="array" ref="C2959">_xlfn.IFS(
  AND(B2959&gt;=18, B2959&lt;=24), "18-24",
  AND(B2959&gt;=25, B2959&lt;=34), "25-34",
  AND(B2959&gt;=35, B2959&lt;=44), "35-44",
  AND(B2959&gt;=45, B2959&lt;=54), "45-54",
  B2959&gt;=55, "55+"
)</f>
        <v>55+</v>
      </c>
      <c r="D2959" t="s">
        <v>153</v>
      </c>
      <c r="E2959" t="s">
        <v>106</v>
      </c>
      <c r="F2959" t="s">
        <v>69</v>
      </c>
      <c r="G2959">
        <v>70</v>
      </c>
      <c r="H2959" t="s">
        <v>130</v>
      </c>
      <c r="I2959" t="s">
        <v>38</v>
      </c>
      <c r="J2959" t="s">
        <v>24</v>
      </c>
      <c r="K2959" t="s">
        <v>58</v>
      </c>
      <c r="L2959">
        <v>4.7</v>
      </c>
      <c r="M2959" t="s">
        <v>152</v>
      </c>
      <c r="N2959" t="s">
        <v>35</v>
      </c>
      <c r="O2959" t="s">
        <v>55</v>
      </c>
      <c r="P2959" t="s">
        <v>152</v>
      </c>
      <c r="Q2959" t="s">
        <v>152</v>
      </c>
      <c r="R2959">
        <v>2</v>
      </c>
      <c r="S2959" t="s">
        <v>35</v>
      </c>
      <c r="T2959" t="str">
        <f t="shared" si="92"/>
        <v>Annually</v>
      </c>
      <c r="U2959">
        <f>VLOOKUP(T2959,[1]tablescore!$B$3:$C$8, 2,FALSE)</f>
        <v>1</v>
      </c>
      <c r="V2959" t="str">
        <f t="shared" si="93"/>
        <v>Low Loyalty</v>
      </c>
      <c r="W2959" t="s">
        <v>50</v>
      </c>
    </row>
    <row r="2960" spans="1:23" x14ac:dyDescent="0.25">
      <c r="A2960">
        <v>2959</v>
      </c>
      <c r="B2960">
        <v>55</v>
      </c>
      <c r="C2960" t="str" cm="1">
        <f t="array" ref="C2960">_xlfn.IFS(
  AND(B2960&gt;=18, B2960&lt;=24), "18-24",
  AND(B2960&gt;=25, B2960&lt;=34), "25-34",
  AND(B2960&gt;=35, B2960&lt;=44), "35-44",
  AND(B2960&gt;=45, B2960&lt;=54), "45-54",
  B2960&gt;=55, "55+"
)</f>
        <v>55+</v>
      </c>
      <c r="D2960" t="s">
        <v>153</v>
      </c>
      <c r="E2960" t="s">
        <v>87</v>
      </c>
      <c r="F2960" t="s">
        <v>21</v>
      </c>
      <c r="G2960">
        <v>100</v>
      </c>
      <c r="H2960" t="s">
        <v>124</v>
      </c>
      <c r="I2960" t="s">
        <v>45</v>
      </c>
      <c r="J2960" t="s">
        <v>94</v>
      </c>
      <c r="K2960" t="s">
        <v>54</v>
      </c>
      <c r="L2960">
        <v>4.5</v>
      </c>
      <c r="M2960" t="s">
        <v>152</v>
      </c>
      <c r="N2960" t="s">
        <v>29</v>
      </c>
      <c r="O2960" t="s">
        <v>55</v>
      </c>
      <c r="P2960" t="s">
        <v>152</v>
      </c>
      <c r="Q2960" t="s">
        <v>152</v>
      </c>
      <c r="R2960">
        <v>28</v>
      </c>
      <c r="S2960" t="s">
        <v>46</v>
      </c>
      <c r="T2960" t="str">
        <f t="shared" si="92"/>
        <v>Month</v>
      </c>
      <c r="U2960">
        <f>VLOOKUP(T2960,[1]tablescore!$B$3:$C$8, 2,FALSE)</f>
        <v>12</v>
      </c>
      <c r="V2960" t="str">
        <f t="shared" si="93"/>
        <v>Moderate</v>
      </c>
      <c r="W2960" t="s">
        <v>88</v>
      </c>
    </row>
    <row r="2961" spans="1:23" x14ac:dyDescent="0.25">
      <c r="A2961">
        <v>2960</v>
      </c>
      <c r="B2961">
        <v>38</v>
      </c>
      <c r="C2961" t="str" cm="1">
        <f t="array" ref="C2961">_xlfn.IFS(
  AND(B2961&gt;=18, B2961&lt;=24), "18-24",
  AND(B2961&gt;=25, B2961&lt;=34), "25-34",
  AND(B2961&gt;=35, B2961&lt;=44), "35-44",
  AND(B2961&gt;=45, B2961&lt;=54), "45-54",
  B2961&gt;=55, "55+"
)</f>
        <v>35-44</v>
      </c>
      <c r="D2961" t="s">
        <v>153</v>
      </c>
      <c r="E2961" t="s">
        <v>68</v>
      </c>
      <c r="F2961" t="s">
        <v>69</v>
      </c>
      <c r="G2961">
        <v>28</v>
      </c>
      <c r="H2961" t="s">
        <v>105</v>
      </c>
      <c r="I2961" t="s">
        <v>23</v>
      </c>
      <c r="J2961" t="s">
        <v>33</v>
      </c>
      <c r="K2961" t="s">
        <v>54</v>
      </c>
      <c r="L2961">
        <v>4.7</v>
      </c>
      <c r="M2961" t="s">
        <v>152</v>
      </c>
      <c r="N2961" t="s">
        <v>46</v>
      </c>
      <c r="O2961" t="s">
        <v>40</v>
      </c>
      <c r="P2961" t="s">
        <v>152</v>
      </c>
      <c r="Q2961" t="s">
        <v>152</v>
      </c>
      <c r="R2961">
        <v>9</v>
      </c>
      <c r="S2961" t="s">
        <v>46</v>
      </c>
      <c r="T2961" t="str">
        <f t="shared" si="92"/>
        <v>Quarterly</v>
      </c>
      <c r="U2961">
        <f>VLOOKUP(T2961,[1]tablescore!$B$3:$C$8, 2,FALSE)</f>
        <v>4</v>
      </c>
      <c r="V2961" t="str">
        <f t="shared" si="93"/>
        <v>Low Loyalty</v>
      </c>
      <c r="W2961" t="s">
        <v>60</v>
      </c>
    </row>
    <row r="2962" spans="1:23" x14ac:dyDescent="0.25">
      <c r="A2962">
        <v>2961</v>
      </c>
      <c r="B2962">
        <v>57</v>
      </c>
      <c r="C2962" t="str" cm="1">
        <f t="array" ref="C2962">_xlfn.IFS(
  AND(B2962&gt;=18, B2962&lt;=24), "18-24",
  AND(B2962&gt;=25, B2962&lt;=34), "25-34",
  AND(B2962&gt;=35, B2962&lt;=44), "35-44",
  AND(B2962&gt;=45, B2962&lt;=54), "45-54",
  B2962&gt;=55, "55+"
)</f>
        <v>55+</v>
      </c>
      <c r="D2962" t="s">
        <v>153</v>
      </c>
      <c r="E2962" t="s">
        <v>64</v>
      </c>
      <c r="F2962" t="s">
        <v>65</v>
      </c>
      <c r="G2962">
        <v>48</v>
      </c>
      <c r="H2962" t="s">
        <v>116</v>
      </c>
      <c r="I2962" t="s">
        <v>38</v>
      </c>
      <c r="J2962" t="s">
        <v>79</v>
      </c>
      <c r="K2962" t="s">
        <v>39</v>
      </c>
      <c r="L2962">
        <v>3.6</v>
      </c>
      <c r="M2962" t="s">
        <v>152</v>
      </c>
      <c r="N2962" t="s">
        <v>29</v>
      </c>
      <c r="O2962" t="s">
        <v>55</v>
      </c>
      <c r="P2962" t="s">
        <v>152</v>
      </c>
      <c r="Q2962" t="s">
        <v>152</v>
      </c>
      <c r="R2962">
        <v>47</v>
      </c>
      <c r="S2962" t="s">
        <v>27</v>
      </c>
      <c r="T2962" t="str">
        <f t="shared" si="92"/>
        <v>Daily</v>
      </c>
      <c r="U2962">
        <f>VLOOKUP(T2962,[1]tablescore!$B$3:$C$8, 2,FALSE)</f>
        <v>30</v>
      </c>
      <c r="V2962" t="str">
        <f t="shared" si="93"/>
        <v>Highly Loyal</v>
      </c>
      <c r="W2962" t="s">
        <v>41</v>
      </c>
    </row>
    <row r="2963" spans="1:23" x14ac:dyDescent="0.25">
      <c r="A2963">
        <v>2962</v>
      </c>
      <c r="B2963">
        <v>33</v>
      </c>
      <c r="C2963" t="str" cm="1">
        <f t="array" ref="C2963">_xlfn.IFS(
  AND(B2963&gt;=18, B2963&lt;=24), "18-24",
  AND(B2963&gt;=25, B2963&lt;=34), "25-34",
  AND(B2963&gt;=35, B2963&lt;=44), "35-44",
  AND(B2963&gt;=45, B2963&lt;=54), "45-54",
  B2963&gt;=55, "55+"
)</f>
        <v>25-34</v>
      </c>
      <c r="D2963" t="s">
        <v>153</v>
      </c>
      <c r="E2963" t="s">
        <v>104</v>
      </c>
      <c r="F2963" t="s">
        <v>21</v>
      </c>
      <c r="G2963">
        <v>43</v>
      </c>
      <c r="H2963" t="s">
        <v>83</v>
      </c>
      <c r="I2963" t="s">
        <v>38</v>
      </c>
      <c r="J2963" t="s">
        <v>81</v>
      </c>
      <c r="K2963" t="s">
        <v>58</v>
      </c>
      <c r="L2963">
        <v>2.8</v>
      </c>
      <c r="M2963" t="s">
        <v>152</v>
      </c>
      <c r="N2963" t="s">
        <v>27</v>
      </c>
      <c r="O2963" t="s">
        <v>40</v>
      </c>
      <c r="P2963" t="s">
        <v>152</v>
      </c>
      <c r="Q2963" t="s">
        <v>152</v>
      </c>
      <c r="R2963">
        <v>21</v>
      </c>
      <c r="S2963" t="s">
        <v>59</v>
      </c>
      <c r="T2963" t="str">
        <f t="shared" si="92"/>
        <v>2-week</v>
      </c>
      <c r="U2963">
        <f>VLOOKUP(T2963,[1]tablescore!$B$3:$C$8, 2,FALSE)</f>
        <v>26</v>
      </c>
      <c r="V2963" t="str">
        <f t="shared" si="93"/>
        <v>Loyal</v>
      </c>
      <c r="W2963" t="s">
        <v>77</v>
      </c>
    </row>
    <row r="2964" spans="1:23" x14ac:dyDescent="0.25">
      <c r="A2964">
        <v>2963</v>
      </c>
      <c r="B2964">
        <v>57</v>
      </c>
      <c r="C2964" t="str" cm="1">
        <f t="array" ref="C2964">_xlfn.IFS(
  AND(B2964&gt;=18, B2964&lt;=24), "18-24",
  AND(B2964&gt;=25, B2964&lt;=34), "25-34",
  AND(B2964&gt;=35, B2964&lt;=44), "35-44",
  AND(B2964&gt;=45, B2964&lt;=54), "45-54",
  B2964&gt;=55, "55+"
)</f>
        <v>55+</v>
      </c>
      <c r="D2964" t="s">
        <v>153</v>
      </c>
      <c r="E2964" t="s">
        <v>95</v>
      </c>
      <c r="F2964" t="s">
        <v>21</v>
      </c>
      <c r="G2964">
        <v>40</v>
      </c>
      <c r="H2964" t="s">
        <v>99</v>
      </c>
      <c r="I2964" t="s">
        <v>23</v>
      </c>
      <c r="J2964" t="s">
        <v>71</v>
      </c>
      <c r="K2964" t="s">
        <v>58</v>
      </c>
      <c r="L2964">
        <v>4</v>
      </c>
      <c r="M2964" t="s">
        <v>152</v>
      </c>
      <c r="N2964" t="s">
        <v>46</v>
      </c>
      <c r="O2964" t="s">
        <v>28</v>
      </c>
      <c r="P2964" t="s">
        <v>152</v>
      </c>
      <c r="Q2964" t="s">
        <v>152</v>
      </c>
      <c r="R2964">
        <v>42</v>
      </c>
      <c r="S2964" t="s">
        <v>27</v>
      </c>
      <c r="T2964" t="str">
        <f t="shared" si="92"/>
        <v>Quarterly</v>
      </c>
      <c r="U2964">
        <f>VLOOKUP(T2964,[1]tablescore!$B$3:$C$8, 2,FALSE)</f>
        <v>4</v>
      </c>
      <c r="V2964" t="str">
        <f t="shared" si="93"/>
        <v>Low Loyalty</v>
      </c>
      <c r="W2964" t="s">
        <v>97</v>
      </c>
    </row>
    <row r="2965" spans="1:23" x14ac:dyDescent="0.25">
      <c r="A2965">
        <v>2964</v>
      </c>
      <c r="B2965">
        <v>52</v>
      </c>
      <c r="C2965" t="str" cm="1">
        <f t="array" ref="C2965">_xlfn.IFS(
  AND(B2965&gt;=18, B2965&lt;=24), "18-24",
  AND(B2965&gt;=25, B2965&lt;=34), "25-34",
  AND(B2965&gt;=35, B2965&lt;=44), "35-44",
  AND(B2965&gt;=45, B2965&lt;=54), "45-54",
  B2965&gt;=55, "55+"
)</f>
        <v>45-54</v>
      </c>
      <c r="D2965" t="s">
        <v>153</v>
      </c>
      <c r="E2965" t="s">
        <v>132</v>
      </c>
      <c r="F2965" t="s">
        <v>43</v>
      </c>
      <c r="G2965">
        <v>97</v>
      </c>
      <c r="H2965" t="s">
        <v>32</v>
      </c>
      <c r="I2965" t="s">
        <v>45</v>
      </c>
      <c r="J2965" t="s">
        <v>110</v>
      </c>
      <c r="K2965" t="s">
        <v>39</v>
      </c>
      <c r="L2965">
        <v>3.6</v>
      </c>
      <c r="M2965" t="s">
        <v>152</v>
      </c>
      <c r="N2965" t="s">
        <v>59</v>
      </c>
      <c r="O2965" t="s">
        <v>40</v>
      </c>
      <c r="P2965" t="s">
        <v>152</v>
      </c>
      <c r="Q2965" t="s">
        <v>152</v>
      </c>
      <c r="R2965">
        <v>28</v>
      </c>
      <c r="S2965" t="s">
        <v>27</v>
      </c>
      <c r="T2965" t="str">
        <f t="shared" si="92"/>
        <v>Daily</v>
      </c>
      <c r="U2965">
        <f>VLOOKUP(T2965,[1]tablescore!$B$3:$C$8, 2,FALSE)</f>
        <v>30</v>
      </c>
      <c r="V2965" t="str">
        <f t="shared" si="93"/>
        <v>Highly Loyal</v>
      </c>
      <c r="W2965" t="s">
        <v>41</v>
      </c>
    </row>
    <row r="2966" spans="1:23" x14ac:dyDescent="0.25">
      <c r="A2966">
        <v>2965</v>
      </c>
      <c r="B2966">
        <v>44</v>
      </c>
      <c r="C2966" t="str" cm="1">
        <f t="array" ref="C2966">_xlfn.IFS(
  AND(B2966&gt;=18, B2966&lt;=24), "18-24",
  AND(B2966&gt;=25, B2966&lt;=34), "25-34",
  AND(B2966&gt;=35, B2966&lt;=44), "35-44",
  AND(B2966&gt;=45, B2966&lt;=54), "45-54",
  B2966&gt;=55, "55+"
)</f>
        <v>35-44</v>
      </c>
      <c r="D2966" t="s">
        <v>153</v>
      </c>
      <c r="E2966" t="s">
        <v>64</v>
      </c>
      <c r="F2966" t="s">
        <v>65</v>
      </c>
      <c r="G2966">
        <v>25</v>
      </c>
      <c r="H2966" t="s">
        <v>124</v>
      </c>
      <c r="I2966" t="s">
        <v>38</v>
      </c>
      <c r="J2966" t="s">
        <v>53</v>
      </c>
      <c r="K2966" t="s">
        <v>58</v>
      </c>
      <c r="L2966">
        <v>3.8</v>
      </c>
      <c r="M2966" t="s">
        <v>152</v>
      </c>
      <c r="N2966" t="s">
        <v>27</v>
      </c>
      <c r="O2966" t="s">
        <v>72</v>
      </c>
      <c r="P2966" t="s">
        <v>152</v>
      </c>
      <c r="Q2966" t="s">
        <v>152</v>
      </c>
      <c r="R2966">
        <v>13</v>
      </c>
      <c r="S2966" t="s">
        <v>29</v>
      </c>
      <c r="T2966" t="str">
        <f t="shared" si="92"/>
        <v>2-week</v>
      </c>
      <c r="U2966">
        <f>VLOOKUP(T2966,[1]tablescore!$B$3:$C$8, 2,FALSE)</f>
        <v>26</v>
      </c>
      <c r="V2966" t="str">
        <f t="shared" si="93"/>
        <v>Loyal</v>
      </c>
      <c r="W2966" t="s">
        <v>30</v>
      </c>
    </row>
    <row r="2967" spans="1:23" x14ac:dyDescent="0.25">
      <c r="A2967">
        <v>2966</v>
      </c>
      <c r="B2967">
        <v>48</v>
      </c>
      <c r="C2967" t="str" cm="1">
        <f t="array" ref="C2967">_xlfn.IFS(
  AND(B2967&gt;=18, B2967&lt;=24), "18-24",
  AND(B2967&gt;=25, B2967&lt;=34), "25-34",
  AND(B2967&gt;=35, B2967&lt;=44), "35-44",
  AND(B2967&gt;=45, B2967&lt;=54), "45-54",
  B2967&gt;=55, "55+"
)</f>
        <v>45-54</v>
      </c>
      <c r="D2967" t="s">
        <v>153</v>
      </c>
      <c r="E2967" t="s">
        <v>119</v>
      </c>
      <c r="F2967" t="s">
        <v>69</v>
      </c>
      <c r="G2967">
        <v>45</v>
      </c>
      <c r="H2967" t="s">
        <v>80</v>
      </c>
      <c r="I2967" t="s">
        <v>45</v>
      </c>
      <c r="J2967" t="s">
        <v>138</v>
      </c>
      <c r="K2967" t="s">
        <v>54</v>
      </c>
      <c r="L2967">
        <v>4.4000000000000004</v>
      </c>
      <c r="M2967" t="s">
        <v>152</v>
      </c>
      <c r="N2967" t="s">
        <v>34</v>
      </c>
      <c r="O2967" t="s">
        <v>55</v>
      </c>
      <c r="P2967" t="s">
        <v>152</v>
      </c>
      <c r="Q2967" t="s">
        <v>152</v>
      </c>
      <c r="R2967">
        <v>25</v>
      </c>
      <c r="S2967" t="s">
        <v>46</v>
      </c>
      <c r="T2967" t="str">
        <f t="shared" si="92"/>
        <v>2-week</v>
      </c>
      <c r="U2967">
        <f>VLOOKUP(T2967,[1]tablescore!$B$3:$C$8, 2,FALSE)</f>
        <v>26</v>
      </c>
      <c r="V2967" t="str">
        <f t="shared" si="93"/>
        <v>Loyal</v>
      </c>
      <c r="W2967" t="s">
        <v>30</v>
      </c>
    </row>
    <row r="2968" spans="1:23" x14ac:dyDescent="0.25">
      <c r="A2968">
        <v>2967</v>
      </c>
      <c r="B2968">
        <v>52</v>
      </c>
      <c r="C2968" t="str" cm="1">
        <f t="array" ref="C2968">_xlfn.IFS(
  AND(B2968&gt;=18, B2968&lt;=24), "18-24",
  AND(B2968&gt;=25, B2968&lt;=34), "25-34",
  AND(B2968&gt;=35, B2968&lt;=44), "35-44",
  AND(B2968&gt;=45, B2968&lt;=54), "45-54",
  B2968&gt;=55, "55+"
)</f>
        <v>45-54</v>
      </c>
      <c r="D2968" t="s">
        <v>153</v>
      </c>
      <c r="E2968" t="s">
        <v>132</v>
      </c>
      <c r="F2968" t="s">
        <v>43</v>
      </c>
      <c r="G2968">
        <v>49</v>
      </c>
      <c r="H2968" t="s">
        <v>101</v>
      </c>
      <c r="I2968" t="s">
        <v>23</v>
      </c>
      <c r="J2968" t="s">
        <v>121</v>
      </c>
      <c r="K2968" t="s">
        <v>58</v>
      </c>
      <c r="L2968">
        <v>2.8</v>
      </c>
      <c r="M2968" t="s">
        <v>152</v>
      </c>
      <c r="N2968" t="s">
        <v>35</v>
      </c>
      <c r="O2968" t="s">
        <v>76</v>
      </c>
      <c r="P2968" t="s">
        <v>152</v>
      </c>
      <c r="Q2968" t="s">
        <v>152</v>
      </c>
      <c r="R2968">
        <v>38</v>
      </c>
      <c r="S2968" t="s">
        <v>59</v>
      </c>
      <c r="T2968" t="str">
        <f t="shared" si="92"/>
        <v>Quarterly</v>
      </c>
      <c r="U2968">
        <f>VLOOKUP(T2968,[1]tablescore!$B$3:$C$8, 2,FALSE)</f>
        <v>4</v>
      </c>
      <c r="V2968" t="str">
        <f t="shared" si="93"/>
        <v>Low Loyalty</v>
      </c>
      <c r="W2968" t="s">
        <v>97</v>
      </c>
    </row>
    <row r="2969" spans="1:23" x14ac:dyDescent="0.25">
      <c r="A2969">
        <v>2968</v>
      </c>
      <c r="B2969">
        <v>34</v>
      </c>
      <c r="C2969" t="str" cm="1">
        <f t="array" ref="C2969">_xlfn.IFS(
  AND(B2969&gt;=18, B2969&lt;=24), "18-24",
  AND(B2969&gt;=25, B2969&lt;=34), "25-34",
  AND(B2969&gt;=35, B2969&lt;=44), "35-44",
  AND(B2969&gt;=45, B2969&lt;=54), "45-54",
  B2969&gt;=55, "55+"
)</f>
        <v>25-34</v>
      </c>
      <c r="D2969" t="s">
        <v>153</v>
      </c>
      <c r="E2969" t="s">
        <v>51</v>
      </c>
      <c r="F2969" t="s">
        <v>43</v>
      </c>
      <c r="G2969">
        <v>36</v>
      </c>
      <c r="H2969" t="s">
        <v>116</v>
      </c>
      <c r="I2969" t="s">
        <v>23</v>
      </c>
      <c r="J2969" t="s">
        <v>67</v>
      </c>
      <c r="K2969" t="s">
        <v>54</v>
      </c>
      <c r="L2969">
        <v>3.4</v>
      </c>
      <c r="M2969" t="s">
        <v>152</v>
      </c>
      <c r="N2969" t="s">
        <v>35</v>
      </c>
      <c r="O2969" t="s">
        <v>40</v>
      </c>
      <c r="P2969" t="s">
        <v>152</v>
      </c>
      <c r="Q2969" t="s">
        <v>152</v>
      </c>
      <c r="R2969">
        <v>40</v>
      </c>
      <c r="S2969" t="s">
        <v>29</v>
      </c>
      <c r="T2969" t="str">
        <f t="shared" si="92"/>
        <v>Annually</v>
      </c>
      <c r="U2969">
        <f>VLOOKUP(T2969,[1]tablescore!$B$3:$C$8, 2,FALSE)</f>
        <v>1</v>
      </c>
      <c r="V2969" t="str">
        <f t="shared" si="93"/>
        <v>Low Loyalty</v>
      </c>
      <c r="W2969" t="s">
        <v>50</v>
      </c>
    </row>
    <row r="2970" spans="1:23" x14ac:dyDescent="0.25">
      <c r="A2970">
        <v>2969</v>
      </c>
      <c r="B2970">
        <v>26</v>
      </c>
      <c r="C2970" t="str" cm="1">
        <f t="array" ref="C2970">_xlfn.IFS(
  AND(B2970&gt;=18, B2970&lt;=24), "18-24",
  AND(B2970&gt;=25, B2970&lt;=34), "25-34",
  AND(B2970&gt;=35, B2970&lt;=44), "35-44",
  AND(B2970&gt;=45, B2970&lt;=54), "45-54",
  B2970&gt;=55, "55+"
)</f>
        <v>25-34</v>
      </c>
      <c r="D2970" t="s">
        <v>153</v>
      </c>
      <c r="E2970" t="s">
        <v>31</v>
      </c>
      <c r="F2970" t="s">
        <v>21</v>
      </c>
      <c r="G2970">
        <v>48</v>
      </c>
      <c r="H2970" t="s">
        <v>126</v>
      </c>
      <c r="I2970" t="s">
        <v>38</v>
      </c>
      <c r="J2970" t="s">
        <v>24</v>
      </c>
      <c r="K2970" t="s">
        <v>58</v>
      </c>
      <c r="L2970">
        <v>4.9000000000000004</v>
      </c>
      <c r="M2970" t="s">
        <v>152</v>
      </c>
      <c r="N2970" t="s">
        <v>35</v>
      </c>
      <c r="O2970" t="s">
        <v>28</v>
      </c>
      <c r="P2970" t="s">
        <v>152</v>
      </c>
      <c r="Q2970" t="s">
        <v>152</v>
      </c>
      <c r="R2970">
        <v>25</v>
      </c>
      <c r="S2970" t="s">
        <v>35</v>
      </c>
      <c r="T2970" t="str">
        <f t="shared" si="92"/>
        <v>Quarterly</v>
      </c>
      <c r="U2970">
        <f>VLOOKUP(T2970,[1]tablescore!$B$3:$C$8, 2,FALSE)</f>
        <v>4</v>
      </c>
      <c r="V2970" t="str">
        <f t="shared" si="93"/>
        <v>Low Loyalty</v>
      </c>
      <c r="W2970" t="s">
        <v>97</v>
      </c>
    </row>
    <row r="2971" spans="1:23" x14ac:dyDescent="0.25">
      <c r="A2971">
        <v>2970</v>
      </c>
      <c r="B2971">
        <v>36</v>
      </c>
      <c r="C2971" t="str" cm="1">
        <f t="array" ref="C2971">_xlfn.IFS(
  AND(B2971&gt;=18, B2971&lt;=24), "18-24",
  AND(B2971&gt;=25, B2971&lt;=34), "25-34",
  AND(B2971&gt;=35, B2971&lt;=44), "35-44",
  AND(B2971&gt;=45, B2971&lt;=54), "45-54",
  B2971&gt;=55, "55+"
)</f>
        <v>35-44</v>
      </c>
      <c r="D2971" t="s">
        <v>153</v>
      </c>
      <c r="E2971" t="s">
        <v>136</v>
      </c>
      <c r="F2971" t="s">
        <v>69</v>
      </c>
      <c r="G2971">
        <v>62</v>
      </c>
      <c r="H2971" t="s">
        <v>145</v>
      </c>
      <c r="I2971" t="s">
        <v>38</v>
      </c>
      <c r="J2971" t="s">
        <v>138</v>
      </c>
      <c r="K2971" t="s">
        <v>58</v>
      </c>
      <c r="L2971">
        <v>4.3</v>
      </c>
      <c r="M2971" t="s">
        <v>152</v>
      </c>
      <c r="N2971" t="s">
        <v>34</v>
      </c>
      <c r="O2971" t="s">
        <v>47</v>
      </c>
      <c r="P2971" t="s">
        <v>152</v>
      </c>
      <c r="Q2971" t="s">
        <v>152</v>
      </c>
      <c r="R2971">
        <v>20</v>
      </c>
      <c r="S2971" t="s">
        <v>35</v>
      </c>
      <c r="T2971" t="str">
        <f t="shared" si="92"/>
        <v>Quarterly</v>
      </c>
      <c r="U2971">
        <f>VLOOKUP(T2971,[1]tablescore!$B$3:$C$8, 2,FALSE)</f>
        <v>4</v>
      </c>
      <c r="V2971" t="str">
        <f t="shared" si="93"/>
        <v>Low Loyalty</v>
      </c>
      <c r="W2971" t="s">
        <v>97</v>
      </c>
    </row>
    <row r="2972" spans="1:23" x14ac:dyDescent="0.25">
      <c r="A2972">
        <v>2971</v>
      </c>
      <c r="B2972">
        <v>24</v>
      </c>
      <c r="C2972" t="str" cm="1">
        <f t="array" ref="C2972">_xlfn.IFS(
  AND(B2972&gt;=18, B2972&lt;=24), "18-24",
  AND(B2972&gt;=25, B2972&lt;=34), "25-34",
  AND(B2972&gt;=35, B2972&lt;=44), "35-44",
  AND(B2972&gt;=45, B2972&lt;=54), "45-54",
  B2972&gt;=55, "55+"
)</f>
        <v>18-24</v>
      </c>
      <c r="D2972" t="s">
        <v>153</v>
      </c>
      <c r="E2972" t="s">
        <v>106</v>
      </c>
      <c r="F2972" t="s">
        <v>69</v>
      </c>
      <c r="G2972">
        <v>74</v>
      </c>
      <c r="H2972" t="s">
        <v>111</v>
      </c>
      <c r="I2972" t="s">
        <v>45</v>
      </c>
      <c r="J2972" t="s">
        <v>53</v>
      </c>
      <c r="K2972" t="s">
        <v>25</v>
      </c>
      <c r="L2972">
        <v>3.4</v>
      </c>
      <c r="M2972" t="s">
        <v>152</v>
      </c>
      <c r="N2972" t="s">
        <v>34</v>
      </c>
      <c r="O2972" t="s">
        <v>40</v>
      </c>
      <c r="P2972" t="s">
        <v>152</v>
      </c>
      <c r="Q2972" t="s">
        <v>152</v>
      </c>
      <c r="R2972">
        <v>44</v>
      </c>
      <c r="S2972" t="s">
        <v>27</v>
      </c>
      <c r="T2972" t="str">
        <f t="shared" si="92"/>
        <v>2-week</v>
      </c>
      <c r="U2972">
        <f>VLOOKUP(T2972,[1]tablescore!$B$3:$C$8, 2,FALSE)</f>
        <v>26</v>
      </c>
      <c r="V2972" t="str">
        <f t="shared" si="93"/>
        <v>Loyal</v>
      </c>
      <c r="W2972" t="s">
        <v>77</v>
      </c>
    </row>
    <row r="2973" spans="1:23" x14ac:dyDescent="0.25">
      <c r="A2973">
        <v>2972</v>
      </c>
      <c r="B2973">
        <v>30</v>
      </c>
      <c r="C2973" t="str" cm="1">
        <f t="array" ref="C2973">_xlfn.IFS(
  AND(B2973&gt;=18, B2973&lt;=24), "18-24",
  AND(B2973&gt;=25, B2973&lt;=34), "25-34",
  AND(B2973&gt;=35, B2973&lt;=44), "35-44",
  AND(B2973&gt;=45, B2973&lt;=54), "45-54",
  B2973&gt;=55, "55+"
)</f>
        <v>25-34</v>
      </c>
      <c r="D2973" t="s">
        <v>153</v>
      </c>
      <c r="E2973" t="s">
        <v>68</v>
      </c>
      <c r="F2973" t="s">
        <v>69</v>
      </c>
      <c r="G2973">
        <v>100</v>
      </c>
      <c r="H2973" t="s">
        <v>149</v>
      </c>
      <c r="I2973" t="s">
        <v>23</v>
      </c>
      <c r="J2973" t="s">
        <v>139</v>
      </c>
      <c r="K2973" t="s">
        <v>58</v>
      </c>
      <c r="L2973">
        <v>3.9</v>
      </c>
      <c r="M2973" t="s">
        <v>152</v>
      </c>
      <c r="N2973" t="s">
        <v>27</v>
      </c>
      <c r="O2973" t="s">
        <v>47</v>
      </c>
      <c r="P2973" t="s">
        <v>152</v>
      </c>
      <c r="Q2973" t="s">
        <v>152</v>
      </c>
      <c r="R2973">
        <v>9</v>
      </c>
      <c r="S2973" t="s">
        <v>46</v>
      </c>
      <c r="T2973" t="str">
        <f t="shared" si="92"/>
        <v>Quarterly</v>
      </c>
      <c r="U2973">
        <f>VLOOKUP(T2973,[1]tablescore!$B$3:$C$8, 2,FALSE)</f>
        <v>4</v>
      </c>
      <c r="V2973" t="str">
        <f t="shared" si="93"/>
        <v>Low Loyalty</v>
      </c>
      <c r="W2973" t="s">
        <v>97</v>
      </c>
    </row>
    <row r="2974" spans="1:23" x14ac:dyDescent="0.25">
      <c r="A2974">
        <v>2973</v>
      </c>
      <c r="B2974">
        <v>31</v>
      </c>
      <c r="C2974" t="str" cm="1">
        <f t="array" ref="C2974">_xlfn.IFS(
  AND(B2974&gt;=18, B2974&lt;=24), "18-24",
  AND(B2974&gt;=25, B2974&lt;=34), "25-34",
  AND(B2974&gt;=35, B2974&lt;=44), "35-44",
  AND(B2974&gt;=45, B2974&lt;=54), "45-54",
  B2974&gt;=55, "55+"
)</f>
        <v>25-34</v>
      </c>
      <c r="D2974" t="s">
        <v>153</v>
      </c>
      <c r="E2974" t="s">
        <v>102</v>
      </c>
      <c r="F2974" t="s">
        <v>65</v>
      </c>
      <c r="G2974">
        <v>39</v>
      </c>
      <c r="H2974" t="s">
        <v>85</v>
      </c>
      <c r="I2974" t="s">
        <v>38</v>
      </c>
      <c r="J2974" t="s">
        <v>129</v>
      </c>
      <c r="K2974" t="s">
        <v>58</v>
      </c>
      <c r="L2974">
        <v>4.2</v>
      </c>
      <c r="M2974" t="s">
        <v>152</v>
      </c>
      <c r="N2974" t="s">
        <v>29</v>
      </c>
      <c r="O2974" t="s">
        <v>40</v>
      </c>
      <c r="P2974" t="s">
        <v>152</v>
      </c>
      <c r="Q2974" t="s">
        <v>152</v>
      </c>
      <c r="R2974">
        <v>11</v>
      </c>
      <c r="S2974" t="s">
        <v>29</v>
      </c>
      <c r="T2974" t="str">
        <f t="shared" si="92"/>
        <v>Quarterly</v>
      </c>
      <c r="U2974">
        <f>VLOOKUP(T2974,[1]tablescore!$B$3:$C$8, 2,FALSE)</f>
        <v>4</v>
      </c>
      <c r="V2974" t="str">
        <f t="shared" si="93"/>
        <v>Low Loyalty</v>
      </c>
      <c r="W2974" t="s">
        <v>97</v>
      </c>
    </row>
    <row r="2975" spans="1:23" x14ac:dyDescent="0.25">
      <c r="A2975">
        <v>2974</v>
      </c>
      <c r="B2975">
        <v>25</v>
      </c>
      <c r="C2975" t="str" cm="1">
        <f t="array" ref="C2975">_xlfn.IFS(
  AND(B2975&gt;=18, B2975&lt;=24), "18-24",
  AND(B2975&gt;=25, B2975&lt;=34), "25-34",
  AND(B2975&gt;=35, B2975&lt;=44), "35-44",
  AND(B2975&gt;=45, B2975&lt;=54), "45-54",
  B2975&gt;=55, "55+"
)</f>
        <v>25-34</v>
      </c>
      <c r="D2975" t="s">
        <v>153</v>
      </c>
      <c r="E2975" t="s">
        <v>132</v>
      </c>
      <c r="F2975" t="s">
        <v>43</v>
      </c>
      <c r="G2975">
        <v>65</v>
      </c>
      <c r="H2975" t="s">
        <v>116</v>
      </c>
      <c r="I2975" t="s">
        <v>45</v>
      </c>
      <c r="J2975" t="s">
        <v>138</v>
      </c>
      <c r="K2975" t="s">
        <v>54</v>
      </c>
      <c r="L2975">
        <v>2.7</v>
      </c>
      <c r="M2975" t="s">
        <v>152</v>
      </c>
      <c r="N2975" t="s">
        <v>46</v>
      </c>
      <c r="O2975" t="s">
        <v>76</v>
      </c>
      <c r="P2975" t="s">
        <v>152</v>
      </c>
      <c r="Q2975" t="s">
        <v>152</v>
      </c>
      <c r="R2975">
        <v>3</v>
      </c>
      <c r="S2975" t="s">
        <v>34</v>
      </c>
      <c r="T2975" t="str">
        <f t="shared" si="92"/>
        <v>2-week</v>
      </c>
      <c r="U2975">
        <f>VLOOKUP(T2975,[1]tablescore!$B$3:$C$8, 2,FALSE)</f>
        <v>26</v>
      </c>
      <c r="V2975" t="str">
        <f t="shared" si="93"/>
        <v>Loyal</v>
      </c>
      <c r="W2975" t="s">
        <v>30</v>
      </c>
    </row>
    <row r="2976" spans="1:23" x14ac:dyDescent="0.25">
      <c r="A2976">
        <v>2975</v>
      </c>
      <c r="B2976">
        <v>57</v>
      </c>
      <c r="C2976" t="str" cm="1">
        <f t="array" ref="C2976">_xlfn.IFS(
  AND(B2976&gt;=18, B2976&lt;=24), "18-24",
  AND(B2976&gt;=25, B2976&lt;=34), "25-34",
  AND(B2976&gt;=35, B2976&lt;=44), "35-44",
  AND(B2976&gt;=45, B2976&lt;=54), "45-54",
  B2976&gt;=55, "55+"
)</f>
        <v>55+</v>
      </c>
      <c r="D2976" t="s">
        <v>153</v>
      </c>
      <c r="E2976" t="s">
        <v>51</v>
      </c>
      <c r="F2976" t="s">
        <v>43</v>
      </c>
      <c r="G2976">
        <v>99</v>
      </c>
      <c r="H2976" t="s">
        <v>122</v>
      </c>
      <c r="I2976" t="s">
        <v>92</v>
      </c>
      <c r="J2976" t="s">
        <v>100</v>
      </c>
      <c r="K2976" t="s">
        <v>54</v>
      </c>
      <c r="L2976">
        <v>4.0999999999999996</v>
      </c>
      <c r="M2976" t="s">
        <v>152</v>
      </c>
      <c r="N2976" t="s">
        <v>35</v>
      </c>
      <c r="O2976" t="s">
        <v>76</v>
      </c>
      <c r="P2976" t="s">
        <v>152</v>
      </c>
      <c r="Q2976" t="s">
        <v>152</v>
      </c>
      <c r="R2976">
        <v>34</v>
      </c>
      <c r="S2976" t="s">
        <v>27</v>
      </c>
      <c r="T2976" t="str">
        <f t="shared" si="92"/>
        <v>Daily</v>
      </c>
      <c r="U2976">
        <f>VLOOKUP(T2976,[1]tablescore!$B$3:$C$8, 2,FALSE)</f>
        <v>30</v>
      </c>
      <c r="V2976" t="str">
        <f t="shared" si="93"/>
        <v>Highly Loyal</v>
      </c>
      <c r="W2976" t="s">
        <v>41</v>
      </c>
    </row>
    <row r="2977" spans="1:23" x14ac:dyDescent="0.25">
      <c r="A2977">
        <v>2976</v>
      </c>
      <c r="B2977">
        <v>61</v>
      </c>
      <c r="C2977" t="str" cm="1">
        <f t="array" ref="C2977">_xlfn.IFS(
  AND(B2977&gt;=18, B2977&lt;=24), "18-24",
  AND(B2977&gt;=25, B2977&lt;=34), "25-34",
  AND(B2977&gt;=35, B2977&lt;=44), "35-44",
  AND(B2977&gt;=45, B2977&lt;=54), "45-54",
  B2977&gt;=55, "55+"
)</f>
        <v>55+</v>
      </c>
      <c r="D2977" t="s">
        <v>153</v>
      </c>
      <c r="E2977" t="s">
        <v>119</v>
      </c>
      <c r="F2977" t="s">
        <v>69</v>
      </c>
      <c r="G2977">
        <v>68</v>
      </c>
      <c r="H2977" t="s">
        <v>142</v>
      </c>
      <c r="I2977" t="s">
        <v>92</v>
      </c>
      <c r="J2977" t="s">
        <v>93</v>
      </c>
      <c r="K2977" t="s">
        <v>25</v>
      </c>
      <c r="L2977">
        <v>4.5</v>
      </c>
      <c r="M2977" t="s">
        <v>152</v>
      </c>
      <c r="N2977" t="s">
        <v>46</v>
      </c>
      <c r="O2977" t="s">
        <v>72</v>
      </c>
      <c r="P2977" t="s">
        <v>152</v>
      </c>
      <c r="Q2977" t="s">
        <v>152</v>
      </c>
      <c r="R2977">
        <v>48</v>
      </c>
      <c r="S2977" t="s">
        <v>35</v>
      </c>
      <c r="T2977" t="str">
        <f t="shared" si="92"/>
        <v>Quarterly</v>
      </c>
      <c r="U2977">
        <f>VLOOKUP(T2977,[1]tablescore!$B$3:$C$8, 2,FALSE)</f>
        <v>4</v>
      </c>
      <c r="V2977" t="str">
        <f t="shared" si="93"/>
        <v>Low Loyalty</v>
      </c>
      <c r="W2977" t="s">
        <v>97</v>
      </c>
    </row>
    <row r="2978" spans="1:23" x14ac:dyDescent="0.25">
      <c r="A2978">
        <v>2977</v>
      </c>
      <c r="B2978">
        <v>30</v>
      </c>
      <c r="C2978" t="str" cm="1">
        <f t="array" ref="C2978">_xlfn.IFS(
  AND(B2978&gt;=18, B2978&lt;=24), "18-24",
  AND(B2978&gt;=25, B2978&lt;=34), "25-34",
  AND(B2978&gt;=35, B2978&lt;=44), "35-44",
  AND(B2978&gt;=45, B2978&lt;=54), "45-54",
  B2978&gt;=55, "55+"
)</f>
        <v>25-34</v>
      </c>
      <c r="D2978" t="s">
        <v>153</v>
      </c>
      <c r="E2978" t="s">
        <v>64</v>
      </c>
      <c r="F2978" t="s">
        <v>65</v>
      </c>
      <c r="G2978">
        <v>97</v>
      </c>
      <c r="H2978" t="s">
        <v>143</v>
      </c>
      <c r="I2978" t="s">
        <v>45</v>
      </c>
      <c r="J2978" t="s">
        <v>67</v>
      </c>
      <c r="K2978" t="s">
        <v>54</v>
      </c>
      <c r="L2978">
        <v>2.8</v>
      </c>
      <c r="M2978" t="s">
        <v>152</v>
      </c>
      <c r="N2978" t="s">
        <v>59</v>
      </c>
      <c r="O2978" t="s">
        <v>28</v>
      </c>
      <c r="P2978" t="s">
        <v>152</v>
      </c>
      <c r="Q2978" t="s">
        <v>152</v>
      </c>
      <c r="R2978">
        <v>28</v>
      </c>
      <c r="S2978" t="s">
        <v>35</v>
      </c>
      <c r="T2978" t="str">
        <f t="shared" si="92"/>
        <v>2-week</v>
      </c>
      <c r="U2978">
        <f>VLOOKUP(T2978,[1]tablescore!$B$3:$C$8, 2,FALSE)</f>
        <v>26</v>
      </c>
      <c r="V2978" t="str">
        <f t="shared" si="93"/>
        <v>Loyal</v>
      </c>
      <c r="W2978" t="s">
        <v>30</v>
      </c>
    </row>
    <row r="2979" spans="1:23" x14ac:dyDescent="0.25">
      <c r="A2979">
        <v>2978</v>
      </c>
      <c r="B2979">
        <v>38</v>
      </c>
      <c r="C2979" t="str" cm="1">
        <f t="array" ref="C2979">_xlfn.IFS(
  AND(B2979&gt;=18, B2979&lt;=24), "18-24",
  AND(B2979&gt;=25, B2979&lt;=34), "25-34",
  AND(B2979&gt;=35, B2979&lt;=44), "35-44",
  AND(B2979&gt;=45, B2979&lt;=54), "45-54",
  B2979&gt;=55, "55+"
)</f>
        <v>35-44</v>
      </c>
      <c r="D2979" t="s">
        <v>153</v>
      </c>
      <c r="E2979" t="s">
        <v>61</v>
      </c>
      <c r="F2979" t="s">
        <v>21</v>
      </c>
      <c r="G2979">
        <v>47</v>
      </c>
      <c r="H2979" t="s">
        <v>140</v>
      </c>
      <c r="I2979" t="s">
        <v>23</v>
      </c>
      <c r="J2979" t="s">
        <v>81</v>
      </c>
      <c r="K2979" t="s">
        <v>25</v>
      </c>
      <c r="L2979">
        <v>3.4</v>
      </c>
      <c r="M2979" t="s">
        <v>152</v>
      </c>
      <c r="N2979" t="s">
        <v>46</v>
      </c>
      <c r="O2979" t="s">
        <v>55</v>
      </c>
      <c r="P2979" t="s">
        <v>152</v>
      </c>
      <c r="Q2979" t="s">
        <v>152</v>
      </c>
      <c r="R2979">
        <v>20</v>
      </c>
      <c r="S2979" t="s">
        <v>29</v>
      </c>
      <c r="T2979" t="str">
        <f t="shared" si="92"/>
        <v>Annually</v>
      </c>
      <c r="U2979">
        <f>VLOOKUP(T2979,[1]tablescore!$B$3:$C$8, 2,FALSE)</f>
        <v>1</v>
      </c>
      <c r="V2979" t="str">
        <f t="shared" si="93"/>
        <v>Low Loyalty</v>
      </c>
      <c r="W2979" t="s">
        <v>50</v>
      </c>
    </row>
    <row r="2980" spans="1:23" x14ac:dyDescent="0.25">
      <c r="A2980">
        <v>2979</v>
      </c>
      <c r="B2980">
        <v>53</v>
      </c>
      <c r="C2980" t="str" cm="1">
        <f t="array" ref="C2980">_xlfn.IFS(
  AND(B2980&gt;=18, B2980&lt;=24), "18-24",
  AND(B2980&gt;=25, B2980&lt;=34), "25-34",
  AND(B2980&gt;=35, B2980&lt;=44), "35-44",
  AND(B2980&gt;=45, B2980&lt;=54), "45-54",
  B2980&gt;=55, "55+"
)</f>
        <v>45-54</v>
      </c>
      <c r="D2980" t="s">
        <v>153</v>
      </c>
      <c r="E2980" t="s">
        <v>61</v>
      </c>
      <c r="F2980" t="s">
        <v>21</v>
      </c>
      <c r="G2980">
        <v>56</v>
      </c>
      <c r="H2980" t="s">
        <v>144</v>
      </c>
      <c r="I2980" t="s">
        <v>38</v>
      </c>
      <c r="J2980" t="s">
        <v>109</v>
      </c>
      <c r="K2980" t="s">
        <v>39</v>
      </c>
      <c r="L2980">
        <v>3.9</v>
      </c>
      <c r="M2980" t="s">
        <v>152</v>
      </c>
      <c r="N2980" t="s">
        <v>27</v>
      </c>
      <c r="O2980" t="s">
        <v>40</v>
      </c>
      <c r="P2980" t="s">
        <v>152</v>
      </c>
      <c r="Q2980" t="s">
        <v>152</v>
      </c>
      <c r="R2980">
        <v>49</v>
      </c>
      <c r="S2980" t="s">
        <v>34</v>
      </c>
      <c r="T2980" t="str">
        <f t="shared" si="92"/>
        <v>2-week</v>
      </c>
      <c r="U2980">
        <f>VLOOKUP(T2980,[1]tablescore!$B$3:$C$8, 2,FALSE)</f>
        <v>26</v>
      </c>
      <c r="V2980" t="str">
        <f t="shared" si="93"/>
        <v>Loyal</v>
      </c>
      <c r="W2980" t="s">
        <v>30</v>
      </c>
    </row>
    <row r="2981" spans="1:23" x14ac:dyDescent="0.25">
      <c r="A2981">
        <v>2980</v>
      </c>
      <c r="B2981">
        <v>31</v>
      </c>
      <c r="C2981" t="str" cm="1">
        <f t="array" ref="C2981">_xlfn.IFS(
  AND(B2981&gt;=18, B2981&lt;=24), "18-24",
  AND(B2981&gt;=25, B2981&lt;=34), "25-34",
  AND(B2981&gt;=35, B2981&lt;=44), "35-44",
  AND(B2981&gt;=45, B2981&lt;=54), "45-54",
  B2981&gt;=55, "55+"
)</f>
        <v>25-34</v>
      </c>
      <c r="D2981" t="s">
        <v>153</v>
      </c>
      <c r="E2981" t="s">
        <v>36</v>
      </c>
      <c r="F2981" t="s">
        <v>21</v>
      </c>
      <c r="G2981">
        <v>91</v>
      </c>
      <c r="H2981" t="s">
        <v>62</v>
      </c>
      <c r="I2981" t="s">
        <v>23</v>
      </c>
      <c r="J2981" t="s">
        <v>79</v>
      </c>
      <c r="K2981" t="s">
        <v>58</v>
      </c>
      <c r="L2981">
        <v>2.6</v>
      </c>
      <c r="M2981" t="s">
        <v>152</v>
      </c>
      <c r="N2981" t="s">
        <v>46</v>
      </c>
      <c r="O2981" t="s">
        <v>47</v>
      </c>
      <c r="P2981" t="s">
        <v>152</v>
      </c>
      <c r="Q2981" t="s">
        <v>152</v>
      </c>
      <c r="R2981">
        <v>14</v>
      </c>
      <c r="S2981" t="s">
        <v>46</v>
      </c>
      <c r="T2981" t="str">
        <f t="shared" si="92"/>
        <v>Daily</v>
      </c>
      <c r="U2981">
        <f>VLOOKUP(T2981,[1]tablescore!$B$3:$C$8, 2,FALSE)</f>
        <v>30</v>
      </c>
      <c r="V2981" t="str">
        <f t="shared" si="93"/>
        <v>Highly Loyal</v>
      </c>
      <c r="W2981" t="s">
        <v>41</v>
      </c>
    </row>
    <row r="2982" spans="1:23" x14ac:dyDescent="0.25">
      <c r="A2982">
        <v>2981</v>
      </c>
      <c r="B2982">
        <v>70</v>
      </c>
      <c r="C2982" t="str" cm="1">
        <f t="array" ref="C2982">_xlfn.IFS(
  AND(B2982&gt;=18, B2982&lt;=24), "18-24",
  AND(B2982&gt;=25, B2982&lt;=34), "25-34",
  AND(B2982&gt;=35, B2982&lt;=44), "35-44",
  AND(B2982&gt;=45, B2982&lt;=54), "45-54",
  B2982&gt;=55, "55+"
)</f>
        <v>55+</v>
      </c>
      <c r="D2982" t="s">
        <v>153</v>
      </c>
      <c r="E2982" t="s">
        <v>127</v>
      </c>
      <c r="F2982" t="s">
        <v>69</v>
      </c>
      <c r="G2982">
        <v>93</v>
      </c>
      <c r="H2982" t="s">
        <v>137</v>
      </c>
      <c r="I2982" t="s">
        <v>23</v>
      </c>
      <c r="J2982" t="s">
        <v>86</v>
      </c>
      <c r="K2982" t="s">
        <v>58</v>
      </c>
      <c r="L2982">
        <v>4.4000000000000004</v>
      </c>
      <c r="M2982" t="s">
        <v>152</v>
      </c>
      <c r="N2982" t="s">
        <v>35</v>
      </c>
      <c r="O2982" t="s">
        <v>72</v>
      </c>
      <c r="P2982" t="s">
        <v>152</v>
      </c>
      <c r="Q2982" t="s">
        <v>152</v>
      </c>
      <c r="R2982">
        <v>9</v>
      </c>
      <c r="S2982" t="s">
        <v>34</v>
      </c>
      <c r="T2982" t="str">
        <f t="shared" si="92"/>
        <v>Month</v>
      </c>
      <c r="U2982">
        <f>VLOOKUP(T2982,[1]tablescore!$B$3:$C$8, 2,FALSE)</f>
        <v>12</v>
      </c>
      <c r="V2982" t="str">
        <f t="shared" si="93"/>
        <v>Moderate</v>
      </c>
      <c r="W2982" t="s">
        <v>88</v>
      </c>
    </row>
    <row r="2983" spans="1:23" x14ac:dyDescent="0.25">
      <c r="A2983">
        <v>2982</v>
      </c>
      <c r="B2983">
        <v>21</v>
      </c>
      <c r="C2983" t="str" cm="1">
        <f t="array" ref="C2983">_xlfn.IFS(
  AND(B2983&gt;=18, B2983&lt;=24), "18-24",
  AND(B2983&gt;=25, B2983&lt;=34), "25-34",
  AND(B2983&gt;=35, B2983&lt;=44), "35-44",
  AND(B2983&gt;=45, B2983&lt;=54), "45-54",
  B2983&gt;=55, "55+"
)</f>
        <v>18-24</v>
      </c>
      <c r="D2983" t="s">
        <v>153</v>
      </c>
      <c r="E2983" t="s">
        <v>95</v>
      </c>
      <c r="F2983" t="s">
        <v>21</v>
      </c>
      <c r="G2983">
        <v>36</v>
      </c>
      <c r="H2983" t="s">
        <v>80</v>
      </c>
      <c r="I2983" t="s">
        <v>23</v>
      </c>
      <c r="J2983" t="s">
        <v>71</v>
      </c>
      <c r="K2983" t="s">
        <v>25</v>
      </c>
      <c r="L2983">
        <v>4.9000000000000004</v>
      </c>
      <c r="M2983" t="s">
        <v>152</v>
      </c>
      <c r="N2983" t="s">
        <v>46</v>
      </c>
      <c r="O2983" t="s">
        <v>55</v>
      </c>
      <c r="P2983" t="s">
        <v>152</v>
      </c>
      <c r="Q2983" t="s">
        <v>152</v>
      </c>
      <c r="R2983">
        <v>37</v>
      </c>
      <c r="S2983" t="s">
        <v>29</v>
      </c>
      <c r="T2983" t="str">
        <f t="shared" si="92"/>
        <v>Annually</v>
      </c>
      <c r="U2983">
        <f>VLOOKUP(T2983,[1]tablescore!$B$3:$C$8, 2,FALSE)</f>
        <v>1</v>
      </c>
      <c r="V2983" t="str">
        <f t="shared" si="93"/>
        <v>Low Loyalty</v>
      </c>
      <c r="W2983" t="s">
        <v>50</v>
      </c>
    </row>
    <row r="2984" spans="1:23" x14ac:dyDescent="0.25">
      <c r="A2984">
        <v>2983</v>
      </c>
      <c r="B2984">
        <v>33</v>
      </c>
      <c r="C2984" t="str" cm="1">
        <f t="array" ref="C2984">_xlfn.IFS(
  AND(B2984&gt;=18, B2984&lt;=24), "18-24",
  AND(B2984&gt;=25, B2984&lt;=34), "25-34",
  AND(B2984&gt;=35, B2984&lt;=44), "35-44",
  AND(B2984&gt;=45, B2984&lt;=54), "45-54",
  B2984&gt;=55, "55+"
)</f>
        <v>25-34</v>
      </c>
      <c r="D2984" t="s">
        <v>153</v>
      </c>
      <c r="E2984" t="s">
        <v>82</v>
      </c>
      <c r="F2984" t="s">
        <v>21</v>
      </c>
      <c r="G2984">
        <v>45</v>
      </c>
      <c r="H2984" t="s">
        <v>148</v>
      </c>
      <c r="I2984" t="s">
        <v>45</v>
      </c>
      <c r="J2984" t="s">
        <v>121</v>
      </c>
      <c r="K2984" t="s">
        <v>54</v>
      </c>
      <c r="L2984">
        <v>3.6</v>
      </c>
      <c r="M2984" t="s">
        <v>152</v>
      </c>
      <c r="N2984" t="s">
        <v>29</v>
      </c>
      <c r="O2984" t="s">
        <v>76</v>
      </c>
      <c r="P2984" t="s">
        <v>152</v>
      </c>
      <c r="Q2984" t="s">
        <v>152</v>
      </c>
      <c r="R2984">
        <v>4</v>
      </c>
      <c r="S2984" t="s">
        <v>27</v>
      </c>
      <c r="T2984" t="str">
        <f t="shared" si="92"/>
        <v>Daily</v>
      </c>
      <c r="U2984">
        <f>VLOOKUP(T2984,[1]tablescore!$B$3:$C$8, 2,FALSE)</f>
        <v>30</v>
      </c>
      <c r="V2984" t="str">
        <f t="shared" si="93"/>
        <v>Highly Loyal</v>
      </c>
      <c r="W2984" t="s">
        <v>41</v>
      </c>
    </row>
    <row r="2985" spans="1:23" x14ac:dyDescent="0.25">
      <c r="A2985">
        <v>2984</v>
      </c>
      <c r="B2985">
        <v>60</v>
      </c>
      <c r="C2985" t="str" cm="1">
        <f t="array" ref="C2985">_xlfn.IFS(
  AND(B2985&gt;=18, B2985&lt;=24), "18-24",
  AND(B2985&gt;=25, B2985&lt;=34), "25-34",
  AND(B2985&gt;=35, B2985&lt;=44), "35-44",
  AND(B2985&gt;=45, B2985&lt;=54), "45-54",
  B2985&gt;=55, "55+"
)</f>
        <v>55+</v>
      </c>
      <c r="D2985" t="s">
        <v>153</v>
      </c>
      <c r="E2985" t="s">
        <v>95</v>
      </c>
      <c r="F2985" t="s">
        <v>21</v>
      </c>
      <c r="G2985">
        <v>44</v>
      </c>
      <c r="H2985" t="s">
        <v>66</v>
      </c>
      <c r="I2985" t="s">
        <v>45</v>
      </c>
      <c r="J2985" t="s">
        <v>63</v>
      </c>
      <c r="K2985" t="s">
        <v>25</v>
      </c>
      <c r="L2985">
        <v>2.8</v>
      </c>
      <c r="M2985" t="s">
        <v>152</v>
      </c>
      <c r="N2985" t="s">
        <v>29</v>
      </c>
      <c r="O2985" t="s">
        <v>72</v>
      </c>
      <c r="P2985" t="s">
        <v>152</v>
      </c>
      <c r="Q2985" t="s">
        <v>152</v>
      </c>
      <c r="R2985">
        <v>1</v>
      </c>
      <c r="S2985" t="s">
        <v>27</v>
      </c>
      <c r="T2985" t="str">
        <f t="shared" si="92"/>
        <v>Quarterly</v>
      </c>
      <c r="U2985">
        <f>VLOOKUP(T2985,[1]tablescore!$B$3:$C$8, 2,FALSE)</f>
        <v>4</v>
      </c>
      <c r="V2985" t="str">
        <f t="shared" si="93"/>
        <v>Low Loyalty</v>
      </c>
      <c r="W2985" t="s">
        <v>60</v>
      </c>
    </row>
    <row r="2986" spans="1:23" x14ac:dyDescent="0.25">
      <c r="A2986">
        <v>2985</v>
      </c>
      <c r="B2986">
        <v>45</v>
      </c>
      <c r="C2986" t="str" cm="1">
        <f t="array" ref="C2986">_xlfn.IFS(
  AND(B2986&gt;=18, B2986&lt;=24), "18-24",
  AND(B2986&gt;=25, B2986&lt;=34), "25-34",
  AND(B2986&gt;=35, B2986&lt;=44), "35-44",
  AND(B2986&gt;=45, B2986&lt;=54), "45-54",
  B2986&gt;=55, "55+"
)</f>
        <v>45-54</v>
      </c>
      <c r="D2986" t="s">
        <v>153</v>
      </c>
      <c r="E2986" t="s">
        <v>127</v>
      </c>
      <c r="F2986" t="s">
        <v>69</v>
      </c>
      <c r="G2986">
        <v>32</v>
      </c>
      <c r="H2986" t="s">
        <v>105</v>
      </c>
      <c r="I2986" t="s">
        <v>23</v>
      </c>
      <c r="J2986" t="s">
        <v>108</v>
      </c>
      <c r="K2986" t="s">
        <v>39</v>
      </c>
      <c r="L2986">
        <v>4.3</v>
      </c>
      <c r="M2986" t="s">
        <v>152</v>
      </c>
      <c r="N2986" t="s">
        <v>46</v>
      </c>
      <c r="O2986" t="s">
        <v>72</v>
      </c>
      <c r="P2986" t="s">
        <v>152</v>
      </c>
      <c r="Q2986" t="s">
        <v>152</v>
      </c>
      <c r="R2986">
        <v>36</v>
      </c>
      <c r="S2986" t="s">
        <v>59</v>
      </c>
      <c r="T2986" t="str">
        <f t="shared" si="92"/>
        <v>2-week</v>
      </c>
      <c r="U2986">
        <f>VLOOKUP(T2986,[1]tablescore!$B$3:$C$8, 2,FALSE)</f>
        <v>26</v>
      </c>
      <c r="V2986" t="str">
        <f t="shared" si="93"/>
        <v>Loyal</v>
      </c>
      <c r="W2986" t="s">
        <v>77</v>
      </c>
    </row>
    <row r="2987" spans="1:23" x14ac:dyDescent="0.25">
      <c r="A2987">
        <v>2986</v>
      </c>
      <c r="B2987">
        <v>46</v>
      </c>
      <c r="C2987" t="str" cm="1">
        <f t="array" ref="C2987">_xlfn.IFS(
  AND(B2987&gt;=18, B2987&lt;=24), "18-24",
  AND(B2987&gt;=25, B2987&lt;=34), "25-34",
  AND(B2987&gt;=35, B2987&lt;=44), "35-44",
  AND(B2987&gt;=45, B2987&lt;=54), "45-54",
  B2987&gt;=55, "55+"
)</f>
        <v>45-54</v>
      </c>
      <c r="D2987" t="s">
        <v>153</v>
      </c>
      <c r="E2987" t="s">
        <v>136</v>
      </c>
      <c r="F2987" t="s">
        <v>69</v>
      </c>
      <c r="G2987">
        <v>36</v>
      </c>
      <c r="H2987" t="s">
        <v>78</v>
      </c>
      <c r="I2987" t="s">
        <v>38</v>
      </c>
      <c r="J2987" t="s">
        <v>86</v>
      </c>
      <c r="K2987" t="s">
        <v>54</v>
      </c>
      <c r="L2987">
        <v>3</v>
      </c>
      <c r="M2987" t="s">
        <v>152</v>
      </c>
      <c r="N2987" t="s">
        <v>29</v>
      </c>
      <c r="O2987" t="s">
        <v>28</v>
      </c>
      <c r="P2987" t="s">
        <v>152</v>
      </c>
      <c r="Q2987" t="s">
        <v>152</v>
      </c>
      <c r="R2987">
        <v>21</v>
      </c>
      <c r="S2987" t="s">
        <v>35</v>
      </c>
      <c r="T2987" t="str">
        <f t="shared" si="92"/>
        <v>2-week</v>
      </c>
      <c r="U2987">
        <f>VLOOKUP(T2987,[1]tablescore!$B$3:$C$8, 2,FALSE)</f>
        <v>26</v>
      </c>
      <c r="V2987" t="str">
        <f t="shared" si="93"/>
        <v>Loyal</v>
      </c>
      <c r="W2987" t="s">
        <v>77</v>
      </c>
    </row>
    <row r="2988" spans="1:23" x14ac:dyDescent="0.25">
      <c r="A2988">
        <v>2987</v>
      </c>
      <c r="B2988">
        <v>62</v>
      </c>
      <c r="C2988" t="str" cm="1">
        <f t="array" ref="C2988">_xlfn.IFS(
  AND(B2988&gt;=18, B2988&lt;=24), "18-24",
  AND(B2988&gt;=25, B2988&lt;=34), "25-34",
  AND(B2988&gt;=35, B2988&lt;=44), "35-44",
  AND(B2988&gt;=45, B2988&lt;=54), "45-54",
  B2988&gt;=55, "55+"
)</f>
        <v>55+</v>
      </c>
      <c r="D2988" t="s">
        <v>153</v>
      </c>
      <c r="E2988" t="s">
        <v>136</v>
      </c>
      <c r="F2988" t="s">
        <v>69</v>
      </c>
      <c r="G2988">
        <v>85</v>
      </c>
      <c r="H2988" t="s">
        <v>117</v>
      </c>
      <c r="I2988" t="s">
        <v>38</v>
      </c>
      <c r="J2988" t="s">
        <v>67</v>
      </c>
      <c r="K2988" t="s">
        <v>54</v>
      </c>
      <c r="L2988">
        <v>3.3</v>
      </c>
      <c r="M2988" t="s">
        <v>152</v>
      </c>
      <c r="N2988" t="s">
        <v>27</v>
      </c>
      <c r="O2988" t="s">
        <v>72</v>
      </c>
      <c r="P2988" t="s">
        <v>152</v>
      </c>
      <c r="Q2988" t="s">
        <v>152</v>
      </c>
      <c r="R2988">
        <v>16</v>
      </c>
      <c r="S2988" t="s">
        <v>27</v>
      </c>
      <c r="T2988" t="str">
        <f t="shared" si="92"/>
        <v>Month</v>
      </c>
      <c r="U2988">
        <f>VLOOKUP(T2988,[1]tablescore!$B$3:$C$8, 2,FALSE)</f>
        <v>12</v>
      </c>
      <c r="V2988" t="str">
        <f t="shared" si="93"/>
        <v>Moderate</v>
      </c>
      <c r="W2988" t="s">
        <v>88</v>
      </c>
    </row>
    <row r="2989" spans="1:23" x14ac:dyDescent="0.25">
      <c r="A2989">
        <v>2988</v>
      </c>
      <c r="B2989">
        <v>63</v>
      </c>
      <c r="C2989" t="str" cm="1">
        <f t="array" ref="C2989">_xlfn.IFS(
  AND(B2989&gt;=18, B2989&lt;=24), "18-24",
  AND(B2989&gt;=25, B2989&lt;=34), "25-34",
  AND(B2989&gt;=35, B2989&lt;=44), "35-44",
  AND(B2989&gt;=45, B2989&lt;=54), "45-54",
  B2989&gt;=55, "55+"
)</f>
        <v>55+</v>
      </c>
      <c r="D2989" t="s">
        <v>153</v>
      </c>
      <c r="E2989" t="s">
        <v>87</v>
      </c>
      <c r="F2989" t="s">
        <v>21</v>
      </c>
      <c r="G2989">
        <v>36</v>
      </c>
      <c r="H2989" t="s">
        <v>62</v>
      </c>
      <c r="I2989" t="s">
        <v>23</v>
      </c>
      <c r="J2989" t="s">
        <v>94</v>
      </c>
      <c r="K2989" t="s">
        <v>25</v>
      </c>
      <c r="L2989">
        <v>2.5</v>
      </c>
      <c r="M2989" t="s">
        <v>152</v>
      </c>
      <c r="N2989" t="s">
        <v>59</v>
      </c>
      <c r="O2989" t="s">
        <v>76</v>
      </c>
      <c r="P2989" t="s">
        <v>152</v>
      </c>
      <c r="Q2989" t="s">
        <v>152</v>
      </c>
      <c r="R2989">
        <v>42</v>
      </c>
      <c r="S2989" t="s">
        <v>35</v>
      </c>
      <c r="T2989" t="str">
        <f t="shared" si="92"/>
        <v>Month</v>
      </c>
      <c r="U2989">
        <f>VLOOKUP(T2989,[1]tablescore!$B$3:$C$8, 2,FALSE)</f>
        <v>12</v>
      </c>
      <c r="V2989" t="str">
        <f t="shared" si="93"/>
        <v>Moderate</v>
      </c>
      <c r="W2989" t="s">
        <v>88</v>
      </c>
    </row>
    <row r="2990" spans="1:23" x14ac:dyDescent="0.25">
      <c r="A2990">
        <v>2989</v>
      </c>
      <c r="B2990">
        <v>69</v>
      </c>
      <c r="C2990" t="str" cm="1">
        <f t="array" ref="C2990">_xlfn.IFS(
  AND(B2990&gt;=18, B2990&lt;=24), "18-24",
  AND(B2990&gt;=25, B2990&lt;=34), "25-34",
  AND(B2990&gt;=35, B2990&lt;=44), "35-44",
  AND(B2990&gt;=45, B2990&lt;=54), "45-54",
  B2990&gt;=55, "55+"
)</f>
        <v>55+</v>
      </c>
      <c r="D2990" t="s">
        <v>153</v>
      </c>
      <c r="E2990" t="s">
        <v>131</v>
      </c>
      <c r="F2990" t="s">
        <v>21</v>
      </c>
      <c r="G2990">
        <v>55</v>
      </c>
      <c r="H2990" t="s">
        <v>107</v>
      </c>
      <c r="I2990" t="s">
        <v>38</v>
      </c>
      <c r="J2990" t="s">
        <v>71</v>
      </c>
      <c r="K2990" t="s">
        <v>39</v>
      </c>
      <c r="L2990">
        <v>5</v>
      </c>
      <c r="M2990" t="s">
        <v>152</v>
      </c>
      <c r="N2990" t="s">
        <v>59</v>
      </c>
      <c r="O2990" t="s">
        <v>72</v>
      </c>
      <c r="P2990" t="s">
        <v>152</v>
      </c>
      <c r="Q2990" t="s">
        <v>152</v>
      </c>
      <c r="R2990">
        <v>31</v>
      </c>
      <c r="S2990" t="s">
        <v>59</v>
      </c>
      <c r="T2990" t="str">
        <f t="shared" si="92"/>
        <v>Month</v>
      </c>
      <c r="U2990">
        <f>VLOOKUP(T2990,[1]tablescore!$B$3:$C$8, 2,FALSE)</f>
        <v>12</v>
      </c>
      <c r="V2990" t="str">
        <f t="shared" si="93"/>
        <v>Moderate</v>
      </c>
      <c r="W2990" t="s">
        <v>88</v>
      </c>
    </row>
    <row r="2991" spans="1:23" x14ac:dyDescent="0.25">
      <c r="A2991">
        <v>2990</v>
      </c>
      <c r="B2991">
        <v>46</v>
      </c>
      <c r="C2991" t="str" cm="1">
        <f t="array" ref="C2991">_xlfn.IFS(
  AND(B2991&gt;=18, B2991&lt;=24), "18-24",
  AND(B2991&gt;=25, B2991&lt;=34), "25-34",
  AND(B2991&gt;=35, B2991&lt;=44), "35-44",
  AND(B2991&gt;=45, B2991&lt;=54), "45-54",
  B2991&gt;=55, "55+"
)</f>
        <v>45-54</v>
      </c>
      <c r="D2991" t="s">
        <v>153</v>
      </c>
      <c r="E2991" t="s">
        <v>136</v>
      </c>
      <c r="F2991" t="s">
        <v>69</v>
      </c>
      <c r="G2991">
        <v>20</v>
      </c>
      <c r="H2991" t="s">
        <v>44</v>
      </c>
      <c r="I2991" t="s">
        <v>92</v>
      </c>
      <c r="J2991" t="s">
        <v>86</v>
      </c>
      <c r="K2991" t="s">
        <v>54</v>
      </c>
      <c r="L2991">
        <v>4.3</v>
      </c>
      <c r="M2991" t="s">
        <v>152</v>
      </c>
      <c r="N2991" t="s">
        <v>35</v>
      </c>
      <c r="O2991" t="s">
        <v>72</v>
      </c>
      <c r="P2991" t="s">
        <v>152</v>
      </c>
      <c r="Q2991" t="s">
        <v>152</v>
      </c>
      <c r="R2991">
        <v>6</v>
      </c>
      <c r="S2991" t="s">
        <v>27</v>
      </c>
      <c r="T2991" t="str">
        <f t="shared" si="92"/>
        <v>Daily</v>
      </c>
      <c r="U2991">
        <f>VLOOKUP(T2991,[1]tablescore!$B$3:$C$8, 2,FALSE)</f>
        <v>30</v>
      </c>
      <c r="V2991" t="str">
        <f t="shared" si="93"/>
        <v>Highly Loyal</v>
      </c>
      <c r="W2991" t="s">
        <v>41</v>
      </c>
    </row>
    <row r="2992" spans="1:23" x14ac:dyDescent="0.25">
      <c r="A2992">
        <v>2991</v>
      </c>
      <c r="B2992">
        <v>69</v>
      </c>
      <c r="C2992" t="str" cm="1">
        <f t="array" ref="C2992">_xlfn.IFS(
  AND(B2992&gt;=18, B2992&lt;=24), "18-24",
  AND(B2992&gt;=25, B2992&lt;=34), "25-34",
  AND(B2992&gt;=35, B2992&lt;=44), "35-44",
  AND(B2992&gt;=45, B2992&lt;=54), "45-54",
  B2992&gt;=55, "55+"
)</f>
        <v>55+</v>
      </c>
      <c r="D2992" t="s">
        <v>153</v>
      </c>
      <c r="E2992" t="s">
        <v>56</v>
      </c>
      <c r="F2992" t="s">
        <v>21</v>
      </c>
      <c r="G2992">
        <v>91</v>
      </c>
      <c r="H2992" t="s">
        <v>115</v>
      </c>
      <c r="I2992" t="s">
        <v>45</v>
      </c>
      <c r="J2992" t="s">
        <v>86</v>
      </c>
      <c r="K2992" t="s">
        <v>58</v>
      </c>
      <c r="L2992">
        <v>4.2</v>
      </c>
      <c r="M2992" t="s">
        <v>152</v>
      </c>
      <c r="N2992" t="s">
        <v>29</v>
      </c>
      <c r="O2992" t="s">
        <v>40</v>
      </c>
      <c r="P2992" t="s">
        <v>152</v>
      </c>
      <c r="Q2992" t="s">
        <v>152</v>
      </c>
      <c r="R2992">
        <v>24</v>
      </c>
      <c r="S2992" t="s">
        <v>29</v>
      </c>
      <c r="T2992" t="str">
        <f t="shared" si="92"/>
        <v>Month</v>
      </c>
      <c r="U2992">
        <f>VLOOKUP(T2992,[1]tablescore!$B$3:$C$8, 2,FALSE)</f>
        <v>12</v>
      </c>
      <c r="V2992" t="str">
        <f t="shared" si="93"/>
        <v>Moderate</v>
      </c>
      <c r="W2992" t="s">
        <v>88</v>
      </c>
    </row>
    <row r="2993" spans="1:23" x14ac:dyDescent="0.25">
      <c r="A2993">
        <v>2992</v>
      </c>
      <c r="B2993">
        <v>66</v>
      </c>
      <c r="C2993" t="str" cm="1">
        <f t="array" ref="C2993">_xlfn.IFS(
  AND(B2993&gt;=18, B2993&lt;=24), "18-24",
  AND(B2993&gt;=25, B2993&lt;=34), "25-34",
  AND(B2993&gt;=35, B2993&lt;=44), "35-44",
  AND(B2993&gt;=45, B2993&lt;=54), "45-54",
  B2993&gt;=55, "55+"
)</f>
        <v>55+</v>
      </c>
      <c r="D2993" t="s">
        <v>153</v>
      </c>
      <c r="E2993" t="s">
        <v>82</v>
      </c>
      <c r="F2993" t="s">
        <v>21</v>
      </c>
      <c r="G2993">
        <v>71</v>
      </c>
      <c r="H2993" t="s">
        <v>149</v>
      </c>
      <c r="I2993" t="s">
        <v>23</v>
      </c>
      <c r="J2993" t="s">
        <v>96</v>
      </c>
      <c r="K2993" t="s">
        <v>54</v>
      </c>
      <c r="L2993">
        <v>3.9</v>
      </c>
      <c r="M2993" t="s">
        <v>152</v>
      </c>
      <c r="N2993" t="s">
        <v>46</v>
      </c>
      <c r="O2993" t="s">
        <v>55</v>
      </c>
      <c r="P2993" t="s">
        <v>152</v>
      </c>
      <c r="Q2993" t="s">
        <v>152</v>
      </c>
      <c r="R2993">
        <v>7</v>
      </c>
      <c r="S2993" t="s">
        <v>46</v>
      </c>
      <c r="T2993" t="str">
        <f t="shared" si="92"/>
        <v>2-week</v>
      </c>
      <c r="U2993">
        <f>VLOOKUP(T2993,[1]tablescore!$B$3:$C$8, 2,FALSE)</f>
        <v>26</v>
      </c>
      <c r="V2993" t="str">
        <f t="shared" si="93"/>
        <v>Loyal</v>
      </c>
      <c r="W2993" t="s">
        <v>77</v>
      </c>
    </row>
    <row r="2994" spans="1:23" x14ac:dyDescent="0.25">
      <c r="A2994">
        <v>2993</v>
      </c>
      <c r="B2994">
        <v>41</v>
      </c>
      <c r="C2994" t="str" cm="1">
        <f t="array" ref="C2994">_xlfn.IFS(
  AND(B2994&gt;=18, B2994&lt;=24), "18-24",
  AND(B2994&gt;=25, B2994&lt;=34), "25-34",
  AND(B2994&gt;=35, B2994&lt;=44), "35-44",
  AND(B2994&gt;=45, B2994&lt;=54), "45-54",
  B2994&gt;=55, "55+"
)</f>
        <v>35-44</v>
      </c>
      <c r="D2994" t="s">
        <v>153</v>
      </c>
      <c r="E2994" t="s">
        <v>131</v>
      </c>
      <c r="F2994" t="s">
        <v>21</v>
      </c>
      <c r="G2994">
        <v>64</v>
      </c>
      <c r="H2994" t="s">
        <v>114</v>
      </c>
      <c r="I2994" t="s">
        <v>45</v>
      </c>
      <c r="J2994" t="s">
        <v>63</v>
      </c>
      <c r="K2994" t="s">
        <v>39</v>
      </c>
      <c r="L2994">
        <v>3.9</v>
      </c>
      <c r="M2994" t="s">
        <v>152</v>
      </c>
      <c r="N2994" t="s">
        <v>34</v>
      </c>
      <c r="O2994" t="s">
        <v>76</v>
      </c>
      <c r="P2994" t="s">
        <v>152</v>
      </c>
      <c r="Q2994" t="s">
        <v>152</v>
      </c>
      <c r="R2994">
        <v>25</v>
      </c>
      <c r="S2994" t="s">
        <v>29</v>
      </c>
      <c r="T2994" t="str">
        <f t="shared" si="92"/>
        <v>Daily</v>
      </c>
      <c r="U2994">
        <f>VLOOKUP(T2994,[1]tablescore!$B$3:$C$8, 2,FALSE)</f>
        <v>30</v>
      </c>
      <c r="V2994" t="str">
        <f t="shared" si="93"/>
        <v>Highly Loyal</v>
      </c>
      <c r="W2994" t="s">
        <v>41</v>
      </c>
    </row>
    <row r="2995" spans="1:23" x14ac:dyDescent="0.25">
      <c r="A2995">
        <v>2994</v>
      </c>
      <c r="B2995">
        <v>32</v>
      </c>
      <c r="C2995" t="str" cm="1">
        <f t="array" ref="C2995">_xlfn.IFS(
  AND(B2995&gt;=18, B2995&lt;=24), "18-24",
  AND(B2995&gt;=25, B2995&lt;=34), "25-34",
  AND(B2995&gt;=35, B2995&lt;=44), "35-44",
  AND(B2995&gt;=45, B2995&lt;=54), "45-54",
  B2995&gt;=55, "55+"
)</f>
        <v>25-34</v>
      </c>
      <c r="D2995" t="s">
        <v>153</v>
      </c>
      <c r="E2995" t="s">
        <v>102</v>
      </c>
      <c r="F2995" t="s">
        <v>65</v>
      </c>
      <c r="G2995">
        <v>21</v>
      </c>
      <c r="H2995" t="s">
        <v>111</v>
      </c>
      <c r="I2995" t="s">
        <v>23</v>
      </c>
      <c r="J2995" t="s">
        <v>129</v>
      </c>
      <c r="K2995" t="s">
        <v>39</v>
      </c>
      <c r="L2995">
        <v>4.2</v>
      </c>
      <c r="M2995" t="s">
        <v>152</v>
      </c>
      <c r="N2995" t="s">
        <v>34</v>
      </c>
      <c r="O2995" t="s">
        <v>40</v>
      </c>
      <c r="P2995" t="s">
        <v>152</v>
      </c>
      <c r="Q2995" t="s">
        <v>152</v>
      </c>
      <c r="R2995">
        <v>18</v>
      </c>
      <c r="S2995" t="s">
        <v>35</v>
      </c>
      <c r="T2995" t="str">
        <f t="shared" si="92"/>
        <v>2-week</v>
      </c>
      <c r="U2995">
        <f>VLOOKUP(T2995,[1]tablescore!$B$3:$C$8, 2,FALSE)</f>
        <v>26</v>
      </c>
      <c r="V2995" t="str">
        <f t="shared" si="93"/>
        <v>Loyal</v>
      </c>
      <c r="W2995" t="s">
        <v>77</v>
      </c>
    </row>
    <row r="2996" spans="1:23" x14ac:dyDescent="0.25">
      <c r="A2996">
        <v>2995</v>
      </c>
      <c r="B2996">
        <v>69</v>
      </c>
      <c r="C2996" t="str" cm="1">
        <f t="array" ref="C2996">_xlfn.IFS(
  AND(B2996&gt;=18, B2996&lt;=24), "18-24",
  AND(B2996&gt;=25, B2996&lt;=34), "25-34",
  AND(B2996&gt;=35, B2996&lt;=44), "35-44",
  AND(B2996&gt;=45, B2996&lt;=54), "45-54",
  B2996&gt;=55, "55+"
)</f>
        <v>55+</v>
      </c>
      <c r="D2996" t="s">
        <v>153</v>
      </c>
      <c r="E2996" t="s">
        <v>31</v>
      </c>
      <c r="F2996" t="s">
        <v>21</v>
      </c>
      <c r="G2996">
        <v>100</v>
      </c>
      <c r="H2996" t="s">
        <v>107</v>
      </c>
      <c r="I2996" t="s">
        <v>38</v>
      </c>
      <c r="J2996" t="s">
        <v>53</v>
      </c>
      <c r="K2996" t="s">
        <v>25</v>
      </c>
      <c r="L2996">
        <v>3.5</v>
      </c>
      <c r="M2996" t="s">
        <v>152</v>
      </c>
      <c r="N2996" t="s">
        <v>35</v>
      </c>
      <c r="O2996" t="s">
        <v>76</v>
      </c>
      <c r="P2996" t="s">
        <v>152</v>
      </c>
      <c r="Q2996" t="s">
        <v>152</v>
      </c>
      <c r="R2996">
        <v>14</v>
      </c>
      <c r="S2996" t="s">
        <v>34</v>
      </c>
      <c r="T2996" t="str">
        <f t="shared" si="92"/>
        <v>Quarterly</v>
      </c>
      <c r="U2996">
        <f>VLOOKUP(T2996,[1]tablescore!$B$3:$C$8, 2,FALSE)</f>
        <v>4</v>
      </c>
      <c r="V2996" t="str">
        <f t="shared" si="93"/>
        <v>Low Loyalty</v>
      </c>
      <c r="W2996" t="s">
        <v>60</v>
      </c>
    </row>
    <row r="2997" spans="1:23" x14ac:dyDescent="0.25">
      <c r="A2997">
        <v>2996</v>
      </c>
      <c r="B2997">
        <v>29</v>
      </c>
      <c r="C2997" t="str" cm="1">
        <f t="array" ref="C2997">_xlfn.IFS(
  AND(B2997&gt;=18, B2997&lt;=24), "18-24",
  AND(B2997&gt;=25, B2997&lt;=34), "25-34",
  AND(B2997&gt;=35, B2997&lt;=44), "35-44",
  AND(B2997&gt;=45, B2997&lt;=54), "45-54",
  B2997&gt;=55, "55+"
)</f>
        <v>25-34</v>
      </c>
      <c r="D2997" t="s">
        <v>153</v>
      </c>
      <c r="E2997" t="s">
        <v>36</v>
      </c>
      <c r="F2997" t="s">
        <v>21</v>
      </c>
      <c r="G2997">
        <v>96</v>
      </c>
      <c r="H2997" t="s">
        <v>128</v>
      </c>
      <c r="I2997" t="s">
        <v>45</v>
      </c>
      <c r="J2997" t="s">
        <v>121</v>
      </c>
      <c r="K2997" t="s">
        <v>54</v>
      </c>
      <c r="L2997">
        <v>2.5</v>
      </c>
      <c r="M2997" t="s">
        <v>152</v>
      </c>
      <c r="N2997" t="s">
        <v>29</v>
      </c>
      <c r="O2997" t="s">
        <v>55</v>
      </c>
      <c r="P2997" t="s">
        <v>152</v>
      </c>
      <c r="Q2997" t="s">
        <v>152</v>
      </c>
      <c r="R2997">
        <v>42</v>
      </c>
      <c r="S2997" t="s">
        <v>59</v>
      </c>
      <c r="T2997" t="str">
        <f t="shared" si="92"/>
        <v>2-week</v>
      </c>
      <c r="U2997">
        <f>VLOOKUP(T2997,[1]tablescore!$B$3:$C$8, 2,FALSE)</f>
        <v>26</v>
      </c>
      <c r="V2997" t="str">
        <f t="shared" si="93"/>
        <v>Loyal</v>
      </c>
      <c r="W2997" t="s">
        <v>77</v>
      </c>
    </row>
    <row r="2998" spans="1:23" x14ac:dyDescent="0.25">
      <c r="A2998">
        <v>2997</v>
      </c>
      <c r="B2998">
        <v>70</v>
      </c>
      <c r="C2998" t="str" cm="1">
        <f t="array" ref="C2998">_xlfn.IFS(
  AND(B2998&gt;=18, B2998&lt;=24), "18-24",
  AND(B2998&gt;=25, B2998&lt;=34), "25-34",
  AND(B2998&gt;=35, B2998&lt;=44), "35-44",
  AND(B2998&gt;=45, B2998&lt;=54), "45-54",
  B2998&gt;=55, "55+"
)</f>
        <v>55+</v>
      </c>
      <c r="D2998" t="s">
        <v>153</v>
      </c>
      <c r="E2998" t="s">
        <v>106</v>
      </c>
      <c r="F2998" t="s">
        <v>69</v>
      </c>
      <c r="G2998">
        <v>91</v>
      </c>
      <c r="H2998" t="s">
        <v>149</v>
      </c>
      <c r="I2998" t="s">
        <v>45</v>
      </c>
      <c r="J2998" t="s">
        <v>53</v>
      </c>
      <c r="K2998" t="s">
        <v>39</v>
      </c>
      <c r="L2998">
        <v>2.9</v>
      </c>
      <c r="M2998" t="s">
        <v>152</v>
      </c>
      <c r="N2998" t="s">
        <v>27</v>
      </c>
      <c r="O2998" t="s">
        <v>28</v>
      </c>
      <c r="P2998" t="s">
        <v>152</v>
      </c>
      <c r="Q2998" t="s">
        <v>152</v>
      </c>
      <c r="R2998">
        <v>6</v>
      </c>
      <c r="S2998" t="s">
        <v>29</v>
      </c>
      <c r="T2998" t="str">
        <f t="shared" si="92"/>
        <v>Quarterly</v>
      </c>
      <c r="U2998">
        <f>VLOOKUP(T2998,[1]tablescore!$B$3:$C$8, 2,FALSE)</f>
        <v>4</v>
      </c>
      <c r="V2998" t="str">
        <f t="shared" si="93"/>
        <v>Low Loyalty</v>
      </c>
      <c r="W2998" t="s">
        <v>97</v>
      </c>
    </row>
    <row r="2999" spans="1:23" x14ac:dyDescent="0.25">
      <c r="A2999">
        <v>2998</v>
      </c>
      <c r="B2999">
        <v>41</v>
      </c>
      <c r="C2999" t="str" cm="1">
        <f t="array" ref="C2999">_xlfn.IFS(
  AND(B2999&gt;=18, B2999&lt;=24), "18-24",
  AND(B2999&gt;=25, B2999&lt;=34), "25-34",
  AND(B2999&gt;=35, B2999&lt;=44), "35-44",
  AND(B2999&gt;=45, B2999&lt;=54), "45-54",
  B2999&gt;=55, "55+"
)</f>
        <v>35-44</v>
      </c>
      <c r="D2999" t="s">
        <v>153</v>
      </c>
      <c r="E2999" t="s">
        <v>31</v>
      </c>
      <c r="F2999" t="s">
        <v>21</v>
      </c>
      <c r="G2999">
        <v>40</v>
      </c>
      <c r="H2999" t="s">
        <v>144</v>
      </c>
      <c r="I2999" t="s">
        <v>38</v>
      </c>
      <c r="J2999" t="s">
        <v>139</v>
      </c>
      <c r="K2999" t="s">
        <v>39</v>
      </c>
      <c r="L2999">
        <v>2.7</v>
      </c>
      <c r="M2999" t="s">
        <v>152</v>
      </c>
      <c r="N2999" t="s">
        <v>29</v>
      </c>
      <c r="O2999" t="s">
        <v>47</v>
      </c>
      <c r="P2999" t="s">
        <v>152</v>
      </c>
      <c r="Q2999" t="s">
        <v>152</v>
      </c>
      <c r="R2999">
        <v>14</v>
      </c>
      <c r="S2999" t="s">
        <v>29</v>
      </c>
      <c r="T2999" t="str">
        <f t="shared" si="92"/>
        <v>Quarterly</v>
      </c>
      <c r="U2999">
        <f>VLOOKUP(T2999,[1]tablescore!$B$3:$C$8, 2,FALSE)</f>
        <v>4</v>
      </c>
      <c r="V2999" t="str">
        <f t="shared" si="93"/>
        <v>Low Loyalty</v>
      </c>
      <c r="W2999" t="s">
        <v>97</v>
      </c>
    </row>
    <row r="3000" spans="1:23" x14ac:dyDescent="0.25">
      <c r="A3000">
        <v>2999</v>
      </c>
      <c r="B3000">
        <v>31</v>
      </c>
      <c r="C3000" t="str" cm="1">
        <f t="array" ref="C3000">_xlfn.IFS(
  AND(B3000&gt;=18, B3000&lt;=24), "18-24",
  AND(B3000&gt;=25, B3000&lt;=34), "25-34",
  AND(B3000&gt;=35, B3000&lt;=44), "35-44",
  AND(B3000&gt;=45, B3000&lt;=54), "45-54",
  B3000&gt;=55, "55+"
)</f>
        <v>25-34</v>
      </c>
      <c r="D3000" t="s">
        <v>153</v>
      </c>
      <c r="E3000" t="s">
        <v>104</v>
      </c>
      <c r="F3000" t="s">
        <v>21</v>
      </c>
      <c r="G3000">
        <v>53</v>
      </c>
      <c r="H3000" t="s">
        <v>120</v>
      </c>
      <c r="I3000" t="s">
        <v>45</v>
      </c>
      <c r="J3000" t="s">
        <v>108</v>
      </c>
      <c r="K3000" t="s">
        <v>54</v>
      </c>
      <c r="L3000">
        <v>4.7</v>
      </c>
      <c r="M3000" t="s">
        <v>152</v>
      </c>
      <c r="N3000" t="s">
        <v>29</v>
      </c>
      <c r="O3000" t="s">
        <v>28</v>
      </c>
      <c r="P3000" t="s">
        <v>152</v>
      </c>
      <c r="Q3000" t="s">
        <v>152</v>
      </c>
      <c r="R3000">
        <v>30</v>
      </c>
      <c r="S3000" t="s">
        <v>59</v>
      </c>
      <c r="T3000" t="str">
        <f t="shared" si="92"/>
        <v>Quarterly</v>
      </c>
      <c r="U3000">
        <f>VLOOKUP(T3000,[1]tablescore!$B$3:$C$8, 2,FALSE)</f>
        <v>4</v>
      </c>
      <c r="V3000" t="str">
        <f t="shared" si="93"/>
        <v>Low Loyalty</v>
      </c>
      <c r="W3000" t="s">
        <v>60</v>
      </c>
    </row>
    <row r="3001" spans="1:23" x14ac:dyDescent="0.25">
      <c r="A3001">
        <v>3000</v>
      </c>
      <c r="B3001">
        <v>31</v>
      </c>
      <c r="C3001" t="str" cm="1">
        <f t="array" ref="C3001">_xlfn.IFS(
  AND(B3001&gt;=18, B3001&lt;=24), "18-24",
  AND(B3001&gt;=25, B3001&lt;=34), "25-34",
  AND(B3001&gt;=35, B3001&lt;=44), "35-44",
  AND(B3001&gt;=45, B3001&lt;=54), "45-54",
  B3001&gt;=55, "55+"
)</f>
        <v>25-34</v>
      </c>
      <c r="D3001" t="s">
        <v>153</v>
      </c>
      <c r="E3001" t="s">
        <v>89</v>
      </c>
      <c r="F3001" t="s">
        <v>69</v>
      </c>
      <c r="G3001">
        <v>48</v>
      </c>
      <c r="H3001" t="s">
        <v>83</v>
      </c>
      <c r="I3001" t="s">
        <v>38</v>
      </c>
      <c r="J3001" t="s">
        <v>63</v>
      </c>
      <c r="K3001" t="s">
        <v>25</v>
      </c>
      <c r="L3001">
        <v>3.8</v>
      </c>
      <c r="M3001" t="s">
        <v>152</v>
      </c>
      <c r="N3001" t="s">
        <v>34</v>
      </c>
      <c r="O3001" t="s">
        <v>55</v>
      </c>
      <c r="P3001" t="s">
        <v>152</v>
      </c>
      <c r="Q3001" t="s">
        <v>152</v>
      </c>
      <c r="R3001">
        <v>10</v>
      </c>
      <c r="S3001" t="s">
        <v>35</v>
      </c>
      <c r="T3001" t="str">
        <f t="shared" si="92"/>
        <v>Month</v>
      </c>
      <c r="U3001">
        <f>VLOOKUP(T3001,[1]tablescore!$B$3:$C$8, 2,FALSE)</f>
        <v>12</v>
      </c>
      <c r="V3001" t="str">
        <f t="shared" si="93"/>
        <v>Moderate</v>
      </c>
      <c r="W3001" t="s">
        <v>88</v>
      </c>
    </row>
    <row r="3002" spans="1:23" x14ac:dyDescent="0.25">
      <c r="A3002">
        <v>3001</v>
      </c>
      <c r="B3002">
        <v>57</v>
      </c>
      <c r="C3002" t="str" cm="1">
        <f t="array" ref="C3002">_xlfn.IFS(
  AND(B3002&gt;=18, B3002&lt;=24), "18-24",
  AND(B3002&gt;=25, B3002&lt;=34), "25-34",
  AND(B3002&gt;=35, B3002&lt;=44), "35-44",
  AND(B3002&gt;=45, B3002&lt;=54), "45-54",
  B3002&gt;=55, "55+"
)</f>
        <v>55+</v>
      </c>
      <c r="D3002" t="s">
        <v>153</v>
      </c>
      <c r="E3002" t="s">
        <v>42</v>
      </c>
      <c r="F3002" t="s">
        <v>43</v>
      </c>
      <c r="G3002">
        <v>70</v>
      </c>
      <c r="H3002" t="s">
        <v>124</v>
      </c>
      <c r="I3002" t="s">
        <v>45</v>
      </c>
      <c r="J3002" t="s">
        <v>93</v>
      </c>
      <c r="K3002" t="s">
        <v>25</v>
      </c>
      <c r="L3002">
        <v>3.7</v>
      </c>
      <c r="M3002" t="s">
        <v>152</v>
      </c>
      <c r="N3002" t="s">
        <v>35</v>
      </c>
      <c r="O3002" t="s">
        <v>28</v>
      </c>
      <c r="P3002" t="s">
        <v>152</v>
      </c>
      <c r="Q3002" t="s">
        <v>152</v>
      </c>
      <c r="R3002">
        <v>7</v>
      </c>
      <c r="S3002" t="s">
        <v>46</v>
      </c>
      <c r="T3002" t="str">
        <f t="shared" si="92"/>
        <v>Daily</v>
      </c>
      <c r="U3002">
        <f>VLOOKUP(T3002,[1]tablescore!$B$3:$C$8, 2,FALSE)</f>
        <v>30</v>
      </c>
      <c r="V3002" t="str">
        <f t="shared" si="93"/>
        <v>Highly Loyal</v>
      </c>
      <c r="W3002" t="s">
        <v>41</v>
      </c>
    </row>
    <row r="3003" spans="1:23" x14ac:dyDescent="0.25">
      <c r="A3003">
        <v>3002</v>
      </c>
      <c r="B3003">
        <v>29</v>
      </c>
      <c r="C3003" t="str" cm="1">
        <f t="array" ref="C3003">_xlfn.IFS(
  AND(B3003&gt;=18, B3003&lt;=24), "18-24",
  AND(B3003&gt;=25, B3003&lt;=34), "25-34",
  AND(B3003&gt;=35, B3003&lt;=44), "35-44",
  AND(B3003&gt;=45, B3003&lt;=54), "45-54",
  B3003&gt;=55, "55+"
)</f>
        <v>25-34</v>
      </c>
      <c r="D3003" t="s">
        <v>153</v>
      </c>
      <c r="E3003" t="s">
        <v>64</v>
      </c>
      <c r="F3003" t="s">
        <v>65</v>
      </c>
      <c r="G3003">
        <v>29</v>
      </c>
      <c r="H3003" t="s">
        <v>57</v>
      </c>
      <c r="I3003" t="s">
        <v>23</v>
      </c>
      <c r="J3003" t="s">
        <v>63</v>
      </c>
      <c r="K3003" t="s">
        <v>54</v>
      </c>
      <c r="L3003">
        <v>4.7</v>
      </c>
      <c r="M3003" t="s">
        <v>152</v>
      </c>
      <c r="N3003" t="s">
        <v>27</v>
      </c>
      <c r="O3003" t="s">
        <v>28</v>
      </c>
      <c r="P3003" t="s">
        <v>152</v>
      </c>
      <c r="Q3003" t="s">
        <v>152</v>
      </c>
      <c r="R3003">
        <v>28</v>
      </c>
      <c r="S3003" t="s">
        <v>27</v>
      </c>
      <c r="T3003" t="str">
        <f t="shared" si="92"/>
        <v>Quarterly</v>
      </c>
      <c r="U3003">
        <f>VLOOKUP(T3003,[1]tablescore!$B$3:$C$8, 2,FALSE)</f>
        <v>4</v>
      </c>
      <c r="V3003" t="str">
        <f t="shared" si="93"/>
        <v>Low Loyalty</v>
      </c>
      <c r="W3003" t="s">
        <v>60</v>
      </c>
    </row>
    <row r="3004" spans="1:23" x14ac:dyDescent="0.25">
      <c r="A3004">
        <v>3003</v>
      </c>
      <c r="B3004">
        <v>70</v>
      </c>
      <c r="C3004" t="str" cm="1">
        <f t="array" ref="C3004">_xlfn.IFS(
  AND(B3004&gt;=18, B3004&lt;=24), "18-24",
  AND(B3004&gt;=25, B3004&lt;=34), "25-34",
  AND(B3004&gt;=35, B3004&lt;=44), "35-44",
  AND(B3004&gt;=45, B3004&lt;=54), "45-54",
  B3004&gt;=55, "55+"
)</f>
        <v>55+</v>
      </c>
      <c r="D3004" t="s">
        <v>153</v>
      </c>
      <c r="E3004" t="s">
        <v>136</v>
      </c>
      <c r="F3004" t="s">
        <v>69</v>
      </c>
      <c r="G3004">
        <v>29</v>
      </c>
      <c r="H3004" t="s">
        <v>62</v>
      </c>
      <c r="I3004" t="s">
        <v>45</v>
      </c>
      <c r="J3004" t="s">
        <v>33</v>
      </c>
      <c r="K3004" t="s">
        <v>58</v>
      </c>
      <c r="L3004">
        <v>3.6</v>
      </c>
      <c r="M3004" t="s">
        <v>152</v>
      </c>
      <c r="N3004" t="s">
        <v>35</v>
      </c>
      <c r="O3004" t="s">
        <v>47</v>
      </c>
      <c r="P3004" t="s">
        <v>152</v>
      </c>
      <c r="Q3004" t="s">
        <v>152</v>
      </c>
      <c r="R3004">
        <v>19</v>
      </c>
      <c r="S3004" t="s">
        <v>34</v>
      </c>
      <c r="T3004" t="str">
        <f t="shared" si="92"/>
        <v>Quarterly</v>
      </c>
      <c r="U3004">
        <f>VLOOKUP(T3004,[1]tablescore!$B$3:$C$8, 2,FALSE)</f>
        <v>4</v>
      </c>
      <c r="V3004" t="str">
        <f t="shared" si="93"/>
        <v>Low Loyalty</v>
      </c>
      <c r="W3004" t="s">
        <v>60</v>
      </c>
    </row>
    <row r="3005" spans="1:23" x14ac:dyDescent="0.25">
      <c r="A3005">
        <v>3004</v>
      </c>
      <c r="B3005">
        <v>51</v>
      </c>
      <c r="C3005" t="str" cm="1">
        <f t="array" ref="C3005">_xlfn.IFS(
  AND(B3005&gt;=18, B3005&lt;=24), "18-24",
  AND(B3005&gt;=25, B3005&lt;=34), "25-34",
  AND(B3005&gt;=35, B3005&lt;=44), "35-44",
  AND(B3005&gt;=45, B3005&lt;=54), "45-54",
  B3005&gt;=55, "55+"
)</f>
        <v>45-54</v>
      </c>
      <c r="D3005" t="s">
        <v>153</v>
      </c>
      <c r="E3005" t="s">
        <v>20</v>
      </c>
      <c r="F3005" t="s">
        <v>21</v>
      </c>
      <c r="G3005">
        <v>53</v>
      </c>
      <c r="H3005" t="s">
        <v>48</v>
      </c>
      <c r="I3005" t="s">
        <v>45</v>
      </c>
      <c r="J3005" t="s">
        <v>110</v>
      </c>
      <c r="K3005" t="s">
        <v>58</v>
      </c>
      <c r="L3005">
        <v>2.8</v>
      </c>
      <c r="M3005" t="s">
        <v>152</v>
      </c>
      <c r="N3005" t="s">
        <v>29</v>
      </c>
      <c r="O3005" t="s">
        <v>28</v>
      </c>
      <c r="P3005" t="s">
        <v>152</v>
      </c>
      <c r="Q3005" t="s">
        <v>152</v>
      </c>
      <c r="R3005">
        <v>13</v>
      </c>
      <c r="S3005" t="s">
        <v>27</v>
      </c>
      <c r="T3005" t="str">
        <f t="shared" si="92"/>
        <v>Quarterly</v>
      </c>
      <c r="U3005">
        <f>VLOOKUP(T3005,[1]tablescore!$B$3:$C$8, 2,FALSE)</f>
        <v>4</v>
      </c>
      <c r="V3005" t="str">
        <f t="shared" si="93"/>
        <v>Low Loyalty</v>
      </c>
      <c r="W3005" t="s">
        <v>97</v>
      </c>
    </row>
    <row r="3006" spans="1:23" x14ac:dyDescent="0.25">
      <c r="A3006">
        <v>3005</v>
      </c>
      <c r="B3006">
        <v>45</v>
      </c>
      <c r="C3006" t="str" cm="1">
        <f t="array" ref="C3006">_xlfn.IFS(
  AND(B3006&gt;=18, B3006&lt;=24), "18-24",
  AND(B3006&gt;=25, B3006&lt;=34), "25-34",
  AND(B3006&gt;=35, B3006&lt;=44), "35-44",
  AND(B3006&gt;=45, B3006&lt;=54), "45-54",
  B3006&gt;=55, "55+"
)</f>
        <v>45-54</v>
      </c>
      <c r="D3006" t="s">
        <v>153</v>
      </c>
      <c r="E3006" t="s">
        <v>87</v>
      </c>
      <c r="F3006" t="s">
        <v>21</v>
      </c>
      <c r="G3006">
        <v>79</v>
      </c>
      <c r="H3006" t="s">
        <v>117</v>
      </c>
      <c r="I3006" t="s">
        <v>45</v>
      </c>
      <c r="J3006" t="s">
        <v>93</v>
      </c>
      <c r="K3006" t="s">
        <v>25</v>
      </c>
      <c r="L3006">
        <v>3.7</v>
      </c>
      <c r="M3006" t="s">
        <v>152</v>
      </c>
      <c r="N3006" t="s">
        <v>29</v>
      </c>
      <c r="O3006" t="s">
        <v>76</v>
      </c>
      <c r="P3006" t="s">
        <v>152</v>
      </c>
      <c r="Q3006" t="s">
        <v>152</v>
      </c>
      <c r="R3006">
        <v>23</v>
      </c>
      <c r="S3006" t="s">
        <v>29</v>
      </c>
      <c r="T3006" t="str">
        <f t="shared" si="92"/>
        <v>2-week</v>
      </c>
      <c r="U3006">
        <f>VLOOKUP(T3006,[1]tablescore!$B$3:$C$8, 2,FALSE)</f>
        <v>26</v>
      </c>
      <c r="V3006" t="str">
        <f t="shared" si="93"/>
        <v>Loyal</v>
      </c>
      <c r="W3006" t="s">
        <v>30</v>
      </c>
    </row>
    <row r="3007" spans="1:23" x14ac:dyDescent="0.25">
      <c r="A3007">
        <v>3006</v>
      </c>
      <c r="B3007">
        <v>18</v>
      </c>
      <c r="C3007" t="str" cm="1">
        <f t="array" ref="C3007">_xlfn.IFS(
  AND(B3007&gt;=18, B3007&lt;=24), "18-24",
  AND(B3007&gt;=25, B3007&lt;=34), "25-34",
  AND(B3007&gt;=35, B3007&lt;=44), "35-44",
  AND(B3007&gt;=45, B3007&lt;=54), "45-54",
  B3007&gt;=55, "55+"
)</f>
        <v>18-24</v>
      </c>
      <c r="D3007" t="s">
        <v>153</v>
      </c>
      <c r="E3007" t="s">
        <v>61</v>
      </c>
      <c r="F3007" t="s">
        <v>21</v>
      </c>
      <c r="G3007">
        <v>65</v>
      </c>
      <c r="H3007" t="s">
        <v>120</v>
      </c>
      <c r="I3007" t="s">
        <v>92</v>
      </c>
      <c r="J3007" t="s">
        <v>110</v>
      </c>
      <c r="K3007" t="s">
        <v>39</v>
      </c>
      <c r="L3007">
        <v>3.5</v>
      </c>
      <c r="M3007" t="s">
        <v>152</v>
      </c>
      <c r="N3007" t="s">
        <v>34</v>
      </c>
      <c r="O3007" t="s">
        <v>28</v>
      </c>
      <c r="P3007" t="s">
        <v>152</v>
      </c>
      <c r="Q3007" t="s">
        <v>152</v>
      </c>
      <c r="R3007">
        <v>5</v>
      </c>
      <c r="S3007" t="s">
        <v>29</v>
      </c>
      <c r="T3007" t="str">
        <f t="shared" si="92"/>
        <v>Daily</v>
      </c>
      <c r="U3007">
        <f>VLOOKUP(T3007,[1]tablescore!$B$3:$C$8, 2,FALSE)</f>
        <v>30</v>
      </c>
      <c r="V3007" t="str">
        <f t="shared" si="93"/>
        <v>Highly Loyal</v>
      </c>
      <c r="W3007" t="s">
        <v>41</v>
      </c>
    </row>
    <row r="3008" spans="1:23" x14ac:dyDescent="0.25">
      <c r="A3008">
        <v>3007</v>
      </c>
      <c r="B3008">
        <v>37</v>
      </c>
      <c r="C3008" t="str" cm="1">
        <f t="array" ref="C3008">_xlfn.IFS(
  AND(B3008&gt;=18, B3008&lt;=24), "18-24",
  AND(B3008&gt;=25, B3008&lt;=34), "25-34",
  AND(B3008&gt;=35, B3008&lt;=44), "35-44",
  AND(B3008&gt;=45, B3008&lt;=54), "45-54",
  B3008&gt;=55, "55+"
)</f>
        <v>35-44</v>
      </c>
      <c r="D3008" t="s">
        <v>153</v>
      </c>
      <c r="E3008" t="s">
        <v>82</v>
      </c>
      <c r="F3008" t="s">
        <v>21</v>
      </c>
      <c r="G3008">
        <v>99</v>
      </c>
      <c r="H3008" t="s">
        <v>149</v>
      </c>
      <c r="I3008" t="s">
        <v>45</v>
      </c>
      <c r="J3008" t="s">
        <v>79</v>
      </c>
      <c r="K3008" t="s">
        <v>54</v>
      </c>
      <c r="L3008">
        <v>3.7</v>
      </c>
      <c r="M3008" t="s">
        <v>152</v>
      </c>
      <c r="N3008" t="s">
        <v>29</v>
      </c>
      <c r="O3008" t="s">
        <v>76</v>
      </c>
      <c r="P3008" t="s">
        <v>152</v>
      </c>
      <c r="Q3008" t="s">
        <v>152</v>
      </c>
      <c r="R3008">
        <v>17</v>
      </c>
      <c r="S3008" t="s">
        <v>29</v>
      </c>
      <c r="T3008" t="str">
        <f t="shared" si="92"/>
        <v>2-week</v>
      </c>
      <c r="U3008">
        <f>VLOOKUP(T3008,[1]tablescore!$B$3:$C$8, 2,FALSE)</f>
        <v>26</v>
      </c>
      <c r="V3008" t="str">
        <f t="shared" si="93"/>
        <v>Loyal</v>
      </c>
      <c r="W3008" t="s">
        <v>77</v>
      </c>
    </row>
    <row r="3009" spans="1:23" x14ac:dyDescent="0.25">
      <c r="A3009">
        <v>3008</v>
      </c>
      <c r="B3009">
        <v>23</v>
      </c>
      <c r="C3009" t="str" cm="1">
        <f t="array" ref="C3009">_xlfn.IFS(
  AND(B3009&gt;=18, B3009&lt;=24), "18-24",
  AND(B3009&gt;=25, B3009&lt;=34), "25-34",
  AND(B3009&gt;=35, B3009&lt;=44), "35-44",
  AND(B3009&gt;=45, B3009&lt;=54), "45-54",
  B3009&gt;=55, "55+"
)</f>
        <v>18-24</v>
      </c>
      <c r="D3009" t="s">
        <v>153</v>
      </c>
      <c r="E3009" t="s">
        <v>89</v>
      </c>
      <c r="F3009" t="s">
        <v>69</v>
      </c>
      <c r="G3009">
        <v>60</v>
      </c>
      <c r="H3009" t="s">
        <v>85</v>
      </c>
      <c r="I3009" t="s">
        <v>23</v>
      </c>
      <c r="J3009" t="s">
        <v>93</v>
      </c>
      <c r="K3009" t="s">
        <v>25</v>
      </c>
      <c r="L3009">
        <v>3</v>
      </c>
      <c r="M3009" t="s">
        <v>152</v>
      </c>
      <c r="N3009" t="s">
        <v>59</v>
      </c>
      <c r="O3009" t="s">
        <v>47</v>
      </c>
      <c r="P3009" t="s">
        <v>152</v>
      </c>
      <c r="Q3009" t="s">
        <v>152</v>
      </c>
      <c r="R3009">
        <v>31</v>
      </c>
      <c r="S3009" t="s">
        <v>29</v>
      </c>
      <c r="T3009" t="str">
        <f t="shared" si="92"/>
        <v>Daily</v>
      </c>
      <c r="U3009">
        <f>VLOOKUP(T3009,[1]tablescore!$B$3:$C$8, 2,FALSE)</f>
        <v>30</v>
      </c>
      <c r="V3009" t="str">
        <f t="shared" si="93"/>
        <v>Highly Loyal</v>
      </c>
      <c r="W3009" t="s">
        <v>41</v>
      </c>
    </row>
    <row r="3010" spans="1:23" x14ac:dyDescent="0.25">
      <c r="A3010">
        <v>3009</v>
      </c>
      <c r="B3010">
        <v>39</v>
      </c>
      <c r="C3010" t="str" cm="1">
        <f t="array" ref="C3010">_xlfn.IFS(
  AND(B3010&gt;=18, B3010&lt;=24), "18-24",
  AND(B3010&gt;=25, B3010&lt;=34), "25-34",
  AND(B3010&gt;=35, B3010&lt;=44), "35-44",
  AND(B3010&gt;=45, B3010&lt;=54), "45-54",
  B3010&gt;=55, "55+"
)</f>
        <v>35-44</v>
      </c>
      <c r="D3010" t="s">
        <v>153</v>
      </c>
      <c r="E3010" t="s">
        <v>73</v>
      </c>
      <c r="F3010" t="s">
        <v>43</v>
      </c>
      <c r="G3010">
        <v>86</v>
      </c>
      <c r="H3010" t="s">
        <v>123</v>
      </c>
      <c r="I3010" t="s">
        <v>45</v>
      </c>
      <c r="J3010" t="s">
        <v>81</v>
      </c>
      <c r="K3010" t="s">
        <v>25</v>
      </c>
      <c r="L3010">
        <v>4.9000000000000004</v>
      </c>
      <c r="M3010" t="s">
        <v>152</v>
      </c>
      <c r="N3010" t="s">
        <v>35</v>
      </c>
      <c r="O3010" t="s">
        <v>40</v>
      </c>
      <c r="P3010" t="s">
        <v>152</v>
      </c>
      <c r="Q3010" t="s">
        <v>152</v>
      </c>
      <c r="R3010">
        <v>19</v>
      </c>
      <c r="S3010" t="s">
        <v>46</v>
      </c>
      <c r="T3010" t="str">
        <f t="shared" si="92"/>
        <v>Daily</v>
      </c>
      <c r="U3010">
        <f>VLOOKUP(T3010,[1]tablescore!$B$3:$C$8, 2,FALSE)</f>
        <v>30</v>
      </c>
      <c r="V3010" t="str">
        <f t="shared" si="93"/>
        <v>Highly Loyal</v>
      </c>
      <c r="W3010" t="s">
        <v>41</v>
      </c>
    </row>
    <row r="3011" spans="1:23" x14ac:dyDescent="0.25">
      <c r="A3011">
        <v>3010</v>
      </c>
      <c r="B3011">
        <v>62</v>
      </c>
      <c r="C3011" t="str" cm="1">
        <f t="array" ref="C3011">_xlfn.IFS(
  AND(B3011&gt;=18, B3011&lt;=24), "18-24",
  AND(B3011&gt;=25, B3011&lt;=34), "25-34",
  AND(B3011&gt;=35, B3011&lt;=44), "35-44",
  AND(B3011&gt;=45, B3011&lt;=54), "45-54",
  B3011&gt;=55, "55+"
)</f>
        <v>55+</v>
      </c>
      <c r="D3011" t="s">
        <v>153</v>
      </c>
      <c r="E3011" t="s">
        <v>136</v>
      </c>
      <c r="F3011" t="s">
        <v>69</v>
      </c>
      <c r="G3011">
        <v>73</v>
      </c>
      <c r="H3011" t="s">
        <v>62</v>
      </c>
      <c r="I3011" t="s">
        <v>45</v>
      </c>
      <c r="J3011" t="s">
        <v>67</v>
      </c>
      <c r="K3011" t="s">
        <v>25</v>
      </c>
      <c r="L3011">
        <v>4.5999999999999996</v>
      </c>
      <c r="M3011" t="s">
        <v>152</v>
      </c>
      <c r="N3011" t="s">
        <v>29</v>
      </c>
      <c r="O3011" t="s">
        <v>40</v>
      </c>
      <c r="P3011" t="s">
        <v>152</v>
      </c>
      <c r="Q3011" t="s">
        <v>152</v>
      </c>
      <c r="R3011">
        <v>8</v>
      </c>
      <c r="S3011" t="s">
        <v>29</v>
      </c>
      <c r="T3011" t="str">
        <f t="shared" ref="T3011:T3074" si="94">IF(TRIM(W3011)="Every 3 months","Quarterly",IF(TRIM(W3011)="Fortnightly","2-week",IF(TRIM(W3011)="Bi-Weekly","2-week",IF(TRIM(W3011)="Weekly","Daily",IF(TRIM(W3011)="Monthly","Month",TRIM(W3011))))))</f>
        <v>2-week</v>
      </c>
      <c r="U3011">
        <f>VLOOKUP(T3011,[1]tablescore!$B$3:$C$8, 2,FALSE)</f>
        <v>26</v>
      </c>
      <c r="V3011" t="str">
        <f t="shared" ref="V3011:V3074" si="95">_xlfn.IFS(U3011&gt;=30, "Highly Loyal", U3011&gt;=26, "Loyal", U3011&gt;=12, "Moderate", U3011&lt;5, "Low Loyalty")</f>
        <v>Loyal</v>
      </c>
      <c r="W3011" t="s">
        <v>30</v>
      </c>
    </row>
    <row r="3012" spans="1:23" x14ac:dyDescent="0.25">
      <c r="A3012">
        <v>3011</v>
      </c>
      <c r="B3012">
        <v>70</v>
      </c>
      <c r="C3012" t="str" cm="1">
        <f t="array" ref="C3012">_xlfn.IFS(
  AND(B3012&gt;=18, B3012&lt;=24), "18-24",
  AND(B3012&gt;=25, B3012&lt;=34), "25-34",
  AND(B3012&gt;=35, B3012&lt;=44), "35-44",
  AND(B3012&gt;=45, B3012&lt;=54), "45-54",
  B3012&gt;=55, "55+"
)</f>
        <v>55+</v>
      </c>
      <c r="D3012" t="s">
        <v>153</v>
      </c>
      <c r="E3012" t="s">
        <v>136</v>
      </c>
      <c r="F3012" t="s">
        <v>69</v>
      </c>
      <c r="G3012">
        <v>45</v>
      </c>
      <c r="H3012" t="s">
        <v>124</v>
      </c>
      <c r="I3012" t="s">
        <v>45</v>
      </c>
      <c r="J3012" t="s">
        <v>84</v>
      </c>
      <c r="K3012" t="s">
        <v>25</v>
      </c>
      <c r="L3012">
        <v>3.3</v>
      </c>
      <c r="M3012" t="s">
        <v>152</v>
      </c>
      <c r="N3012" t="s">
        <v>34</v>
      </c>
      <c r="O3012" t="s">
        <v>40</v>
      </c>
      <c r="P3012" t="s">
        <v>152</v>
      </c>
      <c r="Q3012" t="s">
        <v>152</v>
      </c>
      <c r="R3012">
        <v>15</v>
      </c>
      <c r="S3012" t="s">
        <v>27</v>
      </c>
      <c r="T3012" t="str">
        <f t="shared" si="94"/>
        <v>Annually</v>
      </c>
      <c r="U3012">
        <f>VLOOKUP(T3012,[1]tablescore!$B$3:$C$8, 2,FALSE)</f>
        <v>1</v>
      </c>
      <c r="V3012" t="str">
        <f t="shared" si="95"/>
        <v>Low Loyalty</v>
      </c>
      <c r="W3012" t="s">
        <v>50</v>
      </c>
    </row>
    <row r="3013" spans="1:23" x14ac:dyDescent="0.25">
      <c r="A3013">
        <v>3012</v>
      </c>
      <c r="B3013">
        <v>20</v>
      </c>
      <c r="C3013" t="str" cm="1">
        <f t="array" ref="C3013">_xlfn.IFS(
  AND(B3013&gt;=18, B3013&lt;=24), "18-24",
  AND(B3013&gt;=25, B3013&lt;=34), "25-34",
  AND(B3013&gt;=35, B3013&lt;=44), "35-44",
  AND(B3013&gt;=45, B3013&lt;=54), "45-54",
  B3013&gt;=55, "55+"
)</f>
        <v>18-24</v>
      </c>
      <c r="D3013" t="s">
        <v>153</v>
      </c>
      <c r="E3013" t="s">
        <v>136</v>
      </c>
      <c r="F3013" t="s">
        <v>69</v>
      </c>
      <c r="G3013">
        <v>70</v>
      </c>
      <c r="H3013" t="s">
        <v>107</v>
      </c>
      <c r="I3013" t="s">
        <v>38</v>
      </c>
      <c r="J3013" t="s">
        <v>110</v>
      </c>
      <c r="K3013" t="s">
        <v>54</v>
      </c>
      <c r="L3013">
        <v>3</v>
      </c>
      <c r="M3013" t="s">
        <v>152</v>
      </c>
      <c r="N3013" t="s">
        <v>34</v>
      </c>
      <c r="O3013" t="s">
        <v>47</v>
      </c>
      <c r="P3013" t="s">
        <v>152</v>
      </c>
      <c r="Q3013" t="s">
        <v>152</v>
      </c>
      <c r="R3013">
        <v>18</v>
      </c>
      <c r="S3013" t="s">
        <v>27</v>
      </c>
      <c r="T3013" t="str">
        <f t="shared" si="94"/>
        <v>Quarterly</v>
      </c>
      <c r="U3013">
        <f>VLOOKUP(T3013,[1]tablescore!$B$3:$C$8, 2,FALSE)</f>
        <v>4</v>
      </c>
      <c r="V3013" t="str">
        <f t="shared" si="95"/>
        <v>Low Loyalty</v>
      </c>
      <c r="W3013" t="s">
        <v>97</v>
      </c>
    </row>
    <row r="3014" spans="1:23" x14ac:dyDescent="0.25">
      <c r="A3014">
        <v>3013</v>
      </c>
      <c r="B3014">
        <v>42</v>
      </c>
      <c r="C3014" t="str" cm="1">
        <f t="array" ref="C3014">_xlfn.IFS(
  AND(B3014&gt;=18, B3014&lt;=24), "18-24",
  AND(B3014&gt;=25, B3014&lt;=34), "25-34",
  AND(B3014&gt;=35, B3014&lt;=44), "35-44",
  AND(B3014&gt;=45, B3014&lt;=54), "45-54",
  B3014&gt;=55, "55+"
)</f>
        <v>35-44</v>
      </c>
      <c r="D3014" t="s">
        <v>153</v>
      </c>
      <c r="E3014" t="s">
        <v>136</v>
      </c>
      <c r="F3014" t="s">
        <v>69</v>
      </c>
      <c r="G3014">
        <v>65</v>
      </c>
      <c r="H3014" t="s">
        <v>144</v>
      </c>
      <c r="I3014" t="s">
        <v>45</v>
      </c>
      <c r="J3014" t="s">
        <v>86</v>
      </c>
      <c r="K3014" t="s">
        <v>58</v>
      </c>
      <c r="L3014">
        <v>3.5</v>
      </c>
      <c r="M3014" t="s">
        <v>152</v>
      </c>
      <c r="N3014" t="s">
        <v>27</v>
      </c>
      <c r="O3014" t="s">
        <v>55</v>
      </c>
      <c r="P3014" t="s">
        <v>152</v>
      </c>
      <c r="Q3014" t="s">
        <v>152</v>
      </c>
      <c r="R3014">
        <v>16</v>
      </c>
      <c r="S3014" t="s">
        <v>46</v>
      </c>
      <c r="T3014" t="str">
        <f t="shared" si="94"/>
        <v>Annually</v>
      </c>
      <c r="U3014">
        <f>VLOOKUP(T3014,[1]tablescore!$B$3:$C$8, 2,FALSE)</f>
        <v>1</v>
      </c>
      <c r="V3014" t="str">
        <f t="shared" si="95"/>
        <v>Low Loyalty</v>
      </c>
      <c r="W3014" t="s">
        <v>50</v>
      </c>
    </row>
    <row r="3015" spans="1:23" x14ac:dyDescent="0.25">
      <c r="A3015">
        <v>3014</v>
      </c>
      <c r="B3015">
        <v>41</v>
      </c>
      <c r="C3015" t="str" cm="1">
        <f t="array" ref="C3015">_xlfn.IFS(
  AND(B3015&gt;=18, B3015&lt;=24), "18-24",
  AND(B3015&gt;=25, B3015&lt;=34), "25-34",
  AND(B3015&gt;=35, B3015&lt;=44), "35-44",
  AND(B3015&gt;=45, B3015&lt;=54), "45-54",
  B3015&gt;=55, "55+"
)</f>
        <v>35-44</v>
      </c>
      <c r="D3015" t="s">
        <v>153</v>
      </c>
      <c r="E3015" t="s">
        <v>87</v>
      </c>
      <c r="F3015" t="s">
        <v>21</v>
      </c>
      <c r="G3015">
        <v>55</v>
      </c>
      <c r="H3015" t="s">
        <v>117</v>
      </c>
      <c r="I3015" t="s">
        <v>23</v>
      </c>
      <c r="J3015" t="s">
        <v>100</v>
      </c>
      <c r="K3015" t="s">
        <v>54</v>
      </c>
      <c r="L3015">
        <v>4.2</v>
      </c>
      <c r="M3015" t="s">
        <v>152</v>
      </c>
      <c r="N3015" t="s">
        <v>59</v>
      </c>
      <c r="O3015" t="s">
        <v>76</v>
      </c>
      <c r="P3015" t="s">
        <v>152</v>
      </c>
      <c r="Q3015" t="s">
        <v>152</v>
      </c>
      <c r="R3015">
        <v>13</v>
      </c>
      <c r="S3015" t="s">
        <v>35</v>
      </c>
      <c r="T3015" t="str">
        <f t="shared" si="94"/>
        <v>Month</v>
      </c>
      <c r="U3015">
        <f>VLOOKUP(T3015,[1]tablescore!$B$3:$C$8, 2,FALSE)</f>
        <v>12</v>
      </c>
      <c r="V3015" t="str">
        <f t="shared" si="95"/>
        <v>Moderate</v>
      </c>
      <c r="W3015" t="s">
        <v>88</v>
      </c>
    </row>
    <row r="3016" spans="1:23" x14ac:dyDescent="0.25">
      <c r="A3016">
        <v>3015</v>
      </c>
      <c r="B3016">
        <v>24</v>
      </c>
      <c r="C3016" t="str" cm="1">
        <f t="array" ref="C3016">_xlfn.IFS(
  AND(B3016&gt;=18, B3016&lt;=24), "18-24",
  AND(B3016&gt;=25, B3016&lt;=34), "25-34",
  AND(B3016&gt;=35, B3016&lt;=44), "35-44",
  AND(B3016&gt;=45, B3016&lt;=54), "45-54",
  B3016&gt;=55, "55+"
)</f>
        <v>18-24</v>
      </c>
      <c r="D3016" t="s">
        <v>153</v>
      </c>
      <c r="E3016" t="s">
        <v>113</v>
      </c>
      <c r="F3016" t="s">
        <v>21</v>
      </c>
      <c r="G3016">
        <v>65</v>
      </c>
      <c r="H3016" t="s">
        <v>149</v>
      </c>
      <c r="I3016" t="s">
        <v>45</v>
      </c>
      <c r="J3016" t="s">
        <v>33</v>
      </c>
      <c r="K3016" t="s">
        <v>39</v>
      </c>
      <c r="L3016">
        <v>4.5</v>
      </c>
      <c r="M3016" t="s">
        <v>152</v>
      </c>
      <c r="N3016" t="s">
        <v>27</v>
      </c>
      <c r="O3016" t="s">
        <v>28</v>
      </c>
      <c r="P3016" t="s">
        <v>152</v>
      </c>
      <c r="Q3016" t="s">
        <v>152</v>
      </c>
      <c r="R3016">
        <v>38</v>
      </c>
      <c r="S3016" t="s">
        <v>46</v>
      </c>
      <c r="T3016" t="str">
        <f t="shared" si="94"/>
        <v>Quarterly</v>
      </c>
      <c r="U3016">
        <f>VLOOKUP(T3016,[1]tablescore!$B$3:$C$8, 2,FALSE)</f>
        <v>4</v>
      </c>
      <c r="V3016" t="str">
        <f t="shared" si="95"/>
        <v>Low Loyalty</v>
      </c>
      <c r="W3016" t="s">
        <v>97</v>
      </c>
    </row>
    <row r="3017" spans="1:23" x14ac:dyDescent="0.25">
      <c r="A3017">
        <v>3016</v>
      </c>
      <c r="B3017">
        <v>37</v>
      </c>
      <c r="C3017" t="str" cm="1">
        <f t="array" ref="C3017">_xlfn.IFS(
  AND(B3017&gt;=18, B3017&lt;=24), "18-24",
  AND(B3017&gt;=25, B3017&lt;=34), "25-34",
  AND(B3017&gt;=35, B3017&lt;=44), "35-44",
  AND(B3017&gt;=45, B3017&lt;=54), "45-54",
  B3017&gt;=55, "55+"
)</f>
        <v>35-44</v>
      </c>
      <c r="D3017" t="s">
        <v>153</v>
      </c>
      <c r="E3017" t="s">
        <v>119</v>
      </c>
      <c r="F3017" t="s">
        <v>69</v>
      </c>
      <c r="G3017">
        <v>21</v>
      </c>
      <c r="H3017" t="s">
        <v>52</v>
      </c>
      <c r="I3017" t="s">
        <v>92</v>
      </c>
      <c r="J3017" t="s">
        <v>93</v>
      </c>
      <c r="K3017" t="s">
        <v>39</v>
      </c>
      <c r="L3017">
        <v>2.8</v>
      </c>
      <c r="M3017" t="s">
        <v>152</v>
      </c>
      <c r="N3017" t="s">
        <v>29</v>
      </c>
      <c r="O3017" t="s">
        <v>28</v>
      </c>
      <c r="P3017" t="s">
        <v>152</v>
      </c>
      <c r="Q3017" t="s">
        <v>152</v>
      </c>
      <c r="R3017">
        <v>27</v>
      </c>
      <c r="S3017" t="s">
        <v>34</v>
      </c>
      <c r="T3017" t="str">
        <f t="shared" si="94"/>
        <v>2-week</v>
      </c>
      <c r="U3017">
        <f>VLOOKUP(T3017,[1]tablescore!$B$3:$C$8, 2,FALSE)</f>
        <v>26</v>
      </c>
      <c r="V3017" t="str">
        <f t="shared" si="95"/>
        <v>Loyal</v>
      </c>
      <c r="W3017" t="s">
        <v>77</v>
      </c>
    </row>
    <row r="3018" spans="1:23" x14ac:dyDescent="0.25">
      <c r="A3018">
        <v>3017</v>
      </c>
      <c r="B3018">
        <v>30</v>
      </c>
      <c r="C3018" t="str" cm="1">
        <f t="array" ref="C3018">_xlfn.IFS(
  AND(B3018&gt;=18, B3018&lt;=24), "18-24",
  AND(B3018&gt;=25, B3018&lt;=34), "25-34",
  AND(B3018&gt;=35, B3018&lt;=44), "35-44",
  AND(B3018&gt;=45, B3018&lt;=54), "45-54",
  B3018&gt;=55, "55+"
)</f>
        <v>25-34</v>
      </c>
      <c r="D3018" t="s">
        <v>153</v>
      </c>
      <c r="E3018" t="s">
        <v>20</v>
      </c>
      <c r="F3018" t="s">
        <v>21</v>
      </c>
      <c r="G3018">
        <v>26</v>
      </c>
      <c r="H3018" t="s">
        <v>116</v>
      </c>
      <c r="I3018" t="s">
        <v>23</v>
      </c>
      <c r="J3018" t="s">
        <v>93</v>
      </c>
      <c r="K3018" t="s">
        <v>54</v>
      </c>
      <c r="L3018">
        <v>4.9000000000000004</v>
      </c>
      <c r="M3018" t="s">
        <v>152</v>
      </c>
      <c r="N3018" t="s">
        <v>27</v>
      </c>
      <c r="O3018" t="s">
        <v>76</v>
      </c>
      <c r="P3018" t="s">
        <v>152</v>
      </c>
      <c r="Q3018" t="s">
        <v>152</v>
      </c>
      <c r="R3018">
        <v>31</v>
      </c>
      <c r="S3018" t="s">
        <v>34</v>
      </c>
      <c r="T3018" t="str">
        <f t="shared" si="94"/>
        <v>Quarterly</v>
      </c>
      <c r="U3018">
        <f>VLOOKUP(T3018,[1]tablescore!$B$3:$C$8, 2,FALSE)</f>
        <v>4</v>
      </c>
      <c r="V3018" t="str">
        <f t="shared" si="95"/>
        <v>Low Loyalty</v>
      </c>
      <c r="W3018" t="s">
        <v>60</v>
      </c>
    </row>
    <row r="3019" spans="1:23" x14ac:dyDescent="0.25">
      <c r="A3019">
        <v>3018</v>
      </c>
      <c r="B3019">
        <v>58</v>
      </c>
      <c r="C3019" t="str" cm="1">
        <f t="array" ref="C3019">_xlfn.IFS(
  AND(B3019&gt;=18, B3019&lt;=24), "18-24",
  AND(B3019&gt;=25, B3019&lt;=34), "25-34",
  AND(B3019&gt;=35, B3019&lt;=44), "35-44",
  AND(B3019&gt;=45, B3019&lt;=54), "45-54",
  B3019&gt;=55, "55+"
)</f>
        <v>55+</v>
      </c>
      <c r="D3019" t="s">
        <v>153</v>
      </c>
      <c r="E3019" t="s">
        <v>89</v>
      </c>
      <c r="F3019" t="s">
        <v>69</v>
      </c>
      <c r="G3019">
        <v>71</v>
      </c>
      <c r="H3019" t="s">
        <v>148</v>
      </c>
      <c r="I3019" t="s">
        <v>38</v>
      </c>
      <c r="J3019" t="s">
        <v>75</v>
      </c>
      <c r="K3019" t="s">
        <v>54</v>
      </c>
      <c r="L3019">
        <v>3.3</v>
      </c>
      <c r="M3019" t="s">
        <v>152</v>
      </c>
      <c r="N3019" t="s">
        <v>34</v>
      </c>
      <c r="O3019" t="s">
        <v>47</v>
      </c>
      <c r="P3019" t="s">
        <v>152</v>
      </c>
      <c r="Q3019" t="s">
        <v>152</v>
      </c>
      <c r="R3019">
        <v>24</v>
      </c>
      <c r="S3019" t="s">
        <v>35</v>
      </c>
      <c r="T3019" t="str">
        <f t="shared" si="94"/>
        <v>2-week</v>
      </c>
      <c r="U3019">
        <f>VLOOKUP(T3019,[1]tablescore!$B$3:$C$8, 2,FALSE)</f>
        <v>26</v>
      </c>
      <c r="V3019" t="str">
        <f t="shared" si="95"/>
        <v>Loyal</v>
      </c>
      <c r="W3019" t="s">
        <v>77</v>
      </c>
    </row>
    <row r="3020" spans="1:23" x14ac:dyDescent="0.25">
      <c r="A3020">
        <v>3019</v>
      </c>
      <c r="B3020">
        <v>43</v>
      </c>
      <c r="C3020" t="str" cm="1">
        <f t="array" ref="C3020">_xlfn.IFS(
  AND(B3020&gt;=18, B3020&lt;=24), "18-24",
  AND(B3020&gt;=25, B3020&lt;=34), "25-34",
  AND(B3020&gt;=35, B3020&lt;=44), "35-44",
  AND(B3020&gt;=45, B3020&lt;=54), "45-54",
  B3020&gt;=55, "55+"
)</f>
        <v>35-44</v>
      </c>
      <c r="D3020" t="s">
        <v>153</v>
      </c>
      <c r="E3020" t="s">
        <v>132</v>
      </c>
      <c r="F3020" t="s">
        <v>43</v>
      </c>
      <c r="G3020">
        <v>41</v>
      </c>
      <c r="H3020" t="s">
        <v>105</v>
      </c>
      <c r="I3020" t="s">
        <v>45</v>
      </c>
      <c r="J3020" t="s">
        <v>96</v>
      </c>
      <c r="K3020" t="s">
        <v>54</v>
      </c>
      <c r="L3020">
        <v>3</v>
      </c>
      <c r="M3020" t="s">
        <v>152</v>
      </c>
      <c r="N3020" t="s">
        <v>59</v>
      </c>
      <c r="O3020" t="s">
        <v>40</v>
      </c>
      <c r="P3020" t="s">
        <v>152</v>
      </c>
      <c r="Q3020" t="s">
        <v>152</v>
      </c>
      <c r="R3020">
        <v>21</v>
      </c>
      <c r="S3020" t="s">
        <v>59</v>
      </c>
      <c r="T3020" t="str">
        <f t="shared" si="94"/>
        <v>2-week</v>
      </c>
      <c r="U3020">
        <f>VLOOKUP(T3020,[1]tablescore!$B$3:$C$8, 2,FALSE)</f>
        <v>26</v>
      </c>
      <c r="V3020" t="str">
        <f t="shared" si="95"/>
        <v>Loyal</v>
      </c>
      <c r="W3020" t="s">
        <v>77</v>
      </c>
    </row>
    <row r="3021" spans="1:23" x14ac:dyDescent="0.25">
      <c r="A3021">
        <v>3020</v>
      </c>
      <c r="B3021">
        <v>19</v>
      </c>
      <c r="C3021" t="str" cm="1">
        <f t="array" ref="C3021">_xlfn.IFS(
  AND(B3021&gt;=18, B3021&lt;=24), "18-24",
  AND(B3021&gt;=25, B3021&lt;=34), "25-34",
  AND(B3021&gt;=35, B3021&lt;=44), "35-44",
  AND(B3021&gt;=45, B3021&lt;=54), "45-54",
  B3021&gt;=55, "55+"
)</f>
        <v>18-24</v>
      </c>
      <c r="D3021" t="s">
        <v>153</v>
      </c>
      <c r="E3021" t="s">
        <v>102</v>
      </c>
      <c r="F3021" t="s">
        <v>65</v>
      </c>
      <c r="G3021">
        <v>44</v>
      </c>
      <c r="H3021" t="s">
        <v>149</v>
      </c>
      <c r="I3021" t="s">
        <v>45</v>
      </c>
      <c r="J3021" t="s">
        <v>139</v>
      </c>
      <c r="K3021" t="s">
        <v>25</v>
      </c>
      <c r="L3021">
        <v>3.9</v>
      </c>
      <c r="M3021" t="s">
        <v>152</v>
      </c>
      <c r="N3021" t="s">
        <v>29</v>
      </c>
      <c r="O3021" t="s">
        <v>72</v>
      </c>
      <c r="P3021" t="s">
        <v>152</v>
      </c>
      <c r="Q3021" t="s">
        <v>152</v>
      </c>
      <c r="R3021">
        <v>15</v>
      </c>
      <c r="S3021" t="s">
        <v>46</v>
      </c>
      <c r="T3021" t="str">
        <f t="shared" si="94"/>
        <v>Annually</v>
      </c>
      <c r="U3021">
        <f>VLOOKUP(T3021,[1]tablescore!$B$3:$C$8, 2,FALSE)</f>
        <v>1</v>
      </c>
      <c r="V3021" t="str">
        <f t="shared" si="95"/>
        <v>Low Loyalty</v>
      </c>
      <c r="W3021" t="s">
        <v>50</v>
      </c>
    </row>
    <row r="3022" spans="1:23" x14ac:dyDescent="0.25">
      <c r="A3022">
        <v>3021</v>
      </c>
      <c r="B3022">
        <v>23</v>
      </c>
      <c r="C3022" t="str" cm="1">
        <f t="array" ref="C3022">_xlfn.IFS(
  AND(B3022&gt;=18, B3022&lt;=24), "18-24",
  AND(B3022&gt;=25, B3022&lt;=34), "25-34",
  AND(B3022&gt;=35, B3022&lt;=44), "35-44",
  AND(B3022&gt;=45, B3022&lt;=54), "45-54",
  B3022&gt;=55, "55+"
)</f>
        <v>18-24</v>
      </c>
      <c r="D3022" t="s">
        <v>153</v>
      </c>
      <c r="E3022" t="s">
        <v>36</v>
      </c>
      <c r="F3022" t="s">
        <v>21</v>
      </c>
      <c r="G3022">
        <v>81</v>
      </c>
      <c r="H3022" t="s">
        <v>74</v>
      </c>
      <c r="I3022" t="s">
        <v>38</v>
      </c>
      <c r="J3022" t="s">
        <v>63</v>
      </c>
      <c r="K3022" t="s">
        <v>58</v>
      </c>
      <c r="L3022">
        <v>2.8</v>
      </c>
      <c r="M3022" t="s">
        <v>152</v>
      </c>
      <c r="N3022" t="s">
        <v>34</v>
      </c>
      <c r="O3022" t="s">
        <v>76</v>
      </c>
      <c r="P3022" t="s">
        <v>152</v>
      </c>
      <c r="Q3022" t="s">
        <v>152</v>
      </c>
      <c r="R3022">
        <v>48</v>
      </c>
      <c r="S3022" t="s">
        <v>29</v>
      </c>
      <c r="T3022" t="str">
        <f t="shared" si="94"/>
        <v>Quarterly</v>
      </c>
      <c r="U3022">
        <f>VLOOKUP(T3022,[1]tablescore!$B$3:$C$8, 2,FALSE)</f>
        <v>4</v>
      </c>
      <c r="V3022" t="str">
        <f t="shared" si="95"/>
        <v>Low Loyalty</v>
      </c>
      <c r="W3022" t="s">
        <v>97</v>
      </c>
    </row>
    <row r="3023" spans="1:23" x14ac:dyDescent="0.25">
      <c r="A3023">
        <v>3022</v>
      </c>
      <c r="B3023">
        <v>65</v>
      </c>
      <c r="C3023" t="str" cm="1">
        <f t="array" ref="C3023">_xlfn.IFS(
  AND(B3023&gt;=18, B3023&lt;=24), "18-24",
  AND(B3023&gt;=25, B3023&lt;=34), "25-34",
  AND(B3023&gt;=35, B3023&lt;=44), "35-44",
  AND(B3023&gt;=45, B3023&lt;=54), "45-54",
  B3023&gt;=55, "55+"
)</f>
        <v>55+</v>
      </c>
      <c r="D3023" t="s">
        <v>153</v>
      </c>
      <c r="E3023" t="s">
        <v>89</v>
      </c>
      <c r="F3023" t="s">
        <v>69</v>
      </c>
      <c r="G3023">
        <v>77</v>
      </c>
      <c r="H3023" t="s">
        <v>141</v>
      </c>
      <c r="I3023" t="s">
        <v>38</v>
      </c>
      <c r="J3023" t="s">
        <v>138</v>
      </c>
      <c r="K3023" t="s">
        <v>54</v>
      </c>
      <c r="L3023">
        <v>4.5</v>
      </c>
      <c r="M3023" t="s">
        <v>152</v>
      </c>
      <c r="N3023" t="s">
        <v>59</v>
      </c>
      <c r="O3023" t="s">
        <v>72</v>
      </c>
      <c r="P3023" t="s">
        <v>152</v>
      </c>
      <c r="Q3023" t="s">
        <v>152</v>
      </c>
      <c r="R3023">
        <v>47</v>
      </c>
      <c r="S3023" t="s">
        <v>35</v>
      </c>
      <c r="T3023" t="str">
        <f t="shared" si="94"/>
        <v>Quarterly</v>
      </c>
      <c r="U3023">
        <f>VLOOKUP(T3023,[1]tablescore!$B$3:$C$8, 2,FALSE)</f>
        <v>4</v>
      </c>
      <c r="V3023" t="str">
        <f t="shared" si="95"/>
        <v>Low Loyalty</v>
      </c>
      <c r="W3023" t="s">
        <v>60</v>
      </c>
    </row>
    <row r="3024" spans="1:23" x14ac:dyDescent="0.25">
      <c r="A3024">
        <v>3023</v>
      </c>
      <c r="B3024">
        <v>58</v>
      </c>
      <c r="C3024" t="str" cm="1">
        <f t="array" ref="C3024">_xlfn.IFS(
  AND(B3024&gt;=18, B3024&lt;=24), "18-24",
  AND(B3024&gt;=25, B3024&lt;=34), "25-34",
  AND(B3024&gt;=35, B3024&lt;=44), "35-44",
  AND(B3024&gt;=45, B3024&lt;=54), "45-54",
  B3024&gt;=55, "55+"
)</f>
        <v>55+</v>
      </c>
      <c r="D3024" t="s">
        <v>153</v>
      </c>
      <c r="E3024" t="s">
        <v>42</v>
      </c>
      <c r="F3024" t="s">
        <v>43</v>
      </c>
      <c r="G3024">
        <v>26</v>
      </c>
      <c r="H3024" t="s">
        <v>142</v>
      </c>
      <c r="I3024" t="s">
        <v>45</v>
      </c>
      <c r="J3024" t="s">
        <v>93</v>
      </c>
      <c r="K3024" t="s">
        <v>58</v>
      </c>
      <c r="L3024">
        <v>4</v>
      </c>
      <c r="M3024" t="s">
        <v>152</v>
      </c>
      <c r="N3024" t="s">
        <v>59</v>
      </c>
      <c r="O3024" t="s">
        <v>40</v>
      </c>
      <c r="P3024" t="s">
        <v>152</v>
      </c>
      <c r="Q3024" t="s">
        <v>152</v>
      </c>
      <c r="R3024">
        <v>23</v>
      </c>
      <c r="S3024" t="s">
        <v>46</v>
      </c>
      <c r="T3024" t="str">
        <f t="shared" si="94"/>
        <v>Daily</v>
      </c>
      <c r="U3024">
        <f>VLOOKUP(T3024,[1]tablescore!$B$3:$C$8, 2,FALSE)</f>
        <v>30</v>
      </c>
      <c r="V3024" t="str">
        <f t="shared" si="95"/>
        <v>Highly Loyal</v>
      </c>
      <c r="W3024" t="s">
        <v>41</v>
      </c>
    </row>
    <row r="3025" spans="1:23" x14ac:dyDescent="0.25">
      <c r="A3025">
        <v>3024</v>
      </c>
      <c r="B3025">
        <v>50</v>
      </c>
      <c r="C3025" t="str" cm="1">
        <f t="array" ref="C3025">_xlfn.IFS(
  AND(B3025&gt;=18, B3025&lt;=24), "18-24",
  AND(B3025&gt;=25, B3025&lt;=34), "25-34",
  AND(B3025&gt;=35, B3025&lt;=44), "35-44",
  AND(B3025&gt;=45, B3025&lt;=54), "45-54",
  B3025&gt;=55, "55+"
)</f>
        <v>45-54</v>
      </c>
      <c r="D3025" t="s">
        <v>153</v>
      </c>
      <c r="E3025" t="s">
        <v>133</v>
      </c>
      <c r="F3025" t="s">
        <v>69</v>
      </c>
      <c r="G3025">
        <v>31</v>
      </c>
      <c r="H3025" t="s">
        <v>116</v>
      </c>
      <c r="I3025" t="s">
        <v>45</v>
      </c>
      <c r="J3025" t="s">
        <v>110</v>
      </c>
      <c r="K3025" t="s">
        <v>54</v>
      </c>
      <c r="L3025">
        <v>2.9</v>
      </c>
      <c r="M3025" t="s">
        <v>152</v>
      </c>
      <c r="N3025" t="s">
        <v>46</v>
      </c>
      <c r="O3025" t="s">
        <v>28</v>
      </c>
      <c r="P3025" t="s">
        <v>152</v>
      </c>
      <c r="Q3025" t="s">
        <v>152</v>
      </c>
      <c r="R3025">
        <v>4</v>
      </c>
      <c r="S3025" t="s">
        <v>46</v>
      </c>
      <c r="T3025" t="str">
        <f t="shared" si="94"/>
        <v>Quarterly</v>
      </c>
      <c r="U3025">
        <f>VLOOKUP(T3025,[1]tablescore!$B$3:$C$8, 2,FALSE)</f>
        <v>4</v>
      </c>
      <c r="V3025" t="str">
        <f t="shared" si="95"/>
        <v>Low Loyalty</v>
      </c>
      <c r="W3025" t="s">
        <v>60</v>
      </c>
    </row>
    <row r="3026" spans="1:23" x14ac:dyDescent="0.25">
      <c r="A3026">
        <v>3025</v>
      </c>
      <c r="B3026">
        <v>67</v>
      </c>
      <c r="C3026" t="str" cm="1">
        <f t="array" ref="C3026">_xlfn.IFS(
  AND(B3026&gt;=18, B3026&lt;=24), "18-24",
  AND(B3026&gt;=25, B3026&lt;=34), "25-34",
  AND(B3026&gt;=35, B3026&lt;=44), "35-44",
  AND(B3026&gt;=45, B3026&lt;=54), "45-54",
  B3026&gt;=55, "55+"
)</f>
        <v>55+</v>
      </c>
      <c r="D3026" t="s">
        <v>153</v>
      </c>
      <c r="E3026" t="s">
        <v>20</v>
      </c>
      <c r="F3026" t="s">
        <v>21</v>
      </c>
      <c r="G3026">
        <v>82</v>
      </c>
      <c r="H3026" t="s">
        <v>144</v>
      </c>
      <c r="I3026" t="s">
        <v>38</v>
      </c>
      <c r="J3026" t="s">
        <v>53</v>
      </c>
      <c r="K3026" t="s">
        <v>39</v>
      </c>
      <c r="L3026">
        <v>4</v>
      </c>
      <c r="M3026" t="s">
        <v>152</v>
      </c>
      <c r="N3026" t="s">
        <v>27</v>
      </c>
      <c r="O3026" t="s">
        <v>40</v>
      </c>
      <c r="P3026" t="s">
        <v>152</v>
      </c>
      <c r="Q3026" t="s">
        <v>152</v>
      </c>
      <c r="R3026">
        <v>47</v>
      </c>
      <c r="S3026" t="s">
        <v>27</v>
      </c>
      <c r="T3026" t="str">
        <f t="shared" si="94"/>
        <v>Quarterly</v>
      </c>
      <c r="U3026">
        <f>VLOOKUP(T3026,[1]tablescore!$B$3:$C$8, 2,FALSE)</f>
        <v>4</v>
      </c>
      <c r="V3026" t="str">
        <f t="shared" si="95"/>
        <v>Low Loyalty</v>
      </c>
      <c r="W3026" t="s">
        <v>97</v>
      </c>
    </row>
    <row r="3027" spans="1:23" x14ac:dyDescent="0.25">
      <c r="A3027">
        <v>3026</v>
      </c>
      <c r="B3027">
        <v>40</v>
      </c>
      <c r="C3027" t="str" cm="1">
        <f t="array" ref="C3027">_xlfn.IFS(
  AND(B3027&gt;=18, B3027&lt;=24), "18-24",
  AND(B3027&gt;=25, B3027&lt;=34), "25-34",
  AND(B3027&gt;=35, B3027&lt;=44), "35-44",
  AND(B3027&gt;=45, B3027&lt;=54), "45-54",
  B3027&gt;=55, "55+"
)</f>
        <v>35-44</v>
      </c>
      <c r="D3027" t="s">
        <v>153</v>
      </c>
      <c r="E3027" t="s">
        <v>73</v>
      </c>
      <c r="F3027" t="s">
        <v>43</v>
      </c>
      <c r="G3027">
        <v>60</v>
      </c>
      <c r="H3027" t="s">
        <v>57</v>
      </c>
      <c r="I3027" t="s">
        <v>92</v>
      </c>
      <c r="J3027" t="s">
        <v>96</v>
      </c>
      <c r="K3027" t="s">
        <v>54</v>
      </c>
      <c r="L3027">
        <v>3.4</v>
      </c>
      <c r="M3027" t="s">
        <v>152</v>
      </c>
      <c r="N3027" t="s">
        <v>59</v>
      </c>
      <c r="O3027" t="s">
        <v>76</v>
      </c>
      <c r="P3027" t="s">
        <v>152</v>
      </c>
      <c r="Q3027" t="s">
        <v>152</v>
      </c>
      <c r="R3027">
        <v>7</v>
      </c>
      <c r="S3027" t="s">
        <v>46</v>
      </c>
      <c r="T3027" t="str">
        <f t="shared" si="94"/>
        <v>Month</v>
      </c>
      <c r="U3027">
        <f>VLOOKUP(T3027,[1]tablescore!$B$3:$C$8, 2,FALSE)</f>
        <v>12</v>
      </c>
      <c r="V3027" t="str">
        <f t="shared" si="95"/>
        <v>Moderate</v>
      </c>
      <c r="W3027" t="s">
        <v>88</v>
      </c>
    </row>
    <row r="3028" spans="1:23" x14ac:dyDescent="0.25">
      <c r="A3028">
        <v>3027</v>
      </c>
      <c r="B3028">
        <v>55</v>
      </c>
      <c r="C3028" t="str" cm="1">
        <f t="array" ref="C3028">_xlfn.IFS(
  AND(B3028&gt;=18, B3028&lt;=24), "18-24",
  AND(B3028&gt;=25, B3028&lt;=34), "25-34",
  AND(B3028&gt;=35, B3028&lt;=44), "35-44",
  AND(B3028&gt;=45, B3028&lt;=54), "45-54",
  B3028&gt;=55, "55+"
)</f>
        <v>55+</v>
      </c>
      <c r="D3028" t="s">
        <v>153</v>
      </c>
      <c r="E3028" t="s">
        <v>56</v>
      </c>
      <c r="F3028" t="s">
        <v>21</v>
      </c>
      <c r="G3028">
        <v>70</v>
      </c>
      <c r="H3028" t="s">
        <v>122</v>
      </c>
      <c r="I3028" t="s">
        <v>23</v>
      </c>
      <c r="J3028" t="s">
        <v>147</v>
      </c>
      <c r="K3028" t="s">
        <v>58</v>
      </c>
      <c r="L3028">
        <v>2.5</v>
      </c>
      <c r="M3028" t="s">
        <v>152</v>
      </c>
      <c r="N3028" t="s">
        <v>29</v>
      </c>
      <c r="O3028" t="s">
        <v>40</v>
      </c>
      <c r="P3028" t="s">
        <v>152</v>
      </c>
      <c r="Q3028" t="s">
        <v>152</v>
      </c>
      <c r="R3028">
        <v>6</v>
      </c>
      <c r="S3028" t="s">
        <v>27</v>
      </c>
      <c r="T3028" t="str">
        <f t="shared" si="94"/>
        <v>Annually</v>
      </c>
      <c r="U3028">
        <f>VLOOKUP(T3028,[1]tablescore!$B$3:$C$8, 2,FALSE)</f>
        <v>1</v>
      </c>
      <c r="V3028" t="str">
        <f t="shared" si="95"/>
        <v>Low Loyalty</v>
      </c>
      <c r="W3028" t="s">
        <v>50</v>
      </c>
    </row>
    <row r="3029" spans="1:23" x14ac:dyDescent="0.25">
      <c r="A3029">
        <v>3028</v>
      </c>
      <c r="B3029">
        <v>52</v>
      </c>
      <c r="C3029" t="str" cm="1">
        <f t="array" ref="C3029">_xlfn.IFS(
  AND(B3029&gt;=18, B3029&lt;=24), "18-24",
  AND(B3029&gt;=25, B3029&lt;=34), "25-34",
  AND(B3029&gt;=35, B3029&lt;=44), "35-44",
  AND(B3029&gt;=45, B3029&lt;=54), "45-54",
  B3029&gt;=55, "55+"
)</f>
        <v>45-54</v>
      </c>
      <c r="D3029" t="s">
        <v>153</v>
      </c>
      <c r="E3029" t="s">
        <v>104</v>
      </c>
      <c r="F3029" t="s">
        <v>21</v>
      </c>
      <c r="G3029">
        <v>26</v>
      </c>
      <c r="H3029" t="s">
        <v>66</v>
      </c>
      <c r="I3029" t="s">
        <v>92</v>
      </c>
      <c r="J3029" t="s">
        <v>100</v>
      </c>
      <c r="K3029" t="s">
        <v>25</v>
      </c>
      <c r="L3029">
        <v>2.8</v>
      </c>
      <c r="M3029" t="s">
        <v>152</v>
      </c>
      <c r="N3029" t="s">
        <v>34</v>
      </c>
      <c r="O3029" t="s">
        <v>72</v>
      </c>
      <c r="P3029" t="s">
        <v>152</v>
      </c>
      <c r="Q3029" t="s">
        <v>152</v>
      </c>
      <c r="R3029">
        <v>47</v>
      </c>
      <c r="S3029" t="s">
        <v>27</v>
      </c>
      <c r="T3029" t="str">
        <f t="shared" si="94"/>
        <v>Quarterly</v>
      </c>
      <c r="U3029">
        <f>VLOOKUP(T3029,[1]tablescore!$B$3:$C$8, 2,FALSE)</f>
        <v>4</v>
      </c>
      <c r="V3029" t="str">
        <f t="shared" si="95"/>
        <v>Low Loyalty</v>
      </c>
      <c r="W3029" t="s">
        <v>60</v>
      </c>
    </row>
    <row r="3030" spans="1:23" x14ac:dyDescent="0.25">
      <c r="A3030">
        <v>3029</v>
      </c>
      <c r="B3030">
        <v>62</v>
      </c>
      <c r="C3030" t="str" cm="1">
        <f t="array" ref="C3030">_xlfn.IFS(
  AND(B3030&gt;=18, B3030&lt;=24), "18-24",
  AND(B3030&gt;=25, B3030&lt;=34), "25-34",
  AND(B3030&gt;=35, B3030&lt;=44), "35-44",
  AND(B3030&gt;=45, B3030&lt;=54), "45-54",
  B3030&gt;=55, "55+"
)</f>
        <v>55+</v>
      </c>
      <c r="D3030" t="s">
        <v>153</v>
      </c>
      <c r="E3030" t="s">
        <v>82</v>
      </c>
      <c r="F3030" t="s">
        <v>21</v>
      </c>
      <c r="G3030">
        <v>100</v>
      </c>
      <c r="H3030" t="s">
        <v>99</v>
      </c>
      <c r="I3030" t="s">
        <v>23</v>
      </c>
      <c r="J3030" t="s">
        <v>63</v>
      </c>
      <c r="K3030" t="s">
        <v>54</v>
      </c>
      <c r="L3030">
        <v>3</v>
      </c>
      <c r="M3030" t="s">
        <v>152</v>
      </c>
      <c r="N3030" t="s">
        <v>46</v>
      </c>
      <c r="O3030" t="s">
        <v>40</v>
      </c>
      <c r="P3030" t="s">
        <v>152</v>
      </c>
      <c r="Q3030" t="s">
        <v>152</v>
      </c>
      <c r="R3030">
        <v>7</v>
      </c>
      <c r="S3030" t="s">
        <v>46</v>
      </c>
      <c r="T3030" t="str">
        <f t="shared" si="94"/>
        <v>Quarterly</v>
      </c>
      <c r="U3030">
        <f>VLOOKUP(T3030,[1]tablescore!$B$3:$C$8, 2,FALSE)</f>
        <v>4</v>
      </c>
      <c r="V3030" t="str">
        <f t="shared" si="95"/>
        <v>Low Loyalty</v>
      </c>
      <c r="W3030" t="s">
        <v>97</v>
      </c>
    </row>
    <row r="3031" spans="1:23" x14ac:dyDescent="0.25">
      <c r="A3031">
        <v>3030</v>
      </c>
      <c r="B3031">
        <v>64</v>
      </c>
      <c r="C3031" t="str" cm="1">
        <f t="array" ref="C3031">_xlfn.IFS(
  AND(B3031&gt;=18, B3031&lt;=24), "18-24",
  AND(B3031&gt;=25, B3031&lt;=34), "25-34",
  AND(B3031&gt;=35, B3031&lt;=44), "35-44",
  AND(B3031&gt;=45, B3031&lt;=54), "45-54",
  B3031&gt;=55, "55+"
)</f>
        <v>55+</v>
      </c>
      <c r="D3031" t="s">
        <v>153</v>
      </c>
      <c r="E3031" t="s">
        <v>82</v>
      </c>
      <c r="F3031" t="s">
        <v>21</v>
      </c>
      <c r="G3031">
        <v>82</v>
      </c>
      <c r="H3031" t="s">
        <v>142</v>
      </c>
      <c r="I3031" t="s">
        <v>45</v>
      </c>
      <c r="J3031" t="s">
        <v>81</v>
      </c>
      <c r="K3031" t="s">
        <v>54</v>
      </c>
      <c r="L3031">
        <v>3.1</v>
      </c>
      <c r="M3031" t="s">
        <v>152</v>
      </c>
      <c r="N3031" t="s">
        <v>34</v>
      </c>
      <c r="O3031" t="s">
        <v>40</v>
      </c>
      <c r="P3031" t="s">
        <v>152</v>
      </c>
      <c r="Q3031" t="s">
        <v>152</v>
      </c>
      <c r="R3031">
        <v>1</v>
      </c>
      <c r="S3031" t="s">
        <v>59</v>
      </c>
      <c r="T3031" t="str">
        <f t="shared" si="94"/>
        <v>Quarterly</v>
      </c>
      <c r="U3031">
        <f>VLOOKUP(T3031,[1]tablescore!$B$3:$C$8, 2,FALSE)</f>
        <v>4</v>
      </c>
      <c r="V3031" t="str">
        <f t="shared" si="95"/>
        <v>Low Loyalty</v>
      </c>
      <c r="W3031" t="s">
        <v>60</v>
      </c>
    </row>
    <row r="3032" spans="1:23" x14ac:dyDescent="0.25">
      <c r="A3032">
        <v>3031</v>
      </c>
      <c r="B3032">
        <v>43</v>
      </c>
      <c r="C3032" t="str" cm="1">
        <f t="array" ref="C3032">_xlfn.IFS(
  AND(B3032&gt;=18, B3032&lt;=24), "18-24",
  AND(B3032&gt;=25, B3032&lt;=34), "25-34",
  AND(B3032&gt;=35, B3032&lt;=44), "35-44",
  AND(B3032&gt;=45, B3032&lt;=54), "45-54",
  B3032&gt;=55, "55+"
)</f>
        <v>35-44</v>
      </c>
      <c r="D3032" t="s">
        <v>153</v>
      </c>
      <c r="E3032" t="s">
        <v>51</v>
      </c>
      <c r="F3032" t="s">
        <v>43</v>
      </c>
      <c r="G3032">
        <v>24</v>
      </c>
      <c r="H3032" t="s">
        <v>135</v>
      </c>
      <c r="I3032" t="s">
        <v>92</v>
      </c>
      <c r="J3032" t="s">
        <v>75</v>
      </c>
      <c r="K3032" t="s">
        <v>39</v>
      </c>
      <c r="L3032">
        <v>2.6</v>
      </c>
      <c r="M3032" t="s">
        <v>152</v>
      </c>
      <c r="N3032" t="s">
        <v>46</v>
      </c>
      <c r="O3032" t="s">
        <v>72</v>
      </c>
      <c r="P3032" t="s">
        <v>152</v>
      </c>
      <c r="Q3032" t="s">
        <v>152</v>
      </c>
      <c r="R3032">
        <v>23</v>
      </c>
      <c r="S3032" t="s">
        <v>27</v>
      </c>
      <c r="T3032" t="str">
        <f t="shared" si="94"/>
        <v>Daily</v>
      </c>
      <c r="U3032">
        <f>VLOOKUP(T3032,[1]tablescore!$B$3:$C$8, 2,FALSE)</f>
        <v>30</v>
      </c>
      <c r="V3032" t="str">
        <f t="shared" si="95"/>
        <v>Highly Loyal</v>
      </c>
      <c r="W3032" t="s">
        <v>41</v>
      </c>
    </row>
    <row r="3033" spans="1:23" x14ac:dyDescent="0.25">
      <c r="A3033">
        <v>3032</v>
      </c>
      <c r="B3033">
        <v>61</v>
      </c>
      <c r="C3033" t="str" cm="1">
        <f t="array" ref="C3033">_xlfn.IFS(
  AND(B3033&gt;=18, B3033&lt;=24), "18-24",
  AND(B3033&gt;=25, B3033&lt;=34), "25-34",
  AND(B3033&gt;=35, B3033&lt;=44), "35-44",
  AND(B3033&gt;=45, B3033&lt;=54), "45-54",
  B3033&gt;=55, "55+"
)</f>
        <v>55+</v>
      </c>
      <c r="D3033" t="s">
        <v>153</v>
      </c>
      <c r="E3033" t="s">
        <v>20</v>
      </c>
      <c r="F3033" t="s">
        <v>21</v>
      </c>
      <c r="G3033">
        <v>74</v>
      </c>
      <c r="H3033" t="s">
        <v>144</v>
      </c>
      <c r="I3033" t="s">
        <v>23</v>
      </c>
      <c r="J3033" t="s">
        <v>86</v>
      </c>
      <c r="K3033" t="s">
        <v>54</v>
      </c>
      <c r="L3033">
        <v>4.9000000000000004</v>
      </c>
      <c r="M3033" t="s">
        <v>152</v>
      </c>
      <c r="N3033" t="s">
        <v>46</v>
      </c>
      <c r="O3033" t="s">
        <v>72</v>
      </c>
      <c r="P3033" t="s">
        <v>152</v>
      </c>
      <c r="Q3033" t="s">
        <v>152</v>
      </c>
      <c r="R3033">
        <v>30</v>
      </c>
      <c r="S3033" t="s">
        <v>27</v>
      </c>
      <c r="T3033" t="str">
        <f t="shared" si="94"/>
        <v>Month</v>
      </c>
      <c r="U3033">
        <f>VLOOKUP(T3033,[1]tablescore!$B$3:$C$8, 2,FALSE)</f>
        <v>12</v>
      </c>
      <c r="V3033" t="str">
        <f t="shared" si="95"/>
        <v>Moderate</v>
      </c>
      <c r="W3033" t="s">
        <v>88</v>
      </c>
    </row>
    <row r="3034" spans="1:23" x14ac:dyDescent="0.25">
      <c r="A3034">
        <v>3033</v>
      </c>
      <c r="B3034">
        <v>26</v>
      </c>
      <c r="C3034" t="str" cm="1">
        <f t="array" ref="C3034">_xlfn.IFS(
  AND(B3034&gt;=18, B3034&lt;=24), "18-24",
  AND(B3034&gt;=25, B3034&lt;=34), "25-34",
  AND(B3034&gt;=35, B3034&lt;=44), "35-44",
  AND(B3034&gt;=45, B3034&lt;=54), "45-54",
  B3034&gt;=55, "55+"
)</f>
        <v>25-34</v>
      </c>
      <c r="D3034" t="s">
        <v>153</v>
      </c>
      <c r="E3034" t="s">
        <v>133</v>
      </c>
      <c r="F3034" t="s">
        <v>69</v>
      </c>
      <c r="G3034">
        <v>58</v>
      </c>
      <c r="H3034" t="s">
        <v>99</v>
      </c>
      <c r="I3034" t="s">
        <v>92</v>
      </c>
      <c r="J3034" t="s">
        <v>96</v>
      </c>
      <c r="K3034" t="s">
        <v>54</v>
      </c>
      <c r="L3034">
        <v>3.5</v>
      </c>
      <c r="M3034" t="s">
        <v>152</v>
      </c>
      <c r="N3034" t="s">
        <v>59</v>
      </c>
      <c r="O3034" t="s">
        <v>47</v>
      </c>
      <c r="P3034" t="s">
        <v>152</v>
      </c>
      <c r="Q3034" t="s">
        <v>152</v>
      </c>
      <c r="R3034">
        <v>24</v>
      </c>
      <c r="S3034" t="s">
        <v>27</v>
      </c>
      <c r="T3034" t="str">
        <f t="shared" si="94"/>
        <v>Quarterly</v>
      </c>
      <c r="U3034">
        <f>VLOOKUP(T3034,[1]tablescore!$B$3:$C$8, 2,FALSE)</f>
        <v>4</v>
      </c>
      <c r="V3034" t="str">
        <f t="shared" si="95"/>
        <v>Low Loyalty</v>
      </c>
      <c r="W3034" t="s">
        <v>60</v>
      </c>
    </row>
    <row r="3035" spans="1:23" x14ac:dyDescent="0.25">
      <c r="A3035">
        <v>3034</v>
      </c>
      <c r="B3035">
        <v>22</v>
      </c>
      <c r="C3035" t="str" cm="1">
        <f t="array" ref="C3035">_xlfn.IFS(
  AND(B3035&gt;=18, B3035&lt;=24), "18-24",
  AND(B3035&gt;=25, B3035&lt;=34), "25-34",
  AND(B3035&gt;=35, B3035&lt;=44), "35-44",
  AND(B3035&gt;=45, B3035&lt;=54), "45-54",
  B3035&gt;=55, "55+"
)</f>
        <v>18-24</v>
      </c>
      <c r="D3035" t="s">
        <v>153</v>
      </c>
      <c r="E3035" t="s">
        <v>31</v>
      </c>
      <c r="F3035" t="s">
        <v>21</v>
      </c>
      <c r="G3035">
        <v>56</v>
      </c>
      <c r="H3035" t="s">
        <v>90</v>
      </c>
      <c r="I3035" t="s">
        <v>23</v>
      </c>
      <c r="J3035" t="s">
        <v>121</v>
      </c>
      <c r="K3035" t="s">
        <v>39</v>
      </c>
      <c r="L3035">
        <v>2.6</v>
      </c>
      <c r="M3035" t="s">
        <v>152</v>
      </c>
      <c r="N3035" t="s">
        <v>46</v>
      </c>
      <c r="O3035" t="s">
        <v>76</v>
      </c>
      <c r="P3035" t="s">
        <v>152</v>
      </c>
      <c r="Q3035" t="s">
        <v>152</v>
      </c>
      <c r="R3035">
        <v>9</v>
      </c>
      <c r="S3035" t="s">
        <v>46</v>
      </c>
      <c r="T3035" t="str">
        <f t="shared" si="94"/>
        <v>Daily</v>
      </c>
      <c r="U3035">
        <f>VLOOKUP(T3035,[1]tablescore!$B$3:$C$8, 2,FALSE)</f>
        <v>30</v>
      </c>
      <c r="V3035" t="str">
        <f t="shared" si="95"/>
        <v>Highly Loyal</v>
      </c>
      <c r="W3035" t="s">
        <v>41</v>
      </c>
    </row>
    <row r="3036" spans="1:23" x14ac:dyDescent="0.25">
      <c r="A3036">
        <v>3035</v>
      </c>
      <c r="B3036">
        <v>51</v>
      </c>
      <c r="C3036" t="str" cm="1">
        <f t="array" ref="C3036">_xlfn.IFS(
  AND(B3036&gt;=18, B3036&lt;=24), "18-24",
  AND(B3036&gt;=25, B3036&lt;=34), "25-34",
  AND(B3036&gt;=35, B3036&lt;=44), "35-44",
  AND(B3036&gt;=45, B3036&lt;=54), "45-54",
  B3036&gt;=55, "55+"
)</f>
        <v>45-54</v>
      </c>
      <c r="D3036" t="s">
        <v>153</v>
      </c>
      <c r="E3036" t="s">
        <v>132</v>
      </c>
      <c r="F3036" t="s">
        <v>43</v>
      </c>
      <c r="G3036">
        <v>37</v>
      </c>
      <c r="H3036" t="s">
        <v>149</v>
      </c>
      <c r="I3036" t="s">
        <v>23</v>
      </c>
      <c r="J3036" t="s">
        <v>100</v>
      </c>
      <c r="K3036" t="s">
        <v>39</v>
      </c>
      <c r="L3036">
        <v>3.5</v>
      </c>
      <c r="M3036" t="s">
        <v>152</v>
      </c>
      <c r="N3036" t="s">
        <v>46</v>
      </c>
      <c r="O3036" t="s">
        <v>72</v>
      </c>
      <c r="P3036" t="s">
        <v>152</v>
      </c>
      <c r="Q3036" t="s">
        <v>152</v>
      </c>
      <c r="R3036">
        <v>25</v>
      </c>
      <c r="S3036" t="s">
        <v>27</v>
      </c>
      <c r="T3036" t="str">
        <f t="shared" si="94"/>
        <v>Quarterly</v>
      </c>
      <c r="U3036">
        <f>VLOOKUP(T3036,[1]tablescore!$B$3:$C$8, 2,FALSE)</f>
        <v>4</v>
      </c>
      <c r="V3036" t="str">
        <f t="shared" si="95"/>
        <v>Low Loyalty</v>
      </c>
      <c r="W3036" t="s">
        <v>60</v>
      </c>
    </row>
    <row r="3037" spans="1:23" x14ac:dyDescent="0.25">
      <c r="A3037">
        <v>3036</v>
      </c>
      <c r="B3037">
        <v>69</v>
      </c>
      <c r="C3037" t="str" cm="1">
        <f t="array" ref="C3037">_xlfn.IFS(
  AND(B3037&gt;=18, B3037&lt;=24), "18-24",
  AND(B3037&gt;=25, B3037&lt;=34), "25-34",
  AND(B3037&gt;=35, B3037&lt;=44), "35-44",
  AND(B3037&gt;=45, B3037&lt;=54), "45-54",
  B3037&gt;=55, "55+"
)</f>
        <v>55+</v>
      </c>
      <c r="D3037" t="s">
        <v>153</v>
      </c>
      <c r="E3037" t="s">
        <v>68</v>
      </c>
      <c r="F3037" t="s">
        <v>69</v>
      </c>
      <c r="G3037">
        <v>64</v>
      </c>
      <c r="H3037" t="s">
        <v>22</v>
      </c>
      <c r="I3037" t="s">
        <v>45</v>
      </c>
      <c r="J3037" t="s">
        <v>81</v>
      </c>
      <c r="K3037" t="s">
        <v>39</v>
      </c>
      <c r="L3037">
        <v>4.5</v>
      </c>
      <c r="M3037" t="s">
        <v>152</v>
      </c>
      <c r="N3037" t="s">
        <v>34</v>
      </c>
      <c r="O3037" t="s">
        <v>40</v>
      </c>
      <c r="P3037" t="s">
        <v>152</v>
      </c>
      <c r="Q3037" t="s">
        <v>152</v>
      </c>
      <c r="R3037">
        <v>18</v>
      </c>
      <c r="S3037" t="s">
        <v>35</v>
      </c>
      <c r="T3037" t="str">
        <f t="shared" si="94"/>
        <v>2-week</v>
      </c>
      <c r="U3037">
        <f>VLOOKUP(T3037,[1]tablescore!$B$3:$C$8, 2,FALSE)</f>
        <v>26</v>
      </c>
      <c r="V3037" t="str">
        <f t="shared" si="95"/>
        <v>Loyal</v>
      </c>
      <c r="W3037" t="s">
        <v>77</v>
      </c>
    </row>
    <row r="3038" spans="1:23" x14ac:dyDescent="0.25">
      <c r="A3038">
        <v>3037</v>
      </c>
      <c r="B3038">
        <v>50</v>
      </c>
      <c r="C3038" t="str" cm="1">
        <f t="array" ref="C3038">_xlfn.IFS(
  AND(B3038&gt;=18, B3038&lt;=24), "18-24",
  AND(B3038&gt;=25, B3038&lt;=34), "25-34",
  AND(B3038&gt;=35, B3038&lt;=44), "35-44",
  AND(B3038&gt;=45, B3038&lt;=54), "45-54",
  B3038&gt;=55, "55+"
)</f>
        <v>45-54</v>
      </c>
      <c r="D3038" t="s">
        <v>153</v>
      </c>
      <c r="E3038" t="s">
        <v>104</v>
      </c>
      <c r="F3038" t="s">
        <v>21</v>
      </c>
      <c r="G3038">
        <v>58</v>
      </c>
      <c r="H3038" t="s">
        <v>145</v>
      </c>
      <c r="I3038" t="s">
        <v>38</v>
      </c>
      <c r="J3038" t="s">
        <v>84</v>
      </c>
      <c r="K3038" t="s">
        <v>39</v>
      </c>
      <c r="L3038">
        <v>4.3</v>
      </c>
      <c r="M3038" t="s">
        <v>152</v>
      </c>
      <c r="N3038" t="s">
        <v>46</v>
      </c>
      <c r="O3038" t="s">
        <v>47</v>
      </c>
      <c r="P3038" t="s">
        <v>152</v>
      </c>
      <c r="Q3038" t="s">
        <v>152</v>
      </c>
      <c r="R3038">
        <v>7</v>
      </c>
      <c r="S3038" t="s">
        <v>29</v>
      </c>
      <c r="T3038" t="str">
        <f t="shared" si="94"/>
        <v>2-week</v>
      </c>
      <c r="U3038">
        <f>VLOOKUP(T3038,[1]tablescore!$B$3:$C$8, 2,FALSE)</f>
        <v>26</v>
      </c>
      <c r="V3038" t="str">
        <f t="shared" si="95"/>
        <v>Loyal</v>
      </c>
      <c r="W3038" t="s">
        <v>30</v>
      </c>
    </row>
    <row r="3039" spans="1:23" x14ac:dyDescent="0.25">
      <c r="A3039">
        <v>3038</v>
      </c>
      <c r="B3039">
        <v>51</v>
      </c>
      <c r="C3039" t="str" cm="1">
        <f t="array" ref="C3039">_xlfn.IFS(
  AND(B3039&gt;=18, B3039&lt;=24), "18-24",
  AND(B3039&gt;=25, B3039&lt;=34), "25-34",
  AND(B3039&gt;=35, B3039&lt;=44), "35-44",
  AND(B3039&gt;=45, B3039&lt;=54), "45-54",
  B3039&gt;=55, "55+"
)</f>
        <v>45-54</v>
      </c>
      <c r="D3039" t="s">
        <v>153</v>
      </c>
      <c r="E3039" t="s">
        <v>136</v>
      </c>
      <c r="F3039" t="s">
        <v>69</v>
      </c>
      <c r="G3039">
        <v>44</v>
      </c>
      <c r="H3039" t="s">
        <v>150</v>
      </c>
      <c r="I3039" t="s">
        <v>23</v>
      </c>
      <c r="J3039" t="s">
        <v>63</v>
      </c>
      <c r="K3039" t="s">
        <v>54</v>
      </c>
      <c r="L3039">
        <v>4.8</v>
      </c>
      <c r="M3039" t="s">
        <v>152</v>
      </c>
      <c r="N3039" t="s">
        <v>59</v>
      </c>
      <c r="O3039" t="s">
        <v>47</v>
      </c>
      <c r="P3039" t="s">
        <v>152</v>
      </c>
      <c r="Q3039" t="s">
        <v>152</v>
      </c>
      <c r="R3039">
        <v>2</v>
      </c>
      <c r="S3039" t="s">
        <v>35</v>
      </c>
      <c r="T3039" t="str">
        <f t="shared" si="94"/>
        <v>Annually</v>
      </c>
      <c r="U3039">
        <f>VLOOKUP(T3039,[1]tablescore!$B$3:$C$8, 2,FALSE)</f>
        <v>1</v>
      </c>
      <c r="V3039" t="str">
        <f t="shared" si="95"/>
        <v>Low Loyalty</v>
      </c>
      <c r="W3039" t="s">
        <v>50</v>
      </c>
    </row>
    <row r="3040" spans="1:23" x14ac:dyDescent="0.25">
      <c r="A3040">
        <v>3039</v>
      </c>
      <c r="B3040">
        <v>56</v>
      </c>
      <c r="C3040" t="str" cm="1">
        <f t="array" ref="C3040">_xlfn.IFS(
  AND(B3040&gt;=18, B3040&lt;=24), "18-24",
  AND(B3040&gt;=25, B3040&lt;=34), "25-34",
  AND(B3040&gt;=35, B3040&lt;=44), "35-44",
  AND(B3040&gt;=45, B3040&lt;=54), "45-54",
  B3040&gt;=55, "55+"
)</f>
        <v>55+</v>
      </c>
      <c r="D3040" t="s">
        <v>153</v>
      </c>
      <c r="E3040" t="s">
        <v>106</v>
      </c>
      <c r="F3040" t="s">
        <v>69</v>
      </c>
      <c r="G3040">
        <v>39</v>
      </c>
      <c r="H3040" t="s">
        <v>142</v>
      </c>
      <c r="I3040" t="s">
        <v>45</v>
      </c>
      <c r="J3040" t="s">
        <v>110</v>
      </c>
      <c r="K3040" t="s">
        <v>54</v>
      </c>
      <c r="L3040">
        <v>4.2</v>
      </c>
      <c r="M3040" t="s">
        <v>152</v>
      </c>
      <c r="N3040" t="s">
        <v>34</v>
      </c>
      <c r="O3040" t="s">
        <v>40</v>
      </c>
      <c r="P3040" t="s">
        <v>152</v>
      </c>
      <c r="Q3040" t="s">
        <v>152</v>
      </c>
      <c r="R3040">
        <v>36</v>
      </c>
      <c r="S3040" t="s">
        <v>59</v>
      </c>
      <c r="T3040" t="str">
        <f t="shared" si="94"/>
        <v>Annually</v>
      </c>
      <c r="U3040">
        <f>VLOOKUP(T3040,[1]tablescore!$B$3:$C$8, 2,FALSE)</f>
        <v>1</v>
      </c>
      <c r="V3040" t="str">
        <f t="shared" si="95"/>
        <v>Low Loyalty</v>
      </c>
      <c r="W3040" t="s">
        <v>50</v>
      </c>
    </row>
    <row r="3041" spans="1:23" x14ac:dyDescent="0.25">
      <c r="A3041">
        <v>3040</v>
      </c>
      <c r="B3041">
        <v>59</v>
      </c>
      <c r="C3041" t="str" cm="1">
        <f t="array" ref="C3041">_xlfn.IFS(
  AND(B3041&gt;=18, B3041&lt;=24), "18-24",
  AND(B3041&gt;=25, B3041&lt;=34), "25-34",
  AND(B3041&gt;=35, B3041&lt;=44), "35-44",
  AND(B3041&gt;=45, B3041&lt;=54), "45-54",
  B3041&gt;=55, "55+"
)</f>
        <v>55+</v>
      </c>
      <c r="D3041" t="s">
        <v>153</v>
      </c>
      <c r="E3041" t="s">
        <v>20</v>
      </c>
      <c r="F3041" t="s">
        <v>21</v>
      </c>
      <c r="G3041">
        <v>48</v>
      </c>
      <c r="H3041" t="s">
        <v>90</v>
      </c>
      <c r="I3041" t="s">
        <v>23</v>
      </c>
      <c r="J3041" t="s">
        <v>138</v>
      </c>
      <c r="K3041" t="s">
        <v>39</v>
      </c>
      <c r="L3041">
        <v>3.2</v>
      </c>
      <c r="M3041" t="s">
        <v>152</v>
      </c>
      <c r="N3041" t="s">
        <v>34</v>
      </c>
      <c r="O3041" t="s">
        <v>47</v>
      </c>
      <c r="P3041" t="s">
        <v>152</v>
      </c>
      <c r="Q3041" t="s">
        <v>152</v>
      </c>
      <c r="R3041">
        <v>31</v>
      </c>
      <c r="S3041" t="s">
        <v>46</v>
      </c>
      <c r="T3041" t="str">
        <f t="shared" si="94"/>
        <v>2-week</v>
      </c>
      <c r="U3041">
        <f>VLOOKUP(T3041,[1]tablescore!$B$3:$C$8, 2,FALSE)</f>
        <v>26</v>
      </c>
      <c r="V3041" t="str">
        <f t="shared" si="95"/>
        <v>Loyal</v>
      </c>
      <c r="W3041" t="s">
        <v>77</v>
      </c>
    </row>
    <row r="3042" spans="1:23" x14ac:dyDescent="0.25">
      <c r="A3042">
        <v>3041</v>
      </c>
      <c r="B3042">
        <v>18</v>
      </c>
      <c r="C3042" t="str" cm="1">
        <f t="array" ref="C3042">_xlfn.IFS(
  AND(B3042&gt;=18, B3042&lt;=24), "18-24",
  AND(B3042&gt;=25, B3042&lt;=34), "25-34",
  AND(B3042&gt;=35, B3042&lt;=44), "35-44",
  AND(B3042&gt;=45, B3042&lt;=54), "45-54",
  B3042&gt;=55, "55+"
)</f>
        <v>18-24</v>
      </c>
      <c r="D3042" t="s">
        <v>153</v>
      </c>
      <c r="E3042" t="s">
        <v>68</v>
      </c>
      <c r="F3042" t="s">
        <v>69</v>
      </c>
      <c r="G3042">
        <v>32</v>
      </c>
      <c r="H3042" t="s">
        <v>143</v>
      </c>
      <c r="I3042" t="s">
        <v>45</v>
      </c>
      <c r="J3042" t="s">
        <v>81</v>
      </c>
      <c r="K3042" t="s">
        <v>58</v>
      </c>
      <c r="L3042">
        <v>4.0999999999999996</v>
      </c>
      <c r="M3042" t="s">
        <v>152</v>
      </c>
      <c r="N3042" t="s">
        <v>46</v>
      </c>
      <c r="O3042" t="s">
        <v>28</v>
      </c>
      <c r="P3042" t="s">
        <v>152</v>
      </c>
      <c r="Q3042" t="s">
        <v>152</v>
      </c>
      <c r="R3042">
        <v>10</v>
      </c>
      <c r="S3042" t="s">
        <v>35</v>
      </c>
      <c r="T3042" t="str">
        <f t="shared" si="94"/>
        <v>2-week</v>
      </c>
      <c r="U3042">
        <f>VLOOKUP(T3042,[1]tablescore!$B$3:$C$8, 2,FALSE)</f>
        <v>26</v>
      </c>
      <c r="V3042" t="str">
        <f t="shared" si="95"/>
        <v>Loyal</v>
      </c>
      <c r="W3042" t="s">
        <v>30</v>
      </c>
    </row>
    <row r="3043" spans="1:23" x14ac:dyDescent="0.25">
      <c r="A3043">
        <v>3042</v>
      </c>
      <c r="B3043">
        <v>48</v>
      </c>
      <c r="C3043" t="str" cm="1">
        <f t="array" ref="C3043">_xlfn.IFS(
  AND(B3043&gt;=18, B3043&lt;=24), "18-24",
  AND(B3043&gt;=25, B3043&lt;=34), "25-34",
  AND(B3043&gt;=35, B3043&lt;=44), "35-44",
  AND(B3043&gt;=45, B3043&lt;=54), "45-54",
  B3043&gt;=55, "55+"
)</f>
        <v>45-54</v>
      </c>
      <c r="D3043" t="s">
        <v>153</v>
      </c>
      <c r="E3043" t="s">
        <v>68</v>
      </c>
      <c r="F3043" t="s">
        <v>69</v>
      </c>
      <c r="G3043">
        <v>79</v>
      </c>
      <c r="H3043" t="s">
        <v>44</v>
      </c>
      <c r="I3043" t="s">
        <v>45</v>
      </c>
      <c r="J3043" t="s">
        <v>121</v>
      </c>
      <c r="K3043" t="s">
        <v>25</v>
      </c>
      <c r="L3043">
        <v>4</v>
      </c>
      <c r="M3043" t="s">
        <v>152</v>
      </c>
      <c r="N3043" t="s">
        <v>27</v>
      </c>
      <c r="O3043" t="s">
        <v>28</v>
      </c>
      <c r="P3043" t="s">
        <v>152</v>
      </c>
      <c r="Q3043" t="s">
        <v>152</v>
      </c>
      <c r="R3043">
        <v>27</v>
      </c>
      <c r="S3043" t="s">
        <v>46</v>
      </c>
      <c r="T3043" t="str">
        <f t="shared" si="94"/>
        <v>Month</v>
      </c>
      <c r="U3043">
        <f>VLOOKUP(T3043,[1]tablescore!$B$3:$C$8, 2,FALSE)</f>
        <v>12</v>
      </c>
      <c r="V3043" t="str">
        <f t="shared" si="95"/>
        <v>Moderate</v>
      </c>
      <c r="W3043" t="s">
        <v>88</v>
      </c>
    </row>
    <row r="3044" spans="1:23" x14ac:dyDescent="0.25">
      <c r="A3044">
        <v>3043</v>
      </c>
      <c r="B3044">
        <v>53</v>
      </c>
      <c r="C3044" t="str" cm="1">
        <f t="array" ref="C3044">_xlfn.IFS(
  AND(B3044&gt;=18, B3044&lt;=24), "18-24",
  AND(B3044&gt;=25, B3044&lt;=34), "25-34",
  AND(B3044&gt;=35, B3044&lt;=44), "35-44",
  AND(B3044&gt;=45, B3044&lt;=54), "45-54",
  B3044&gt;=55, "55+"
)</f>
        <v>45-54</v>
      </c>
      <c r="D3044" t="s">
        <v>153</v>
      </c>
      <c r="E3044" t="s">
        <v>64</v>
      </c>
      <c r="F3044" t="s">
        <v>65</v>
      </c>
      <c r="G3044">
        <v>27</v>
      </c>
      <c r="H3044" t="s">
        <v>130</v>
      </c>
      <c r="I3044" t="s">
        <v>23</v>
      </c>
      <c r="J3044" t="s">
        <v>49</v>
      </c>
      <c r="K3044" t="s">
        <v>25</v>
      </c>
      <c r="L3044">
        <v>2.9</v>
      </c>
      <c r="M3044" t="s">
        <v>152</v>
      </c>
      <c r="N3044" t="s">
        <v>27</v>
      </c>
      <c r="O3044" t="s">
        <v>47</v>
      </c>
      <c r="P3044" t="s">
        <v>152</v>
      </c>
      <c r="Q3044" t="s">
        <v>152</v>
      </c>
      <c r="R3044">
        <v>14</v>
      </c>
      <c r="S3044" t="s">
        <v>46</v>
      </c>
      <c r="T3044" t="str">
        <f t="shared" si="94"/>
        <v>Quarterly</v>
      </c>
      <c r="U3044">
        <f>VLOOKUP(T3044,[1]tablescore!$B$3:$C$8, 2,FALSE)</f>
        <v>4</v>
      </c>
      <c r="V3044" t="str">
        <f t="shared" si="95"/>
        <v>Low Loyalty</v>
      </c>
      <c r="W3044" t="s">
        <v>97</v>
      </c>
    </row>
    <row r="3045" spans="1:23" x14ac:dyDescent="0.25">
      <c r="A3045">
        <v>3044</v>
      </c>
      <c r="B3045">
        <v>45</v>
      </c>
      <c r="C3045" t="str" cm="1">
        <f t="array" ref="C3045">_xlfn.IFS(
  AND(B3045&gt;=18, B3045&lt;=24), "18-24",
  AND(B3045&gt;=25, B3045&lt;=34), "25-34",
  AND(B3045&gt;=35, B3045&lt;=44), "35-44",
  AND(B3045&gt;=45, B3045&lt;=54), "45-54",
  B3045&gt;=55, "55+"
)</f>
        <v>45-54</v>
      </c>
      <c r="D3045" t="s">
        <v>153</v>
      </c>
      <c r="E3045" t="s">
        <v>136</v>
      </c>
      <c r="F3045" t="s">
        <v>69</v>
      </c>
      <c r="G3045">
        <v>98</v>
      </c>
      <c r="H3045" t="s">
        <v>115</v>
      </c>
      <c r="I3045" t="s">
        <v>38</v>
      </c>
      <c r="J3045" t="s">
        <v>100</v>
      </c>
      <c r="K3045" t="s">
        <v>58</v>
      </c>
      <c r="L3045">
        <v>2.6</v>
      </c>
      <c r="M3045" t="s">
        <v>152</v>
      </c>
      <c r="N3045" t="s">
        <v>59</v>
      </c>
      <c r="O3045" t="s">
        <v>76</v>
      </c>
      <c r="P3045" t="s">
        <v>152</v>
      </c>
      <c r="Q3045" t="s">
        <v>152</v>
      </c>
      <c r="R3045">
        <v>17</v>
      </c>
      <c r="S3045" t="s">
        <v>27</v>
      </c>
      <c r="T3045" t="str">
        <f t="shared" si="94"/>
        <v>Month</v>
      </c>
      <c r="U3045">
        <f>VLOOKUP(T3045,[1]tablescore!$B$3:$C$8, 2,FALSE)</f>
        <v>12</v>
      </c>
      <c r="V3045" t="str">
        <f t="shared" si="95"/>
        <v>Moderate</v>
      </c>
      <c r="W3045" t="s">
        <v>88</v>
      </c>
    </row>
    <row r="3046" spans="1:23" x14ac:dyDescent="0.25">
      <c r="A3046">
        <v>3045</v>
      </c>
      <c r="B3046">
        <v>21</v>
      </c>
      <c r="C3046" t="str" cm="1">
        <f t="array" ref="C3046">_xlfn.IFS(
  AND(B3046&gt;=18, B3046&lt;=24), "18-24",
  AND(B3046&gt;=25, B3046&lt;=34), "25-34",
  AND(B3046&gt;=35, B3046&lt;=44), "35-44",
  AND(B3046&gt;=45, B3046&lt;=54), "45-54",
  B3046&gt;=55, "55+"
)</f>
        <v>18-24</v>
      </c>
      <c r="D3046" t="s">
        <v>153</v>
      </c>
      <c r="E3046" t="s">
        <v>132</v>
      </c>
      <c r="F3046" t="s">
        <v>43</v>
      </c>
      <c r="G3046">
        <v>67</v>
      </c>
      <c r="H3046" t="s">
        <v>98</v>
      </c>
      <c r="I3046" t="s">
        <v>45</v>
      </c>
      <c r="J3046" t="s">
        <v>147</v>
      </c>
      <c r="K3046" t="s">
        <v>25</v>
      </c>
      <c r="L3046">
        <v>2.7</v>
      </c>
      <c r="M3046" t="s">
        <v>152</v>
      </c>
      <c r="N3046" t="s">
        <v>46</v>
      </c>
      <c r="O3046" t="s">
        <v>40</v>
      </c>
      <c r="P3046" t="s">
        <v>152</v>
      </c>
      <c r="Q3046" t="s">
        <v>152</v>
      </c>
      <c r="R3046">
        <v>10</v>
      </c>
      <c r="S3046" t="s">
        <v>34</v>
      </c>
      <c r="T3046" t="str">
        <f t="shared" si="94"/>
        <v>Quarterly</v>
      </c>
      <c r="U3046">
        <f>VLOOKUP(T3046,[1]tablescore!$B$3:$C$8, 2,FALSE)</f>
        <v>4</v>
      </c>
      <c r="V3046" t="str">
        <f t="shared" si="95"/>
        <v>Low Loyalty</v>
      </c>
      <c r="W3046" t="s">
        <v>60</v>
      </c>
    </row>
    <row r="3047" spans="1:23" x14ac:dyDescent="0.25">
      <c r="A3047">
        <v>3046</v>
      </c>
      <c r="B3047">
        <v>42</v>
      </c>
      <c r="C3047" t="str" cm="1">
        <f t="array" ref="C3047">_xlfn.IFS(
  AND(B3047&gt;=18, B3047&lt;=24), "18-24",
  AND(B3047&gt;=25, B3047&lt;=34), "25-34",
  AND(B3047&gt;=35, B3047&lt;=44), "35-44",
  AND(B3047&gt;=45, B3047&lt;=54), "45-54",
  B3047&gt;=55, "55+"
)</f>
        <v>35-44</v>
      </c>
      <c r="D3047" t="s">
        <v>153</v>
      </c>
      <c r="E3047" t="s">
        <v>131</v>
      </c>
      <c r="F3047" t="s">
        <v>21</v>
      </c>
      <c r="G3047">
        <v>37</v>
      </c>
      <c r="H3047" t="s">
        <v>103</v>
      </c>
      <c r="I3047" t="s">
        <v>23</v>
      </c>
      <c r="J3047" t="s">
        <v>94</v>
      </c>
      <c r="K3047" t="s">
        <v>25</v>
      </c>
      <c r="L3047">
        <v>4.5999999999999996</v>
      </c>
      <c r="M3047" t="s">
        <v>152</v>
      </c>
      <c r="N3047" t="s">
        <v>59</v>
      </c>
      <c r="O3047" t="s">
        <v>72</v>
      </c>
      <c r="P3047" t="s">
        <v>152</v>
      </c>
      <c r="Q3047" t="s">
        <v>152</v>
      </c>
      <c r="R3047">
        <v>4</v>
      </c>
      <c r="S3047" t="s">
        <v>46</v>
      </c>
      <c r="T3047" t="str">
        <f t="shared" si="94"/>
        <v>2-week</v>
      </c>
      <c r="U3047">
        <f>VLOOKUP(T3047,[1]tablescore!$B$3:$C$8, 2,FALSE)</f>
        <v>26</v>
      </c>
      <c r="V3047" t="str">
        <f t="shared" si="95"/>
        <v>Loyal</v>
      </c>
      <c r="W3047" t="s">
        <v>77</v>
      </c>
    </row>
    <row r="3048" spans="1:23" x14ac:dyDescent="0.25">
      <c r="A3048">
        <v>3047</v>
      </c>
      <c r="B3048">
        <v>60</v>
      </c>
      <c r="C3048" t="str" cm="1">
        <f t="array" ref="C3048">_xlfn.IFS(
  AND(B3048&gt;=18, B3048&lt;=24), "18-24",
  AND(B3048&gt;=25, B3048&lt;=34), "25-34",
  AND(B3048&gt;=35, B3048&lt;=44), "35-44",
  AND(B3048&gt;=45, B3048&lt;=54), "45-54",
  B3048&gt;=55, "55+"
)</f>
        <v>55+</v>
      </c>
      <c r="D3048" t="s">
        <v>153</v>
      </c>
      <c r="E3048" t="s">
        <v>73</v>
      </c>
      <c r="F3048" t="s">
        <v>43</v>
      </c>
      <c r="G3048">
        <v>49</v>
      </c>
      <c r="H3048" t="s">
        <v>141</v>
      </c>
      <c r="I3048" t="s">
        <v>45</v>
      </c>
      <c r="J3048" t="s">
        <v>53</v>
      </c>
      <c r="K3048" t="s">
        <v>39</v>
      </c>
      <c r="L3048">
        <v>3.2</v>
      </c>
      <c r="M3048" t="s">
        <v>152</v>
      </c>
      <c r="N3048" t="s">
        <v>34</v>
      </c>
      <c r="O3048" t="s">
        <v>76</v>
      </c>
      <c r="P3048" t="s">
        <v>152</v>
      </c>
      <c r="Q3048" t="s">
        <v>152</v>
      </c>
      <c r="R3048">
        <v>25</v>
      </c>
      <c r="S3048" t="s">
        <v>35</v>
      </c>
      <c r="T3048" t="str">
        <f t="shared" si="94"/>
        <v>Quarterly</v>
      </c>
      <c r="U3048">
        <f>VLOOKUP(T3048,[1]tablescore!$B$3:$C$8, 2,FALSE)</f>
        <v>4</v>
      </c>
      <c r="V3048" t="str">
        <f t="shared" si="95"/>
        <v>Low Loyalty</v>
      </c>
      <c r="W3048" t="s">
        <v>97</v>
      </c>
    </row>
    <row r="3049" spans="1:23" x14ac:dyDescent="0.25">
      <c r="A3049">
        <v>3048</v>
      </c>
      <c r="B3049">
        <v>21</v>
      </c>
      <c r="C3049" t="str" cm="1">
        <f t="array" ref="C3049">_xlfn.IFS(
  AND(B3049&gt;=18, B3049&lt;=24), "18-24",
  AND(B3049&gt;=25, B3049&lt;=34), "25-34",
  AND(B3049&gt;=35, B3049&lt;=44), "35-44",
  AND(B3049&gt;=45, B3049&lt;=54), "45-54",
  B3049&gt;=55, "55+"
)</f>
        <v>18-24</v>
      </c>
      <c r="D3049" t="s">
        <v>153</v>
      </c>
      <c r="E3049" t="s">
        <v>51</v>
      </c>
      <c r="F3049" t="s">
        <v>43</v>
      </c>
      <c r="G3049">
        <v>74</v>
      </c>
      <c r="H3049" t="s">
        <v>145</v>
      </c>
      <c r="I3049" t="s">
        <v>45</v>
      </c>
      <c r="J3049" t="s">
        <v>84</v>
      </c>
      <c r="K3049" t="s">
        <v>58</v>
      </c>
      <c r="L3049">
        <v>4.0999999999999996</v>
      </c>
      <c r="M3049" t="s">
        <v>152</v>
      </c>
      <c r="N3049" t="s">
        <v>35</v>
      </c>
      <c r="O3049" t="s">
        <v>72</v>
      </c>
      <c r="P3049" t="s">
        <v>152</v>
      </c>
      <c r="Q3049" t="s">
        <v>152</v>
      </c>
      <c r="R3049">
        <v>3</v>
      </c>
      <c r="S3049" t="s">
        <v>46</v>
      </c>
      <c r="T3049" t="str">
        <f t="shared" si="94"/>
        <v>2-week</v>
      </c>
      <c r="U3049">
        <f>VLOOKUP(T3049,[1]tablescore!$B$3:$C$8, 2,FALSE)</f>
        <v>26</v>
      </c>
      <c r="V3049" t="str">
        <f t="shared" si="95"/>
        <v>Loyal</v>
      </c>
      <c r="W3049" t="s">
        <v>77</v>
      </c>
    </row>
    <row r="3050" spans="1:23" x14ac:dyDescent="0.25">
      <c r="A3050">
        <v>3049</v>
      </c>
      <c r="B3050">
        <v>69</v>
      </c>
      <c r="C3050" t="str" cm="1">
        <f t="array" ref="C3050">_xlfn.IFS(
  AND(B3050&gt;=18, B3050&lt;=24), "18-24",
  AND(B3050&gt;=25, B3050&lt;=34), "25-34",
  AND(B3050&gt;=35, B3050&lt;=44), "35-44",
  AND(B3050&gt;=45, B3050&lt;=54), "45-54",
  B3050&gt;=55, "55+"
)</f>
        <v>55+</v>
      </c>
      <c r="D3050" t="s">
        <v>153</v>
      </c>
      <c r="E3050" t="s">
        <v>106</v>
      </c>
      <c r="F3050" t="s">
        <v>69</v>
      </c>
      <c r="G3050">
        <v>93</v>
      </c>
      <c r="H3050" t="s">
        <v>112</v>
      </c>
      <c r="I3050" t="s">
        <v>45</v>
      </c>
      <c r="J3050" t="s">
        <v>79</v>
      </c>
      <c r="K3050" t="s">
        <v>54</v>
      </c>
      <c r="L3050">
        <v>3.9</v>
      </c>
      <c r="M3050" t="s">
        <v>152</v>
      </c>
      <c r="N3050" t="s">
        <v>46</v>
      </c>
      <c r="O3050" t="s">
        <v>55</v>
      </c>
      <c r="P3050" t="s">
        <v>152</v>
      </c>
      <c r="Q3050" t="s">
        <v>152</v>
      </c>
      <c r="R3050">
        <v>47</v>
      </c>
      <c r="S3050" t="s">
        <v>29</v>
      </c>
      <c r="T3050" t="str">
        <f t="shared" si="94"/>
        <v>2-week</v>
      </c>
      <c r="U3050">
        <f>VLOOKUP(T3050,[1]tablescore!$B$3:$C$8, 2,FALSE)</f>
        <v>26</v>
      </c>
      <c r="V3050" t="str">
        <f t="shared" si="95"/>
        <v>Loyal</v>
      </c>
      <c r="W3050" t="s">
        <v>30</v>
      </c>
    </row>
    <row r="3051" spans="1:23" x14ac:dyDescent="0.25">
      <c r="A3051">
        <v>3050</v>
      </c>
      <c r="B3051">
        <v>40</v>
      </c>
      <c r="C3051" t="str" cm="1">
        <f t="array" ref="C3051">_xlfn.IFS(
  AND(B3051&gt;=18, B3051&lt;=24), "18-24",
  AND(B3051&gt;=25, B3051&lt;=34), "25-34",
  AND(B3051&gt;=35, B3051&lt;=44), "35-44",
  AND(B3051&gt;=45, B3051&lt;=54), "45-54",
  B3051&gt;=55, "55+"
)</f>
        <v>35-44</v>
      </c>
      <c r="D3051" t="s">
        <v>153</v>
      </c>
      <c r="E3051" t="s">
        <v>68</v>
      </c>
      <c r="F3051" t="s">
        <v>69</v>
      </c>
      <c r="G3051">
        <v>60</v>
      </c>
      <c r="H3051" t="s">
        <v>149</v>
      </c>
      <c r="I3051" t="s">
        <v>23</v>
      </c>
      <c r="J3051" t="s">
        <v>108</v>
      </c>
      <c r="K3051" t="s">
        <v>54</v>
      </c>
      <c r="L3051">
        <v>3</v>
      </c>
      <c r="M3051" t="s">
        <v>152</v>
      </c>
      <c r="N3051" t="s">
        <v>59</v>
      </c>
      <c r="O3051" t="s">
        <v>47</v>
      </c>
      <c r="P3051" t="s">
        <v>152</v>
      </c>
      <c r="Q3051" t="s">
        <v>152</v>
      </c>
      <c r="R3051">
        <v>41</v>
      </c>
      <c r="S3051" t="s">
        <v>34</v>
      </c>
      <c r="T3051" t="str">
        <f t="shared" si="94"/>
        <v>2-week</v>
      </c>
      <c r="U3051">
        <f>VLOOKUP(T3051,[1]tablescore!$B$3:$C$8, 2,FALSE)</f>
        <v>26</v>
      </c>
      <c r="V3051" t="str">
        <f t="shared" si="95"/>
        <v>Loyal</v>
      </c>
      <c r="W3051" t="s">
        <v>77</v>
      </c>
    </row>
    <row r="3052" spans="1:23" x14ac:dyDescent="0.25">
      <c r="A3052">
        <v>3051</v>
      </c>
      <c r="B3052">
        <v>31</v>
      </c>
      <c r="C3052" t="str" cm="1">
        <f t="array" ref="C3052">_xlfn.IFS(
  AND(B3052&gt;=18, B3052&lt;=24), "18-24",
  AND(B3052&gt;=25, B3052&lt;=34), "25-34",
  AND(B3052&gt;=35, B3052&lt;=44), "35-44",
  AND(B3052&gt;=45, B3052&lt;=54), "45-54",
  B3052&gt;=55, "55+"
)</f>
        <v>25-34</v>
      </c>
      <c r="D3052" t="s">
        <v>153</v>
      </c>
      <c r="E3052" t="s">
        <v>64</v>
      </c>
      <c r="F3052" t="s">
        <v>65</v>
      </c>
      <c r="G3052">
        <v>76</v>
      </c>
      <c r="H3052" t="s">
        <v>22</v>
      </c>
      <c r="I3052" t="s">
        <v>38</v>
      </c>
      <c r="J3052" t="s">
        <v>96</v>
      </c>
      <c r="K3052" t="s">
        <v>39</v>
      </c>
      <c r="L3052">
        <v>3.6</v>
      </c>
      <c r="M3052" t="s">
        <v>152</v>
      </c>
      <c r="N3052" t="s">
        <v>35</v>
      </c>
      <c r="O3052" t="s">
        <v>55</v>
      </c>
      <c r="P3052" t="s">
        <v>152</v>
      </c>
      <c r="Q3052" t="s">
        <v>152</v>
      </c>
      <c r="R3052">
        <v>28</v>
      </c>
      <c r="S3052" t="s">
        <v>29</v>
      </c>
      <c r="T3052" t="str">
        <f t="shared" si="94"/>
        <v>Quarterly</v>
      </c>
      <c r="U3052">
        <f>VLOOKUP(T3052,[1]tablescore!$B$3:$C$8, 2,FALSE)</f>
        <v>4</v>
      </c>
      <c r="V3052" t="str">
        <f t="shared" si="95"/>
        <v>Low Loyalty</v>
      </c>
      <c r="W3052" t="s">
        <v>97</v>
      </c>
    </row>
    <row r="3053" spans="1:23" x14ac:dyDescent="0.25">
      <c r="A3053">
        <v>3052</v>
      </c>
      <c r="B3053">
        <v>44</v>
      </c>
      <c r="C3053" t="str" cm="1">
        <f t="array" ref="C3053">_xlfn.IFS(
  AND(B3053&gt;=18, B3053&lt;=24), "18-24",
  AND(B3053&gt;=25, B3053&lt;=34), "25-34",
  AND(B3053&gt;=35, B3053&lt;=44), "35-44",
  AND(B3053&gt;=45, B3053&lt;=54), "45-54",
  B3053&gt;=55, "55+"
)</f>
        <v>35-44</v>
      </c>
      <c r="D3053" t="s">
        <v>153</v>
      </c>
      <c r="E3053" t="s">
        <v>89</v>
      </c>
      <c r="F3053" t="s">
        <v>69</v>
      </c>
      <c r="G3053">
        <v>64</v>
      </c>
      <c r="H3053" t="s">
        <v>52</v>
      </c>
      <c r="I3053" t="s">
        <v>23</v>
      </c>
      <c r="J3053" t="s">
        <v>81</v>
      </c>
      <c r="K3053" t="s">
        <v>54</v>
      </c>
      <c r="L3053">
        <v>4.5999999999999996</v>
      </c>
      <c r="M3053" t="s">
        <v>152</v>
      </c>
      <c r="N3053" t="s">
        <v>29</v>
      </c>
      <c r="O3053" t="s">
        <v>28</v>
      </c>
      <c r="P3053" t="s">
        <v>152</v>
      </c>
      <c r="Q3053" t="s">
        <v>152</v>
      </c>
      <c r="R3053">
        <v>49</v>
      </c>
      <c r="S3053" t="s">
        <v>59</v>
      </c>
      <c r="T3053" t="str">
        <f t="shared" si="94"/>
        <v>Quarterly</v>
      </c>
      <c r="U3053">
        <f>VLOOKUP(T3053,[1]tablescore!$B$3:$C$8, 2,FALSE)</f>
        <v>4</v>
      </c>
      <c r="V3053" t="str">
        <f t="shared" si="95"/>
        <v>Low Loyalty</v>
      </c>
      <c r="W3053" t="s">
        <v>97</v>
      </c>
    </row>
    <row r="3054" spans="1:23" x14ac:dyDescent="0.25">
      <c r="A3054">
        <v>3053</v>
      </c>
      <c r="B3054">
        <v>48</v>
      </c>
      <c r="C3054" t="str" cm="1">
        <f t="array" ref="C3054">_xlfn.IFS(
  AND(B3054&gt;=18, B3054&lt;=24), "18-24",
  AND(B3054&gt;=25, B3054&lt;=34), "25-34",
  AND(B3054&gt;=35, B3054&lt;=44), "35-44",
  AND(B3054&gt;=45, B3054&lt;=54), "45-54",
  B3054&gt;=55, "55+"
)</f>
        <v>45-54</v>
      </c>
      <c r="D3054" t="s">
        <v>153</v>
      </c>
      <c r="E3054" t="s">
        <v>73</v>
      </c>
      <c r="F3054" t="s">
        <v>43</v>
      </c>
      <c r="G3054">
        <v>38</v>
      </c>
      <c r="H3054" t="s">
        <v>32</v>
      </c>
      <c r="I3054" t="s">
        <v>92</v>
      </c>
      <c r="J3054" t="s">
        <v>79</v>
      </c>
      <c r="K3054" t="s">
        <v>39</v>
      </c>
      <c r="L3054">
        <v>4.5</v>
      </c>
      <c r="M3054" t="s">
        <v>152</v>
      </c>
      <c r="N3054" t="s">
        <v>27</v>
      </c>
      <c r="O3054" t="s">
        <v>76</v>
      </c>
      <c r="P3054" t="s">
        <v>152</v>
      </c>
      <c r="Q3054" t="s">
        <v>152</v>
      </c>
      <c r="R3054">
        <v>7</v>
      </c>
      <c r="S3054" t="s">
        <v>34</v>
      </c>
      <c r="T3054" t="str">
        <f t="shared" si="94"/>
        <v>2-week</v>
      </c>
      <c r="U3054">
        <f>VLOOKUP(T3054,[1]tablescore!$B$3:$C$8, 2,FALSE)</f>
        <v>26</v>
      </c>
      <c r="V3054" t="str">
        <f t="shared" si="95"/>
        <v>Loyal</v>
      </c>
      <c r="W3054" t="s">
        <v>30</v>
      </c>
    </row>
    <row r="3055" spans="1:23" x14ac:dyDescent="0.25">
      <c r="A3055">
        <v>3054</v>
      </c>
      <c r="B3055">
        <v>32</v>
      </c>
      <c r="C3055" t="str" cm="1">
        <f t="array" ref="C3055">_xlfn.IFS(
  AND(B3055&gt;=18, B3055&lt;=24), "18-24",
  AND(B3055&gt;=25, B3055&lt;=34), "25-34",
  AND(B3055&gt;=35, B3055&lt;=44), "35-44",
  AND(B3055&gt;=45, B3055&lt;=54), "45-54",
  B3055&gt;=55, "55+"
)</f>
        <v>25-34</v>
      </c>
      <c r="D3055" t="s">
        <v>153</v>
      </c>
      <c r="E3055" t="s">
        <v>73</v>
      </c>
      <c r="F3055" t="s">
        <v>43</v>
      </c>
      <c r="G3055">
        <v>91</v>
      </c>
      <c r="H3055" t="s">
        <v>32</v>
      </c>
      <c r="I3055" t="s">
        <v>23</v>
      </c>
      <c r="J3055" t="s">
        <v>110</v>
      </c>
      <c r="K3055" t="s">
        <v>25</v>
      </c>
      <c r="L3055">
        <v>3.2</v>
      </c>
      <c r="M3055" t="s">
        <v>152</v>
      </c>
      <c r="N3055" t="s">
        <v>27</v>
      </c>
      <c r="O3055" t="s">
        <v>47</v>
      </c>
      <c r="P3055" t="s">
        <v>152</v>
      </c>
      <c r="Q3055" t="s">
        <v>152</v>
      </c>
      <c r="R3055">
        <v>22</v>
      </c>
      <c r="S3055" t="s">
        <v>34</v>
      </c>
      <c r="T3055" t="str">
        <f t="shared" si="94"/>
        <v>Month</v>
      </c>
      <c r="U3055">
        <f>VLOOKUP(T3055,[1]tablescore!$B$3:$C$8, 2,FALSE)</f>
        <v>12</v>
      </c>
      <c r="V3055" t="str">
        <f t="shared" si="95"/>
        <v>Moderate</v>
      </c>
      <c r="W3055" t="s">
        <v>88</v>
      </c>
    </row>
    <row r="3056" spans="1:23" x14ac:dyDescent="0.25">
      <c r="A3056">
        <v>3055</v>
      </c>
      <c r="B3056">
        <v>42</v>
      </c>
      <c r="C3056" t="str" cm="1">
        <f t="array" ref="C3056">_xlfn.IFS(
  AND(B3056&gt;=18, B3056&lt;=24), "18-24",
  AND(B3056&gt;=25, B3056&lt;=34), "25-34",
  AND(B3056&gt;=35, B3056&lt;=44), "35-44",
  AND(B3056&gt;=45, B3056&lt;=54), "45-54",
  B3056&gt;=55, "55+"
)</f>
        <v>35-44</v>
      </c>
      <c r="D3056" t="s">
        <v>153</v>
      </c>
      <c r="E3056" t="s">
        <v>132</v>
      </c>
      <c r="F3056" t="s">
        <v>43</v>
      </c>
      <c r="G3056">
        <v>70</v>
      </c>
      <c r="H3056" t="s">
        <v>83</v>
      </c>
      <c r="I3056" t="s">
        <v>38</v>
      </c>
      <c r="J3056" t="s">
        <v>147</v>
      </c>
      <c r="K3056" t="s">
        <v>54</v>
      </c>
      <c r="L3056">
        <v>4.9000000000000004</v>
      </c>
      <c r="M3056" t="s">
        <v>152</v>
      </c>
      <c r="N3056" t="s">
        <v>35</v>
      </c>
      <c r="O3056" t="s">
        <v>72</v>
      </c>
      <c r="P3056" t="s">
        <v>152</v>
      </c>
      <c r="Q3056" t="s">
        <v>152</v>
      </c>
      <c r="R3056">
        <v>34</v>
      </c>
      <c r="S3056" t="s">
        <v>29</v>
      </c>
      <c r="T3056" t="str">
        <f t="shared" si="94"/>
        <v>Month</v>
      </c>
      <c r="U3056">
        <f>VLOOKUP(T3056,[1]tablescore!$B$3:$C$8, 2,FALSE)</f>
        <v>12</v>
      </c>
      <c r="V3056" t="str">
        <f t="shared" si="95"/>
        <v>Moderate</v>
      </c>
      <c r="W3056" t="s">
        <v>88</v>
      </c>
    </row>
    <row r="3057" spans="1:23" x14ac:dyDescent="0.25">
      <c r="A3057">
        <v>3056</v>
      </c>
      <c r="B3057">
        <v>27</v>
      </c>
      <c r="C3057" t="str" cm="1">
        <f t="array" ref="C3057">_xlfn.IFS(
  AND(B3057&gt;=18, B3057&lt;=24), "18-24",
  AND(B3057&gt;=25, B3057&lt;=34), "25-34",
  AND(B3057&gt;=35, B3057&lt;=44), "35-44",
  AND(B3057&gt;=45, B3057&lt;=54), "45-54",
  B3057&gt;=55, "55+"
)</f>
        <v>25-34</v>
      </c>
      <c r="D3057" t="s">
        <v>153</v>
      </c>
      <c r="E3057" t="s">
        <v>42</v>
      </c>
      <c r="F3057" t="s">
        <v>43</v>
      </c>
      <c r="G3057">
        <v>22</v>
      </c>
      <c r="H3057" t="s">
        <v>111</v>
      </c>
      <c r="I3057" t="s">
        <v>45</v>
      </c>
      <c r="J3057" t="s">
        <v>84</v>
      </c>
      <c r="K3057" t="s">
        <v>58</v>
      </c>
      <c r="L3057">
        <v>5</v>
      </c>
      <c r="M3057" t="s">
        <v>152</v>
      </c>
      <c r="N3057" t="s">
        <v>34</v>
      </c>
      <c r="O3057" t="s">
        <v>55</v>
      </c>
      <c r="P3057" t="s">
        <v>152</v>
      </c>
      <c r="Q3057" t="s">
        <v>152</v>
      </c>
      <c r="R3057">
        <v>5</v>
      </c>
      <c r="S3057" t="s">
        <v>59</v>
      </c>
      <c r="T3057" t="str">
        <f t="shared" si="94"/>
        <v>2-week</v>
      </c>
      <c r="U3057">
        <f>VLOOKUP(T3057,[1]tablescore!$B$3:$C$8, 2,FALSE)</f>
        <v>26</v>
      </c>
      <c r="V3057" t="str">
        <f t="shared" si="95"/>
        <v>Loyal</v>
      </c>
      <c r="W3057" t="s">
        <v>77</v>
      </c>
    </row>
    <row r="3058" spans="1:23" x14ac:dyDescent="0.25">
      <c r="A3058">
        <v>3057</v>
      </c>
      <c r="B3058">
        <v>69</v>
      </c>
      <c r="C3058" t="str" cm="1">
        <f t="array" ref="C3058">_xlfn.IFS(
  AND(B3058&gt;=18, B3058&lt;=24), "18-24",
  AND(B3058&gt;=25, B3058&lt;=34), "25-34",
  AND(B3058&gt;=35, B3058&lt;=44), "35-44",
  AND(B3058&gt;=45, B3058&lt;=54), "45-54",
  B3058&gt;=55, "55+"
)</f>
        <v>55+</v>
      </c>
      <c r="D3058" t="s">
        <v>153</v>
      </c>
      <c r="E3058" t="s">
        <v>127</v>
      </c>
      <c r="F3058" t="s">
        <v>69</v>
      </c>
      <c r="G3058">
        <v>59</v>
      </c>
      <c r="H3058" t="s">
        <v>137</v>
      </c>
      <c r="I3058" t="s">
        <v>45</v>
      </c>
      <c r="J3058" t="s">
        <v>118</v>
      </c>
      <c r="K3058" t="s">
        <v>39</v>
      </c>
      <c r="L3058">
        <v>3.8</v>
      </c>
      <c r="M3058" t="s">
        <v>152</v>
      </c>
      <c r="N3058" t="s">
        <v>27</v>
      </c>
      <c r="O3058" t="s">
        <v>55</v>
      </c>
      <c r="P3058" t="s">
        <v>152</v>
      </c>
      <c r="Q3058" t="s">
        <v>152</v>
      </c>
      <c r="R3058">
        <v>15</v>
      </c>
      <c r="S3058" t="s">
        <v>35</v>
      </c>
      <c r="T3058" t="str">
        <f t="shared" si="94"/>
        <v>2-week</v>
      </c>
      <c r="U3058">
        <f>VLOOKUP(T3058,[1]tablescore!$B$3:$C$8, 2,FALSE)</f>
        <v>26</v>
      </c>
      <c r="V3058" t="str">
        <f t="shared" si="95"/>
        <v>Loyal</v>
      </c>
      <c r="W3058" t="s">
        <v>77</v>
      </c>
    </row>
    <row r="3059" spans="1:23" x14ac:dyDescent="0.25">
      <c r="A3059">
        <v>3058</v>
      </c>
      <c r="B3059">
        <v>67</v>
      </c>
      <c r="C3059" t="str" cm="1">
        <f t="array" ref="C3059">_xlfn.IFS(
  AND(B3059&gt;=18, B3059&lt;=24), "18-24",
  AND(B3059&gt;=25, B3059&lt;=34), "25-34",
  AND(B3059&gt;=35, B3059&lt;=44), "35-44",
  AND(B3059&gt;=45, B3059&lt;=54), "45-54",
  B3059&gt;=55, "55+"
)</f>
        <v>55+</v>
      </c>
      <c r="D3059" t="s">
        <v>153</v>
      </c>
      <c r="E3059" t="s">
        <v>133</v>
      </c>
      <c r="F3059" t="s">
        <v>69</v>
      </c>
      <c r="G3059">
        <v>22</v>
      </c>
      <c r="H3059" t="s">
        <v>98</v>
      </c>
      <c r="I3059" t="s">
        <v>45</v>
      </c>
      <c r="J3059" t="s">
        <v>138</v>
      </c>
      <c r="K3059" t="s">
        <v>39</v>
      </c>
      <c r="L3059">
        <v>3.4</v>
      </c>
      <c r="M3059" t="s">
        <v>152</v>
      </c>
      <c r="N3059" t="s">
        <v>46</v>
      </c>
      <c r="O3059" t="s">
        <v>47</v>
      </c>
      <c r="P3059" t="s">
        <v>152</v>
      </c>
      <c r="Q3059" t="s">
        <v>152</v>
      </c>
      <c r="R3059">
        <v>26</v>
      </c>
      <c r="S3059" t="s">
        <v>34</v>
      </c>
      <c r="T3059" t="str">
        <f t="shared" si="94"/>
        <v>Daily</v>
      </c>
      <c r="U3059">
        <f>VLOOKUP(T3059,[1]tablescore!$B$3:$C$8, 2,FALSE)</f>
        <v>30</v>
      </c>
      <c r="V3059" t="str">
        <f t="shared" si="95"/>
        <v>Highly Loyal</v>
      </c>
      <c r="W3059" t="s">
        <v>41</v>
      </c>
    </row>
    <row r="3060" spans="1:23" x14ac:dyDescent="0.25">
      <c r="A3060">
        <v>3059</v>
      </c>
      <c r="B3060">
        <v>41</v>
      </c>
      <c r="C3060" t="str" cm="1">
        <f t="array" ref="C3060">_xlfn.IFS(
  AND(B3060&gt;=18, B3060&lt;=24), "18-24",
  AND(B3060&gt;=25, B3060&lt;=34), "25-34",
  AND(B3060&gt;=35, B3060&lt;=44), "35-44",
  AND(B3060&gt;=45, B3060&lt;=54), "45-54",
  B3060&gt;=55, "55+"
)</f>
        <v>35-44</v>
      </c>
      <c r="D3060" t="s">
        <v>153</v>
      </c>
      <c r="E3060" t="s">
        <v>68</v>
      </c>
      <c r="F3060" t="s">
        <v>69</v>
      </c>
      <c r="G3060">
        <v>74</v>
      </c>
      <c r="H3060" t="s">
        <v>66</v>
      </c>
      <c r="I3060" t="s">
        <v>38</v>
      </c>
      <c r="J3060" t="s">
        <v>121</v>
      </c>
      <c r="K3060" t="s">
        <v>25</v>
      </c>
      <c r="L3060">
        <v>3.8</v>
      </c>
      <c r="M3060" t="s">
        <v>152</v>
      </c>
      <c r="N3060" t="s">
        <v>29</v>
      </c>
      <c r="O3060" t="s">
        <v>76</v>
      </c>
      <c r="P3060" t="s">
        <v>152</v>
      </c>
      <c r="Q3060" t="s">
        <v>152</v>
      </c>
      <c r="R3060">
        <v>3</v>
      </c>
      <c r="S3060" t="s">
        <v>34</v>
      </c>
      <c r="T3060" t="str">
        <f t="shared" si="94"/>
        <v>2-week</v>
      </c>
      <c r="U3060">
        <f>VLOOKUP(T3060,[1]tablescore!$B$3:$C$8, 2,FALSE)</f>
        <v>26</v>
      </c>
      <c r="V3060" t="str">
        <f t="shared" si="95"/>
        <v>Loyal</v>
      </c>
      <c r="W3060" t="s">
        <v>30</v>
      </c>
    </row>
    <row r="3061" spans="1:23" x14ac:dyDescent="0.25">
      <c r="A3061">
        <v>3060</v>
      </c>
      <c r="B3061">
        <v>46</v>
      </c>
      <c r="C3061" t="str" cm="1">
        <f t="array" ref="C3061">_xlfn.IFS(
  AND(B3061&gt;=18, B3061&lt;=24), "18-24",
  AND(B3061&gt;=25, B3061&lt;=34), "25-34",
  AND(B3061&gt;=35, B3061&lt;=44), "35-44",
  AND(B3061&gt;=45, B3061&lt;=54), "45-54",
  B3061&gt;=55, "55+"
)</f>
        <v>45-54</v>
      </c>
      <c r="D3061" t="s">
        <v>153</v>
      </c>
      <c r="E3061" t="s">
        <v>31</v>
      </c>
      <c r="F3061" t="s">
        <v>21</v>
      </c>
      <c r="G3061">
        <v>71</v>
      </c>
      <c r="H3061" t="s">
        <v>22</v>
      </c>
      <c r="I3061" t="s">
        <v>23</v>
      </c>
      <c r="J3061" t="s">
        <v>33</v>
      </c>
      <c r="K3061" t="s">
        <v>39</v>
      </c>
      <c r="L3061">
        <v>3.2</v>
      </c>
      <c r="M3061" t="s">
        <v>152</v>
      </c>
      <c r="N3061" t="s">
        <v>46</v>
      </c>
      <c r="O3061" t="s">
        <v>28</v>
      </c>
      <c r="P3061" t="s">
        <v>152</v>
      </c>
      <c r="Q3061" t="s">
        <v>152</v>
      </c>
      <c r="R3061">
        <v>42</v>
      </c>
      <c r="S3061" t="s">
        <v>27</v>
      </c>
      <c r="T3061" t="str">
        <f t="shared" si="94"/>
        <v>Quarterly</v>
      </c>
      <c r="U3061">
        <f>VLOOKUP(T3061,[1]tablescore!$B$3:$C$8, 2,FALSE)</f>
        <v>4</v>
      </c>
      <c r="V3061" t="str">
        <f t="shared" si="95"/>
        <v>Low Loyalty</v>
      </c>
      <c r="W3061" t="s">
        <v>60</v>
      </c>
    </row>
    <row r="3062" spans="1:23" x14ac:dyDescent="0.25">
      <c r="A3062">
        <v>3061</v>
      </c>
      <c r="B3062">
        <v>47</v>
      </c>
      <c r="C3062" t="str" cm="1">
        <f t="array" ref="C3062">_xlfn.IFS(
  AND(B3062&gt;=18, B3062&lt;=24), "18-24",
  AND(B3062&gt;=25, B3062&lt;=34), "25-34",
  AND(B3062&gt;=35, B3062&lt;=44), "35-44",
  AND(B3062&gt;=45, B3062&lt;=54), "45-54",
  B3062&gt;=55, "55+"
)</f>
        <v>45-54</v>
      </c>
      <c r="D3062" t="s">
        <v>153</v>
      </c>
      <c r="E3062" t="s">
        <v>64</v>
      </c>
      <c r="F3062" t="s">
        <v>65</v>
      </c>
      <c r="G3062">
        <v>80</v>
      </c>
      <c r="H3062" t="s">
        <v>99</v>
      </c>
      <c r="I3062" t="s">
        <v>38</v>
      </c>
      <c r="J3062" t="s">
        <v>63</v>
      </c>
      <c r="K3062" t="s">
        <v>54</v>
      </c>
      <c r="L3062">
        <v>4.7</v>
      </c>
      <c r="M3062" t="s">
        <v>152</v>
      </c>
      <c r="N3062" t="s">
        <v>27</v>
      </c>
      <c r="O3062" t="s">
        <v>76</v>
      </c>
      <c r="P3062" t="s">
        <v>152</v>
      </c>
      <c r="Q3062" t="s">
        <v>152</v>
      </c>
      <c r="R3062">
        <v>1</v>
      </c>
      <c r="S3062" t="s">
        <v>29</v>
      </c>
      <c r="T3062" t="str">
        <f t="shared" si="94"/>
        <v>Month</v>
      </c>
      <c r="U3062">
        <f>VLOOKUP(T3062,[1]tablescore!$B$3:$C$8, 2,FALSE)</f>
        <v>12</v>
      </c>
      <c r="V3062" t="str">
        <f t="shared" si="95"/>
        <v>Moderate</v>
      </c>
      <c r="W3062" t="s">
        <v>88</v>
      </c>
    </row>
    <row r="3063" spans="1:23" x14ac:dyDescent="0.25">
      <c r="A3063">
        <v>3062</v>
      </c>
      <c r="B3063">
        <v>33</v>
      </c>
      <c r="C3063" t="str" cm="1">
        <f t="array" ref="C3063">_xlfn.IFS(
  AND(B3063&gt;=18, B3063&lt;=24), "18-24",
  AND(B3063&gt;=25, B3063&lt;=34), "25-34",
  AND(B3063&gt;=35, B3063&lt;=44), "35-44",
  AND(B3063&gt;=45, B3063&lt;=54), "45-54",
  B3063&gt;=55, "55+"
)</f>
        <v>25-34</v>
      </c>
      <c r="D3063" t="s">
        <v>153</v>
      </c>
      <c r="E3063" t="s">
        <v>113</v>
      </c>
      <c r="F3063" t="s">
        <v>21</v>
      </c>
      <c r="G3063">
        <v>59</v>
      </c>
      <c r="H3063" t="s">
        <v>130</v>
      </c>
      <c r="I3063" t="s">
        <v>23</v>
      </c>
      <c r="J3063" t="s">
        <v>79</v>
      </c>
      <c r="K3063" t="s">
        <v>58</v>
      </c>
      <c r="L3063">
        <v>4.5</v>
      </c>
      <c r="M3063" t="s">
        <v>152</v>
      </c>
      <c r="N3063" t="s">
        <v>59</v>
      </c>
      <c r="O3063" t="s">
        <v>28</v>
      </c>
      <c r="P3063" t="s">
        <v>152</v>
      </c>
      <c r="Q3063" t="s">
        <v>152</v>
      </c>
      <c r="R3063">
        <v>20</v>
      </c>
      <c r="S3063" t="s">
        <v>46</v>
      </c>
      <c r="T3063" t="str">
        <f t="shared" si="94"/>
        <v>Quarterly</v>
      </c>
      <c r="U3063">
        <f>VLOOKUP(T3063,[1]tablescore!$B$3:$C$8, 2,FALSE)</f>
        <v>4</v>
      </c>
      <c r="V3063" t="str">
        <f t="shared" si="95"/>
        <v>Low Loyalty</v>
      </c>
      <c r="W3063" t="s">
        <v>97</v>
      </c>
    </row>
    <row r="3064" spans="1:23" x14ac:dyDescent="0.25">
      <c r="A3064">
        <v>3063</v>
      </c>
      <c r="B3064">
        <v>51</v>
      </c>
      <c r="C3064" t="str" cm="1">
        <f t="array" ref="C3064">_xlfn.IFS(
  AND(B3064&gt;=18, B3064&lt;=24), "18-24",
  AND(B3064&gt;=25, B3064&lt;=34), "25-34",
  AND(B3064&gt;=35, B3064&lt;=44), "35-44",
  AND(B3064&gt;=45, B3064&lt;=54), "45-54",
  B3064&gt;=55, "55+"
)</f>
        <v>45-54</v>
      </c>
      <c r="D3064" t="s">
        <v>153</v>
      </c>
      <c r="E3064" t="s">
        <v>133</v>
      </c>
      <c r="F3064" t="s">
        <v>69</v>
      </c>
      <c r="G3064">
        <v>96</v>
      </c>
      <c r="H3064" t="s">
        <v>99</v>
      </c>
      <c r="I3064" t="s">
        <v>23</v>
      </c>
      <c r="J3064" t="s">
        <v>96</v>
      </c>
      <c r="K3064" t="s">
        <v>58</v>
      </c>
      <c r="L3064">
        <v>3.3</v>
      </c>
      <c r="M3064" t="s">
        <v>152</v>
      </c>
      <c r="N3064" t="s">
        <v>34</v>
      </c>
      <c r="O3064" t="s">
        <v>55</v>
      </c>
      <c r="P3064" t="s">
        <v>152</v>
      </c>
      <c r="Q3064" t="s">
        <v>152</v>
      </c>
      <c r="R3064">
        <v>39</v>
      </c>
      <c r="S3064" t="s">
        <v>46</v>
      </c>
      <c r="T3064" t="str">
        <f t="shared" si="94"/>
        <v>Month</v>
      </c>
      <c r="U3064">
        <f>VLOOKUP(T3064,[1]tablescore!$B$3:$C$8, 2,FALSE)</f>
        <v>12</v>
      </c>
      <c r="V3064" t="str">
        <f t="shared" si="95"/>
        <v>Moderate</v>
      </c>
      <c r="W3064" t="s">
        <v>88</v>
      </c>
    </row>
    <row r="3065" spans="1:23" x14ac:dyDescent="0.25">
      <c r="A3065">
        <v>3064</v>
      </c>
      <c r="B3065">
        <v>26</v>
      </c>
      <c r="C3065" t="str" cm="1">
        <f t="array" ref="C3065">_xlfn.IFS(
  AND(B3065&gt;=18, B3065&lt;=24), "18-24",
  AND(B3065&gt;=25, B3065&lt;=34), "25-34",
  AND(B3065&gt;=35, B3065&lt;=44), "35-44",
  AND(B3065&gt;=45, B3065&lt;=54), "45-54",
  B3065&gt;=55, "55+"
)</f>
        <v>25-34</v>
      </c>
      <c r="D3065" t="s">
        <v>153</v>
      </c>
      <c r="E3065" t="s">
        <v>89</v>
      </c>
      <c r="F3065" t="s">
        <v>69</v>
      </c>
      <c r="G3065">
        <v>43</v>
      </c>
      <c r="H3065" t="s">
        <v>146</v>
      </c>
      <c r="I3065" t="s">
        <v>23</v>
      </c>
      <c r="J3065" t="s">
        <v>110</v>
      </c>
      <c r="K3065" t="s">
        <v>25</v>
      </c>
      <c r="L3065">
        <v>3.9</v>
      </c>
      <c r="M3065" t="s">
        <v>152</v>
      </c>
      <c r="N3065" t="s">
        <v>59</v>
      </c>
      <c r="O3065" t="s">
        <v>76</v>
      </c>
      <c r="P3065" t="s">
        <v>152</v>
      </c>
      <c r="Q3065" t="s">
        <v>152</v>
      </c>
      <c r="R3065">
        <v>24</v>
      </c>
      <c r="S3065" t="s">
        <v>27</v>
      </c>
      <c r="T3065" t="str">
        <f t="shared" si="94"/>
        <v>2-week</v>
      </c>
      <c r="U3065">
        <f>VLOOKUP(T3065,[1]tablescore!$B$3:$C$8, 2,FALSE)</f>
        <v>26</v>
      </c>
      <c r="V3065" t="str">
        <f t="shared" si="95"/>
        <v>Loyal</v>
      </c>
      <c r="W3065" t="s">
        <v>30</v>
      </c>
    </row>
    <row r="3066" spans="1:23" x14ac:dyDescent="0.25">
      <c r="A3066">
        <v>3065</v>
      </c>
      <c r="B3066">
        <v>22</v>
      </c>
      <c r="C3066" t="str" cm="1">
        <f t="array" ref="C3066">_xlfn.IFS(
  AND(B3066&gt;=18, B3066&lt;=24), "18-24",
  AND(B3066&gt;=25, B3066&lt;=34), "25-34",
  AND(B3066&gt;=35, B3066&lt;=44), "35-44",
  AND(B3066&gt;=45, B3066&lt;=54), "45-54",
  B3066&gt;=55, "55+"
)</f>
        <v>18-24</v>
      </c>
      <c r="D3066" t="s">
        <v>153</v>
      </c>
      <c r="E3066" t="s">
        <v>136</v>
      </c>
      <c r="F3066" t="s">
        <v>69</v>
      </c>
      <c r="G3066">
        <v>76</v>
      </c>
      <c r="H3066" t="s">
        <v>144</v>
      </c>
      <c r="I3066" t="s">
        <v>38</v>
      </c>
      <c r="J3066" t="s">
        <v>109</v>
      </c>
      <c r="K3066" t="s">
        <v>25</v>
      </c>
      <c r="L3066">
        <v>3.6</v>
      </c>
      <c r="M3066" t="s">
        <v>152</v>
      </c>
      <c r="N3066" t="s">
        <v>59</v>
      </c>
      <c r="O3066" t="s">
        <v>28</v>
      </c>
      <c r="P3066" t="s">
        <v>152</v>
      </c>
      <c r="Q3066" t="s">
        <v>152</v>
      </c>
      <c r="R3066">
        <v>49</v>
      </c>
      <c r="S3066" t="s">
        <v>34</v>
      </c>
      <c r="T3066" t="str">
        <f t="shared" si="94"/>
        <v>Quarterly</v>
      </c>
      <c r="U3066">
        <f>VLOOKUP(T3066,[1]tablescore!$B$3:$C$8, 2,FALSE)</f>
        <v>4</v>
      </c>
      <c r="V3066" t="str">
        <f t="shared" si="95"/>
        <v>Low Loyalty</v>
      </c>
      <c r="W3066" t="s">
        <v>60</v>
      </c>
    </row>
    <row r="3067" spans="1:23" x14ac:dyDescent="0.25">
      <c r="A3067">
        <v>3066</v>
      </c>
      <c r="B3067">
        <v>49</v>
      </c>
      <c r="C3067" t="str" cm="1">
        <f t="array" ref="C3067">_xlfn.IFS(
  AND(B3067&gt;=18, B3067&lt;=24), "18-24",
  AND(B3067&gt;=25, B3067&lt;=34), "25-34",
  AND(B3067&gt;=35, B3067&lt;=44), "35-44",
  AND(B3067&gt;=45, B3067&lt;=54), "45-54",
  B3067&gt;=55, "55+"
)</f>
        <v>45-54</v>
      </c>
      <c r="D3067" t="s">
        <v>153</v>
      </c>
      <c r="E3067" t="s">
        <v>102</v>
      </c>
      <c r="F3067" t="s">
        <v>65</v>
      </c>
      <c r="G3067">
        <v>59</v>
      </c>
      <c r="H3067" t="s">
        <v>114</v>
      </c>
      <c r="I3067" t="s">
        <v>45</v>
      </c>
      <c r="J3067" t="s">
        <v>118</v>
      </c>
      <c r="K3067" t="s">
        <v>58</v>
      </c>
      <c r="L3067">
        <v>2.8</v>
      </c>
      <c r="M3067" t="s">
        <v>152</v>
      </c>
      <c r="N3067" t="s">
        <v>59</v>
      </c>
      <c r="O3067" t="s">
        <v>76</v>
      </c>
      <c r="P3067" t="s">
        <v>152</v>
      </c>
      <c r="Q3067" t="s">
        <v>152</v>
      </c>
      <c r="R3067">
        <v>7</v>
      </c>
      <c r="S3067" t="s">
        <v>29</v>
      </c>
      <c r="T3067" t="str">
        <f t="shared" si="94"/>
        <v>2-week</v>
      </c>
      <c r="U3067">
        <f>VLOOKUP(T3067,[1]tablescore!$B$3:$C$8, 2,FALSE)</f>
        <v>26</v>
      </c>
      <c r="V3067" t="str">
        <f t="shared" si="95"/>
        <v>Loyal</v>
      </c>
      <c r="W3067" t="s">
        <v>77</v>
      </c>
    </row>
    <row r="3068" spans="1:23" x14ac:dyDescent="0.25">
      <c r="A3068">
        <v>3067</v>
      </c>
      <c r="B3068">
        <v>58</v>
      </c>
      <c r="C3068" t="str" cm="1">
        <f t="array" ref="C3068">_xlfn.IFS(
  AND(B3068&gt;=18, B3068&lt;=24), "18-24",
  AND(B3068&gt;=25, B3068&lt;=34), "25-34",
  AND(B3068&gt;=35, B3068&lt;=44), "35-44",
  AND(B3068&gt;=45, B3068&lt;=54), "45-54",
  B3068&gt;=55, "55+"
)</f>
        <v>55+</v>
      </c>
      <c r="D3068" t="s">
        <v>153</v>
      </c>
      <c r="E3068" t="s">
        <v>87</v>
      </c>
      <c r="F3068" t="s">
        <v>21</v>
      </c>
      <c r="G3068">
        <v>48</v>
      </c>
      <c r="H3068" t="s">
        <v>151</v>
      </c>
      <c r="I3068" t="s">
        <v>23</v>
      </c>
      <c r="J3068" t="s">
        <v>86</v>
      </c>
      <c r="K3068" t="s">
        <v>54</v>
      </c>
      <c r="L3068">
        <v>4.3</v>
      </c>
      <c r="M3068" t="s">
        <v>152</v>
      </c>
      <c r="N3068" t="s">
        <v>35</v>
      </c>
      <c r="O3068" t="s">
        <v>40</v>
      </c>
      <c r="P3068" t="s">
        <v>152</v>
      </c>
      <c r="Q3068" t="s">
        <v>152</v>
      </c>
      <c r="R3068">
        <v>13</v>
      </c>
      <c r="S3068" t="s">
        <v>29</v>
      </c>
      <c r="T3068" t="str">
        <f t="shared" si="94"/>
        <v>Quarterly</v>
      </c>
      <c r="U3068">
        <f>VLOOKUP(T3068,[1]tablescore!$B$3:$C$8, 2,FALSE)</f>
        <v>4</v>
      </c>
      <c r="V3068" t="str">
        <f t="shared" si="95"/>
        <v>Low Loyalty</v>
      </c>
      <c r="W3068" t="s">
        <v>97</v>
      </c>
    </row>
    <row r="3069" spans="1:23" x14ac:dyDescent="0.25">
      <c r="A3069">
        <v>3068</v>
      </c>
      <c r="B3069">
        <v>70</v>
      </c>
      <c r="C3069" t="str" cm="1">
        <f t="array" ref="C3069">_xlfn.IFS(
  AND(B3069&gt;=18, B3069&lt;=24), "18-24",
  AND(B3069&gt;=25, B3069&lt;=34), "25-34",
  AND(B3069&gt;=35, B3069&lt;=44), "35-44",
  AND(B3069&gt;=45, B3069&lt;=54), "45-54",
  B3069&gt;=55, "55+"
)</f>
        <v>55+</v>
      </c>
      <c r="D3069" t="s">
        <v>153</v>
      </c>
      <c r="E3069" t="s">
        <v>136</v>
      </c>
      <c r="F3069" t="s">
        <v>69</v>
      </c>
      <c r="G3069">
        <v>22</v>
      </c>
      <c r="H3069" t="s">
        <v>70</v>
      </c>
      <c r="I3069" t="s">
        <v>38</v>
      </c>
      <c r="J3069" t="s">
        <v>24</v>
      </c>
      <c r="K3069" t="s">
        <v>39</v>
      </c>
      <c r="L3069">
        <v>3.5</v>
      </c>
      <c r="M3069" t="s">
        <v>152</v>
      </c>
      <c r="N3069" t="s">
        <v>34</v>
      </c>
      <c r="O3069" t="s">
        <v>40</v>
      </c>
      <c r="P3069" t="s">
        <v>152</v>
      </c>
      <c r="Q3069" t="s">
        <v>152</v>
      </c>
      <c r="R3069">
        <v>2</v>
      </c>
      <c r="S3069" t="s">
        <v>35</v>
      </c>
      <c r="T3069" t="str">
        <f t="shared" si="94"/>
        <v>Daily</v>
      </c>
      <c r="U3069">
        <f>VLOOKUP(T3069,[1]tablescore!$B$3:$C$8, 2,FALSE)</f>
        <v>30</v>
      </c>
      <c r="V3069" t="str">
        <f t="shared" si="95"/>
        <v>Highly Loyal</v>
      </c>
      <c r="W3069" t="s">
        <v>41</v>
      </c>
    </row>
    <row r="3070" spans="1:23" x14ac:dyDescent="0.25">
      <c r="A3070">
        <v>3069</v>
      </c>
      <c r="B3070">
        <v>32</v>
      </c>
      <c r="C3070" t="str" cm="1">
        <f t="array" ref="C3070">_xlfn.IFS(
  AND(B3070&gt;=18, B3070&lt;=24), "18-24",
  AND(B3070&gt;=25, B3070&lt;=34), "25-34",
  AND(B3070&gt;=35, B3070&lt;=44), "35-44",
  AND(B3070&gt;=45, B3070&lt;=54), "45-54",
  B3070&gt;=55, "55+"
)</f>
        <v>25-34</v>
      </c>
      <c r="D3070" t="s">
        <v>153</v>
      </c>
      <c r="E3070" t="s">
        <v>132</v>
      </c>
      <c r="F3070" t="s">
        <v>43</v>
      </c>
      <c r="G3070">
        <v>40</v>
      </c>
      <c r="H3070" t="s">
        <v>99</v>
      </c>
      <c r="I3070" t="s">
        <v>45</v>
      </c>
      <c r="J3070" t="s">
        <v>129</v>
      </c>
      <c r="K3070" t="s">
        <v>25</v>
      </c>
      <c r="L3070">
        <v>4.2</v>
      </c>
      <c r="M3070" t="s">
        <v>152</v>
      </c>
      <c r="N3070" t="s">
        <v>34</v>
      </c>
      <c r="O3070" t="s">
        <v>28</v>
      </c>
      <c r="P3070" t="s">
        <v>152</v>
      </c>
      <c r="Q3070" t="s">
        <v>152</v>
      </c>
      <c r="R3070">
        <v>4</v>
      </c>
      <c r="S3070" t="s">
        <v>59</v>
      </c>
      <c r="T3070" t="str">
        <f t="shared" si="94"/>
        <v>Daily</v>
      </c>
      <c r="U3070">
        <f>VLOOKUP(T3070,[1]tablescore!$B$3:$C$8, 2,FALSE)</f>
        <v>30</v>
      </c>
      <c r="V3070" t="str">
        <f t="shared" si="95"/>
        <v>Highly Loyal</v>
      </c>
      <c r="W3070" t="s">
        <v>41</v>
      </c>
    </row>
    <row r="3071" spans="1:23" x14ac:dyDescent="0.25">
      <c r="A3071">
        <v>3070</v>
      </c>
      <c r="B3071">
        <v>62</v>
      </c>
      <c r="C3071" t="str" cm="1">
        <f t="array" ref="C3071">_xlfn.IFS(
  AND(B3071&gt;=18, B3071&lt;=24), "18-24",
  AND(B3071&gt;=25, B3071&lt;=34), "25-34",
  AND(B3071&gt;=35, B3071&lt;=44), "35-44",
  AND(B3071&gt;=45, B3071&lt;=54), "45-54",
  B3071&gt;=55, "55+"
)</f>
        <v>55+</v>
      </c>
      <c r="D3071" t="s">
        <v>153</v>
      </c>
      <c r="E3071" t="s">
        <v>36</v>
      </c>
      <c r="F3071" t="s">
        <v>21</v>
      </c>
      <c r="G3071">
        <v>73</v>
      </c>
      <c r="H3071" t="s">
        <v>80</v>
      </c>
      <c r="I3071" t="s">
        <v>23</v>
      </c>
      <c r="J3071" t="s">
        <v>147</v>
      </c>
      <c r="K3071" t="s">
        <v>39</v>
      </c>
      <c r="L3071">
        <v>4.5999999999999996</v>
      </c>
      <c r="M3071" t="s">
        <v>152</v>
      </c>
      <c r="N3071" t="s">
        <v>29</v>
      </c>
      <c r="O3071" t="s">
        <v>28</v>
      </c>
      <c r="P3071" t="s">
        <v>152</v>
      </c>
      <c r="Q3071" t="s">
        <v>152</v>
      </c>
      <c r="R3071">
        <v>17</v>
      </c>
      <c r="S3071" t="s">
        <v>59</v>
      </c>
      <c r="T3071" t="str">
        <f t="shared" si="94"/>
        <v>Quarterly</v>
      </c>
      <c r="U3071">
        <f>VLOOKUP(T3071,[1]tablescore!$B$3:$C$8, 2,FALSE)</f>
        <v>4</v>
      </c>
      <c r="V3071" t="str">
        <f t="shared" si="95"/>
        <v>Low Loyalty</v>
      </c>
      <c r="W3071" t="s">
        <v>60</v>
      </c>
    </row>
    <row r="3072" spans="1:23" x14ac:dyDescent="0.25">
      <c r="A3072">
        <v>3071</v>
      </c>
      <c r="B3072">
        <v>52</v>
      </c>
      <c r="C3072" t="str" cm="1">
        <f t="array" ref="C3072">_xlfn.IFS(
  AND(B3072&gt;=18, B3072&lt;=24), "18-24",
  AND(B3072&gt;=25, B3072&lt;=34), "25-34",
  AND(B3072&gt;=35, B3072&lt;=44), "35-44",
  AND(B3072&gt;=45, B3072&lt;=54), "45-54",
  B3072&gt;=55, "55+"
)</f>
        <v>45-54</v>
      </c>
      <c r="D3072" t="s">
        <v>153</v>
      </c>
      <c r="E3072" t="s">
        <v>73</v>
      </c>
      <c r="F3072" t="s">
        <v>43</v>
      </c>
      <c r="G3072">
        <v>26</v>
      </c>
      <c r="H3072" t="s">
        <v>90</v>
      </c>
      <c r="I3072" t="s">
        <v>92</v>
      </c>
      <c r="J3072" t="s">
        <v>108</v>
      </c>
      <c r="K3072" t="s">
        <v>58</v>
      </c>
      <c r="L3072">
        <v>2.6</v>
      </c>
      <c r="M3072" t="s">
        <v>152</v>
      </c>
      <c r="N3072" t="s">
        <v>59</v>
      </c>
      <c r="O3072" t="s">
        <v>40</v>
      </c>
      <c r="P3072" t="s">
        <v>152</v>
      </c>
      <c r="Q3072" t="s">
        <v>152</v>
      </c>
      <c r="R3072">
        <v>43</v>
      </c>
      <c r="S3072" t="s">
        <v>46</v>
      </c>
      <c r="T3072" t="str">
        <f t="shared" si="94"/>
        <v>2-week</v>
      </c>
      <c r="U3072">
        <f>VLOOKUP(T3072,[1]tablescore!$B$3:$C$8, 2,FALSE)</f>
        <v>26</v>
      </c>
      <c r="V3072" t="str">
        <f t="shared" si="95"/>
        <v>Loyal</v>
      </c>
      <c r="W3072" t="s">
        <v>77</v>
      </c>
    </row>
    <row r="3073" spans="1:23" x14ac:dyDescent="0.25">
      <c r="A3073">
        <v>3072</v>
      </c>
      <c r="B3073">
        <v>23</v>
      </c>
      <c r="C3073" t="str" cm="1">
        <f t="array" ref="C3073">_xlfn.IFS(
  AND(B3073&gt;=18, B3073&lt;=24), "18-24",
  AND(B3073&gt;=25, B3073&lt;=34), "25-34",
  AND(B3073&gt;=35, B3073&lt;=44), "35-44",
  AND(B3073&gt;=45, B3073&lt;=54), "45-54",
  B3073&gt;=55, "55+"
)</f>
        <v>18-24</v>
      </c>
      <c r="D3073" t="s">
        <v>153</v>
      </c>
      <c r="E3073" t="s">
        <v>31</v>
      </c>
      <c r="F3073" t="s">
        <v>21</v>
      </c>
      <c r="G3073">
        <v>41</v>
      </c>
      <c r="H3073" t="s">
        <v>83</v>
      </c>
      <c r="I3073" t="s">
        <v>23</v>
      </c>
      <c r="J3073" t="s">
        <v>49</v>
      </c>
      <c r="K3073" t="s">
        <v>39</v>
      </c>
      <c r="L3073">
        <v>3.4</v>
      </c>
      <c r="M3073" t="s">
        <v>152</v>
      </c>
      <c r="N3073" t="s">
        <v>59</v>
      </c>
      <c r="O3073" t="s">
        <v>47</v>
      </c>
      <c r="P3073" t="s">
        <v>152</v>
      </c>
      <c r="Q3073" t="s">
        <v>152</v>
      </c>
      <c r="R3073">
        <v>6</v>
      </c>
      <c r="S3073" t="s">
        <v>46</v>
      </c>
      <c r="T3073" t="str">
        <f t="shared" si="94"/>
        <v>Month</v>
      </c>
      <c r="U3073">
        <f>VLOOKUP(T3073,[1]tablescore!$B$3:$C$8, 2,FALSE)</f>
        <v>12</v>
      </c>
      <c r="V3073" t="str">
        <f t="shared" si="95"/>
        <v>Moderate</v>
      </c>
      <c r="W3073" t="s">
        <v>88</v>
      </c>
    </row>
    <row r="3074" spans="1:23" x14ac:dyDescent="0.25">
      <c r="A3074">
        <v>3073</v>
      </c>
      <c r="B3074">
        <v>26</v>
      </c>
      <c r="C3074" t="str" cm="1">
        <f t="array" ref="C3074">_xlfn.IFS(
  AND(B3074&gt;=18, B3074&lt;=24), "18-24",
  AND(B3074&gt;=25, B3074&lt;=34), "25-34",
  AND(B3074&gt;=35, B3074&lt;=44), "35-44",
  AND(B3074&gt;=45, B3074&lt;=54), "45-54",
  B3074&gt;=55, "55+"
)</f>
        <v>25-34</v>
      </c>
      <c r="D3074" t="s">
        <v>153</v>
      </c>
      <c r="E3074" t="s">
        <v>106</v>
      </c>
      <c r="F3074" t="s">
        <v>69</v>
      </c>
      <c r="G3074">
        <v>98</v>
      </c>
      <c r="H3074" t="s">
        <v>85</v>
      </c>
      <c r="I3074" t="s">
        <v>23</v>
      </c>
      <c r="J3074" t="s">
        <v>100</v>
      </c>
      <c r="K3074" t="s">
        <v>39</v>
      </c>
      <c r="L3074">
        <v>3.1</v>
      </c>
      <c r="M3074" t="s">
        <v>152</v>
      </c>
      <c r="N3074" t="s">
        <v>29</v>
      </c>
      <c r="O3074" t="s">
        <v>55</v>
      </c>
      <c r="P3074" t="s">
        <v>152</v>
      </c>
      <c r="Q3074" t="s">
        <v>152</v>
      </c>
      <c r="R3074">
        <v>46</v>
      </c>
      <c r="S3074" t="s">
        <v>46</v>
      </c>
      <c r="T3074" t="str">
        <f t="shared" si="94"/>
        <v>Quarterly</v>
      </c>
      <c r="U3074">
        <f>VLOOKUP(T3074,[1]tablescore!$B$3:$C$8, 2,FALSE)</f>
        <v>4</v>
      </c>
      <c r="V3074" t="str">
        <f t="shared" si="95"/>
        <v>Low Loyalty</v>
      </c>
      <c r="W3074" t="s">
        <v>60</v>
      </c>
    </row>
    <row r="3075" spans="1:23" x14ac:dyDescent="0.25">
      <c r="A3075">
        <v>3074</v>
      </c>
      <c r="B3075">
        <v>58</v>
      </c>
      <c r="C3075" t="str" cm="1">
        <f t="array" ref="C3075">_xlfn.IFS(
  AND(B3075&gt;=18, B3075&lt;=24), "18-24",
  AND(B3075&gt;=25, B3075&lt;=34), "25-34",
  AND(B3075&gt;=35, B3075&lt;=44), "35-44",
  AND(B3075&gt;=45, B3075&lt;=54), "45-54",
  B3075&gt;=55, "55+"
)</f>
        <v>55+</v>
      </c>
      <c r="D3075" t="s">
        <v>153</v>
      </c>
      <c r="E3075" t="s">
        <v>56</v>
      </c>
      <c r="F3075" t="s">
        <v>21</v>
      </c>
      <c r="G3075">
        <v>63</v>
      </c>
      <c r="H3075" t="s">
        <v>48</v>
      </c>
      <c r="I3075" t="s">
        <v>23</v>
      </c>
      <c r="J3075" t="s">
        <v>53</v>
      </c>
      <c r="K3075" t="s">
        <v>25</v>
      </c>
      <c r="L3075">
        <v>3.6</v>
      </c>
      <c r="M3075" t="s">
        <v>152</v>
      </c>
      <c r="N3075" t="s">
        <v>46</v>
      </c>
      <c r="O3075" t="s">
        <v>40</v>
      </c>
      <c r="P3075" t="s">
        <v>152</v>
      </c>
      <c r="Q3075" t="s">
        <v>152</v>
      </c>
      <c r="R3075">
        <v>7</v>
      </c>
      <c r="S3075" t="s">
        <v>59</v>
      </c>
      <c r="T3075" t="str">
        <f t="shared" ref="T3075:T3138" si="96">IF(TRIM(W3075)="Every 3 months","Quarterly",IF(TRIM(W3075)="Fortnightly","2-week",IF(TRIM(W3075)="Bi-Weekly","2-week",IF(TRIM(W3075)="Weekly","Daily",IF(TRIM(W3075)="Monthly","Month",TRIM(W3075))))))</f>
        <v>2-week</v>
      </c>
      <c r="U3075">
        <f>VLOOKUP(T3075,[1]tablescore!$B$3:$C$8, 2,FALSE)</f>
        <v>26</v>
      </c>
      <c r="V3075" t="str">
        <f t="shared" ref="V3075:V3138" si="97">_xlfn.IFS(U3075&gt;=30, "Highly Loyal", U3075&gt;=26, "Loyal", U3075&gt;=12, "Moderate", U3075&lt;5, "Low Loyalty")</f>
        <v>Loyal</v>
      </c>
      <c r="W3075" t="s">
        <v>77</v>
      </c>
    </row>
    <row r="3076" spans="1:23" x14ac:dyDescent="0.25">
      <c r="A3076">
        <v>3075</v>
      </c>
      <c r="B3076">
        <v>26</v>
      </c>
      <c r="C3076" t="str" cm="1">
        <f t="array" ref="C3076">_xlfn.IFS(
  AND(B3076&gt;=18, B3076&lt;=24), "18-24",
  AND(B3076&gt;=25, B3076&lt;=34), "25-34",
  AND(B3076&gt;=35, B3076&lt;=44), "35-44",
  AND(B3076&gt;=45, B3076&lt;=54), "45-54",
  B3076&gt;=55, "55+"
)</f>
        <v>25-34</v>
      </c>
      <c r="D3076" t="s">
        <v>153</v>
      </c>
      <c r="E3076" t="s">
        <v>132</v>
      </c>
      <c r="F3076" t="s">
        <v>43</v>
      </c>
      <c r="G3076">
        <v>55</v>
      </c>
      <c r="H3076" t="s">
        <v>37</v>
      </c>
      <c r="I3076" t="s">
        <v>23</v>
      </c>
      <c r="J3076" t="s">
        <v>33</v>
      </c>
      <c r="K3076" t="s">
        <v>25</v>
      </c>
      <c r="L3076">
        <v>4.2</v>
      </c>
      <c r="M3076" t="s">
        <v>152</v>
      </c>
      <c r="N3076" t="s">
        <v>34</v>
      </c>
      <c r="O3076" t="s">
        <v>47</v>
      </c>
      <c r="P3076" t="s">
        <v>152</v>
      </c>
      <c r="Q3076" t="s">
        <v>152</v>
      </c>
      <c r="R3076">
        <v>34</v>
      </c>
      <c r="S3076" t="s">
        <v>59</v>
      </c>
      <c r="T3076" t="str">
        <f t="shared" si="96"/>
        <v>2-week</v>
      </c>
      <c r="U3076">
        <f>VLOOKUP(T3076,[1]tablescore!$B$3:$C$8, 2,FALSE)</f>
        <v>26</v>
      </c>
      <c r="V3076" t="str">
        <f t="shared" si="97"/>
        <v>Loyal</v>
      </c>
      <c r="W3076" t="s">
        <v>30</v>
      </c>
    </row>
    <row r="3077" spans="1:23" x14ac:dyDescent="0.25">
      <c r="A3077">
        <v>3076</v>
      </c>
      <c r="B3077">
        <v>54</v>
      </c>
      <c r="C3077" t="str" cm="1">
        <f t="array" ref="C3077">_xlfn.IFS(
  AND(B3077&gt;=18, B3077&lt;=24), "18-24",
  AND(B3077&gt;=25, B3077&lt;=34), "25-34",
  AND(B3077&gt;=35, B3077&lt;=44), "35-44",
  AND(B3077&gt;=45, B3077&lt;=54), "45-54",
  B3077&gt;=55, "55+"
)</f>
        <v>45-54</v>
      </c>
      <c r="D3077" t="s">
        <v>153</v>
      </c>
      <c r="E3077" t="s">
        <v>61</v>
      </c>
      <c r="F3077" t="s">
        <v>21</v>
      </c>
      <c r="G3077">
        <v>90</v>
      </c>
      <c r="H3077" t="s">
        <v>149</v>
      </c>
      <c r="I3077" t="s">
        <v>92</v>
      </c>
      <c r="J3077" t="s">
        <v>118</v>
      </c>
      <c r="K3077" t="s">
        <v>25</v>
      </c>
      <c r="L3077">
        <v>3.6</v>
      </c>
      <c r="M3077" t="s">
        <v>152</v>
      </c>
      <c r="N3077" t="s">
        <v>27</v>
      </c>
      <c r="O3077" t="s">
        <v>55</v>
      </c>
      <c r="P3077" t="s">
        <v>152</v>
      </c>
      <c r="Q3077" t="s">
        <v>152</v>
      </c>
      <c r="R3077">
        <v>21</v>
      </c>
      <c r="S3077" t="s">
        <v>46</v>
      </c>
      <c r="T3077" t="str">
        <f t="shared" si="96"/>
        <v>Quarterly</v>
      </c>
      <c r="U3077">
        <f>VLOOKUP(T3077,[1]tablescore!$B$3:$C$8, 2,FALSE)</f>
        <v>4</v>
      </c>
      <c r="V3077" t="str">
        <f t="shared" si="97"/>
        <v>Low Loyalty</v>
      </c>
      <c r="W3077" t="s">
        <v>97</v>
      </c>
    </row>
    <row r="3078" spans="1:23" x14ac:dyDescent="0.25">
      <c r="A3078">
        <v>3077</v>
      </c>
      <c r="B3078">
        <v>66</v>
      </c>
      <c r="C3078" t="str" cm="1">
        <f t="array" ref="C3078">_xlfn.IFS(
  AND(B3078&gt;=18, B3078&lt;=24), "18-24",
  AND(B3078&gt;=25, B3078&lt;=34), "25-34",
  AND(B3078&gt;=35, B3078&lt;=44), "35-44",
  AND(B3078&gt;=45, B3078&lt;=54), "45-54",
  B3078&gt;=55, "55+"
)</f>
        <v>55+</v>
      </c>
      <c r="D3078" t="s">
        <v>153</v>
      </c>
      <c r="E3078" t="s">
        <v>68</v>
      </c>
      <c r="F3078" t="s">
        <v>69</v>
      </c>
      <c r="G3078">
        <v>46</v>
      </c>
      <c r="H3078" t="s">
        <v>83</v>
      </c>
      <c r="I3078" t="s">
        <v>45</v>
      </c>
      <c r="J3078" t="s">
        <v>138</v>
      </c>
      <c r="K3078" t="s">
        <v>54</v>
      </c>
      <c r="L3078">
        <v>3.6</v>
      </c>
      <c r="M3078" t="s">
        <v>152</v>
      </c>
      <c r="N3078" t="s">
        <v>27</v>
      </c>
      <c r="O3078" t="s">
        <v>28</v>
      </c>
      <c r="P3078" t="s">
        <v>152</v>
      </c>
      <c r="Q3078" t="s">
        <v>152</v>
      </c>
      <c r="R3078">
        <v>13</v>
      </c>
      <c r="S3078" t="s">
        <v>29</v>
      </c>
      <c r="T3078" t="str">
        <f t="shared" si="96"/>
        <v>2-week</v>
      </c>
      <c r="U3078">
        <f>VLOOKUP(T3078,[1]tablescore!$B$3:$C$8, 2,FALSE)</f>
        <v>26</v>
      </c>
      <c r="V3078" t="str">
        <f t="shared" si="97"/>
        <v>Loyal</v>
      </c>
      <c r="W3078" t="s">
        <v>77</v>
      </c>
    </row>
    <row r="3079" spans="1:23" x14ac:dyDescent="0.25">
      <c r="A3079">
        <v>3078</v>
      </c>
      <c r="B3079">
        <v>60</v>
      </c>
      <c r="C3079" t="str" cm="1">
        <f t="array" ref="C3079">_xlfn.IFS(
  AND(B3079&gt;=18, B3079&lt;=24), "18-24",
  AND(B3079&gt;=25, B3079&lt;=34), "25-34",
  AND(B3079&gt;=35, B3079&lt;=44), "35-44",
  AND(B3079&gt;=45, B3079&lt;=54), "45-54",
  B3079&gt;=55, "55+"
)</f>
        <v>55+</v>
      </c>
      <c r="D3079" t="s">
        <v>153</v>
      </c>
      <c r="E3079" t="s">
        <v>31</v>
      </c>
      <c r="F3079" t="s">
        <v>21</v>
      </c>
      <c r="G3079">
        <v>88</v>
      </c>
      <c r="H3079" t="s">
        <v>115</v>
      </c>
      <c r="I3079" t="s">
        <v>38</v>
      </c>
      <c r="J3079" t="s">
        <v>108</v>
      </c>
      <c r="K3079" t="s">
        <v>39</v>
      </c>
      <c r="L3079">
        <v>3</v>
      </c>
      <c r="M3079" t="s">
        <v>152</v>
      </c>
      <c r="N3079" t="s">
        <v>29</v>
      </c>
      <c r="O3079" t="s">
        <v>76</v>
      </c>
      <c r="P3079" t="s">
        <v>152</v>
      </c>
      <c r="Q3079" t="s">
        <v>152</v>
      </c>
      <c r="R3079">
        <v>33</v>
      </c>
      <c r="S3079" t="s">
        <v>59</v>
      </c>
      <c r="T3079" t="str">
        <f t="shared" si="96"/>
        <v>2-week</v>
      </c>
      <c r="U3079">
        <f>VLOOKUP(T3079,[1]tablescore!$B$3:$C$8, 2,FALSE)</f>
        <v>26</v>
      </c>
      <c r="V3079" t="str">
        <f t="shared" si="97"/>
        <v>Loyal</v>
      </c>
      <c r="W3079" t="s">
        <v>77</v>
      </c>
    </row>
    <row r="3080" spans="1:23" x14ac:dyDescent="0.25">
      <c r="A3080">
        <v>3079</v>
      </c>
      <c r="B3080">
        <v>32</v>
      </c>
      <c r="C3080" t="str" cm="1">
        <f t="array" ref="C3080">_xlfn.IFS(
  AND(B3080&gt;=18, B3080&lt;=24), "18-24",
  AND(B3080&gt;=25, B3080&lt;=34), "25-34",
  AND(B3080&gt;=35, B3080&lt;=44), "35-44",
  AND(B3080&gt;=45, B3080&lt;=54), "45-54",
  B3080&gt;=55, "55+"
)</f>
        <v>25-34</v>
      </c>
      <c r="D3080" t="s">
        <v>153</v>
      </c>
      <c r="E3080" t="s">
        <v>136</v>
      </c>
      <c r="F3080" t="s">
        <v>69</v>
      </c>
      <c r="G3080">
        <v>95</v>
      </c>
      <c r="H3080" t="s">
        <v>120</v>
      </c>
      <c r="I3080" t="s">
        <v>45</v>
      </c>
      <c r="J3080" t="s">
        <v>138</v>
      </c>
      <c r="K3080" t="s">
        <v>39</v>
      </c>
      <c r="L3080">
        <v>2.5</v>
      </c>
      <c r="M3080" t="s">
        <v>152</v>
      </c>
      <c r="N3080" t="s">
        <v>34</v>
      </c>
      <c r="O3080" t="s">
        <v>72</v>
      </c>
      <c r="P3080" t="s">
        <v>152</v>
      </c>
      <c r="Q3080" t="s">
        <v>152</v>
      </c>
      <c r="R3080">
        <v>24</v>
      </c>
      <c r="S3080" t="s">
        <v>34</v>
      </c>
      <c r="T3080" t="str">
        <f t="shared" si="96"/>
        <v>2-week</v>
      </c>
      <c r="U3080">
        <f>VLOOKUP(T3080,[1]tablescore!$B$3:$C$8, 2,FALSE)</f>
        <v>26</v>
      </c>
      <c r="V3080" t="str">
        <f t="shared" si="97"/>
        <v>Loyal</v>
      </c>
      <c r="W3080" t="s">
        <v>77</v>
      </c>
    </row>
    <row r="3081" spans="1:23" x14ac:dyDescent="0.25">
      <c r="A3081">
        <v>3080</v>
      </c>
      <c r="B3081">
        <v>48</v>
      </c>
      <c r="C3081" t="str" cm="1">
        <f t="array" ref="C3081">_xlfn.IFS(
  AND(B3081&gt;=18, B3081&lt;=24), "18-24",
  AND(B3081&gt;=25, B3081&lt;=34), "25-34",
  AND(B3081&gt;=35, B3081&lt;=44), "35-44",
  AND(B3081&gt;=45, B3081&lt;=54), "45-54",
  B3081&gt;=55, "55+"
)</f>
        <v>45-54</v>
      </c>
      <c r="D3081" t="s">
        <v>153</v>
      </c>
      <c r="E3081" t="s">
        <v>136</v>
      </c>
      <c r="F3081" t="s">
        <v>69</v>
      </c>
      <c r="G3081">
        <v>31</v>
      </c>
      <c r="H3081" t="s">
        <v>52</v>
      </c>
      <c r="I3081" t="s">
        <v>45</v>
      </c>
      <c r="J3081" t="s">
        <v>33</v>
      </c>
      <c r="K3081" t="s">
        <v>58</v>
      </c>
      <c r="L3081">
        <v>4</v>
      </c>
      <c r="M3081" t="s">
        <v>152</v>
      </c>
      <c r="N3081" t="s">
        <v>27</v>
      </c>
      <c r="O3081" t="s">
        <v>76</v>
      </c>
      <c r="P3081" t="s">
        <v>152</v>
      </c>
      <c r="Q3081" t="s">
        <v>152</v>
      </c>
      <c r="R3081">
        <v>4</v>
      </c>
      <c r="S3081" t="s">
        <v>34</v>
      </c>
      <c r="T3081" t="str">
        <f t="shared" si="96"/>
        <v>Annually</v>
      </c>
      <c r="U3081">
        <f>VLOOKUP(T3081,[1]tablescore!$B$3:$C$8, 2,FALSE)</f>
        <v>1</v>
      </c>
      <c r="V3081" t="str">
        <f t="shared" si="97"/>
        <v>Low Loyalty</v>
      </c>
      <c r="W3081" t="s">
        <v>50</v>
      </c>
    </row>
    <row r="3082" spans="1:23" x14ac:dyDescent="0.25">
      <c r="A3082">
        <v>3081</v>
      </c>
      <c r="B3082">
        <v>69</v>
      </c>
      <c r="C3082" t="str" cm="1">
        <f t="array" ref="C3082">_xlfn.IFS(
  AND(B3082&gt;=18, B3082&lt;=24), "18-24",
  AND(B3082&gt;=25, B3082&lt;=34), "25-34",
  AND(B3082&gt;=35, B3082&lt;=44), "35-44",
  AND(B3082&gt;=45, B3082&lt;=54), "45-54",
  B3082&gt;=55, "55+"
)</f>
        <v>55+</v>
      </c>
      <c r="D3082" t="s">
        <v>153</v>
      </c>
      <c r="E3082" t="s">
        <v>104</v>
      </c>
      <c r="F3082" t="s">
        <v>21</v>
      </c>
      <c r="G3082">
        <v>42</v>
      </c>
      <c r="H3082" t="s">
        <v>112</v>
      </c>
      <c r="I3082" t="s">
        <v>23</v>
      </c>
      <c r="J3082" t="s">
        <v>139</v>
      </c>
      <c r="K3082" t="s">
        <v>39</v>
      </c>
      <c r="L3082">
        <v>4.0999999999999996</v>
      </c>
      <c r="M3082" t="s">
        <v>152</v>
      </c>
      <c r="N3082" t="s">
        <v>46</v>
      </c>
      <c r="O3082" t="s">
        <v>47</v>
      </c>
      <c r="P3082" t="s">
        <v>152</v>
      </c>
      <c r="Q3082" t="s">
        <v>152</v>
      </c>
      <c r="R3082">
        <v>5</v>
      </c>
      <c r="S3082" t="s">
        <v>35</v>
      </c>
      <c r="T3082" t="str">
        <f t="shared" si="96"/>
        <v>2-week</v>
      </c>
      <c r="U3082">
        <f>VLOOKUP(T3082,[1]tablescore!$B$3:$C$8, 2,FALSE)</f>
        <v>26</v>
      </c>
      <c r="V3082" t="str">
        <f t="shared" si="97"/>
        <v>Loyal</v>
      </c>
      <c r="W3082" t="s">
        <v>77</v>
      </c>
    </row>
    <row r="3083" spans="1:23" x14ac:dyDescent="0.25">
      <c r="A3083">
        <v>3082</v>
      </c>
      <c r="B3083">
        <v>64</v>
      </c>
      <c r="C3083" t="str" cm="1">
        <f t="array" ref="C3083">_xlfn.IFS(
  AND(B3083&gt;=18, B3083&lt;=24), "18-24",
  AND(B3083&gt;=25, B3083&lt;=34), "25-34",
  AND(B3083&gt;=35, B3083&lt;=44), "35-44",
  AND(B3083&gt;=45, B3083&lt;=54), "45-54",
  B3083&gt;=55, "55+"
)</f>
        <v>55+</v>
      </c>
      <c r="D3083" t="s">
        <v>153</v>
      </c>
      <c r="E3083" t="s">
        <v>51</v>
      </c>
      <c r="F3083" t="s">
        <v>43</v>
      </c>
      <c r="G3083">
        <v>44</v>
      </c>
      <c r="H3083" t="s">
        <v>145</v>
      </c>
      <c r="I3083" t="s">
        <v>23</v>
      </c>
      <c r="J3083" t="s">
        <v>71</v>
      </c>
      <c r="K3083" t="s">
        <v>25</v>
      </c>
      <c r="L3083">
        <v>4.9000000000000004</v>
      </c>
      <c r="M3083" t="s">
        <v>152</v>
      </c>
      <c r="N3083" t="s">
        <v>59</v>
      </c>
      <c r="O3083" t="s">
        <v>47</v>
      </c>
      <c r="P3083" t="s">
        <v>152</v>
      </c>
      <c r="Q3083" t="s">
        <v>152</v>
      </c>
      <c r="R3083">
        <v>11</v>
      </c>
      <c r="S3083" t="s">
        <v>27</v>
      </c>
      <c r="T3083" t="str">
        <f t="shared" si="96"/>
        <v>Daily</v>
      </c>
      <c r="U3083">
        <f>VLOOKUP(T3083,[1]tablescore!$B$3:$C$8, 2,FALSE)</f>
        <v>30</v>
      </c>
      <c r="V3083" t="str">
        <f t="shared" si="97"/>
        <v>Highly Loyal</v>
      </c>
      <c r="W3083" t="s">
        <v>41</v>
      </c>
    </row>
    <row r="3084" spans="1:23" x14ac:dyDescent="0.25">
      <c r="A3084">
        <v>3083</v>
      </c>
      <c r="B3084">
        <v>56</v>
      </c>
      <c r="C3084" t="str" cm="1">
        <f t="array" ref="C3084">_xlfn.IFS(
  AND(B3084&gt;=18, B3084&lt;=24), "18-24",
  AND(B3084&gt;=25, B3084&lt;=34), "25-34",
  AND(B3084&gt;=35, B3084&lt;=44), "35-44",
  AND(B3084&gt;=45, B3084&lt;=54), "45-54",
  B3084&gt;=55, "55+"
)</f>
        <v>55+</v>
      </c>
      <c r="D3084" t="s">
        <v>153</v>
      </c>
      <c r="E3084" t="s">
        <v>113</v>
      </c>
      <c r="F3084" t="s">
        <v>21</v>
      </c>
      <c r="G3084">
        <v>99</v>
      </c>
      <c r="H3084" t="s">
        <v>149</v>
      </c>
      <c r="I3084" t="s">
        <v>45</v>
      </c>
      <c r="J3084" t="s">
        <v>33</v>
      </c>
      <c r="K3084" t="s">
        <v>39</v>
      </c>
      <c r="L3084">
        <v>4</v>
      </c>
      <c r="M3084" t="s">
        <v>152</v>
      </c>
      <c r="N3084" t="s">
        <v>29</v>
      </c>
      <c r="O3084" t="s">
        <v>47</v>
      </c>
      <c r="P3084" t="s">
        <v>152</v>
      </c>
      <c r="Q3084" t="s">
        <v>152</v>
      </c>
      <c r="R3084">
        <v>20</v>
      </c>
      <c r="S3084" t="s">
        <v>34</v>
      </c>
      <c r="T3084" t="str">
        <f t="shared" si="96"/>
        <v>Annually</v>
      </c>
      <c r="U3084">
        <f>VLOOKUP(T3084,[1]tablescore!$B$3:$C$8, 2,FALSE)</f>
        <v>1</v>
      </c>
      <c r="V3084" t="str">
        <f t="shared" si="97"/>
        <v>Low Loyalty</v>
      </c>
      <c r="W3084" t="s">
        <v>50</v>
      </c>
    </row>
    <row r="3085" spans="1:23" x14ac:dyDescent="0.25">
      <c r="A3085">
        <v>3084</v>
      </c>
      <c r="B3085">
        <v>22</v>
      </c>
      <c r="C3085" t="str" cm="1">
        <f t="array" ref="C3085">_xlfn.IFS(
  AND(B3085&gt;=18, B3085&lt;=24), "18-24",
  AND(B3085&gt;=25, B3085&lt;=34), "25-34",
  AND(B3085&gt;=35, B3085&lt;=44), "35-44",
  AND(B3085&gt;=45, B3085&lt;=54), "45-54",
  B3085&gt;=55, "55+"
)</f>
        <v>18-24</v>
      </c>
      <c r="D3085" t="s">
        <v>153</v>
      </c>
      <c r="E3085" t="s">
        <v>95</v>
      </c>
      <c r="F3085" t="s">
        <v>21</v>
      </c>
      <c r="G3085">
        <v>20</v>
      </c>
      <c r="H3085" t="s">
        <v>115</v>
      </c>
      <c r="I3085" t="s">
        <v>38</v>
      </c>
      <c r="J3085" t="s">
        <v>75</v>
      </c>
      <c r="K3085" t="s">
        <v>54</v>
      </c>
      <c r="L3085">
        <v>3.5</v>
      </c>
      <c r="M3085" t="s">
        <v>152</v>
      </c>
      <c r="N3085" t="s">
        <v>29</v>
      </c>
      <c r="O3085" t="s">
        <v>76</v>
      </c>
      <c r="P3085" t="s">
        <v>152</v>
      </c>
      <c r="Q3085" t="s">
        <v>152</v>
      </c>
      <c r="R3085">
        <v>28</v>
      </c>
      <c r="S3085" t="s">
        <v>46</v>
      </c>
      <c r="T3085" t="str">
        <f t="shared" si="96"/>
        <v>Quarterly</v>
      </c>
      <c r="U3085">
        <f>VLOOKUP(T3085,[1]tablescore!$B$3:$C$8, 2,FALSE)</f>
        <v>4</v>
      </c>
      <c r="V3085" t="str">
        <f t="shared" si="97"/>
        <v>Low Loyalty</v>
      </c>
      <c r="W3085" t="s">
        <v>60</v>
      </c>
    </row>
    <row r="3086" spans="1:23" x14ac:dyDescent="0.25">
      <c r="A3086">
        <v>3085</v>
      </c>
      <c r="B3086">
        <v>46</v>
      </c>
      <c r="C3086" t="str" cm="1">
        <f t="array" ref="C3086">_xlfn.IFS(
  AND(B3086&gt;=18, B3086&lt;=24), "18-24",
  AND(B3086&gt;=25, B3086&lt;=34), "25-34",
  AND(B3086&gt;=35, B3086&lt;=44), "35-44",
  AND(B3086&gt;=45, B3086&lt;=54), "45-54",
  B3086&gt;=55, "55+"
)</f>
        <v>45-54</v>
      </c>
      <c r="D3086" t="s">
        <v>153</v>
      </c>
      <c r="E3086" t="s">
        <v>119</v>
      </c>
      <c r="F3086" t="s">
        <v>69</v>
      </c>
      <c r="G3086">
        <v>37</v>
      </c>
      <c r="H3086" t="s">
        <v>144</v>
      </c>
      <c r="I3086" t="s">
        <v>38</v>
      </c>
      <c r="J3086" t="s">
        <v>129</v>
      </c>
      <c r="K3086" t="s">
        <v>39</v>
      </c>
      <c r="L3086">
        <v>3.2</v>
      </c>
      <c r="M3086" t="s">
        <v>152</v>
      </c>
      <c r="N3086" t="s">
        <v>34</v>
      </c>
      <c r="O3086" t="s">
        <v>76</v>
      </c>
      <c r="P3086" t="s">
        <v>152</v>
      </c>
      <c r="Q3086" t="s">
        <v>152</v>
      </c>
      <c r="R3086">
        <v>43</v>
      </c>
      <c r="S3086" t="s">
        <v>46</v>
      </c>
      <c r="T3086" t="str">
        <f t="shared" si="96"/>
        <v>Month</v>
      </c>
      <c r="U3086">
        <f>VLOOKUP(T3086,[1]tablescore!$B$3:$C$8, 2,FALSE)</f>
        <v>12</v>
      </c>
      <c r="V3086" t="str">
        <f t="shared" si="97"/>
        <v>Moderate</v>
      </c>
      <c r="W3086" t="s">
        <v>88</v>
      </c>
    </row>
    <row r="3087" spans="1:23" x14ac:dyDescent="0.25">
      <c r="A3087">
        <v>3086</v>
      </c>
      <c r="B3087">
        <v>24</v>
      </c>
      <c r="C3087" t="str" cm="1">
        <f t="array" ref="C3087">_xlfn.IFS(
  AND(B3087&gt;=18, B3087&lt;=24), "18-24",
  AND(B3087&gt;=25, B3087&lt;=34), "25-34",
  AND(B3087&gt;=35, B3087&lt;=44), "35-44",
  AND(B3087&gt;=45, B3087&lt;=54), "45-54",
  B3087&gt;=55, "55+"
)</f>
        <v>18-24</v>
      </c>
      <c r="D3087" t="s">
        <v>153</v>
      </c>
      <c r="E3087" t="s">
        <v>31</v>
      </c>
      <c r="F3087" t="s">
        <v>21</v>
      </c>
      <c r="G3087">
        <v>50</v>
      </c>
      <c r="H3087" t="s">
        <v>107</v>
      </c>
      <c r="I3087" t="s">
        <v>23</v>
      </c>
      <c r="J3087" t="s">
        <v>24</v>
      </c>
      <c r="K3087" t="s">
        <v>25</v>
      </c>
      <c r="L3087">
        <v>2.8</v>
      </c>
      <c r="M3087" t="s">
        <v>152</v>
      </c>
      <c r="N3087" t="s">
        <v>27</v>
      </c>
      <c r="O3087" t="s">
        <v>76</v>
      </c>
      <c r="P3087" t="s">
        <v>152</v>
      </c>
      <c r="Q3087" t="s">
        <v>152</v>
      </c>
      <c r="R3087">
        <v>10</v>
      </c>
      <c r="S3087" t="s">
        <v>29</v>
      </c>
      <c r="T3087" t="str">
        <f t="shared" si="96"/>
        <v>Quarterly</v>
      </c>
      <c r="U3087">
        <f>VLOOKUP(T3087,[1]tablescore!$B$3:$C$8, 2,FALSE)</f>
        <v>4</v>
      </c>
      <c r="V3087" t="str">
        <f t="shared" si="97"/>
        <v>Low Loyalty</v>
      </c>
      <c r="W3087" t="s">
        <v>97</v>
      </c>
    </row>
    <row r="3088" spans="1:23" x14ac:dyDescent="0.25">
      <c r="A3088">
        <v>3087</v>
      </c>
      <c r="B3088">
        <v>47</v>
      </c>
      <c r="C3088" t="str" cm="1">
        <f t="array" ref="C3088">_xlfn.IFS(
  AND(B3088&gt;=18, B3088&lt;=24), "18-24",
  AND(B3088&gt;=25, B3088&lt;=34), "25-34",
  AND(B3088&gt;=35, B3088&lt;=44), "35-44",
  AND(B3088&gt;=45, B3088&lt;=54), "45-54",
  B3088&gt;=55, "55+"
)</f>
        <v>45-54</v>
      </c>
      <c r="D3088" t="s">
        <v>153</v>
      </c>
      <c r="E3088" t="s">
        <v>68</v>
      </c>
      <c r="F3088" t="s">
        <v>69</v>
      </c>
      <c r="G3088">
        <v>73</v>
      </c>
      <c r="H3088" t="s">
        <v>149</v>
      </c>
      <c r="I3088" t="s">
        <v>45</v>
      </c>
      <c r="J3088" t="s">
        <v>93</v>
      </c>
      <c r="K3088" t="s">
        <v>54</v>
      </c>
      <c r="L3088">
        <v>3.5</v>
      </c>
      <c r="M3088" t="s">
        <v>152</v>
      </c>
      <c r="N3088" t="s">
        <v>59</v>
      </c>
      <c r="O3088" t="s">
        <v>47</v>
      </c>
      <c r="P3088" t="s">
        <v>152</v>
      </c>
      <c r="Q3088" t="s">
        <v>152</v>
      </c>
      <c r="R3088">
        <v>26</v>
      </c>
      <c r="S3088" t="s">
        <v>29</v>
      </c>
      <c r="T3088" t="str">
        <f t="shared" si="96"/>
        <v>Quarterly</v>
      </c>
      <c r="U3088">
        <f>VLOOKUP(T3088,[1]tablescore!$B$3:$C$8, 2,FALSE)</f>
        <v>4</v>
      </c>
      <c r="V3088" t="str">
        <f t="shared" si="97"/>
        <v>Low Loyalty</v>
      </c>
      <c r="W3088" t="s">
        <v>97</v>
      </c>
    </row>
    <row r="3089" spans="1:23" x14ac:dyDescent="0.25">
      <c r="A3089">
        <v>3088</v>
      </c>
      <c r="B3089">
        <v>62</v>
      </c>
      <c r="C3089" t="str" cm="1">
        <f t="array" ref="C3089">_xlfn.IFS(
  AND(B3089&gt;=18, B3089&lt;=24), "18-24",
  AND(B3089&gt;=25, B3089&lt;=34), "25-34",
  AND(B3089&gt;=35, B3089&lt;=44), "35-44",
  AND(B3089&gt;=45, B3089&lt;=54), "45-54",
  B3089&gt;=55, "55+"
)</f>
        <v>55+</v>
      </c>
      <c r="D3089" t="s">
        <v>153</v>
      </c>
      <c r="E3089" t="s">
        <v>56</v>
      </c>
      <c r="F3089" t="s">
        <v>21</v>
      </c>
      <c r="G3089">
        <v>84</v>
      </c>
      <c r="H3089" t="s">
        <v>98</v>
      </c>
      <c r="I3089" t="s">
        <v>45</v>
      </c>
      <c r="J3089" t="s">
        <v>63</v>
      </c>
      <c r="K3089" t="s">
        <v>39</v>
      </c>
      <c r="L3089">
        <v>3.1</v>
      </c>
      <c r="M3089" t="s">
        <v>152</v>
      </c>
      <c r="N3089" t="s">
        <v>35</v>
      </c>
      <c r="O3089" t="s">
        <v>40</v>
      </c>
      <c r="P3089" t="s">
        <v>152</v>
      </c>
      <c r="Q3089" t="s">
        <v>152</v>
      </c>
      <c r="R3089">
        <v>29</v>
      </c>
      <c r="S3089" t="s">
        <v>34</v>
      </c>
      <c r="T3089" t="str">
        <f t="shared" si="96"/>
        <v>Month</v>
      </c>
      <c r="U3089">
        <f>VLOOKUP(T3089,[1]tablescore!$B$3:$C$8, 2,FALSE)</f>
        <v>12</v>
      </c>
      <c r="V3089" t="str">
        <f t="shared" si="97"/>
        <v>Moderate</v>
      </c>
      <c r="W3089" t="s">
        <v>88</v>
      </c>
    </row>
    <row r="3090" spans="1:23" x14ac:dyDescent="0.25">
      <c r="A3090">
        <v>3089</v>
      </c>
      <c r="B3090">
        <v>34</v>
      </c>
      <c r="C3090" t="str" cm="1">
        <f t="array" ref="C3090">_xlfn.IFS(
  AND(B3090&gt;=18, B3090&lt;=24), "18-24",
  AND(B3090&gt;=25, B3090&lt;=34), "25-34",
  AND(B3090&gt;=35, B3090&lt;=44), "35-44",
  AND(B3090&gt;=45, B3090&lt;=54), "45-54",
  B3090&gt;=55, "55+"
)</f>
        <v>25-34</v>
      </c>
      <c r="D3090" t="s">
        <v>153</v>
      </c>
      <c r="E3090" t="s">
        <v>82</v>
      </c>
      <c r="F3090" t="s">
        <v>21</v>
      </c>
      <c r="G3090">
        <v>64</v>
      </c>
      <c r="H3090" t="s">
        <v>74</v>
      </c>
      <c r="I3090" t="s">
        <v>45</v>
      </c>
      <c r="J3090" t="s">
        <v>86</v>
      </c>
      <c r="K3090" t="s">
        <v>39</v>
      </c>
      <c r="L3090">
        <v>3.3</v>
      </c>
      <c r="M3090" t="s">
        <v>152</v>
      </c>
      <c r="N3090" t="s">
        <v>46</v>
      </c>
      <c r="O3090" t="s">
        <v>76</v>
      </c>
      <c r="P3090" t="s">
        <v>152</v>
      </c>
      <c r="Q3090" t="s">
        <v>152</v>
      </c>
      <c r="R3090">
        <v>35</v>
      </c>
      <c r="S3090" t="s">
        <v>34</v>
      </c>
      <c r="T3090" t="str">
        <f t="shared" si="96"/>
        <v>Quarterly</v>
      </c>
      <c r="U3090">
        <f>VLOOKUP(T3090,[1]tablescore!$B$3:$C$8, 2,FALSE)</f>
        <v>4</v>
      </c>
      <c r="V3090" t="str">
        <f t="shared" si="97"/>
        <v>Low Loyalty</v>
      </c>
      <c r="W3090" t="s">
        <v>60</v>
      </c>
    </row>
    <row r="3091" spans="1:23" x14ac:dyDescent="0.25">
      <c r="A3091">
        <v>3090</v>
      </c>
      <c r="B3091">
        <v>50</v>
      </c>
      <c r="C3091" t="str" cm="1">
        <f t="array" ref="C3091">_xlfn.IFS(
  AND(B3091&gt;=18, B3091&lt;=24), "18-24",
  AND(B3091&gt;=25, B3091&lt;=34), "25-34",
  AND(B3091&gt;=35, B3091&lt;=44), "35-44",
  AND(B3091&gt;=45, B3091&lt;=54), "45-54",
  B3091&gt;=55, "55+"
)</f>
        <v>45-54</v>
      </c>
      <c r="D3091" t="s">
        <v>153</v>
      </c>
      <c r="E3091" t="s">
        <v>42</v>
      </c>
      <c r="F3091" t="s">
        <v>43</v>
      </c>
      <c r="G3091">
        <v>21</v>
      </c>
      <c r="H3091" t="s">
        <v>98</v>
      </c>
      <c r="I3091" t="s">
        <v>23</v>
      </c>
      <c r="J3091" t="s">
        <v>138</v>
      </c>
      <c r="K3091" t="s">
        <v>58</v>
      </c>
      <c r="L3091">
        <v>4.5999999999999996</v>
      </c>
      <c r="M3091" t="s">
        <v>152</v>
      </c>
      <c r="N3091" t="s">
        <v>59</v>
      </c>
      <c r="O3091" t="s">
        <v>40</v>
      </c>
      <c r="P3091" t="s">
        <v>152</v>
      </c>
      <c r="Q3091" t="s">
        <v>152</v>
      </c>
      <c r="R3091">
        <v>23</v>
      </c>
      <c r="S3091" t="s">
        <v>35</v>
      </c>
      <c r="T3091" t="str">
        <f t="shared" si="96"/>
        <v>2-week</v>
      </c>
      <c r="U3091">
        <f>VLOOKUP(T3091,[1]tablescore!$B$3:$C$8, 2,FALSE)</f>
        <v>26</v>
      </c>
      <c r="V3091" t="str">
        <f t="shared" si="97"/>
        <v>Loyal</v>
      </c>
      <c r="W3091" t="s">
        <v>77</v>
      </c>
    </row>
    <row r="3092" spans="1:23" x14ac:dyDescent="0.25">
      <c r="A3092">
        <v>3091</v>
      </c>
      <c r="B3092">
        <v>29</v>
      </c>
      <c r="C3092" t="str" cm="1">
        <f t="array" ref="C3092">_xlfn.IFS(
  AND(B3092&gt;=18, B3092&lt;=24), "18-24",
  AND(B3092&gt;=25, B3092&lt;=34), "25-34",
  AND(B3092&gt;=35, B3092&lt;=44), "35-44",
  AND(B3092&gt;=45, B3092&lt;=54), "45-54",
  B3092&gt;=55, "55+"
)</f>
        <v>25-34</v>
      </c>
      <c r="D3092" t="s">
        <v>153</v>
      </c>
      <c r="E3092" t="s">
        <v>56</v>
      </c>
      <c r="F3092" t="s">
        <v>21</v>
      </c>
      <c r="G3092">
        <v>36</v>
      </c>
      <c r="H3092" t="s">
        <v>105</v>
      </c>
      <c r="I3092" t="s">
        <v>45</v>
      </c>
      <c r="J3092" t="s">
        <v>100</v>
      </c>
      <c r="K3092" t="s">
        <v>54</v>
      </c>
      <c r="L3092">
        <v>4.9000000000000004</v>
      </c>
      <c r="M3092" t="s">
        <v>152</v>
      </c>
      <c r="N3092" t="s">
        <v>46</v>
      </c>
      <c r="O3092" t="s">
        <v>76</v>
      </c>
      <c r="P3092" t="s">
        <v>152</v>
      </c>
      <c r="Q3092" t="s">
        <v>152</v>
      </c>
      <c r="R3092">
        <v>15</v>
      </c>
      <c r="S3092" t="s">
        <v>34</v>
      </c>
      <c r="T3092" t="str">
        <f t="shared" si="96"/>
        <v>Quarterly</v>
      </c>
      <c r="U3092">
        <f>VLOOKUP(T3092,[1]tablescore!$B$3:$C$8, 2,FALSE)</f>
        <v>4</v>
      </c>
      <c r="V3092" t="str">
        <f t="shared" si="97"/>
        <v>Low Loyalty</v>
      </c>
      <c r="W3092" t="s">
        <v>60</v>
      </c>
    </row>
    <row r="3093" spans="1:23" x14ac:dyDescent="0.25">
      <c r="A3093">
        <v>3092</v>
      </c>
      <c r="B3093">
        <v>68</v>
      </c>
      <c r="C3093" t="str" cm="1">
        <f t="array" ref="C3093">_xlfn.IFS(
  AND(B3093&gt;=18, B3093&lt;=24), "18-24",
  AND(B3093&gt;=25, B3093&lt;=34), "25-34",
  AND(B3093&gt;=35, B3093&lt;=44), "35-44",
  AND(B3093&gt;=45, B3093&lt;=54), "45-54",
  B3093&gt;=55, "55+"
)</f>
        <v>55+</v>
      </c>
      <c r="D3093" t="s">
        <v>153</v>
      </c>
      <c r="E3093" t="s">
        <v>82</v>
      </c>
      <c r="F3093" t="s">
        <v>21</v>
      </c>
      <c r="G3093">
        <v>81</v>
      </c>
      <c r="H3093" t="s">
        <v>107</v>
      </c>
      <c r="I3093" t="s">
        <v>23</v>
      </c>
      <c r="J3093" t="s">
        <v>121</v>
      </c>
      <c r="K3093" t="s">
        <v>25</v>
      </c>
      <c r="L3093">
        <v>3.4</v>
      </c>
      <c r="M3093" t="s">
        <v>152</v>
      </c>
      <c r="N3093" t="s">
        <v>34</v>
      </c>
      <c r="O3093" t="s">
        <v>72</v>
      </c>
      <c r="P3093" t="s">
        <v>152</v>
      </c>
      <c r="Q3093" t="s">
        <v>152</v>
      </c>
      <c r="R3093">
        <v>46</v>
      </c>
      <c r="S3093" t="s">
        <v>27</v>
      </c>
      <c r="T3093" t="str">
        <f t="shared" si="96"/>
        <v>Annually</v>
      </c>
      <c r="U3093">
        <f>VLOOKUP(T3093,[1]tablescore!$B$3:$C$8, 2,FALSE)</f>
        <v>1</v>
      </c>
      <c r="V3093" t="str">
        <f t="shared" si="97"/>
        <v>Low Loyalty</v>
      </c>
      <c r="W3093" t="s">
        <v>50</v>
      </c>
    </row>
    <row r="3094" spans="1:23" x14ac:dyDescent="0.25">
      <c r="A3094">
        <v>3093</v>
      </c>
      <c r="B3094">
        <v>52</v>
      </c>
      <c r="C3094" t="str" cm="1">
        <f t="array" ref="C3094">_xlfn.IFS(
  AND(B3094&gt;=18, B3094&lt;=24), "18-24",
  AND(B3094&gt;=25, B3094&lt;=34), "25-34",
  AND(B3094&gt;=35, B3094&lt;=44), "35-44",
  AND(B3094&gt;=45, B3094&lt;=54), "45-54",
  B3094&gt;=55, "55+"
)</f>
        <v>45-54</v>
      </c>
      <c r="D3094" t="s">
        <v>153</v>
      </c>
      <c r="E3094" t="s">
        <v>89</v>
      </c>
      <c r="F3094" t="s">
        <v>69</v>
      </c>
      <c r="G3094">
        <v>54</v>
      </c>
      <c r="H3094" t="s">
        <v>149</v>
      </c>
      <c r="I3094" t="s">
        <v>23</v>
      </c>
      <c r="J3094" t="s">
        <v>67</v>
      </c>
      <c r="K3094" t="s">
        <v>58</v>
      </c>
      <c r="L3094">
        <v>3.5</v>
      </c>
      <c r="M3094" t="s">
        <v>152</v>
      </c>
      <c r="N3094" t="s">
        <v>35</v>
      </c>
      <c r="O3094" t="s">
        <v>47</v>
      </c>
      <c r="P3094" t="s">
        <v>152</v>
      </c>
      <c r="Q3094" t="s">
        <v>152</v>
      </c>
      <c r="R3094">
        <v>14</v>
      </c>
      <c r="S3094" t="s">
        <v>34</v>
      </c>
      <c r="T3094" t="str">
        <f t="shared" si="96"/>
        <v>2-week</v>
      </c>
      <c r="U3094">
        <f>VLOOKUP(T3094,[1]tablescore!$B$3:$C$8, 2,FALSE)</f>
        <v>26</v>
      </c>
      <c r="V3094" t="str">
        <f t="shared" si="97"/>
        <v>Loyal</v>
      </c>
      <c r="W3094" t="s">
        <v>77</v>
      </c>
    </row>
    <row r="3095" spans="1:23" x14ac:dyDescent="0.25">
      <c r="A3095">
        <v>3094</v>
      </c>
      <c r="B3095">
        <v>29</v>
      </c>
      <c r="C3095" t="str" cm="1">
        <f t="array" ref="C3095">_xlfn.IFS(
  AND(B3095&gt;=18, B3095&lt;=24), "18-24",
  AND(B3095&gt;=25, B3095&lt;=34), "25-34",
  AND(B3095&gt;=35, B3095&lt;=44), "35-44",
  AND(B3095&gt;=45, B3095&lt;=54), "45-54",
  B3095&gt;=55, "55+"
)</f>
        <v>25-34</v>
      </c>
      <c r="D3095" t="s">
        <v>153</v>
      </c>
      <c r="E3095" t="s">
        <v>131</v>
      </c>
      <c r="F3095" t="s">
        <v>21</v>
      </c>
      <c r="G3095">
        <v>63</v>
      </c>
      <c r="H3095" t="s">
        <v>141</v>
      </c>
      <c r="I3095" t="s">
        <v>23</v>
      </c>
      <c r="J3095" t="s">
        <v>108</v>
      </c>
      <c r="K3095" t="s">
        <v>54</v>
      </c>
      <c r="L3095">
        <v>4.8</v>
      </c>
      <c r="M3095" t="s">
        <v>152</v>
      </c>
      <c r="N3095" t="s">
        <v>34</v>
      </c>
      <c r="O3095" t="s">
        <v>76</v>
      </c>
      <c r="P3095" t="s">
        <v>152</v>
      </c>
      <c r="Q3095" t="s">
        <v>152</v>
      </c>
      <c r="R3095">
        <v>17</v>
      </c>
      <c r="S3095" t="s">
        <v>35</v>
      </c>
      <c r="T3095" t="str">
        <f t="shared" si="96"/>
        <v>Quarterly</v>
      </c>
      <c r="U3095">
        <f>VLOOKUP(T3095,[1]tablescore!$B$3:$C$8, 2,FALSE)</f>
        <v>4</v>
      </c>
      <c r="V3095" t="str">
        <f t="shared" si="97"/>
        <v>Low Loyalty</v>
      </c>
      <c r="W3095" t="s">
        <v>97</v>
      </c>
    </row>
    <row r="3096" spans="1:23" x14ac:dyDescent="0.25">
      <c r="A3096">
        <v>3095</v>
      </c>
      <c r="B3096">
        <v>22</v>
      </c>
      <c r="C3096" t="str" cm="1">
        <f t="array" ref="C3096">_xlfn.IFS(
  AND(B3096&gt;=18, B3096&lt;=24), "18-24",
  AND(B3096&gt;=25, B3096&lt;=34), "25-34",
  AND(B3096&gt;=35, B3096&lt;=44), "35-44",
  AND(B3096&gt;=45, B3096&lt;=54), "45-54",
  B3096&gt;=55, "55+"
)</f>
        <v>18-24</v>
      </c>
      <c r="D3096" t="s">
        <v>153</v>
      </c>
      <c r="E3096" t="s">
        <v>42</v>
      </c>
      <c r="F3096" t="s">
        <v>43</v>
      </c>
      <c r="G3096">
        <v>59</v>
      </c>
      <c r="H3096" t="s">
        <v>142</v>
      </c>
      <c r="I3096" t="s">
        <v>45</v>
      </c>
      <c r="J3096" t="s">
        <v>24</v>
      </c>
      <c r="K3096" t="s">
        <v>54</v>
      </c>
      <c r="L3096">
        <v>2.7</v>
      </c>
      <c r="M3096" t="s">
        <v>152</v>
      </c>
      <c r="N3096" t="s">
        <v>34</v>
      </c>
      <c r="O3096" t="s">
        <v>76</v>
      </c>
      <c r="P3096" t="s">
        <v>152</v>
      </c>
      <c r="Q3096" t="s">
        <v>152</v>
      </c>
      <c r="R3096">
        <v>9</v>
      </c>
      <c r="S3096" t="s">
        <v>35</v>
      </c>
      <c r="T3096" t="str">
        <f t="shared" si="96"/>
        <v>Daily</v>
      </c>
      <c r="U3096">
        <f>VLOOKUP(T3096,[1]tablescore!$B$3:$C$8, 2,FALSE)</f>
        <v>30</v>
      </c>
      <c r="V3096" t="str">
        <f t="shared" si="97"/>
        <v>Highly Loyal</v>
      </c>
      <c r="W3096" t="s">
        <v>41</v>
      </c>
    </row>
    <row r="3097" spans="1:23" x14ac:dyDescent="0.25">
      <c r="A3097">
        <v>3096</v>
      </c>
      <c r="B3097">
        <v>62</v>
      </c>
      <c r="C3097" t="str" cm="1">
        <f t="array" ref="C3097">_xlfn.IFS(
  AND(B3097&gt;=18, B3097&lt;=24), "18-24",
  AND(B3097&gt;=25, B3097&lt;=34), "25-34",
  AND(B3097&gt;=35, B3097&lt;=44), "35-44",
  AND(B3097&gt;=45, B3097&lt;=54), "45-54",
  B3097&gt;=55, "55+"
)</f>
        <v>55+</v>
      </c>
      <c r="D3097" t="s">
        <v>153</v>
      </c>
      <c r="E3097" t="s">
        <v>125</v>
      </c>
      <c r="F3097" t="s">
        <v>69</v>
      </c>
      <c r="G3097">
        <v>53</v>
      </c>
      <c r="H3097" t="s">
        <v>134</v>
      </c>
      <c r="I3097" t="s">
        <v>38</v>
      </c>
      <c r="J3097" t="s">
        <v>118</v>
      </c>
      <c r="K3097" t="s">
        <v>58</v>
      </c>
      <c r="L3097">
        <v>3.4</v>
      </c>
      <c r="M3097" t="s">
        <v>152</v>
      </c>
      <c r="N3097" t="s">
        <v>35</v>
      </c>
      <c r="O3097" t="s">
        <v>55</v>
      </c>
      <c r="P3097" t="s">
        <v>152</v>
      </c>
      <c r="Q3097" t="s">
        <v>152</v>
      </c>
      <c r="R3097">
        <v>13</v>
      </c>
      <c r="S3097" t="s">
        <v>29</v>
      </c>
      <c r="T3097" t="str">
        <f t="shared" si="96"/>
        <v>2-week</v>
      </c>
      <c r="U3097">
        <f>VLOOKUP(T3097,[1]tablescore!$B$3:$C$8, 2,FALSE)</f>
        <v>26</v>
      </c>
      <c r="V3097" t="str">
        <f t="shared" si="97"/>
        <v>Loyal</v>
      </c>
      <c r="W3097" t="s">
        <v>30</v>
      </c>
    </row>
    <row r="3098" spans="1:23" x14ac:dyDescent="0.25">
      <c r="A3098">
        <v>3097</v>
      </c>
      <c r="B3098">
        <v>69</v>
      </c>
      <c r="C3098" t="str" cm="1">
        <f t="array" ref="C3098">_xlfn.IFS(
  AND(B3098&gt;=18, B3098&lt;=24), "18-24",
  AND(B3098&gt;=25, B3098&lt;=34), "25-34",
  AND(B3098&gt;=35, B3098&lt;=44), "35-44",
  AND(B3098&gt;=45, B3098&lt;=54), "45-54",
  B3098&gt;=55, "55+"
)</f>
        <v>55+</v>
      </c>
      <c r="D3098" t="s">
        <v>153</v>
      </c>
      <c r="E3098" t="s">
        <v>56</v>
      </c>
      <c r="F3098" t="s">
        <v>21</v>
      </c>
      <c r="G3098">
        <v>63</v>
      </c>
      <c r="H3098" t="s">
        <v>111</v>
      </c>
      <c r="I3098" t="s">
        <v>23</v>
      </c>
      <c r="J3098" t="s">
        <v>53</v>
      </c>
      <c r="K3098" t="s">
        <v>25</v>
      </c>
      <c r="L3098">
        <v>3.5</v>
      </c>
      <c r="M3098" t="s">
        <v>152</v>
      </c>
      <c r="N3098" t="s">
        <v>46</v>
      </c>
      <c r="O3098" t="s">
        <v>47</v>
      </c>
      <c r="P3098" t="s">
        <v>152</v>
      </c>
      <c r="Q3098" t="s">
        <v>152</v>
      </c>
      <c r="R3098">
        <v>20</v>
      </c>
      <c r="S3098" t="s">
        <v>34</v>
      </c>
      <c r="T3098" t="str">
        <f t="shared" si="96"/>
        <v>Month</v>
      </c>
      <c r="U3098">
        <f>VLOOKUP(T3098,[1]tablescore!$B$3:$C$8, 2,FALSE)</f>
        <v>12</v>
      </c>
      <c r="V3098" t="str">
        <f t="shared" si="97"/>
        <v>Moderate</v>
      </c>
      <c r="W3098" t="s">
        <v>88</v>
      </c>
    </row>
    <row r="3099" spans="1:23" x14ac:dyDescent="0.25">
      <c r="A3099">
        <v>3098</v>
      </c>
      <c r="B3099">
        <v>48</v>
      </c>
      <c r="C3099" t="str" cm="1">
        <f t="array" ref="C3099">_xlfn.IFS(
  AND(B3099&gt;=18, B3099&lt;=24), "18-24",
  AND(B3099&gt;=25, B3099&lt;=34), "25-34",
  AND(B3099&gt;=35, B3099&lt;=44), "35-44",
  AND(B3099&gt;=45, B3099&lt;=54), "45-54",
  B3099&gt;=55, "55+"
)</f>
        <v>45-54</v>
      </c>
      <c r="D3099" t="s">
        <v>153</v>
      </c>
      <c r="E3099" t="s">
        <v>73</v>
      </c>
      <c r="F3099" t="s">
        <v>43</v>
      </c>
      <c r="G3099">
        <v>33</v>
      </c>
      <c r="H3099" t="s">
        <v>80</v>
      </c>
      <c r="I3099" t="s">
        <v>45</v>
      </c>
      <c r="J3099" t="s">
        <v>67</v>
      </c>
      <c r="K3099" t="s">
        <v>58</v>
      </c>
      <c r="L3099">
        <v>3.7</v>
      </c>
      <c r="M3099" t="s">
        <v>152</v>
      </c>
      <c r="N3099" t="s">
        <v>59</v>
      </c>
      <c r="O3099" t="s">
        <v>40</v>
      </c>
      <c r="P3099" t="s">
        <v>152</v>
      </c>
      <c r="Q3099" t="s">
        <v>152</v>
      </c>
      <c r="R3099">
        <v>39</v>
      </c>
      <c r="S3099" t="s">
        <v>34</v>
      </c>
      <c r="T3099" t="str">
        <f t="shared" si="96"/>
        <v>Quarterly</v>
      </c>
      <c r="U3099">
        <f>VLOOKUP(T3099,[1]tablescore!$B$3:$C$8, 2,FALSE)</f>
        <v>4</v>
      </c>
      <c r="V3099" t="str">
        <f t="shared" si="97"/>
        <v>Low Loyalty</v>
      </c>
      <c r="W3099" t="s">
        <v>60</v>
      </c>
    </row>
    <row r="3100" spans="1:23" x14ac:dyDescent="0.25">
      <c r="A3100">
        <v>3099</v>
      </c>
      <c r="B3100">
        <v>66</v>
      </c>
      <c r="C3100" t="str" cm="1">
        <f t="array" ref="C3100">_xlfn.IFS(
  AND(B3100&gt;=18, B3100&lt;=24), "18-24",
  AND(B3100&gt;=25, B3100&lt;=34), "25-34",
  AND(B3100&gt;=35, B3100&lt;=44), "35-44",
  AND(B3100&gt;=45, B3100&lt;=54), "45-54",
  B3100&gt;=55, "55+"
)</f>
        <v>55+</v>
      </c>
      <c r="D3100" t="s">
        <v>153</v>
      </c>
      <c r="E3100" t="s">
        <v>95</v>
      </c>
      <c r="F3100" t="s">
        <v>21</v>
      </c>
      <c r="G3100">
        <v>64</v>
      </c>
      <c r="H3100" t="s">
        <v>123</v>
      </c>
      <c r="I3100" t="s">
        <v>23</v>
      </c>
      <c r="J3100" t="s">
        <v>109</v>
      </c>
      <c r="K3100" t="s">
        <v>54</v>
      </c>
      <c r="L3100">
        <v>3.3</v>
      </c>
      <c r="M3100" t="s">
        <v>152</v>
      </c>
      <c r="N3100" t="s">
        <v>34</v>
      </c>
      <c r="O3100" t="s">
        <v>47</v>
      </c>
      <c r="P3100" t="s">
        <v>152</v>
      </c>
      <c r="Q3100" t="s">
        <v>152</v>
      </c>
      <c r="R3100">
        <v>50</v>
      </c>
      <c r="S3100" t="s">
        <v>34</v>
      </c>
      <c r="T3100" t="str">
        <f t="shared" si="96"/>
        <v>Quarterly</v>
      </c>
      <c r="U3100">
        <f>VLOOKUP(T3100,[1]tablescore!$B$3:$C$8, 2,FALSE)</f>
        <v>4</v>
      </c>
      <c r="V3100" t="str">
        <f t="shared" si="97"/>
        <v>Low Loyalty</v>
      </c>
      <c r="W3100" t="s">
        <v>60</v>
      </c>
    </row>
    <row r="3101" spans="1:23" x14ac:dyDescent="0.25">
      <c r="A3101">
        <v>3100</v>
      </c>
      <c r="B3101">
        <v>42</v>
      </c>
      <c r="C3101" t="str" cm="1">
        <f t="array" ref="C3101">_xlfn.IFS(
  AND(B3101&gt;=18, B3101&lt;=24), "18-24",
  AND(B3101&gt;=25, B3101&lt;=34), "25-34",
  AND(B3101&gt;=35, B3101&lt;=44), "35-44",
  AND(B3101&gt;=45, B3101&lt;=54), "45-54",
  B3101&gt;=55, "55+"
)</f>
        <v>35-44</v>
      </c>
      <c r="D3101" t="s">
        <v>153</v>
      </c>
      <c r="E3101" t="s">
        <v>56</v>
      </c>
      <c r="F3101" t="s">
        <v>21</v>
      </c>
      <c r="G3101">
        <v>98</v>
      </c>
      <c r="H3101" t="s">
        <v>151</v>
      </c>
      <c r="I3101" t="s">
        <v>38</v>
      </c>
      <c r="J3101" t="s">
        <v>33</v>
      </c>
      <c r="K3101" t="s">
        <v>58</v>
      </c>
      <c r="L3101">
        <v>2.9</v>
      </c>
      <c r="M3101" t="s">
        <v>152</v>
      </c>
      <c r="N3101" t="s">
        <v>29</v>
      </c>
      <c r="O3101" t="s">
        <v>40</v>
      </c>
      <c r="P3101" t="s">
        <v>152</v>
      </c>
      <c r="Q3101" t="s">
        <v>152</v>
      </c>
      <c r="R3101">
        <v>21</v>
      </c>
      <c r="S3101" t="s">
        <v>34</v>
      </c>
      <c r="T3101" t="str">
        <f t="shared" si="96"/>
        <v>2-week</v>
      </c>
      <c r="U3101">
        <f>VLOOKUP(T3101,[1]tablescore!$B$3:$C$8, 2,FALSE)</f>
        <v>26</v>
      </c>
      <c r="V3101" t="str">
        <f t="shared" si="97"/>
        <v>Loyal</v>
      </c>
      <c r="W3101" t="s">
        <v>77</v>
      </c>
    </row>
    <row r="3102" spans="1:23" x14ac:dyDescent="0.25">
      <c r="A3102">
        <v>3101</v>
      </c>
      <c r="B3102">
        <v>50</v>
      </c>
      <c r="C3102" t="str" cm="1">
        <f t="array" ref="C3102">_xlfn.IFS(
  AND(B3102&gt;=18, B3102&lt;=24), "18-24",
  AND(B3102&gt;=25, B3102&lt;=34), "25-34",
  AND(B3102&gt;=35, B3102&lt;=44), "35-44",
  AND(B3102&gt;=45, B3102&lt;=54), "45-54",
  B3102&gt;=55, "55+"
)</f>
        <v>45-54</v>
      </c>
      <c r="D3102" t="s">
        <v>153</v>
      </c>
      <c r="E3102" t="s">
        <v>125</v>
      </c>
      <c r="F3102" t="s">
        <v>69</v>
      </c>
      <c r="G3102">
        <v>85</v>
      </c>
      <c r="H3102" t="s">
        <v>145</v>
      </c>
      <c r="I3102" t="s">
        <v>23</v>
      </c>
      <c r="J3102" t="s">
        <v>75</v>
      </c>
      <c r="K3102" t="s">
        <v>25</v>
      </c>
      <c r="L3102">
        <v>3.9</v>
      </c>
      <c r="M3102" t="s">
        <v>152</v>
      </c>
      <c r="N3102" t="s">
        <v>29</v>
      </c>
      <c r="O3102" t="s">
        <v>28</v>
      </c>
      <c r="P3102" t="s">
        <v>152</v>
      </c>
      <c r="Q3102" t="s">
        <v>152</v>
      </c>
      <c r="R3102">
        <v>3</v>
      </c>
      <c r="S3102" t="s">
        <v>34</v>
      </c>
      <c r="T3102" t="str">
        <f t="shared" si="96"/>
        <v>Daily</v>
      </c>
      <c r="U3102">
        <f>VLOOKUP(T3102,[1]tablescore!$B$3:$C$8, 2,FALSE)</f>
        <v>30</v>
      </c>
      <c r="V3102" t="str">
        <f t="shared" si="97"/>
        <v>Highly Loyal</v>
      </c>
      <c r="W3102" t="s">
        <v>41</v>
      </c>
    </row>
    <row r="3103" spans="1:23" x14ac:dyDescent="0.25">
      <c r="A3103">
        <v>3102</v>
      </c>
      <c r="B3103">
        <v>32</v>
      </c>
      <c r="C3103" t="str" cm="1">
        <f t="array" ref="C3103">_xlfn.IFS(
  AND(B3103&gt;=18, B3103&lt;=24), "18-24",
  AND(B3103&gt;=25, B3103&lt;=34), "25-34",
  AND(B3103&gt;=35, B3103&lt;=44), "35-44",
  AND(B3103&gt;=45, B3103&lt;=54), "45-54",
  B3103&gt;=55, "55+"
)</f>
        <v>25-34</v>
      </c>
      <c r="D3103" t="s">
        <v>153</v>
      </c>
      <c r="E3103" t="s">
        <v>106</v>
      </c>
      <c r="F3103" t="s">
        <v>69</v>
      </c>
      <c r="G3103">
        <v>82</v>
      </c>
      <c r="H3103" t="s">
        <v>144</v>
      </c>
      <c r="I3103" t="s">
        <v>38</v>
      </c>
      <c r="J3103" t="s">
        <v>110</v>
      </c>
      <c r="K3103" t="s">
        <v>54</v>
      </c>
      <c r="L3103">
        <v>2.7</v>
      </c>
      <c r="M3103" t="s">
        <v>152</v>
      </c>
      <c r="N3103" t="s">
        <v>46</v>
      </c>
      <c r="O3103" t="s">
        <v>28</v>
      </c>
      <c r="P3103" t="s">
        <v>152</v>
      </c>
      <c r="Q3103" t="s">
        <v>152</v>
      </c>
      <c r="R3103">
        <v>9</v>
      </c>
      <c r="S3103" t="s">
        <v>46</v>
      </c>
      <c r="T3103" t="str">
        <f t="shared" si="96"/>
        <v>2-week</v>
      </c>
      <c r="U3103">
        <f>VLOOKUP(T3103,[1]tablescore!$B$3:$C$8, 2,FALSE)</f>
        <v>26</v>
      </c>
      <c r="V3103" t="str">
        <f t="shared" si="97"/>
        <v>Loyal</v>
      </c>
      <c r="W3103" t="s">
        <v>30</v>
      </c>
    </row>
    <row r="3104" spans="1:23" x14ac:dyDescent="0.25">
      <c r="A3104">
        <v>3103</v>
      </c>
      <c r="B3104">
        <v>51</v>
      </c>
      <c r="C3104" t="str" cm="1">
        <f t="array" ref="C3104">_xlfn.IFS(
  AND(B3104&gt;=18, B3104&lt;=24), "18-24",
  AND(B3104&gt;=25, B3104&lt;=34), "25-34",
  AND(B3104&gt;=35, B3104&lt;=44), "35-44",
  AND(B3104&gt;=45, B3104&lt;=54), "45-54",
  B3104&gt;=55, "55+"
)</f>
        <v>45-54</v>
      </c>
      <c r="D3104" t="s">
        <v>153</v>
      </c>
      <c r="E3104" t="s">
        <v>102</v>
      </c>
      <c r="F3104" t="s">
        <v>65</v>
      </c>
      <c r="G3104">
        <v>85</v>
      </c>
      <c r="H3104" t="s">
        <v>130</v>
      </c>
      <c r="I3104" t="s">
        <v>45</v>
      </c>
      <c r="J3104" t="s">
        <v>96</v>
      </c>
      <c r="K3104" t="s">
        <v>54</v>
      </c>
      <c r="L3104">
        <v>4.3</v>
      </c>
      <c r="M3104" t="s">
        <v>152</v>
      </c>
      <c r="N3104" t="s">
        <v>34</v>
      </c>
      <c r="O3104" t="s">
        <v>55</v>
      </c>
      <c r="P3104" t="s">
        <v>152</v>
      </c>
      <c r="Q3104" t="s">
        <v>152</v>
      </c>
      <c r="R3104">
        <v>29</v>
      </c>
      <c r="S3104" t="s">
        <v>35</v>
      </c>
      <c r="T3104" t="str">
        <f t="shared" si="96"/>
        <v>2-week</v>
      </c>
      <c r="U3104">
        <f>VLOOKUP(T3104,[1]tablescore!$B$3:$C$8, 2,FALSE)</f>
        <v>26</v>
      </c>
      <c r="V3104" t="str">
        <f t="shared" si="97"/>
        <v>Loyal</v>
      </c>
      <c r="W3104" t="s">
        <v>77</v>
      </c>
    </row>
    <row r="3105" spans="1:23" x14ac:dyDescent="0.25">
      <c r="A3105">
        <v>3104</v>
      </c>
      <c r="B3105">
        <v>27</v>
      </c>
      <c r="C3105" t="str" cm="1">
        <f t="array" ref="C3105">_xlfn.IFS(
  AND(B3105&gt;=18, B3105&lt;=24), "18-24",
  AND(B3105&gt;=25, B3105&lt;=34), "25-34",
  AND(B3105&gt;=35, B3105&lt;=44), "35-44",
  AND(B3105&gt;=45, B3105&lt;=54), "45-54",
  B3105&gt;=55, "55+"
)</f>
        <v>25-34</v>
      </c>
      <c r="D3105" t="s">
        <v>153</v>
      </c>
      <c r="E3105" t="s">
        <v>56</v>
      </c>
      <c r="F3105" t="s">
        <v>21</v>
      </c>
      <c r="G3105">
        <v>37</v>
      </c>
      <c r="H3105" t="s">
        <v>115</v>
      </c>
      <c r="I3105" t="s">
        <v>38</v>
      </c>
      <c r="J3105" t="s">
        <v>100</v>
      </c>
      <c r="K3105" t="s">
        <v>25</v>
      </c>
      <c r="L3105">
        <v>3</v>
      </c>
      <c r="M3105" t="s">
        <v>152</v>
      </c>
      <c r="N3105" t="s">
        <v>46</v>
      </c>
      <c r="O3105" t="s">
        <v>72</v>
      </c>
      <c r="P3105" t="s">
        <v>152</v>
      </c>
      <c r="Q3105" t="s">
        <v>152</v>
      </c>
      <c r="R3105">
        <v>42</v>
      </c>
      <c r="S3105" t="s">
        <v>34</v>
      </c>
      <c r="T3105" t="str">
        <f t="shared" si="96"/>
        <v>Daily</v>
      </c>
      <c r="U3105">
        <f>VLOOKUP(T3105,[1]tablescore!$B$3:$C$8, 2,FALSE)</f>
        <v>30</v>
      </c>
      <c r="V3105" t="str">
        <f t="shared" si="97"/>
        <v>Highly Loyal</v>
      </c>
      <c r="W3105" t="s">
        <v>41</v>
      </c>
    </row>
    <row r="3106" spans="1:23" x14ac:dyDescent="0.25">
      <c r="A3106">
        <v>3105</v>
      </c>
      <c r="B3106">
        <v>43</v>
      </c>
      <c r="C3106" t="str" cm="1">
        <f t="array" ref="C3106">_xlfn.IFS(
  AND(B3106&gt;=18, B3106&lt;=24), "18-24",
  AND(B3106&gt;=25, B3106&lt;=34), "25-34",
  AND(B3106&gt;=35, B3106&lt;=44), "35-44",
  AND(B3106&gt;=45, B3106&lt;=54), "45-54",
  B3106&gt;=55, "55+"
)</f>
        <v>35-44</v>
      </c>
      <c r="D3106" t="s">
        <v>153</v>
      </c>
      <c r="E3106" t="s">
        <v>95</v>
      </c>
      <c r="F3106" t="s">
        <v>21</v>
      </c>
      <c r="G3106">
        <v>56</v>
      </c>
      <c r="H3106" t="s">
        <v>142</v>
      </c>
      <c r="I3106" t="s">
        <v>38</v>
      </c>
      <c r="J3106" t="s">
        <v>49</v>
      </c>
      <c r="K3106" t="s">
        <v>54</v>
      </c>
      <c r="L3106">
        <v>5</v>
      </c>
      <c r="M3106" t="s">
        <v>152</v>
      </c>
      <c r="N3106" t="s">
        <v>46</v>
      </c>
      <c r="O3106" t="s">
        <v>72</v>
      </c>
      <c r="P3106" t="s">
        <v>152</v>
      </c>
      <c r="Q3106" t="s">
        <v>152</v>
      </c>
      <c r="R3106">
        <v>41</v>
      </c>
      <c r="S3106" t="s">
        <v>59</v>
      </c>
      <c r="T3106" t="str">
        <f t="shared" si="96"/>
        <v>2-week</v>
      </c>
      <c r="U3106">
        <f>VLOOKUP(T3106,[1]tablescore!$B$3:$C$8, 2,FALSE)</f>
        <v>26</v>
      </c>
      <c r="V3106" t="str">
        <f t="shared" si="97"/>
        <v>Loyal</v>
      </c>
      <c r="W3106" t="s">
        <v>30</v>
      </c>
    </row>
    <row r="3107" spans="1:23" x14ac:dyDescent="0.25">
      <c r="A3107">
        <v>3106</v>
      </c>
      <c r="B3107">
        <v>48</v>
      </c>
      <c r="C3107" t="str" cm="1">
        <f t="array" ref="C3107">_xlfn.IFS(
  AND(B3107&gt;=18, B3107&lt;=24), "18-24",
  AND(B3107&gt;=25, B3107&lt;=34), "25-34",
  AND(B3107&gt;=35, B3107&lt;=44), "35-44",
  AND(B3107&gt;=45, B3107&lt;=54), "45-54",
  B3107&gt;=55, "55+"
)</f>
        <v>45-54</v>
      </c>
      <c r="D3107" t="s">
        <v>153</v>
      </c>
      <c r="E3107" t="s">
        <v>87</v>
      </c>
      <c r="F3107" t="s">
        <v>21</v>
      </c>
      <c r="G3107">
        <v>33</v>
      </c>
      <c r="H3107" t="s">
        <v>48</v>
      </c>
      <c r="I3107" t="s">
        <v>45</v>
      </c>
      <c r="J3107" t="s">
        <v>79</v>
      </c>
      <c r="K3107" t="s">
        <v>58</v>
      </c>
      <c r="L3107">
        <v>2.7</v>
      </c>
      <c r="M3107" t="s">
        <v>152</v>
      </c>
      <c r="N3107" t="s">
        <v>59</v>
      </c>
      <c r="O3107" t="s">
        <v>28</v>
      </c>
      <c r="P3107" t="s">
        <v>152</v>
      </c>
      <c r="Q3107" t="s">
        <v>152</v>
      </c>
      <c r="R3107">
        <v>17</v>
      </c>
      <c r="S3107" t="s">
        <v>59</v>
      </c>
      <c r="T3107" t="str">
        <f t="shared" si="96"/>
        <v>Month</v>
      </c>
      <c r="U3107">
        <f>VLOOKUP(T3107,[1]tablescore!$B$3:$C$8, 2,FALSE)</f>
        <v>12</v>
      </c>
      <c r="V3107" t="str">
        <f t="shared" si="97"/>
        <v>Moderate</v>
      </c>
      <c r="W3107" t="s">
        <v>88</v>
      </c>
    </row>
    <row r="3108" spans="1:23" x14ac:dyDescent="0.25">
      <c r="A3108">
        <v>3107</v>
      </c>
      <c r="B3108">
        <v>62</v>
      </c>
      <c r="C3108" t="str" cm="1">
        <f t="array" ref="C3108">_xlfn.IFS(
  AND(B3108&gt;=18, B3108&lt;=24), "18-24",
  AND(B3108&gt;=25, B3108&lt;=34), "25-34",
  AND(B3108&gt;=35, B3108&lt;=44), "35-44",
  AND(B3108&gt;=45, B3108&lt;=54), "45-54",
  B3108&gt;=55, "55+"
)</f>
        <v>55+</v>
      </c>
      <c r="D3108" t="s">
        <v>153</v>
      </c>
      <c r="E3108" t="s">
        <v>42</v>
      </c>
      <c r="F3108" t="s">
        <v>43</v>
      </c>
      <c r="G3108">
        <v>57</v>
      </c>
      <c r="H3108" t="s">
        <v>90</v>
      </c>
      <c r="I3108" t="s">
        <v>45</v>
      </c>
      <c r="J3108" t="s">
        <v>139</v>
      </c>
      <c r="K3108" t="s">
        <v>25</v>
      </c>
      <c r="L3108">
        <v>4.7</v>
      </c>
      <c r="M3108" t="s">
        <v>152</v>
      </c>
      <c r="N3108" t="s">
        <v>29</v>
      </c>
      <c r="O3108" t="s">
        <v>47</v>
      </c>
      <c r="P3108" t="s">
        <v>152</v>
      </c>
      <c r="Q3108" t="s">
        <v>152</v>
      </c>
      <c r="R3108">
        <v>20</v>
      </c>
      <c r="S3108" t="s">
        <v>46</v>
      </c>
      <c r="T3108" t="str">
        <f t="shared" si="96"/>
        <v>Annually</v>
      </c>
      <c r="U3108">
        <f>VLOOKUP(T3108,[1]tablescore!$B$3:$C$8, 2,FALSE)</f>
        <v>1</v>
      </c>
      <c r="V3108" t="str">
        <f t="shared" si="97"/>
        <v>Low Loyalty</v>
      </c>
      <c r="W3108" t="s">
        <v>50</v>
      </c>
    </row>
    <row r="3109" spans="1:23" x14ac:dyDescent="0.25">
      <c r="A3109">
        <v>3108</v>
      </c>
      <c r="B3109">
        <v>65</v>
      </c>
      <c r="C3109" t="str" cm="1">
        <f t="array" ref="C3109">_xlfn.IFS(
  AND(B3109&gt;=18, B3109&lt;=24), "18-24",
  AND(B3109&gt;=25, B3109&lt;=34), "25-34",
  AND(B3109&gt;=35, B3109&lt;=44), "35-44",
  AND(B3109&gt;=45, B3109&lt;=54), "45-54",
  B3109&gt;=55, "55+"
)</f>
        <v>55+</v>
      </c>
      <c r="D3109" t="s">
        <v>153</v>
      </c>
      <c r="E3109" t="s">
        <v>20</v>
      </c>
      <c r="F3109" t="s">
        <v>21</v>
      </c>
      <c r="G3109">
        <v>31</v>
      </c>
      <c r="H3109" t="s">
        <v>78</v>
      </c>
      <c r="I3109" t="s">
        <v>23</v>
      </c>
      <c r="J3109" t="s">
        <v>24</v>
      </c>
      <c r="K3109" t="s">
        <v>25</v>
      </c>
      <c r="L3109">
        <v>4.5999999999999996</v>
      </c>
      <c r="M3109" t="s">
        <v>152</v>
      </c>
      <c r="N3109" t="s">
        <v>59</v>
      </c>
      <c r="O3109" t="s">
        <v>55</v>
      </c>
      <c r="P3109" t="s">
        <v>152</v>
      </c>
      <c r="Q3109" t="s">
        <v>152</v>
      </c>
      <c r="R3109">
        <v>18</v>
      </c>
      <c r="S3109" t="s">
        <v>27</v>
      </c>
      <c r="T3109" t="str">
        <f t="shared" si="96"/>
        <v>2-week</v>
      </c>
      <c r="U3109">
        <f>VLOOKUP(T3109,[1]tablescore!$B$3:$C$8, 2,FALSE)</f>
        <v>26</v>
      </c>
      <c r="V3109" t="str">
        <f t="shared" si="97"/>
        <v>Loyal</v>
      </c>
      <c r="W3109" t="s">
        <v>77</v>
      </c>
    </row>
    <row r="3110" spans="1:23" x14ac:dyDescent="0.25">
      <c r="A3110">
        <v>3109</v>
      </c>
      <c r="B3110">
        <v>50</v>
      </c>
      <c r="C3110" t="str" cm="1">
        <f t="array" ref="C3110">_xlfn.IFS(
  AND(B3110&gt;=18, B3110&lt;=24), "18-24",
  AND(B3110&gt;=25, B3110&lt;=34), "25-34",
  AND(B3110&gt;=35, B3110&lt;=44), "35-44",
  AND(B3110&gt;=45, B3110&lt;=54), "45-54",
  B3110&gt;=55, "55+"
)</f>
        <v>45-54</v>
      </c>
      <c r="D3110" t="s">
        <v>153</v>
      </c>
      <c r="E3110" t="s">
        <v>131</v>
      </c>
      <c r="F3110" t="s">
        <v>21</v>
      </c>
      <c r="G3110">
        <v>69</v>
      </c>
      <c r="H3110" t="s">
        <v>48</v>
      </c>
      <c r="I3110" t="s">
        <v>45</v>
      </c>
      <c r="J3110" t="s">
        <v>75</v>
      </c>
      <c r="K3110" t="s">
        <v>58</v>
      </c>
      <c r="L3110">
        <v>3.2</v>
      </c>
      <c r="M3110" t="s">
        <v>152</v>
      </c>
      <c r="N3110" t="s">
        <v>34</v>
      </c>
      <c r="O3110" t="s">
        <v>72</v>
      </c>
      <c r="P3110" t="s">
        <v>152</v>
      </c>
      <c r="Q3110" t="s">
        <v>152</v>
      </c>
      <c r="R3110">
        <v>7</v>
      </c>
      <c r="S3110" t="s">
        <v>46</v>
      </c>
      <c r="T3110" t="str">
        <f t="shared" si="96"/>
        <v>Month</v>
      </c>
      <c r="U3110">
        <f>VLOOKUP(T3110,[1]tablescore!$B$3:$C$8, 2,FALSE)</f>
        <v>12</v>
      </c>
      <c r="V3110" t="str">
        <f t="shared" si="97"/>
        <v>Moderate</v>
      </c>
      <c r="W3110" t="s">
        <v>88</v>
      </c>
    </row>
    <row r="3111" spans="1:23" x14ac:dyDescent="0.25">
      <c r="A3111">
        <v>3110</v>
      </c>
      <c r="B3111">
        <v>60</v>
      </c>
      <c r="C3111" t="str" cm="1">
        <f t="array" ref="C3111">_xlfn.IFS(
  AND(B3111&gt;=18, B3111&lt;=24), "18-24",
  AND(B3111&gt;=25, B3111&lt;=34), "25-34",
  AND(B3111&gt;=35, B3111&lt;=44), "35-44",
  AND(B3111&gt;=45, B3111&lt;=54), "45-54",
  B3111&gt;=55, "55+"
)</f>
        <v>55+</v>
      </c>
      <c r="D3111" t="s">
        <v>153</v>
      </c>
      <c r="E3111" t="s">
        <v>102</v>
      </c>
      <c r="F3111" t="s">
        <v>65</v>
      </c>
      <c r="G3111">
        <v>92</v>
      </c>
      <c r="H3111" t="s">
        <v>115</v>
      </c>
      <c r="I3111" t="s">
        <v>45</v>
      </c>
      <c r="J3111" t="s">
        <v>24</v>
      </c>
      <c r="K3111" t="s">
        <v>25</v>
      </c>
      <c r="L3111">
        <v>4.3</v>
      </c>
      <c r="M3111" t="s">
        <v>152</v>
      </c>
      <c r="N3111" t="s">
        <v>27</v>
      </c>
      <c r="O3111" t="s">
        <v>40</v>
      </c>
      <c r="P3111" t="s">
        <v>152</v>
      </c>
      <c r="Q3111" t="s">
        <v>152</v>
      </c>
      <c r="R3111">
        <v>47</v>
      </c>
      <c r="S3111" t="s">
        <v>34</v>
      </c>
      <c r="T3111" t="str">
        <f t="shared" si="96"/>
        <v>2-week</v>
      </c>
      <c r="U3111">
        <f>VLOOKUP(T3111,[1]tablescore!$B$3:$C$8, 2,FALSE)</f>
        <v>26</v>
      </c>
      <c r="V3111" t="str">
        <f t="shared" si="97"/>
        <v>Loyal</v>
      </c>
      <c r="W3111" t="s">
        <v>30</v>
      </c>
    </row>
    <row r="3112" spans="1:23" x14ac:dyDescent="0.25">
      <c r="A3112">
        <v>3111</v>
      </c>
      <c r="B3112">
        <v>19</v>
      </c>
      <c r="C3112" t="str" cm="1">
        <f t="array" ref="C3112">_xlfn.IFS(
  AND(B3112&gt;=18, B3112&lt;=24), "18-24",
  AND(B3112&gt;=25, B3112&lt;=34), "25-34",
  AND(B3112&gt;=35, B3112&lt;=44), "35-44",
  AND(B3112&gt;=45, B3112&lt;=54), "45-54",
  B3112&gt;=55, "55+"
)</f>
        <v>18-24</v>
      </c>
      <c r="D3112" t="s">
        <v>153</v>
      </c>
      <c r="E3112" t="s">
        <v>68</v>
      </c>
      <c r="F3112" t="s">
        <v>69</v>
      </c>
      <c r="G3112">
        <v>46</v>
      </c>
      <c r="H3112" t="s">
        <v>105</v>
      </c>
      <c r="I3112" t="s">
        <v>23</v>
      </c>
      <c r="J3112" t="s">
        <v>93</v>
      </c>
      <c r="K3112" t="s">
        <v>58</v>
      </c>
      <c r="L3112">
        <v>4.5999999999999996</v>
      </c>
      <c r="M3112" t="s">
        <v>152</v>
      </c>
      <c r="N3112" t="s">
        <v>34</v>
      </c>
      <c r="O3112" t="s">
        <v>47</v>
      </c>
      <c r="P3112" t="s">
        <v>152</v>
      </c>
      <c r="Q3112" t="s">
        <v>152</v>
      </c>
      <c r="R3112">
        <v>2</v>
      </c>
      <c r="S3112" t="s">
        <v>34</v>
      </c>
      <c r="T3112" t="str">
        <f t="shared" si="96"/>
        <v>2-week</v>
      </c>
      <c r="U3112">
        <f>VLOOKUP(T3112,[1]tablescore!$B$3:$C$8, 2,FALSE)</f>
        <v>26</v>
      </c>
      <c r="V3112" t="str">
        <f t="shared" si="97"/>
        <v>Loyal</v>
      </c>
      <c r="W3112" t="s">
        <v>77</v>
      </c>
    </row>
    <row r="3113" spans="1:23" x14ac:dyDescent="0.25">
      <c r="A3113">
        <v>3112</v>
      </c>
      <c r="B3113">
        <v>21</v>
      </c>
      <c r="C3113" t="str" cm="1">
        <f t="array" ref="C3113">_xlfn.IFS(
  AND(B3113&gt;=18, B3113&lt;=24), "18-24",
  AND(B3113&gt;=25, B3113&lt;=34), "25-34",
  AND(B3113&gt;=35, B3113&lt;=44), "35-44",
  AND(B3113&gt;=45, B3113&lt;=54), "45-54",
  B3113&gt;=55, "55+"
)</f>
        <v>18-24</v>
      </c>
      <c r="D3113" t="s">
        <v>153</v>
      </c>
      <c r="E3113" t="s">
        <v>136</v>
      </c>
      <c r="F3113" t="s">
        <v>69</v>
      </c>
      <c r="G3113">
        <v>81</v>
      </c>
      <c r="H3113" t="s">
        <v>111</v>
      </c>
      <c r="I3113" t="s">
        <v>92</v>
      </c>
      <c r="J3113" t="s">
        <v>129</v>
      </c>
      <c r="K3113" t="s">
        <v>39</v>
      </c>
      <c r="L3113">
        <v>4.9000000000000004</v>
      </c>
      <c r="M3113" t="s">
        <v>152</v>
      </c>
      <c r="N3113" t="s">
        <v>46</v>
      </c>
      <c r="O3113" t="s">
        <v>40</v>
      </c>
      <c r="P3113" t="s">
        <v>152</v>
      </c>
      <c r="Q3113" t="s">
        <v>152</v>
      </c>
      <c r="R3113">
        <v>25</v>
      </c>
      <c r="S3113" t="s">
        <v>59</v>
      </c>
      <c r="T3113" t="str">
        <f t="shared" si="96"/>
        <v>Quarterly</v>
      </c>
      <c r="U3113">
        <f>VLOOKUP(T3113,[1]tablescore!$B$3:$C$8, 2,FALSE)</f>
        <v>4</v>
      </c>
      <c r="V3113" t="str">
        <f t="shared" si="97"/>
        <v>Low Loyalty</v>
      </c>
      <c r="W3113" t="s">
        <v>60</v>
      </c>
    </row>
    <row r="3114" spans="1:23" x14ac:dyDescent="0.25">
      <c r="A3114">
        <v>3113</v>
      </c>
      <c r="B3114">
        <v>19</v>
      </c>
      <c r="C3114" t="str" cm="1">
        <f t="array" ref="C3114">_xlfn.IFS(
  AND(B3114&gt;=18, B3114&lt;=24), "18-24",
  AND(B3114&gt;=25, B3114&lt;=34), "25-34",
  AND(B3114&gt;=35, B3114&lt;=44), "35-44",
  AND(B3114&gt;=45, B3114&lt;=54), "45-54",
  B3114&gt;=55, "55+"
)</f>
        <v>18-24</v>
      </c>
      <c r="D3114" t="s">
        <v>153</v>
      </c>
      <c r="E3114" t="s">
        <v>20</v>
      </c>
      <c r="F3114" t="s">
        <v>21</v>
      </c>
      <c r="G3114">
        <v>97</v>
      </c>
      <c r="H3114" t="s">
        <v>105</v>
      </c>
      <c r="I3114" t="s">
        <v>38</v>
      </c>
      <c r="J3114" t="s">
        <v>96</v>
      </c>
      <c r="K3114" t="s">
        <v>58</v>
      </c>
      <c r="L3114">
        <v>3.8</v>
      </c>
      <c r="M3114" t="s">
        <v>152</v>
      </c>
      <c r="N3114" t="s">
        <v>35</v>
      </c>
      <c r="O3114" t="s">
        <v>28</v>
      </c>
      <c r="P3114" t="s">
        <v>152</v>
      </c>
      <c r="Q3114" t="s">
        <v>152</v>
      </c>
      <c r="R3114">
        <v>26</v>
      </c>
      <c r="S3114" t="s">
        <v>29</v>
      </c>
      <c r="T3114" t="str">
        <f t="shared" si="96"/>
        <v>Annually</v>
      </c>
      <c r="U3114">
        <f>VLOOKUP(T3114,[1]tablescore!$B$3:$C$8, 2,FALSE)</f>
        <v>1</v>
      </c>
      <c r="V3114" t="str">
        <f t="shared" si="97"/>
        <v>Low Loyalty</v>
      </c>
      <c r="W3114" t="s">
        <v>50</v>
      </c>
    </row>
    <row r="3115" spans="1:23" x14ac:dyDescent="0.25">
      <c r="A3115">
        <v>3114</v>
      </c>
      <c r="B3115">
        <v>46</v>
      </c>
      <c r="C3115" t="str" cm="1">
        <f t="array" ref="C3115">_xlfn.IFS(
  AND(B3115&gt;=18, B3115&lt;=24), "18-24",
  AND(B3115&gt;=25, B3115&lt;=34), "25-34",
  AND(B3115&gt;=35, B3115&lt;=44), "35-44",
  AND(B3115&gt;=45, B3115&lt;=54), "45-54",
  B3115&gt;=55, "55+"
)</f>
        <v>45-54</v>
      </c>
      <c r="D3115" t="s">
        <v>153</v>
      </c>
      <c r="E3115" t="s">
        <v>56</v>
      </c>
      <c r="F3115" t="s">
        <v>21</v>
      </c>
      <c r="G3115">
        <v>93</v>
      </c>
      <c r="H3115" t="s">
        <v>143</v>
      </c>
      <c r="I3115" t="s">
        <v>23</v>
      </c>
      <c r="J3115" t="s">
        <v>96</v>
      </c>
      <c r="K3115" t="s">
        <v>54</v>
      </c>
      <c r="L3115">
        <v>2.6</v>
      </c>
      <c r="M3115" t="s">
        <v>152</v>
      </c>
      <c r="N3115" t="s">
        <v>46</v>
      </c>
      <c r="O3115" t="s">
        <v>28</v>
      </c>
      <c r="P3115" t="s">
        <v>152</v>
      </c>
      <c r="Q3115" t="s">
        <v>152</v>
      </c>
      <c r="R3115">
        <v>2</v>
      </c>
      <c r="S3115" t="s">
        <v>59</v>
      </c>
      <c r="T3115" t="str">
        <f t="shared" si="96"/>
        <v>Daily</v>
      </c>
      <c r="U3115">
        <f>VLOOKUP(T3115,[1]tablescore!$B$3:$C$8, 2,FALSE)</f>
        <v>30</v>
      </c>
      <c r="V3115" t="str">
        <f t="shared" si="97"/>
        <v>Highly Loyal</v>
      </c>
      <c r="W3115" t="s">
        <v>41</v>
      </c>
    </row>
    <row r="3116" spans="1:23" x14ac:dyDescent="0.25">
      <c r="A3116">
        <v>3115</v>
      </c>
      <c r="B3116">
        <v>21</v>
      </c>
      <c r="C3116" t="str" cm="1">
        <f t="array" ref="C3116">_xlfn.IFS(
  AND(B3116&gt;=18, B3116&lt;=24), "18-24",
  AND(B3116&gt;=25, B3116&lt;=34), "25-34",
  AND(B3116&gt;=35, B3116&lt;=44), "35-44",
  AND(B3116&gt;=45, B3116&lt;=54), "45-54",
  B3116&gt;=55, "55+"
)</f>
        <v>18-24</v>
      </c>
      <c r="D3116" t="s">
        <v>153</v>
      </c>
      <c r="E3116" t="s">
        <v>68</v>
      </c>
      <c r="F3116" t="s">
        <v>69</v>
      </c>
      <c r="G3116">
        <v>56</v>
      </c>
      <c r="H3116" t="s">
        <v>74</v>
      </c>
      <c r="I3116" t="s">
        <v>45</v>
      </c>
      <c r="J3116" t="s">
        <v>79</v>
      </c>
      <c r="K3116" t="s">
        <v>39</v>
      </c>
      <c r="L3116">
        <v>4.7</v>
      </c>
      <c r="M3116" t="s">
        <v>152</v>
      </c>
      <c r="N3116" t="s">
        <v>29</v>
      </c>
      <c r="O3116" t="s">
        <v>76</v>
      </c>
      <c r="P3116" t="s">
        <v>152</v>
      </c>
      <c r="Q3116" t="s">
        <v>152</v>
      </c>
      <c r="R3116">
        <v>45</v>
      </c>
      <c r="S3116" t="s">
        <v>29</v>
      </c>
      <c r="T3116" t="str">
        <f t="shared" si="96"/>
        <v>2-week</v>
      </c>
      <c r="U3116">
        <f>VLOOKUP(T3116,[1]tablescore!$B$3:$C$8, 2,FALSE)</f>
        <v>26</v>
      </c>
      <c r="V3116" t="str">
        <f t="shared" si="97"/>
        <v>Loyal</v>
      </c>
      <c r="W3116" t="s">
        <v>77</v>
      </c>
    </row>
    <row r="3117" spans="1:23" x14ac:dyDescent="0.25">
      <c r="A3117">
        <v>3116</v>
      </c>
      <c r="B3117">
        <v>26</v>
      </c>
      <c r="C3117" t="str" cm="1">
        <f t="array" ref="C3117">_xlfn.IFS(
  AND(B3117&gt;=18, B3117&lt;=24), "18-24",
  AND(B3117&gt;=25, B3117&lt;=34), "25-34",
  AND(B3117&gt;=35, B3117&lt;=44), "35-44",
  AND(B3117&gt;=45, B3117&lt;=54), "45-54",
  B3117&gt;=55, "55+"
)</f>
        <v>25-34</v>
      </c>
      <c r="D3117" t="s">
        <v>153</v>
      </c>
      <c r="E3117" t="s">
        <v>119</v>
      </c>
      <c r="F3117" t="s">
        <v>69</v>
      </c>
      <c r="G3117">
        <v>53</v>
      </c>
      <c r="H3117" t="s">
        <v>130</v>
      </c>
      <c r="I3117" t="s">
        <v>45</v>
      </c>
      <c r="J3117" t="s">
        <v>63</v>
      </c>
      <c r="K3117" t="s">
        <v>58</v>
      </c>
      <c r="L3117">
        <v>4.0999999999999996</v>
      </c>
      <c r="M3117" t="s">
        <v>152</v>
      </c>
      <c r="N3117" t="s">
        <v>46</v>
      </c>
      <c r="O3117" t="s">
        <v>40</v>
      </c>
      <c r="P3117" t="s">
        <v>152</v>
      </c>
      <c r="Q3117" t="s">
        <v>152</v>
      </c>
      <c r="R3117">
        <v>9</v>
      </c>
      <c r="S3117" t="s">
        <v>34</v>
      </c>
      <c r="T3117" t="str">
        <f t="shared" si="96"/>
        <v>2-week</v>
      </c>
      <c r="U3117">
        <f>VLOOKUP(T3117,[1]tablescore!$B$3:$C$8, 2,FALSE)</f>
        <v>26</v>
      </c>
      <c r="V3117" t="str">
        <f t="shared" si="97"/>
        <v>Loyal</v>
      </c>
      <c r="W3117" t="s">
        <v>77</v>
      </c>
    </row>
    <row r="3118" spans="1:23" x14ac:dyDescent="0.25">
      <c r="A3118">
        <v>3117</v>
      </c>
      <c r="B3118">
        <v>50</v>
      </c>
      <c r="C3118" t="str" cm="1">
        <f t="array" ref="C3118">_xlfn.IFS(
  AND(B3118&gt;=18, B3118&lt;=24), "18-24",
  AND(B3118&gt;=25, B3118&lt;=34), "25-34",
  AND(B3118&gt;=35, B3118&lt;=44), "35-44",
  AND(B3118&gt;=45, B3118&lt;=54), "45-54",
  B3118&gt;=55, "55+"
)</f>
        <v>45-54</v>
      </c>
      <c r="D3118" t="s">
        <v>153</v>
      </c>
      <c r="E3118" t="s">
        <v>64</v>
      </c>
      <c r="F3118" t="s">
        <v>65</v>
      </c>
      <c r="G3118">
        <v>66</v>
      </c>
      <c r="H3118" t="s">
        <v>57</v>
      </c>
      <c r="I3118" t="s">
        <v>23</v>
      </c>
      <c r="J3118" t="s">
        <v>24</v>
      </c>
      <c r="K3118" t="s">
        <v>39</v>
      </c>
      <c r="L3118">
        <v>3.7</v>
      </c>
      <c r="M3118" t="s">
        <v>152</v>
      </c>
      <c r="N3118" t="s">
        <v>59</v>
      </c>
      <c r="O3118" t="s">
        <v>76</v>
      </c>
      <c r="P3118" t="s">
        <v>152</v>
      </c>
      <c r="Q3118" t="s">
        <v>152</v>
      </c>
      <c r="R3118">
        <v>1</v>
      </c>
      <c r="S3118" t="s">
        <v>29</v>
      </c>
      <c r="T3118" t="str">
        <f t="shared" si="96"/>
        <v>Daily</v>
      </c>
      <c r="U3118">
        <f>VLOOKUP(T3118,[1]tablescore!$B$3:$C$8, 2,FALSE)</f>
        <v>30</v>
      </c>
      <c r="V3118" t="str">
        <f t="shared" si="97"/>
        <v>Highly Loyal</v>
      </c>
      <c r="W3118" t="s">
        <v>41</v>
      </c>
    </row>
    <row r="3119" spans="1:23" x14ac:dyDescent="0.25">
      <c r="A3119">
        <v>3118</v>
      </c>
      <c r="B3119">
        <v>43</v>
      </c>
      <c r="C3119" t="str" cm="1">
        <f t="array" ref="C3119">_xlfn.IFS(
  AND(B3119&gt;=18, B3119&lt;=24), "18-24",
  AND(B3119&gt;=25, B3119&lt;=34), "25-34",
  AND(B3119&gt;=35, B3119&lt;=44), "35-44",
  AND(B3119&gt;=45, B3119&lt;=54), "45-54",
  B3119&gt;=55, "55+"
)</f>
        <v>35-44</v>
      </c>
      <c r="D3119" t="s">
        <v>153</v>
      </c>
      <c r="E3119" t="s">
        <v>104</v>
      </c>
      <c r="F3119" t="s">
        <v>21</v>
      </c>
      <c r="G3119">
        <v>50</v>
      </c>
      <c r="H3119" t="s">
        <v>103</v>
      </c>
      <c r="I3119" t="s">
        <v>45</v>
      </c>
      <c r="J3119" t="s">
        <v>79</v>
      </c>
      <c r="K3119" t="s">
        <v>58</v>
      </c>
      <c r="L3119">
        <v>3</v>
      </c>
      <c r="M3119" t="s">
        <v>152</v>
      </c>
      <c r="N3119" t="s">
        <v>27</v>
      </c>
      <c r="O3119" t="s">
        <v>40</v>
      </c>
      <c r="P3119" t="s">
        <v>152</v>
      </c>
      <c r="Q3119" t="s">
        <v>152</v>
      </c>
      <c r="R3119">
        <v>4</v>
      </c>
      <c r="S3119" t="s">
        <v>46</v>
      </c>
      <c r="T3119" t="str">
        <f t="shared" si="96"/>
        <v>2-week</v>
      </c>
      <c r="U3119">
        <f>VLOOKUP(T3119,[1]tablescore!$B$3:$C$8, 2,FALSE)</f>
        <v>26</v>
      </c>
      <c r="V3119" t="str">
        <f t="shared" si="97"/>
        <v>Loyal</v>
      </c>
      <c r="W3119" t="s">
        <v>77</v>
      </c>
    </row>
    <row r="3120" spans="1:23" x14ac:dyDescent="0.25">
      <c r="A3120">
        <v>3119</v>
      </c>
      <c r="B3120">
        <v>61</v>
      </c>
      <c r="C3120" t="str" cm="1">
        <f t="array" ref="C3120">_xlfn.IFS(
  AND(B3120&gt;=18, B3120&lt;=24), "18-24",
  AND(B3120&gt;=25, B3120&lt;=34), "25-34",
  AND(B3120&gt;=35, B3120&lt;=44), "35-44",
  AND(B3120&gt;=45, B3120&lt;=54), "45-54",
  B3120&gt;=55, "55+"
)</f>
        <v>55+</v>
      </c>
      <c r="D3120" t="s">
        <v>153</v>
      </c>
      <c r="E3120" t="s">
        <v>61</v>
      </c>
      <c r="F3120" t="s">
        <v>21</v>
      </c>
      <c r="G3120">
        <v>97</v>
      </c>
      <c r="H3120" t="s">
        <v>128</v>
      </c>
      <c r="I3120" t="s">
        <v>23</v>
      </c>
      <c r="J3120" t="s">
        <v>138</v>
      </c>
      <c r="K3120" t="s">
        <v>54</v>
      </c>
      <c r="L3120">
        <v>4.7</v>
      </c>
      <c r="M3120" t="s">
        <v>152</v>
      </c>
      <c r="N3120" t="s">
        <v>29</v>
      </c>
      <c r="O3120" t="s">
        <v>55</v>
      </c>
      <c r="P3120" t="s">
        <v>152</v>
      </c>
      <c r="Q3120" t="s">
        <v>152</v>
      </c>
      <c r="R3120">
        <v>31</v>
      </c>
      <c r="S3120" t="s">
        <v>59</v>
      </c>
      <c r="T3120" t="str">
        <f t="shared" si="96"/>
        <v>Quarterly</v>
      </c>
      <c r="U3120">
        <f>VLOOKUP(T3120,[1]tablescore!$B$3:$C$8, 2,FALSE)</f>
        <v>4</v>
      </c>
      <c r="V3120" t="str">
        <f t="shared" si="97"/>
        <v>Low Loyalty</v>
      </c>
      <c r="W3120" t="s">
        <v>60</v>
      </c>
    </row>
    <row r="3121" spans="1:23" x14ac:dyDescent="0.25">
      <c r="A3121">
        <v>3120</v>
      </c>
      <c r="B3121">
        <v>63</v>
      </c>
      <c r="C3121" t="str" cm="1">
        <f t="array" ref="C3121">_xlfn.IFS(
  AND(B3121&gt;=18, B3121&lt;=24), "18-24",
  AND(B3121&gt;=25, B3121&lt;=34), "25-34",
  AND(B3121&gt;=35, B3121&lt;=44), "35-44",
  AND(B3121&gt;=45, B3121&lt;=54), "45-54",
  B3121&gt;=55, "55+"
)</f>
        <v>55+</v>
      </c>
      <c r="D3121" t="s">
        <v>153</v>
      </c>
      <c r="E3121" t="s">
        <v>42</v>
      </c>
      <c r="F3121" t="s">
        <v>43</v>
      </c>
      <c r="G3121">
        <v>79</v>
      </c>
      <c r="H3121" t="s">
        <v>62</v>
      </c>
      <c r="I3121" t="s">
        <v>92</v>
      </c>
      <c r="J3121" t="s">
        <v>67</v>
      </c>
      <c r="K3121" t="s">
        <v>25</v>
      </c>
      <c r="L3121">
        <v>4.7</v>
      </c>
      <c r="M3121" t="s">
        <v>152</v>
      </c>
      <c r="N3121" t="s">
        <v>35</v>
      </c>
      <c r="O3121" t="s">
        <v>72</v>
      </c>
      <c r="P3121" t="s">
        <v>152</v>
      </c>
      <c r="Q3121" t="s">
        <v>152</v>
      </c>
      <c r="R3121">
        <v>21</v>
      </c>
      <c r="S3121" t="s">
        <v>27</v>
      </c>
      <c r="T3121" t="str">
        <f t="shared" si="96"/>
        <v>Quarterly</v>
      </c>
      <c r="U3121">
        <f>VLOOKUP(T3121,[1]tablescore!$B$3:$C$8, 2,FALSE)</f>
        <v>4</v>
      </c>
      <c r="V3121" t="str">
        <f t="shared" si="97"/>
        <v>Low Loyalty</v>
      </c>
      <c r="W3121" t="s">
        <v>97</v>
      </c>
    </row>
    <row r="3122" spans="1:23" x14ac:dyDescent="0.25">
      <c r="A3122">
        <v>3121</v>
      </c>
      <c r="B3122">
        <v>46</v>
      </c>
      <c r="C3122" t="str" cm="1">
        <f t="array" ref="C3122">_xlfn.IFS(
  AND(B3122&gt;=18, B3122&lt;=24), "18-24",
  AND(B3122&gt;=25, B3122&lt;=34), "25-34",
  AND(B3122&gt;=35, B3122&lt;=44), "35-44",
  AND(B3122&gt;=45, B3122&lt;=54), "45-54",
  B3122&gt;=55, "55+"
)</f>
        <v>45-54</v>
      </c>
      <c r="D3122" t="s">
        <v>153</v>
      </c>
      <c r="E3122" t="s">
        <v>56</v>
      </c>
      <c r="F3122" t="s">
        <v>21</v>
      </c>
      <c r="G3122">
        <v>76</v>
      </c>
      <c r="H3122" t="s">
        <v>62</v>
      </c>
      <c r="I3122" t="s">
        <v>45</v>
      </c>
      <c r="J3122" t="s">
        <v>147</v>
      </c>
      <c r="K3122" t="s">
        <v>58</v>
      </c>
      <c r="L3122">
        <v>4</v>
      </c>
      <c r="M3122" t="s">
        <v>152</v>
      </c>
      <c r="N3122" t="s">
        <v>29</v>
      </c>
      <c r="O3122" t="s">
        <v>76</v>
      </c>
      <c r="P3122" t="s">
        <v>152</v>
      </c>
      <c r="Q3122" t="s">
        <v>152</v>
      </c>
      <c r="R3122">
        <v>32</v>
      </c>
      <c r="S3122" t="s">
        <v>59</v>
      </c>
      <c r="T3122" t="str">
        <f t="shared" si="96"/>
        <v>2-week</v>
      </c>
      <c r="U3122">
        <f>VLOOKUP(T3122,[1]tablescore!$B$3:$C$8, 2,FALSE)</f>
        <v>26</v>
      </c>
      <c r="V3122" t="str">
        <f t="shared" si="97"/>
        <v>Loyal</v>
      </c>
      <c r="W3122" t="s">
        <v>30</v>
      </c>
    </row>
    <row r="3123" spans="1:23" x14ac:dyDescent="0.25">
      <c r="A3123">
        <v>3122</v>
      </c>
      <c r="B3123">
        <v>63</v>
      </c>
      <c r="C3123" t="str" cm="1">
        <f t="array" ref="C3123">_xlfn.IFS(
  AND(B3123&gt;=18, B3123&lt;=24), "18-24",
  AND(B3123&gt;=25, B3123&lt;=34), "25-34",
  AND(B3123&gt;=35, B3123&lt;=44), "35-44",
  AND(B3123&gt;=45, B3123&lt;=54), "45-54",
  B3123&gt;=55, "55+"
)</f>
        <v>55+</v>
      </c>
      <c r="D3123" t="s">
        <v>153</v>
      </c>
      <c r="E3123" t="s">
        <v>104</v>
      </c>
      <c r="F3123" t="s">
        <v>21</v>
      </c>
      <c r="G3123">
        <v>38</v>
      </c>
      <c r="H3123" t="s">
        <v>62</v>
      </c>
      <c r="I3123" t="s">
        <v>23</v>
      </c>
      <c r="J3123" t="s">
        <v>94</v>
      </c>
      <c r="K3123" t="s">
        <v>58</v>
      </c>
      <c r="L3123">
        <v>2.6</v>
      </c>
      <c r="M3123" t="s">
        <v>152</v>
      </c>
      <c r="N3123" t="s">
        <v>27</v>
      </c>
      <c r="O3123" t="s">
        <v>55</v>
      </c>
      <c r="P3123" t="s">
        <v>152</v>
      </c>
      <c r="Q3123" t="s">
        <v>152</v>
      </c>
      <c r="R3123">
        <v>16</v>
      </c>
      <c r="S3123" t="s">
        <v>29</v>
      </c>
      <c r="T3123" t="str">
        <f t="shared" si="96"/>
        <v>Daily</v>
      </c>
      <c r="U3123">
        <f>VLOOKUP(T3123,[1]tablescore!$B$3:$C$8, 2,FALSE)</f>
        <v>30</v>
      </c>
      <c r="V3123" t="str">
        <f t="shared" si="97"/>
        <v>Highly Loyal</v>
      </c>
      <c r="W3123" t="s">
        <v>41</v>
      </c>
    </row>
    <row r="3124" spans="1:23" x14ac:dyDescent="0.25">
      <c r="A3124">
        <v>3123</v>
      </c>
      <c r="B3124">
        <v>23</v>
      </c>
      <c r="C3124" t="str" cm="1">
        <f t="array" ref="C3124">_xlfn.IFS(
  AND(B3124&gt;=18, B3124&lt;=24), "18-24",
  AND(B3124&gt;=25, B3124&lt;=34), "25-34",
  AND(B3124&gt;=35, B3124&lt;=44), "35-44",
  AND(B3124&gt;=45, B3124&lt;=54), "45-54",
  B3124&gt;=55, "55+"
)</f>
        <v>18-24</v>
      </c>
      <c r="D3124" t="s">
        <v>153</v>
      </c>
      <c r="E3124" t="s">
        <v>131</v>
      </c>
      <c r="F3124" t="s">
        <v>21</v>
      </c>
      <c r="G3124">
        <v>45</v>
      </c>
      <c r="H3124" t="s">
        <v>142</v>
      </c>
      <c r="I3124" t="s">
        <v>45</v>
      </c>
      <c r="J3124" t="s">
        <v>71</v>
      </c>
      <c r="K3124" t="s">
        <v>58</v>
      </c>
      <c r="L3124">
        <v>3</v>
      </c>
      <c r="M3124" t="s">
        <v>152</v>
      </c>
      <c r="N3124" t="s">
        <v>59</v>
      </c>
      <c r="O3124" t="s">
        <v>28</v>
      </c>
      <c r="P3124" t="s">
        <v>152</v>
      </c>
      <c r="Q3124" t="s">
        <v>152</v>
      </c>
      <c r="R3124">
        <v>34</v>
      </c>
      <c r="S3124" t="s">
        <v>27</v>
      </c>
      <c r="T3124" t="str">
        <f t="shared" si="96"/>
        <v>2-week</v>
      </c>
      <c r="U3124">
        <f>VLOOKUP(T3124,[1]tablescore!$B$3:$C$8, 2,FALSE)</f>
        <v>26</v>
      </c>
      <c r="V3124" t="str">
        <f t="shared" si="97"/>
        <v>Loyal</v>
      </c>
      <c r="W3124" t="s">
        <v>30</v>
      </c>
    </row>
    <row r="3125" spans="1:23" x14ac:dyDescent="0.25">
      <c r="A3125">
        <v>3124</v>
      </c>
      <c r="B3125">
        <v>57</v>
      </c>
      <c r="C3125" t="str" cm="1">
        <f t="array" ref="C3125">_xlfn.IFS(
  AND(B3125&gt;=18, B3125&lt;=24), "18-24",
  AND(B3125&gt;=25, B3125&lt;=34), "25-34",
  AND(B3125&gt;=35, B3125&lt;=44), "35-44",
  AND(B3125&gt;=45, B3125&lt;=54), "45-54",
  B3125&gt;=55, "55+"
)</f>
        <v>55+</v>
      </c>
      <c r="D3125" t="s">
        <v>153</v>
      </c>
      <c r="E3125" t="s">
        <v>68</v>
      </c>
      <c r="F3125" t="s">
        <v>69</v>
      </c>
      <c r="G3125">
        <v>77</v>
      </c>
      <c r="H3125" t="s">
        <v>150</v>
      </c>
      <c r="I3125" t="s">
        <v>92</v>
      </c>
      <c r="J3125" t="s">
        <v>108</v>
      </c>
      <c r="K3125" t="s">
        <v>58</v>
      </c>
      <c r="L3125">
        <v>3.3</v>
      </c>
      <c r="M3125" t="s">
        <v>152</v>
      </c>
      <c r="N3125" t="s">
        <v>46</v>
      </c>
      <c r="O3125" t="s">
        <v>47</v>
      </c>
      <c r="P3125" t="s">
        <v>152</v>
      </c>
      <c r="Q3125" t="s">
        <v>152</v>
      </c>
      <c r="R3125">
        <v>40</v>
      </c>
      <c r="S3125" t="s">
        <v>29</v>
      </c>
      <c r="T3125" t="str">
        <f t="shared" si="96"/>
        <v>2-week</v>
      </c>
      <c r="U3125">
        <f>VLOOKUP(T3125,[1]tablescore!$B$3:$C$8, 2,FALSE)</f>
        <v>26</v>
      </c>
      <c r="V3125" t="str">
        <f t="shared" si="97"/>
        <v>Loyal</v>
      </c>
      <c r="W3125" t="s">
        <v>77</v>
      </c>
    </row>
    <row r="3126" spans="1:23" x14ac:dyDescent="0.25">
      <c r="A3126">
        <v>3125</v>
      </c>
      <c r="B3126">
        <v>57</v>
      </c>
      <c r="C3126" t="str" cm="1">
        <f t="array" ref="C3126">_xlfn.IFS(
  AND(B3126&gt;=18, B3126&lt;=24), "18-24",
  AND(B3126&gt;=25, B3126&lt;=34), "25-34",
  AND(B3126&gt;=35, B3126&lt;=44), "35-44",
  AND(B3126&gt;=45, B3126&lt;=54), "45-54",
  B3126&gt;=55, "55+"
)</f>
        <v>55+</v>
      </c>
      <c r="D3126" t="s">
        <v>153</v>
      </c>
      <c r="E3126" t="s">
        <v>106</v>
      </c>
      <c r="F3126" t="s">
        <v>69</v>
      </c>
      <c r="G3126">
        <v>51</v>
      </c>
      <c r="H3126" t="s">
        <v>99</v>
      </c>
      <c r="I3126" t="s">
        <v>45</v>
      </c>
      <c r="J3126" t="s">
        <v>100</v>
      </c>
      <c r="K3126" t="s">
        <v>54</v>
      </c>
      <c r="L3126">
        <v>3.4</v>
      </c>
      <c r="M3126" t="s">
        <v>152</v>
      </c>
      <c r="N3126" t="s">
        <v>29</v>
      </c>
      <c r="O3126" t="s">
        <v>55</v>
      </c>
      <c r="P3126" t="s">
        <v>152</v>
      </c>
      <c r="Q3126" t="s">
        <v>152</v>
      </c>
      <c r="R3126">
        <v>4</v>
      </c>
      <c r="S3126" t="s">
        <v>35</v>
      </c>
      <c r="T3126" t="str">
        <f t="shared" si="96"/>
        <v>Quarterly</v>
      </c>
      <c r="U3126">
        <f>VLOOKUP(T3126,[1]tablescore!$B$3:$C$8, 2,FALSE)</f>
        <v>4</v>
      </c>
      <c r="V3126" t="str">
        <f t="shared" si="97"/>
        <v>Low Loyalty</v>
      </c>
      <c r="W3126" t="s">
        <v>97</v>
      </c>
    </row>
    <row r="3127" spans="1:23" x14ac:dyDescent="0.25">
      <c r="A3127">
        <v>3126</v>
      </c>
      <c r="B3127">
        <v>33</v>
      </c>
      <c r="C3127" t="str" cm="1">
        <f t="array" ref="C3127">_xlfn.IFS(
  AND(B3127&gt;=18, B3127&lt;=24), "18-24",
  AND(B3127&gt;=25, B3127&lt;=34), "25-34",
  AND(B3127&gt;=35, B3127&lt;=44), "35-44",
  AND(B3127&gt;=45, B3127&lt;=54), "45-54",
  B3127&gt;=55, "55+"
)</f>
        <v>25-34</v>
      </c>
      <c r="D3127" t="s">
        <v>153</v>
      </c>
      <c r="E3127" t="s">
        <v>64</v>
      </c>
      <c r="F3127" t="s">
        <v>65</v>
      </c>
      <c r="G3127">
        <v>26</v>
      </c>
      <c r="H3127" t="s">
        <v>48</v>
      </c>
      <c r="I3127" t="s">
        <v>23</v>
      </c>
      <c r="J3127" t="s">
        <v>93</v>
      </c>
      <c r="K3127" t="s">
        <v>39</v>
      </c>
      <c r="L3127">
        <v>4</v>
      </c>
      <c r="M3127" t="s">
        <v>152</v>
      </c>
      <c r="N3127" t="s">
        <v>29</v>
      </c>
      <c r="O3127" t="s">
        <v>55</v>
      </c>
      <c r="P3127" t="s">
        <v>152</v>
      </c>
      <c r="Q3127" t="s">
        <v>152</v>
      </c>
      <c r="R3127">
        <v>3</v>
      </c>
      <c r="S3127" t="s">
        <v>35</v>
      </c>
      <c r="T3127" t="str">
        <f t="shared" si="96"/>
        <v>Quarterly</v>
      </c>
      <c r="U3127">
        <f>VLOOKUP(T3127,[1]tablescore!$B$3:$C$8, 2,FALSE)</f>
        <v>4</v>
      </c>
      <c r="V3127" t="str">
        <f t="shared" si="97"/>
        <v>Low Loyalty</v>
      </c>
      <c r="W3127" t="s">
        <v>60</v>
      </c>
    </row>
    <row r="3128" spans="1:23" x14ac:dyDescent="0.25">
      <c r="A3128">
        <v>3127</v>
      </c>
      <c r="B3128">
        <v>57</v>
      </c>
      <c r="C3128" t="str" cm="1">
        <f t="array" ref="C3128">_xlfn.IFS(
  AND(B3128&gt;=18, B3128&lt;=24), "18-24",
  AND(B3128&gt;=25, B3128&lt;=34), "25-34",
  AND(B3128&gt;=35, B3128&lt;=44), "35-44",
  AND(B3128&gt;=45, B3128&lt;=54), "45-54",
  B3128&gt;=55, "55+"
)</f>
        <v>55+</v>
      </c>
      <c r="D3128" t="s">
        <v>153</v>
      </c>
      <c r="E3128" t="s">
        <v>89</v>
      </c>
      <c r="F3128" t="s">
        <v>69</v>
      </c>
      <c r="G3128">
        <v>76</v>
      </c>
      <c r="H3128" t="s">
        <v>32</v>
      </c>
      <c r="I3128" t="s">
        <v>23</v>
      </c>
      <c r="J3128" t="s">
        <v>93</v>
      </c>
      <c r="K3128" t="s">
        <v>25</v>
      </c>
      <c r="L3128">
        <v>2.6</v>
      </c>
      <c r="M3128" t="s">
        <v>152</v>
      </c>
      <c r="N3128" t="s">
        <v>46</v>
      </c>
      <c r="O3128" t="s">
        <v>76</v>
      </c>
      <c r="P3128" t="s">
        <v>152</v>
      </c>
      <c r="Q3128" t="s">
        <v>152</v>
      </c>
      <c r="R3128">
        <v>28</v>
      </c>
      <c r="S3128" t="s">
        <v>34</v>
      </c>
      <c r="T3128" t="str">
        <f t="shared" si="96"/>
        <v>2-week</v>
      </c>
      <c r="U3128">
        <f>VLOOKUP(T3128,[1]tablescore!$B$3:$C$8, 2,FALSE)</f>
        <v>26</v>
      </c>
      <c r="V3128" t="str">
        <f t="shared" si="97"/>
        <v>Loyal</v>
      </c>
      <c r="W3128" t="s">
        <v>77</v>
      </c>
    </row>
    <row r="3129" spans="1:23" x14ac:dyDescent="0.25">
      <c r="A3129">
        <v>3128</v>
      </c>
      <c r="B3129">
        <v>55</v>
      </c>
      <c r="C3129" t="str" cm="1">
        <f t="array" ref="C3129">_xlfn.IFS(
  AND(B3129&gt;=18, B3129&lt;=24), "18-24",
  AND(B3129&gt;=25, B3129&lt;=34), "25-34",
  AND(B3129&gt;=35, B3129&lt;=44), "35-44",
  AND(B3129&gt;=45, B3129&lt;=54), "45-54",
  B3129&gt;=55, "55+"
)</f>
        <v>55+</v>
      </c>
      <c r="D3129" t="s">
        <v>153</v>
      </c>
      <c r="E3129" t="s">
        <v>127</v>
      </c>
      <c r="F3129" t="s">
        <v>69</v>
      </c>
      <c r="G3129">
        <v>94</v>
      </c>
      <c r="H3129" t="s">
        <v>62</v>
      </c>
      <c r="I3129" t="s">
        <v>45</v>
      </c>
      <c r="J3129" t="s">
        <v>118</v>
      </c>
      <c r="K3129" t="s">
        <v>25</v>
      </c>
      <c r="L3129">
        <v>3.4</v>
      </c>
      <c r="M3129" t="s">
        <v>152</v>
      </c>
      <c r="N3129" t="s">
        <v>27</v>
      </c>
      <c r="O3129" t="s">
        <v>40</v>
      </c>
      <c r="P3129" t="s">
        <v>152</v>
      </c>
      <c r="Q3129" t="s">
        <v>152</v>
      </c>
      <c r="R3129">
        <v>43</v>
      </c>
      <c r="S3129" t="s">
        <v>27</v>
      </c>
      <c r="T3129" t="str">
        <f t="shared" si="96"/>
        <v>Quarterly</v>
      </c>
      <c r="U3129">
        <f>VLOOKUP(T3129,[1]tablescore!$B$3:$C$8, 2,FALSE)</f>
        <v>4</v>
      </c>
      <c r="V3129" t="str">
        <f t="shared" si="97"/>
        <v>Low Loyalty</v>
      </c>
      <c r="W3129" t="s">
        <v>97</v>
      </c>
    </row>
    <row r="3130" spans="1:23" x14ac:dyDescent="0.25">
      <c r="A3130">
        <v>3129</v>
      </c>
      <c r="B3130">
        <v>65</v>
      </c>
      <c r="C3130" t="str" cm="1">
        <f t="array" ref="C3130">_xlfn.IFS(
  AND(B3130&gt;=18, B3130&lt;=24), "18-24",
  AND(B3130&gt;=25, B3130&lt;=34), "25-34",
  AND(B3130&gt;=35, B3130&lt;=44), "35-44",
  AND(B3130&gt;=45, B3130&lt;=54), "45-54",
  B3130&gt;=55, "55+"
)</f>
        <v>55+</v>
      </c>
      <c r="D3130" t="s">
        <v>153</v>
      </c>
      <c r="E3130" t="s">
        <v>102</v>
      </c>
      <c r="F3130" t="s">
        <v>65</v>
      </c>
      <c r="G3130">
        <v>32</v>
      </c>
      <c r="H3130" t="s">
        <v>74</v>
      </c>
      <c r="I3130" t="s">
        <v>38</v>
      </c>
      <c r="J3130" t="s">
        <v>129</v>
      </c>
      <c r="K3130" t="s">
        <v>58</v>
      </c>
      <c r="L3130">
        <v>4.4000000000000004</v>
      </c>
      <c r="M3130" t="s">
        <v>152</v>
      </c>
      <c r="N3130" t="s">
        <v>46</v>
      </c>
      <c r="O3130" t="s">
        <v>55</v>
      </c>
      <c r="P3130" t="s">
        <v>152</v>
      </c>
      <c r="Q3130" t="s">
        <v>152</v>
      </c>
      <c r="R3130">
        <v>20</v>
      </c>
      <c r="S3130" t="s">
        <v>35</v>
      </c>
      <c r="T3130" t="str">
        <f t="shared" si="96"/>
        <v>Annually</v>
      </c>
      <c r="U3130">
        <f>VLOOKUP(T3130,[1]tablescore!$B$3:$C$8, 2,FALSE)</f>
        <v>1</v>
      </c>
      <c r="V3130" t="str">
        <f t="shared" si="97"/>
        <v>Low Loyalty</v>
      </c>
      <c r="W3130" t="s">
        <v>50</v>
      </c>
    </row>
    <row r="3131" spans="1:23" x14ac:dyDescent="0.25">
      <c r="A3131">
        <v>3130</v>
      </c>
      <c r="B3131">
        <v>60</v>
      </c>
      <c r="C3131" t="str" cm="1">
        <f t="array" ref="C3131">_xlfn.IFS(
  AND(B3131&gt;=18, B3131&lt;=24), "18-24",
  AND(B3131&gt;=25, B3131&lt;=34), "25-34",
  AND(B3131&gt;=35, B3131&lt;=44), "35-44",
  AND(B3131&gt;=45, B3131&lt;=54), "45-54",
  B3131&gt;=55, "55+"
)</f>
        <v>55+</v>
      </c>
      <c r="D3131" t="s">
        <v>153</v>
      </c>
      <c r="E3131" t="s">
        <v>42</v>
      </c>
      <c r="F3131" t="s">
        <v>43</v>
      </c>
      <c r="G3131">
        <v>20</v>
      </c>
      <c r="H3131" t="s">
        <v>135</v>
      </c>
      <c r="I3131" t="s">
        <v>38</v>
      </c>
      <c r="J3131" t="s">
        <v>109</v>
      </c>
      <c r="K3131" t="s">
        <v>54</v>
      </c>
      <c r="L3131">
        <v>4.7</v>
      </c>
      <c r="M3131" t="s">
        <v>152</v>
      </c>
      <c r="N3131" t="s">
        <v>46</v>
      </c>
      <c r="O3131" t="s">
        <v>28</v>
      </c>
      <c r="P3131" t="s">
        <v>152</v>
      </c>
      <c r="Q3131" t="s">
        <v>152</v>
      </c>
      <c r="R3131">
        <v>40</v>
      </c>
      <c r="S3131" t="s">
        <v>29</v>
      </c>
      <c r="T3131" t="str">
        <f t="shared" si="96"/>
        <v>Quarterly</v>
      </c>
      <c r="U3131">
        <f>VLOOKUP(T3131,[1]tablescore!$B$3:$C$8, 2,FALSE)</f>
        <v>4</v>
      </c>
      <c r="V3131" t="str">
        <f t="shared" si="97"/>
        <v>Low Loyalty</v>
      </c>
      <c r="W3131" t="s">
        <v>97</v>
      </c>
    </row>
    <row r="3132" spans="1:23" x14ac:dyDescent="0.25">
      <c r="A3132">
        <v>3131</v>
      </c>
      <c r="B3132">
        <v>52</v>
      </c>
      <c r="C3132" t="str" cm="1">
        <f t="array" ref="C3132">_xlfn.IFS(
  AND(B3132&gt;=18, B3132&lt;=24), "18-24",
  AND(B3132&gt;=25, B3132&lt;=34), "25-34",
  AND(B3132&gt;=35, B3132&lt;=44), "35-44",
  AND(B3132&gt;=45, B3132&lt;=54), "45-54",
  B3132&gt;=55, "55+"
)</f>
        <v>45-54</v>
      </c>
      <c r="D3132" t="s">
        <v>153</v>
      </c>
      <c r="E3132" t="s">
        <v>95</v>
      </c>
      <c r="F3132" t="s">
        <v>21</v>
      </c>
      <c r="G3132">
        <v>20</v>
      </c>
      <c r="H3132" t="s">
        <v>145</v>
      </c>
      <c r="I3132" t="s">
        <v>45</v>
      </c>
      <c r="J3132" t="s">
        <v>139</v>
      </c>
      <c r="K3132" t="s">
        <v>54</v>
      </c>
      <c r="L3132">
        <v>4.5</v>
      </c>
      <c r="M3132" t="s">
        <v>152</v>
      </c>
      <c r="N3132" t="s">
        <v>46</v>
      </c>
      <c r="O3132" t="s">
        <v>76</v>
      </c>
      <c r="P3132" t="s">
        <v>152</v>
      </c>
      <c r="Q3132" t="s">
        <v>152</v>
      </c>
      <c r="R3132">
        <v>34</v>
      </c>
      <c r="S3132" t="s">
        <v>29</v>
      </c>
      <c r="T3132" t="str">
        <f t="shared" si="96"/>
        <v>Quarterly</v>
      </c>
      <c r="U3132">
        <f>VLOOKUP(T3132,[1]tablescore!$B$3:$C$8, 2,FALSE)</f>
        <v>4</v>
      </c>
      <c r="V3132" t="str">
        <f t="shared" si="97"/>
        <v>Low Loyalty</v>
      </c>
      <c r="W3132" t="s">
        <v>97</v>
      </c>
    </row>
    <row r="3133" spans="1:23" x14ac:dyDescent="0.25">
      <c r="A3133">
        <v>3132</v>
      </c>
      <c r="B3133">
        <v>34</v>
      </c>
      <c r="C3133" t="str" cm="1">
        <f t="array" ref="C3133">_xlfn.IFS(
  AND(B3133&gt;=18, B3133&lt;=24), "18-24",
  AND(B3133&gt;=25, B3133&lt;=34), "25-34",
  AND(B3133&gt;=35, B3133&lt;=44), "35-44",
  AND(B3133&gt;=45, B3133&lt;=54), "45-54",
  B3133&gt;=55, "55+"
)</f>
        <v>25-34</v>
      </c>
      <c r="D3133" t="s">
        <v>153</v>
      </c>
      <c r="E3133" t="s">
        <v>102</v>
      </c>
      <c r="F3133" t="s">
        <v>65</v>
      </c>
      <c r="G3133">
        <v>59</v>
      </c>
      <c r="H3133" t="s">
        <v>114</v>
      </c>
      <c r="I3133" t="s">
        <v>45</v>
      </c>
      <c r="J3133" t="s">
        <v>100</v>
      </c>
      <c r="K3133" t="s">
        <v>58</v>
      </c>
      <c r="L3133">
        <v>2.9</v>
      </c>
      <c r="M3133" t="s">
        <v>152</v>
      </c>
      <c r="N3133" t="s">
        <v>35</v>
      </c>
      <c r="O3133" t="s">
        <v>76</v>
      </c>
      <c r="P3133" t="s">
        <v>152</v>
      </c>
      <c r="Q3133" t="s">
        <v>152</v>
      </c>
      <c r="R3133">
        <v>11</v>
      </c>
      <c r="S3133" t="s">
        <v>34</v>
      </c>
      <c r="T3133" t="str">
        <f t="shared" si="96"/>
        <v>Quarterly</v>
      </c>
      <c r="U3133">
        <f>VLOOKUP(T3133,[1]tablescore!$B$3:$C$8, 2,FALSE)</f>
        <v>4</v>
      </c>
      <c r="V3133" t="str">
        <f t="shared" si="97"/>
        <v>Low Loyalty</v>
      </c>
      <c r="W3133" t="s">
        <v>97</v>
      </c>
    </row>
    <row r="3134" spans="1:23" x14ac:dyDescent="0.25">
      <c r="A3134">
        <v>3133</v>
      </c>
      <c r="B3134">
        <v>33</v>
      </c>
      <c r="C3134" t="str" cm="1">
        <f t="array" ref="C3134">_xlfn.IFS(
  AND(B3134&gt;=18, B3134&lt;=24), "18-24",
  AND(B3134&gt;=25, B3134&lt;=34), "25-34",
  AND(B3134&gt;=35, B3134&lt;=44), "35-44",
  AND(B3134&gt;=45, B3134&lt;=54), "45-54",
  B3134&gt;=55, "55+"
)</f>
        <v>25-34</v>
      </c>
      <c r="D3134" t="s">
        <v>153</v>
      </c>
      <c r="E3134" t="s">
        <v>31</v>
      </c>
      <c r="F3134" t="s">
        <v>21</v>
      </c>
      <c r="G3134">
        <v>97</v>
      </c>
      <c r="H3134" t="s">
        <v>151</v>
      </c>
      <c r="I3134" t="s">
        <v>45</v>
      </c>
      <c r="J3134" t="s">
        <v>139</v>
      </c>
      <c r="K3134" t="s">
        <v>54</v>
      </c>
      <c r="L3134">
        <v>4.2</v>
      </c>
      <c r="M3134" t="s">
        <v>152</v>
      </c>
      <c r="N3134" t="s">
        <v>35</v>
      </c>
      <c r="O3134" t="s">
        <v>28</v>
      </c>
      <c r="P3134" t="s">
        <v>152</v>
      </c>
      <c r="Q3134" t="s">
        <v>152</v>
      </c>
      <c r="R3134">
        <v>26</v>
      </c>
      <c r="S3134" t="s">
        <v>35</v>
      </c>
      <c r="T3134" t="str">
        <f t="shared" si="96"/>
        <v>Quarterly</v>
      </c>
      <c r="U3134">
        <f>VLOOKUP(T3134,[1]tablescore!$B$3:$C$8, 2,FALSE)</f>
        <v>4</v>
      </c>
      <c r="V3134" t="str">
        <f t="shared" si="97"/>
        <v>Low Loyalty</v>
      </c>
      <c r="W3134" t="s">
        <v>60</v>
      </c>
    </row>
    <row r="3135" spans="1:23" x14ac:dyDescent="0.25">
      <c r="A3135">
        <v>3134</v>
      </c>
      <c r="B3135">
        <v>58</v>
      </c>
      <c r="C3135" t="str" cm="1">
        <f t="array" ref="C3135">_xlfn.IFS(
  AND(B3135&gt;=18, B3135&lt;=24), "18-24",
  AND(B3135&gt;=25, B3135&lt;=34), "25-34",
  AND(B3135&gt;=35, B3135&lt;=44), "35-44",
  AND(B3135&gt;=45, B3135&lt;=54), "45-54",
  B3135&gt;=55, "55+"
)</f>
        <v>55+</v>
      </c>
      <c r="D3135" t="s">
        <v>153</v>
      </c>
      <c r="E3135" t="s">
        <v>113</v>
      </c>
      <c r="F3135" t="s">
        <v>21</v>
      </c>
      <c r="G3135">
        <v>68</v>
      </c>
      <c r="H3135" t="s">
        <v>74</v>
      </c>
      <c r="I3135" t="s">
        <v>45</v>
      </c>
      <c r="J3135" t="s">
        <v>121</v>
      </c>
      <c r="K3135" t="s">
        <v>39</v>
      </c>
      <c r="L3135">
        <v>4.0999999999999996</v>
      </c>
      <c r="M3135" t="s">
        <v>152</v>
      </c>
      <c r="N3135" t="s">
        <v>27</v>
      </c>
      <c r="O3135" t="s">
        <v>47</v>
      </c>
      <c r="P3135" t="s">
        <v>152</v>
      </c>
      <c r="Q3135" t="s">
        <v>152</v>
      </c>
      <c r="R3135">
        <v>29</v>
      </c>
      <c r="S3135" t="s">
        <v>35</v>
      </c>
      <c r="T3135" t="str">
        <f t="shared" si="96"/>
        <v>2-week</v>
      </c>
      <c r="U3135">
        <f>VLOOKUP(T3135,[1]tablescore!$B$3:$C$8, 2,FALSE)</f>
        <v>26</v>
      </c>
      <c r="V3135" t="str">
        <f t="shared" si="97"/>
        <v>Loyal</v>
      </c>
      <c r="W3135" t="s">
        <v>77</v>
      </c>
    </row>
    <row r="3136" spans="1:23" x14ac:dyDescent="0.25">
      <c r="A3136">
        <v>3135</v>
      </c>
      <c r="B3136">
        <v>35</v>
      </c>
      <c r="C3136" t="str" cm="1">
        <f t="array" ref="C3136">_xlfn.IFS(
  AND(B3136&gt;=18, B3136&lt;=24), "18-24",
  AND(B3136&gt;=25, B3136&lt;=34), "25-34",
  AND(B3136&gt;=35, B3136&lt;=44), "35-44",
  AND(B3136&gt;=45, B3136&lt;=54), "45-54",
  B3136&gt;=55, "55+"
)</f>
        <v>35-44</v>
      </c>
      <c r="D3136" t="s">
        <v>153</v>
      </c>
      <c r="E3136" t="s">
        <v>132</v>
      </c>
      <c r="F3136" t="s">
        <v>43</v>
      </c>
      <c r="G3136">
        <v>66</v>
      </c>
      <c r="H3136" t="s">
        <v>22</v>
      </c>
      <c r="I3136" t="s">
        <v>23</v>
      </c>
      <c r="J3136" t="s">
        <v>24</v>
      </c>
      <c r="K3136" t="s">
        <v>39</v>
      </c>
      <c r="L3136">
        <v>4.4000000000000004</v>
      </c>
      <c r="M3136" t="s">
        <v>152</v>
      </c>
      <c r="N3136" t="s">
        <v>29</v>
      </c>
      <c r="O3136" t="s">
        <v>76</v>
      </c>
      <c r="P3136" t="s">
        <v>152</v>
      </c>
      <c r="Q3136" t="s">
        <v>152</v>
      </c>
      <c r="R3136">
        <v>47</v>
      </c>
      <c r="S3136" t="s">
        <v>34</v>
      </c>
      <c r="T3136" t="str">
        <f t="shared" si="96"/>
        <v>Daily</v>
      </c>
      <c r="U3136">
        <f>VLOOKUP(T3136,[1]tablescore!$B$3:$C$8, 2,FALSE)</f>
        <v>30</v>
      </c>
      <c r="V3136" t="str">
        <f t="shared" si="97"/>
        <v>Highly Loyal</v>
      </c>
      <c r="W3136" t="s">
        <v>41</v>
      </c>
    </row>
    <row r="3137" spans="1:23" x14ac:dyDescent="0.25">
      <c r="A3137">
        <v>3136</v>
      </c>
      <c r="B3137">
        <v>68</v>
      </c>
      <c r="C3137" t="str" cm="1">
        <f t="array" ref="C3137">_xlfn.IFS(
  AND(B3137&gt;=18, B3137&lt;=24), "18-24",
  AND(B3137&gt;=25, B3137&lt;=34), "25-34",
  AND(B3137&gt;=35, B3137&lt;=44), "35-44",
  AND(B3137&gt;=45, B3137&lt;=54), "45-54",
  B3137&gt;=55, "55+"
)</f>
        <v>55+</v>
      </c>
      <c r="D3137" t="s">
        <v>153</v>
      </c>
      <c r="E3137" t="s">
        <v>73</v>
      </c>
      <c r="F3137" t="s">
        <v>43</v>
      </c>
      <c r="G3137">
        <v>85</v>
      </c>
      <c r="H3137" t="s">
        <v>116</v>
      </c>
      <c r="I3137" t="s">
        <v>23</v>
      </c>
      <c r="J3137" t="s">
        <v>139</v>
      </c>
      <c r="K3137" t="s">
        <v>39</v>
      </c>
      <c r="L3137">
        <v>4.7</v>
      </c>
      <c r="M3137" t="s">
        <v>152</v>
      </c>
      <c r="N3137" t="s">
        <v>34</v>
      </c>
      <c r="O3137" t="s">
        <v>40</v>
      </c>
      <c r="P3137" t="s">
        <v>152</v>
      </c>
      <c r="Q3137" t="s">
        <v>152</v>
      </c>
      <c r="R3137">
        <v>48</v>
      </c>
      <c r="S3137" t="s">
        <v>29</v>
      </c>
      <c r="T3137" t="str">
        <f t="shared" si="96"/>
        <v>2-week</v>
      </c>
      <c r="U3137">
        <f>VLOOKUP(T3137,[1]tablescore!$B$3:$C$8, 2,FALSE)</f>
        <v>26</v>
      </c>
      <c r="V3137" t="str">
        <f t="shared" si="97"/>
        <v>Loyal</v>
      </c>
      <c r="W3137" t="s">
        <v>30</v>
      </c>
    </row>
    <row r="3138" spans="1:23" x14ac:dyDescent="0.25">
      <c r="A3138">
        <v>3137</v>
      </c>
      <c r="B3138">
        <v>58</v>
      </c>
      <c r="C3138" t="str" cm="1">
        <f t="array" ref="C3138">_xlfn.IFS(
  AND(B3138&gt;=18, B3138&lt;=24), "18-24",
  AND(B3138&gt;=25, B3138&lt;=34), "25-34",
  AND(B3138&gt;=35, B3138&lt;=44), "35-44",
  AND(B3138&gt;=45, B3138&lt;=54), "45-54",
  B3138&gt;=55, "55+"
)</f>
        <v>55+</v>
      </c>
      <c r="D3138" t="s">
        <v>153</v>
      </c>
      <c r="E3138" t="s">
        <v>87</v>
      </c>
      <c r="F3138" t="s">
        <v>21</v>
      </c>
      <c r="G3138">
        <v>32</v>
      </c>
      <c r="H3138" t="s">
        <v>134</v>
      </c>
      <c r="I3138" t="s">
        <v>45</v>
      </c>
      <c r="J3138" t="s">
        <v>24</v>
      </c>
      <c r="K3138" t="s">
        <v>58</v>
      </c>
      <c r="L3138">
        <v>3.1</v>
      </c>
      <c r="M3138" t="s">
        <v>152</v>
      </c>
      <c r="N3138" t="s">
        <v>34</v>
      </c>
      <c r="O3138" t="s">
        <v>47</v>
      </c>
      <c r="P3138" t="s">
        <v>152</v>
      </c>
      <c r="Q3138" t="s">
        <v>152</v>
      </c>
      <c r="R3138">
        <v>29</v>
      </c>
      <c r="S3138" t="s">
        <v>35</v>
      </c>
      <c r="T3138" t="str">
        <f t="shared" si="96"/>
        <v>2-week</v>
      </c>
      <c r="U3138">
        <f>VLOOKUP(T3138,[1]tablescore!$B$3:$C$8, 2,FALSE)</f>
        <v>26</v>
      </c>
      <c r="V3138" t="str">
        <f t="shared" si="97"/>
        <v>Loyal</v>
      </c>
      <c r="W3138" t="s">
        <v>77</v>
      </c>
    </row>
    <row r="3139" spans="1:23" x14ac:dyDescent="0.25">
      <c r="A3139">
        <v>3138</v>
      </c>
      <c r="B3139">
        <v>34</v>
      </c>
      <c r="C3139" t="str" cm="1">
        <f t="array" ref="C3139">_xlfn.IFS(
  AND(B3139&gt;=18, B3139&lt;=24), "18-24",
  AND(B3139&gt;=25, B3139&lt;=34), "25-34",
  AND(B3139&gt;=35, B3139&lt;=44), "35-44",
  AND(B3139&gt;=45, B3139&lt;=54), "45-54",
  B3139&gt;=55, "55+"
)</f>
        <v>25-34</v>
      </c>
      <c r="D3139" t="s">
        <v>153</v>
      </c>
      <c r="E3139" t="s">
        <v>64</v>
      </c>
      <c r="F3139" t="s">
        <v>65</v>
      </c>
      <c r="G3139">
        <v>44</v>
      </c>
      <c r="H3139" t="s">
        <v>62</v>
      </c>
      <c r="I3139" t="s">
        <v>45</v>
      </c>
      <c r="J3139" t="s">
        <v>49</v>
      </c>
      <c r="K3139" t="s">
        <v>39</v>
      </c>
      <c r="L3139">
        <v>2.7</v>
      </c>
      <c r="M3139" t="s">
        <v>152</v>
      </c>
      <c r="N3139" t="s">
        <v>35</v>
      </c>
      <c r="O3139" t="s">
        <v>72</v>
      </c>
      <c r="P3139" t="s">
        <v>152</v>
      </c>
      <c r="Q3139" t="s">
        <v>152</v>
      </c>
      <c r="R3139">
        <v>14</v>
      </c>
      <c r="S3139" t="s">
        <v>34</v>
      </c>
      <c r="T3139" t="str">
        <f t="shared" ref="T3139:T3202" si="98">IF(TRIM(W3139)="Every 3 months","Quarterly",IF(TRIM(W3139)="Fortnightly","2-week",IF(TRIM(W3139)="Bi-Weekly","2-week",IF(TRIM(W3139)="Weekly","Daily",IF(TRIM(W3139)="Monthly","Month",TRIM(W3139))))))</f>
        <v>Month</v>
      </c>
      <c r="U3139">
        <f>VLOOKUP(T3139,[1]tablescore!$B$3:$C$8, 2,FALSE)</f>
        <v>12</v>
      </c>
      <c r="V3139" t="str">
        <f t="shared" ref="V3139:V3202" si="99">_xlfn.IFS(U3139&gt;=30, "Highly Loyal", U3139&gt;=26, "Loyal", U3139&gt;=12, "Moderate", U3139&lt;5, "Low Loyalty")</f>
        <v>Moderate</v>
      </c>
      <c r="W3139" t="s">
        <v>88</v>
      </c>
    </row>
    <row r="3140" spans="1:23" x14ac:dyDescent="0.25">
      <c r="A3140">
        <v>3139</v>
      </c>
      <c r="B3140">
        <v>47</v>
      </c>
      <c r="C3140" t="str" cm="1">
        <f t="array" ref="C3140">_xlfn.IFS(
  AND(B3140&gt;=18, B3140&lt;=24), "18-24",
  AND(B3140&gt;=25, B3140&lt;=34), "25-34",
  AND(B3140&gt;=35, B3140&lt;=44), "35-44",
  AND(B3140&gt;=45, B3140&lt;=54), "45-54",
  B3140&gt;=55, "55+"
)</f>
        <v>45-54</v>
      </c>
      <c r="D3140" t="s">
        <v>153</v>
      </c>
      <c r="E3140" t="s">
        <v>20</v>
      </c>
      <c r="F3140" t="s">
        <v>21</v>
      </c>
      <c r="G3140">
        <v>95</v>
      </c>
      <c r="H3140" t="s">
        <v>22</v>
      </c>
      <c r="I3140" t="s">
        <v>23</v>
      </c>
      <c r="J3140" t="s">
        <v>24</v>
      </c>
      <c r="K3140" t="s">
        <v>58</v>
      </c>
      <c r="L3140">
        <v>4.5999999999999996</v>
      </c>
      <c r="M3140" t="s">
        <v>152</v>
      </c>
      <c r="N3140" t="s">
        <v>29</v>
      </c>
      <c r="O3140" t="s">
        <v>47</v>
      </c>
      <c r="P3140" t="s">
        <v>152</v>
      </c>
      <c r="Q3140" t="s">
        <v>152</v>
      </c>
      <c r="R3140">
        <v>40</v>
      </c>
      <c r="S3140" t="s">
        <v>35</v>
      </c>
      <c r="T3140" t="str">
        <f t="shared" si="98"/>
        <v>Quarterly</v>
      </c>
      <c r="U3140">
        <f>VLOOKUP(T3140,[1]tablescore!$B$3:$C$8, 2,FALSE)</f>
        <v>4</v>
      </c>
      <c r="V3140" t="str">
        <f t="shared" si="99"/>
        <v>Low Loyalty</v>
      </c>
      <c r="W3140" t="s">
        <v>97</v>
      </c>
    </row>
    <row r="3141" spans="1:23" x14ac:dyDescent="0.25">
      <c r="A3141">
        <v>3140</v>
      </c>
      <c r="B3141">
        <v>35</v>
      </c>
      <c r="C3141" t="str" cm="1">
        <f t="array" ref="C3141">_xlfn.IFS(
  AND(B3141&gt;=18, B3141&lt;=24), "18-24",
  AND(B3141&gt;=25, B3141&lt;=34), "25-34",
  AND(B3141&gt;=35, B3141&lt;=44), "35-44",
  AND(B3141&gt;=45, B3141&lt;=54), "45-54",
  B3141&gt;=55, "55+"
)</f>
        <v>35-44</v>
      </c>
      <c r="D3141" t="s">
        <v>153</v>
      </c>
      <c r="E3141" t="s">
        <v>89</v>
      </c>
      <c r="F3141" t="s">
        <v>69</v>
      </c>
      <c r="G3141">
        <v>85</v>
      </c>
      <c r="H3141" t="s">
        <v>142</v>
      </c>
      <c r="I3141" t="s">
        <v>45</v>
      </c>
      <c r="J3141" t="s">
        <v>79</v>
      </c>
      <c r="K3141" t="s">
        <v>25</v>
      </c>
      <c r="L3141">
        <v>4.4000000000000004</v>
      </c>
      <c r="M3141" t="s">
        <v>152</v>
      </c>
      <c r="N3141" t="s">
        <v>29</v>
      </c>
      <c r="O3141" t="s">
        <v>47</v>
      </c>
      <c r="P3141" t="s">
        <v>152</v>
      </c>
      <c r="Q3141" t="s">
        <v>152</v>
      </c>
      <c r="R3141">
        <v>4</v>
      </c>
      <c r="S3141" t="s">
        <v>29</v>
      </c>
      <c r="T3141" t="str">
        <f t="shared" si="98"/>
        <v>Daily</v>
      </c>
      <c r="U3141">
        <f>VLOOKUP(T3141,[1]tablescore!$B$3:$C$8, 2,FALSE)</f>
        <v>30</v>
      </c>
      <c r="V3141" t="str">
        <f t="shared" si="99"/>
        <v>Highly Loyal</v>
      </c>
      <c r="W3141" t="s">
        <v>41</v>
      </c>
    </row>
    <row r="3142" spans="1:23" x14ac:dyDescent="0.25">
      <c r="A3142">
        <v>3141</v>
      </c>
      <c r="B3142">
        <v>34</v>
      </c>
      <c r="C3142" t="str" cm="1">
        <f t="array" ref="C3142">_xlfn.IFS(
  AND(B3142&gt;=18, B3142&lt;=24), "18-24",
  AND(B3142&gt;=25, B3142&lt;=34), "25-34",
  AND(B3142&gt;=35, B3142&lt;=44), "35-44",
  AND(B3142&gt;=45, B3142&lt;=54), "45-54",
  B3142&gt;=55, "55+"
)</f>
        <v>25-34</v>
      </c>
      <c r="D3142" t="s">
        <v>153</v>
      </c>
      <c r="E3142" t="s">
        <v>127</v>
      </c>
      <c r="F3142" t="s">
        <v>69</v>
      </c>
      <c r="G3142">
        <v>44</v>
      </c>
      <c r="H3142" t="s">
        <v>120</v>
      </c>
      <c r="I3142" t="s">
        <v>92</v>
      </c>
      <c r="J3142" t="s">
        <v>100</v>
      </c>
      <c r="K3142" t="s">
        <v>54</v>
      </c>
      <c r="L3142">
        <v>4.5999999999999996</v>
      </c>
      <c r="M3142" t="s">
        <v>152</v>
      </c>
      <c r="N3142" t="s">
        <v>59</v>
      </c>
      <c r="O3142" t="s">
        <v>40</v>
      </c>
      <c r="P3142" t="s">
        <v>152</v>
      </c>
      <c r="Q3142" t="s">
        <v>152</v>
      </c>
      <c r="R3142">
        <v>37</v>
      </c>
      <c r="S3142" t="s">
        <v>34</v>
      </c>
      <c r="T3142" t="str">
        <f t="shared" si="98"/>
        <v>Daily</v>
      </c>
      <c r="U3142">
        <f>VLOOKUP(T3142,[1]tablescore!$B$3:$C$8, 2,FALSE)</f>
        <v>30</v>
      </c>
      <c r="V3142" t="str">
        <f t="shared" si="99"/>
        <v>Highly Loyal</v>
      </c>
      <c r="W3142" t="s">
        <v>41</v>
      </c>
    </row>
    <row r="3143" spans="1:23" x14ac:dyDescent="0.25">
      <c r="A3143">
        <v>3142</v>
      </c>
      <c r="B3143">
        <v>36</v>
      </c>
      <c r="C3143" t="str" cm="1">
        <f t="array" ref="C3143">_xlfn.IFS(
  AND(B3143&gt;=18, B3143&lt;=24), "18-24",
  AND(B3143&gt;=25, B3143&lt;=34), "25-34",
  AND(B3143&gt;=35, B3143&lt;=44), "35-44",
  AND(B3143&gt;=45, B3143&lt;=54), "45-54",
  B3143&gt;=55, "55+"
)</f>
        <v>35-44</v>
      </c>
      <c r="D3143" t="s">
        <v>153</v>
      </c>
      <c r="E3143" t="s">
        <v>89</v>
      </c>
      <c r="F3143" t="s">
        <v>69</v>
      </c>
      <c r="G3143">
        <v>30</v>
      </c>
      <c r="H3143" t="s">
        <v>91</v>
      </c>
      <c r="I3143" t="s">
        <v>38</v>
      </c>
      <c r="J3143" t="s">
        <v>100</v>
      </c>
      <c r="K3143" t="s">
        <v>25</v>
      </c>
      <c r="L3143">
        <v>4.9000000000000004</v>
      </c>
      <c r="M3143" t="s">
        <v>152</v>
      </c>
      <c r="N3143" t="s">
        <v>29</v>
      </c>
      <c r="O3143" t="s">
        <v>28</v>
      </c>
      <c r="P3143" t="s">
        <v>152</v>
      </c>
      <c r="Q3143" t="s">
        <v>152</v>
      </c>
      <c r="R3143">
        <v>47</v>
      </c>
      <c r="S3143" t="s">
        <v>27</v>
      </c>
      <c r="T3143" t="str">
        <f t="shared" si="98"/>
        <v>2-week</v>
      </c>
      <c r="U3143">
        <f>VLOOKUP(T3143,[1]tablescore!$B$3:$C$8, 2,FALSE)</f>
        <v>26</v>
      </c>
      <c r="V3143" t="str">
        <f t="shared" si="99"/>
        <v>Loyal</v>
      </c>
      <c r="W3143" t="s">
        <v>77</v>
      </c>
    </row>
    <row r="3144" spans="1:23" x14ac:dyDescent="0.25">
      <c r="A3144">
        <v>3143</v>
      </c>
      <c r="B3144">
        <v>23</v>
      </c>
      <c r="C3144" t="str" cm="1">
        <f t="array" ref="C3144">_xlfn.IFS(
  AND(B3144&gt;=18, B3144&lt;=24), "18-24",
  AND(B3144&gt;=25, B3144&lt;=34), "25-34",
  AND(B3144&gt;=35, B3144&lt;=44), "35-44",
  AND(B3144&gt;=45, B3144&lt;=54), "45-54",
  B3144&gt;=55, "55+"
)</f>
        <v>18-24</v>
      </c>
      <c r="D3144" t="s">
        <v>153</v>
      </c>
      <c r="E3144" t="s">
        <v>51</v>
      </c>
      <c r="F3144" t="s">
        <v>43</v>
      </c>
      <c r="G3144">
        <v>21</v>
      </c>
      <c r="H3144" t="s">
        <v>111</v>
      </c>
      <c r="I3144" t="s">
        <v>23</v>
      </c>
      <c r="J3144" t="s">
        <v>147</v>
      </c>
      <c r="K3144" t="s">
        <v>25</v>
      </c>
      <c r="L3144">
        <v>4</v>
      </c>
      <c r="M3144" t="s">
        <v>152</v>
      </c>
      <c r="N3144" t="s">
        <v>46</v>
      </c>
      <c r="O3144" t="s">
        <v>72</v>
      </c>
      <c r="P3144" t="s">
        <v>152</v>
      </c>
      <c r="Q3144" t="s">
        <v>152</v>
      </c>
      <c r="R3144">
        <v>1</v>
      </c>
      <c r="S3144" t="s">
        <v>29</v>
      </c>
      <c r="T3144" t="str">
        <f t="shared" si="98"/>
        <v>Quarterly</v>
      </c>
      <c r="U3144">
        <f>VLOOKUP(T3144,[1]tablescore!$B$3:$C$8, 2,FALSE)</f>
        <v>4</v>
      </c>
      <c r="V3144" t="str">
        <f t="shared" si="99"/>
        <v>Low Loyalty</v>
      </c>
      <c r="W3144" t="s">
        <v>60</v>
      </c>
    </row>
    <row r="3145" spans="1:23" x14ac:dyDescent="0.25">
      <c r="A3145">
        <v>3144</v>
      </c>
      <c r="B3145">
        <v>68</v>
      </c>
      <c r="C3145" t="str" cm="1">
        <f t="array" ref="C3145">_xlfn.IFS(
  AND(B3145&gt;=18, B3145&lt;=24), "18-24",
  AND(B3145&gt;=25, B3145&lt;=34), "25-34",
  AND(B3145&gt;=35, B3145&lt;=44), "35-44",
  AND(B3145&gt;=45, B3145&lt;=54), "45-54",
  B3145&gt;=55, "55+"
)</f>
        <v>55+</v>
      </c>
      <c r="D3145" t="s">
        <v>153</v>
      </c>
      <c r="E3145" t="s">
        <v>104</v>
      </c>
      <c r="F3145" t="s">
        <v>21</v>
      </c>
      <c r="G3145">
        <v>22</v>
      </c>
      <c r="H3145" t="s">
        <v>117</v>
      </c>
      <c r="I3145" t="s">
        <v>45</v>
      </c>
      <c r="J3145" t="s">
        <v>75</v>
      </c>
      <c r="K3145" t="s">
        <v>54</v>
      </c>
      <c r="L3145">
        <v>2.9</v>
      </c>
      <c r="M3145" t="s">
        <v>152</v>
      </c>
      <c r="N3145" t="s">
        <v>59</v>
      </c>
      <c r="O3145" t="s">
        <v>76</v>
      </c>
      <c r="P3145" t="s">
        <v>152</v>
      </c>
      <c r="Q3145" t="s">
        <v>152</v>
      </c>
      <c r="R3145">
        <v>26</v>
      </c>
      <c r="S3145" t="s">
        <v>35</v>
      </c>
      <c r="T3145" t="str">
        <f t="shared" si="98"/>
        <v>Quarterly</v>
      </c>
      <c r="U3145">
        <f>VLOOKUP(T3145,[1]tablescore!$B$3:$C$8, 2,FALSE)</f>
        <v>4</v>
      </c>
      <c r="V3145" t="str">
        <f t="shared" si="99"/>
        <v>Low Loyalty</v>
      </c>
      <c r="W3145" t="s">
        <v>60</v>
      </c>
    </row>
    <row r="3146" spans="1:23" x14ac:dyDescent="0.25">
      <c r="A3146">
        <v>3145</v>
      </c>
      <c r="B3146">
        <v>23</v>
      </c>
      <c r="C3146" t="str" cm="1">
        <f t="array" ref="C3146">_xlfn.IFS(
  AND(B3146&gt;=18, B3146&lt;=24), "18-24",
  AND(B3146&gt;=25, B3146&lt;=34), "25-34",
  AND(B3146&gt;=35, B3146&lt;=44), "35-44",
  AND(B3146&gt;=45, B3146&lt;=54), "45-54",
  B3146&gt;=55, "55+"
)</f>
        <v>18-24</v>
      </c>
      <c r="D3146" t="s">
        <v>153</v>
      </c>
      <c r="E3146" t="s">
        <v>132</v>
      </c>
      <c r="F3146" t="s">
        <v>43</v>
      </c>
      <c r="G3146">
        <v>70</v>
      </c>
      <c r="H3146" t="s">
        <v>32</v>
      </c>
      <c r="I3146" t="s">
        <v>23</v>
      </c>
      <c r="J3146" t="s">
        <v>118</v>
      </c>
      <c r="K3146" t="s">
        <v>39</v>
      </c>
      <c r="L3146">
        <v>2.6</v>
      </c>
      <c r="M3146" t="s">
        <v>152</v>
      </c>
      <c r="N3146" t="s">
        <v>34</v>
      </c>
      <c r="O3146" t="s">
        <v>40</v>
      </c>
      <c r="P3146" t="s">
        <v>152</v>
      </c>
      <c r="Q3146" t="s">
        <v>152</v>
      </c>
      <c r="R3146">
        <v>12</v>
      </c>
      <c r="S3146" t="s">
        <v>59</v>
      </c>
      <c r="T3146" t="str">
        <f t="shared" si="98"/>
        <v>Quarterly</v>
      </c>
      <c r="U3146">
        <f>VLOOKUP(T3146,[1]tablescore!$B$3:$C$8, 2,FALSE)</f>
        <v>4</v>
      </c>
      <c r="V3146" t="str">
        <f t="shared" si="99"/>
        <v>Low Loyalty</v>
      </c>
      <c r="W3146" t="s">
        <v>60</v>
      </c>
    </row>
    <row r="3147" spans="1:23" x14ac:dyDescent="0.25">
      <c r="A3147">
        <v>3146</v>
      </c>
      <c r="B3147">
        <v>57</v>
      </c>
      <c r="C3147" t="str" cm="1">
        <f t="array" ref="C3147">_xlfn.IFS(
  AND(B3147&gt;=18, B3147&lt;=24), "18-24",
  AND(B3147&gt;=25, B3147&lt;=34), "25-34",
  AND(B3147&gt;=35, B3147&lt;=44), "35-44",
  AND(B3147&gt;=45, B3147&lt;=54), "45-54",
  B3147&gt;=55, "55+"
)</f>
        <v>55+</v>
      </c>
      <c r="D3147" t="s">
        <v>153</v>
      </c>
      <c r="E3147" t="s">
        <v>68</v>
      </c>
      <c r="F3147" t="s">
        <v>69</v>
      </c>
      <c r="G3147">
        <v>29</v>
      </c>
      <c r="H3147" t="s">
        <v>105</v>
      </c>
      <c r="I3147" t="s">
        <v>92</v>
      </c>
      <c r="J3147" t="s">
        <v>75</v>
      </c>
      <c r="K3147" t="s">
        <v>39</v>
      </c>
      <c r="L3147">
        <v>4.5999999999999996</v>
      </c>
      <c r="M3147" t="s">
        <v>152</v>
      </c>
      <c r="N3147" t="s">
        <v>59</v>
      </c>
      <c r="O3147" t="s">
        <v>55</v>
      </c>
      <c r="P3147" t="s">
        <v>152</v>
      </c>
      <c r="Q3147" t="s">
        <v>152</v>
      </c>
      <c r="R3147">
        <v>16</v>
      </c>
      <c r="S3147" t="s">
        <v>46</v>
      </c>
      <c r="T3147" t="str">
        <f t="shared" si="98"/>
        <v>2-week</v>
      </c>
      <c r="U3147">
        <f>VLOOKUP(T3147,[1]tablescore!$B$3:$C$8, 2,FALSE)</f>
        <v>26</v>
      </c>
      <c r="V3147" t="str">
        <f t="shared" si="99"/>
        <v>Loyal</v>
      </c>
      <c r="W3147" t="s">
        <v>30</v>
      </c>
    </row>
    <row r="3148" spans="1:23" x14ac:dyDescent="0.25">
      <c r="A3148">
        <v>3147</v>
      </c>
      <c r="B3148">
        <v>21</v>
      </c>
      <c r="C3148" t="str" cm="1">
        <f t="array" ref="C3148">_xlfn.IFS(
  AND(B3148&gt;=18, B3148&lt;=24), "18-24",
  AND(B3148&gt;=25, B3148&lt;=34), "25-34",
  AND(B3148&gt;=35, B3148&lt;=44), "35-44",
  AND(B3148&gt;=45, B3148&lt;=54), "45-54",
  B3148&gt;=55, "55+"
)</f>
        <v>18-24</v>
      </c>
      <c r="D3148" t="s">
        <v>153</v>
      </c>
      <c r="E3148" t="s">
        <v>56</v>
      </c>
      <c r="F3148" t="s">
        <v>21</v>
      </c>
      <c r="G3148">
        <v>83</v>
      </c>
      <c r="H3148" t="s">
        <v>128</v>
      </c>
      <c r="I3148" t="s">
        <v>38</v>
      </c>
      <c r="J3148" t="s">
        <v>139</v>
      </c>
      <c r="K3148" t="s">
        <v>25</v>
      </c>
      <c r="L3148">
        <v>4.9000000000000004</v>
      </c>
      <c r="M3148" t="s">
        <v>152</v>
      </c>
      <c r="N3148" t="s">
        <v>34</v>
      </c>
      <c r="O3148" t="s">
        <v>40</v>
      </c>
      <c r="P3148" t="s">
        <v>152</v>
      </c>
      <c r="Q3148" t="s">
        <v>152</v>
      </c>
      <c r="R3148">
        <v>19</v>
      </c>
      <c r="S3148" t="s">
        <v>46</v>
      </c>
      <c r="T3148" t="str">
        <f t="shared" si="98"/>
        <v>Annually</v>
      </c>
      <c r="U3148">
        <f>VLOOKUP(T3148,[1]tablescore!$B$3:$C$8, 2,FALSE)</f>
        <v>1</v>
      </c>
      <c r="V3148" t="str">
        <f t="shared" si="99"/>
        <v>Low Loyalty</v>
      </c>
      <c r="W3148" t="s">
        <v>50</v>
      </c>
    </row>
    <row r="3149" spans="1:23" x14ac:dyDescent="0.25">
      <c r="A3149">
        <v>3148</v>
      </c>
      <c r="B3149">
        <v>45</v>
      </c>
      <c r="C3149" t="str" cm="1">
        <f t="array" ref="C3149">_xlfn.IFS(
  AND(B3149&gt;=18, B3149&lt;=24), "18-24",
  AND(B3149&gt;=25, B3149&lt;=34), "25-34",
  AND(B3149&gt;=35, B3149&lt;=44), "35-44",
  AND(B3149&gt;=45, B3149&lt;=54), "45-54",
  B3149&gt;=55, "55+"
)</f>
        <v>45-54</v>
      </c>
      <c r="D3149" t="s">
        <v>153</v>
      </c>
      <c r="E3149" t="s">
        <v>31</v>
      </c>
      <c r="F3149" t="s">
        <v>21</v>
      </c>
      <c r="G3149">
        <v>99</v>
      </c>
      <c r="H3149" t="s">
        <v>114</v>
      </c>
      <c r="I3149" t="s">
        <v>45</v>
      </c>
      <c r="J3149" t="s">
        <v>71</v>
      </c>
      <c r="K3149" t="s">
        <v>25</v>
      </c>
      <c r="L3149">
        <v>4.3</v>
      </c>
      <c r="M3149" t="s">
        <v>152</v>
      </c>
      <c r="N3149" t="s">
        <v>35</v>
      </c>
      <c r="O3149" t="s">
        <v>28</v>
      </c>
      <c r="P3149" t="s">
        <v>152</v>
      </c>
      <c r="Q3149" t="s">
        <v>152</v>
      </c>
      <c r="R3149">
        <v>21</v>
      </c>
      <c r="S3149" t="s">
        <v>27</v>
      </c>
      <c r="T3149" t="str">
        <f t="shared" si="98"/>
        <v>Daily</v>
      </c>
      <c r="U3149">
        <f>VLOOKUP(T3149,[1]tablescore!$B$3:$C$8, 2,FALSE)</f>
        <v>30</v>
      </c>
      <c r="V3149" t="str">
        <f t="shared" si="99"/>
        <v>Highly Loyal</v>
      </c>
      <c r="W3149" t="s">
        <v>41</v>
      </c>
    </row>
    <row r="3150" spans="1:23" x14ac:dyDescent="0.25">
      <c r="A3150">
        <v>3149</v>
      </c>
      <c r="B3150">
        <v>37</v>
      </c>
      <c r="C3150" t="str" cm="1">
        <f t="array" ref="C3150">_xlfn.IFS(
  AND(B3150&gt;=18, B3150&lt;=24), "18-24",
  AND(B3150&gt;=25, B3150&lt;=34), "25-34",
  AND(B3150&gt;=35, B3150&lt;=44), "35-44",
  AND(B3150&gt;=45, B3150&lt;=54), "45-54",
  B3150&gt;=55, "55+"
)</f>
        <v>35-44</v>
      </c>
      <c r="D3150" t="s">
        <v>153</v>
      </c>
      <c r="E3150" t="s">
        <v>61</v>
      </c>
      <c r="F3150" t="s">
        <v>21</v>
      </c>
      <c r="G3150">
        <v>35</v>
      </c>
      <c r="H3150" t="s">
        <v>66</v>
      </c>
      <c r="I3150" t="s">
        <v>23</v>
      </c>
      <c r="J3150" t="s">
        <v>75</v>
      </c>
      <c r="K3150" t="s">
        <v>58</v>
      </c>
      <c r="L3150">
        <v>4.3</v>
      </c>
      <c r="M3150" t="s">
        <v>152</v>
      </c>
      <c r="N3150" t="s">
        <v>27</v>
      </c>
      <c r="O3150" t="s">
        <v>40</v>
      </c>
      <c r="P3150" t="s">
        <v>152</v>
      </c>
      <c r="Q3150" t="s">
        <v>152</v>
      </c>
      <c r="R3150">
        <v>15</v>
      </c>
      <c r="S3150" t="s">
        <v>29</v>
      </c>
      <c r="T3150" t="str">
        <f t="shared" si="98"/>
        <v>Daily</v>
      </c>
      <c r="U3150">
        <f>VLOOKUP(T3150,[1]tablescore!$B$3:$C$8, 2,FALSE)</f>
        <v>30</v>
      </c>
      <c r="V3150" t="str">
        <f t="shared" si="99"/>
        <v>Highly Loyal</v>
      </c>
      <c r="W3150" t="s">
        <v>41</v>
      </c>
    </row>
    <row r="3151" spans="1:23" x14ac:dyDescent="0.25">
      <c r="A3151">
        <v>3150</v>
      </c>
      <c r="B3151">
        <v>18</v>
      </c>
      <c r="C3151" t="str" cm="1">
        <f t="array" ref="C3151">_xlfn.IFS(
  AND(B3151&gt;=18, B3151&lt;=24), "18-24",
  AND(B3151&gt;=25, B3151&lt;=34), "25-34",
  AND(B3151&gt;=35, B3151&lt;=44), "35-44",
  AND(B3151&gt;=45, B3151&lt;=54), "45-54",
  B3151&gt;=55, "55+"
)</f>
        <v>18-24</v>
      </c>
      <c r="D3151" t="s">
        <v>153</v>
      </c>
      <c r="E3151" t="s">
        <v>136</v>
      </c>
      <c r="F3151" t="s">
        <v>69</v>
      </c>
      <c r="G3151">
        <v>40</v>
      </c>
      <c r="H3151" t="s">
        <v>98</v>
      </c>
      <c r="I3151" t="s">
        <v>45</v>
      </c>
      <c r="J3151" t="s">
        <v>93</v>
      </c>
      <c r="K3151" t="s">
        <v>25</v>
      </c>
      <c r="L3151">
        <v>4.5999999999999996</v>
      </c>
      <c r="M3151" t="s">
        <v>152</v>
      </c>
      <c r="N3151" t="s">
        <v>59</v>
      </c>
      <c r="O3151" t="s">
        <v>40</v>
      </c>
      <c r="P3151" t="s">
        <v>152</v>
      </c>
      <c r="Q3151" t="s">
        <v>152</v>
      </c>
      <c r="R3151">
        <v>9</v>
      </c>
      <c r="S3151" t="s">
        <v>29</v>
      </c>
      <c r="T3151" t="str">
        <f t="shared" si="98"/>
        <v>Annually</v>
      </c>
      <c r="U3151">
        <f>VLOOKUP(T3151,[1]tablescore!$B$3:$C$8, 2,FALSE)</f>
        <v>1</v>
      </c>
      <c r="V3151" t="str">
        <f t="shared" si="99"/>
        <v>Low Loyalty</v>
      </c>
      <c r="W3151" t="s">
        <v>50</v>
      </c>
    </row>
    <row r="3152" spans="1:23" x14ac:dyDescent="0.25">
      <c r="A3152">
        <v>3151</v>
      </c>
      <c r="B3152">
        <v>55</v>
      </c>
      <c r="C3152" t="str" cm="1">
        <f t="array" ref="C3152">_xlfn.IFS(
  AND(B3152&gt;=18, B3152&lt;=24), "18-24",
  AND(B3152&gt;=25, B3152&lt;=34), "25-34",
  AND(B3152&gt;=35, B3152&lt;=44), "35-44",
  AND(B3152&gt;=45, B3152&lt;=54), "45-54",
  B3152&gt;=55, "55+"
)</f>
        <v>55+</v>
      </c>
      <c r="D3152" t="s">
        <v>153</v>
      </c>
      <c r="E3152" t="s">
        <v>20</v>
      </c>
      <c r="F3152" t="s">
        <v>21</v>
      </c>
      <c r="G3152">
        <v>25</v>
      </c>
      <c r="H3152" t="s">
        <v>142</v>
      </c>
      <c r="I3152" t="s">
        <v>45</v>
      </c>
      <c r="J3152" t="s">
        <v>100</v>
      </c>
      <c r="K3152" t="s">
        <v>39</v>
      </c>
      <c r="L3152">
        <v>2.6</v>
      </c>
      <c r="M3152" t="s">
        <v>152</v>
      </c>
      <c r="N3152" t="s">
        <v>29</v>
      </c>
      <c r="O3152" t="s">
        <v>28</v>
      </c>
      <c r="P3152" t="s">
        <v>152</v>
      </c>
      <c r="Q3152" t="s">
        <v>152</v>
      </c>
      <c r="R3152">
        <v>7</v>
      </c>
      <c r="S3152" t="s">
        <v>34</v>
      </c>
      <c r="T3152" t="str">
        <f t="shared" si="98"/>
        <v>2-week</v>
      </c>
      <c r="U3152">
        <f>VLOOKUP(T3152,[1]tablescore!$B$3:$C$8, 2,FALSE)</f>
        <v>26</v>
      </c>
      <c r="V3152" t="str">
        <f t="shared" si="99"/>
        <v>Loyal</v>
      </c>
      <c r="W3152" t="s">
        <v>77</v>
      </c>
    </row>
    <row r="3153" spans="1:23" x14ac:dyDescent="0.25">
      <c r="A3153">
        <v>3152</v>
      </c>
      <c r="B3153">
        <v>52</v>
      </c>
      <c r="C3153" t="str" cm="1">
        <f t="array" ref="C3153">_xlfn.IFS(
  AND(B3153&gt;=18, B3153&lt;=24), "18-24",
  AND(B3153&gt;=25, B3153&lt;=34), "25-34",
  AND(B3153&gt;=35, B3153&lt;=44), "35-44",
  AND(B3153&gt;=45, B3153&lt;=54), "45-54",
  B3153&gt;=55, "55+"
)</f>
        <v>45-54</v>
      </c>
      <c r="D3153" t="s">
        <v>153</v>
      </c>
      <c r="E3153" t="s">
        <v>113</v>
      </c>
      <c r="F3153" t="s">
        <v>21</v>
      </c>
      <c r="G3153">
        <v>64</v>
      </c>
      <c r="H3153" t="s">
        <v>123</v>
      </c>
      <c r="I3153" t="s">
        <v>23</v>
      </c>
      <c r="J3153" t="s">
        <v>121</v>
      </c>
      <c r="K3153" t="s">
        <v>58</v>
      </c>
      <c r="L3153">
        <v>3.1</v>
      </c>
      <c r="M3153" t="s">
        <v>152</v>
      </c>
      <c r="N3153" t="s">
        <v>35</v>
      </c>
      <c r="O3153" t="s">
        <v>72</v>
      </c>
      <c r="P3153" t="s">
        <v>152</v>
      </c>
      <c r="Q3153" t="s">
        <v>152</v>
      </c>
      <c r="R3153">
        <v>47</v>
      </c>
      <c r="S3153" t="s">
        <v>34</v>
      </c>
      <c r="T3153" t="str">
        <f t="shared" si="98"/>
        <v>Quarterly</v>
      </c>
      <c r="U3153">
        <f>VLOOKUP(T3153,[1]tablescore!$B$3:$C$8, 2,FALSE)</f>
        <v>4</v>
      </c>
      <c r="V3153" t="str">
        <f t="shared" si="99"/>
        <v>Low Loyalty</v>
      </c>
      <c r="W3153" t="s">
        <v>60</v>
      </c>
    </row>
    <row r="3154" spans="1:23" x14ac:dyDescent="0.25">
      <c r="A3154">
        <v>3153</v>
      </c>
      <c r="B3154">
        <v>49</v>
      </c>
      <c r="C3154" t="str" cm="1">
        <f t="array" ref="C3154">_xlfn.IFS(
  AND(B3154&gt;=18, B3154&lt;=24), "18-24",
  AND(B3154&gt;=25, B3154&lt;=34), "25-34",
  AND(B3154&gt;=35, B3154&lt;=44), "35-44",
  AND(B3154&gt;=45, B3154&lt;=54), "45-54",
  B3154&gt;=55, "55+"
)</f>
        <v>45-54</v>
      </c>
      <c r="D3154" t="s">
        <v>153</v>
      </c>
      <c r="E3154" t="s">
        <v>136</v>
      </c>
      <c r="F3154" t="s">
        <v>69</v>
      </c>
      <c r="G3154">
        <v>90</v>
      </c>
      <c r="H3154" t="s">
        <v>98</v>
      </c>
      <c r="I3154" t="s">
        <v>45</v>
      </c>
      <c r="J3154" t="s">
        <v>108</v>
      </c>
      <c r="K3154" t="s">
        <v>58</v>
      </c>
      <c r="L3154">
        <v>3.1</v>
      </c>
      <c r="M3154" t="s">
        <v>152</v>
      </c>
      <c r="N3154" t="s">
        <v>29</v>
      </c>
      <c r="O3154" t="s">
        <v>76</v>
      </c>
      <c r="P3154" t="s">
        <v>152</v>
      </c>
      <c r="Q3154" t="s">
        <v>152</v>
      </c>
      <c r="R3154">
        <v>17</v>
      </c>
      <c r="S3154" t="s">
        <v>46</v>
      </c>
      <c r="T3154" t="str">
        <f t="shared" si="98"/>
        <v>Month</v>
      </c>
      <c r="U3154">
        <f>VLOOKUP(T3154,[1]tablescore!$B$3:$C$8, 2,FALSE)</f>
        <v>12</v>
      </c>
      <c r="V3154" t="str">
        <f t="shared" si="99"/>
        <v>Moderate</v>
      </c>
      <c r="W3154" t="s">
        <v>88</v>
      </c>
    </row>
    <row r="3155" spans="1:23" x14ac:dyDescent="0.25">
      <c r="A3155">
        <v>3154</v>
      </c>
      <c r="B3155">
        <v>56</v>
      </c>
      <c r="C3155" t="str" cm="1">
        <f t="array" ref="C3155">_xlfn.IFS(
  AND(B3155&gt;=18, B3155&lt;=24), "18-24",
  AND(B3155&gt;=25, B3155&lt;=34), "25-34",
  AND(B3155&gt;=35, B3155&lt;=44), "35-44",
  AND(B3155&gt;=45, B3155&lt;=54), "45-54",
  B3155&gt;=55, "55+"
)</f>
        <v>55+</v>
      </c>
      <c r="D3155" t="s">
        <v>153</v>
      </c>
      <c r="E3155" t="s">
        <v>131</v>
      </c>
      <c r="F3155" t="s">
        <v>21</v>
      </c>
      <c r="G3155">
        <v>88</v>
      </c>
      <c r="H3155" t="s">
        <v>90</v>
      </c>
      <c r="I3155" t="s">
        <v>23</v>
      </c>
      <c r="J3155" t="s">
        <v>108</v>
      </c>
      <c r="K3155" t="s">
        <v>58</v>
      </c>
      <c r="L3155">
        <v>3.1</v>
      </c>
      <c r="M3155" t="s">
        <v>152</v>
      </c>
      <c r="N3155" t="s">
        <v>34</v>
      </c>
      <c r="O3155" t="s">
        <v>47</v>
      </c>
      <c r="P3155" t="s">
        <v>152</v>
      </c>
      <c r="Q3155" t="s">
        <v>152</v>
      </c>
      <c r="R3155">
        <v>46</v>
      </c>
      <c r="S3155" t="s">
        <v>29</v>
      </c>
      <c r="T3155" t="str">
        <f t="shared" si="98"/>
        <v>2-week</v>
      </c>
      <c r="U3155">
        <f>VLOOKUP(T3155,[1]tablescore!$B$3:$C$8, 2,FALSE)</f>
        <v>26</v>
      </c>
      <c r="V3155" t="str">
        <f t="shared" si="99"/>
        <v>Loyal</v>
      </c>
      <c r="W3155" t="s">
        <v>30</v>
      </c>
    </row>
    <row r="3156" spans="1:23" x14ac:dyDescent="0.25">
      <c r="A3156">
        <v>3155</v>
      </c>
      <c r="B3156">
        <v>27</v>
      </c>
      <c r="C3156" t="str" cm="1">
        <f t="array" ref="C3156">_xlfn.IFS(
  AND(B3156&gt;=18, B3156&lt;=24), "18-24",
  AND(B3156&gt;=25, B3156&lt;=34), "25-34",
  AND(B3156&gt;=35, B3156&lt;=44), "35-44",
  AND(B3156&gt;=45, B3156&lt;=54), "45-54",
  B3156&gt;=55, "55+"
)</f>
        <v>25-34</v>
      </c>
      <c r="D3156" t="s">
        <v>153</v>
      </c>
      <c r="E3156" t="s">
        <v>136</v>
      </c>
      <c r="F3156" t="s">
        <v>69</v>
      </c>
      <c r="G3156">
        <v>55</v>
      </c>
      <c r="H3156" t="s">
        <v>146</v>
      </c>
      <c r="I3156" t="s">
        <v>45</v>
      </c>
      <c r="J3156" t="s">
        <v>81</v>
      </c>
      <c r="K3156" t="s">
        <v>25</v>
      </c>
      <c r="L3156">
        <v>4.4000000000000004</v>
      </c>
      <c r="M3156" t="s">
        <v>152</v>
      </c>
      <c r="N3156" t="s">
        <v>29</v>
      </c>
      <c r="O3156" t="s">
        <v>55</v>
      </c>
      <c r="P3156" t="s">
        <v>152</v>
      </c>
      <c r="Q3156" t="s">
        <v>152</v>
      </c>
      <c r="R3156">
        <v>32</v>
      </c>
      <c r="S3156" t="s">
        <v>35</v>
      </c>
      <c r="T3156" t="str">
        <f t="shared" si="98"/>
        <v>Quarterly</v>
      </c>
      <c r="U3156">
        <f>VLOOKUP(T3156,[1]tablescore!$B$3:$C$8, 2,FALSE)</f>
        <v>4</v>
      </c>
      <c r="V3156" t="str">
        <f t="shared" si="99"/>
        <v>Low Loyalty</v>
      </c>
      <c r="W3156" t="s">
        <v>60</v>
      </c>
    </row>
    <row r="3157" spans="1:23" x14ac:dyDescent="0.25">
      <c r="A3157">
        <v>3156</v>
      </c>
      <c r="B3157">
        <v>22</v>
      </c>
      <c r="C3157" t="str" cm="1">
        <f t="array" ref="C3157">_xlfn.IFS(
  AND(B3157&gt;=18, B3157&lt;=24), "18-24",
  AND(B3157&gt;=25, B3157&lt;=34), "25-34",
  AND(B3157&gt;=35, B3157&lt;=44), "35-44",
  AND(B3157&gt;=45, B3157&lt;=54), "45-54",
  B3157&gt;=55, "55+"
)</f>
        <v>18-24</v>
      </c>
      <c r="D3157" t="s">
        <v>153</v>
      </c>
      <c r="E3157" t="s">
        <v>68</v>
      </c>
      <c r="F3157" t="s">
        <v>69</v>
      </c>
      <c r="G3157">
        <v>90</v>
      </c>
      <c r="H3157" t="s">
        <v>57</v>
      </c>
      <c r="I3157" t="s">
        <v>45</v>
      </c>
      <c r="J3157" t="s">
        <v>110</v>
      </c>
      <c r="K3157" t="s">
        <v>58</v>
      </c>
      <c r="L3157">
        <v>4.3</v>
      </c>
      <c r="M3157" t="s">
        <v>152</v>
      </c>
      <c r="N3157" t="s">
        <v>46</v>
      </c>
      <c r="O3157" t="s">
        <v>40</v>
      </c>
      <c r="P3157" t="s">
        <v>152</v>
      </c>
      <c r="Q3157" t="s">
        <v>152</v>
      </c>
      <c r="R3157">
        <v>34</v>
      </c>
      <c r="S3157" t="s">
        <v>35</v>
      </c>
      <c r="T3157" t="str">
        <f t="shared" si="98"/>
        <v>Annually</v>
      </c>
      <c r="U3157">
        <f>VLOOKUP(T3157,[1]tablescore!$B$3:$C$8, 2,FALSE)</f>
        <v>1</v>
      </c>
      <c r="V3157" t="str">
        <f t="shared" si="99"/>
        <v>Low Loyalty</v>
      </c>
      <c r="W3157" t="s">
        <v>50</v>
      </c>
    </row>
    <row r="3158" spans="1:23" x14ac:dyDescent="0.25">
      <c r="A3158">
        <v>3157</v>
      </c>
      <c r="B3158">
        <v>18</v>
      </c>
      <c r="C3158" t="str" cm="1">
        <f t="array" ref="C3158">_xlfn.IFS(
  AND(B3158&gt;=18, B3158&lt;=24), "18-24",
  AND(B3158&gt;=25, B3158&lt;=34), "25-34",
  AND(B3158&gt;=35, B3158&lt;=44), "35-44",
  AND(B3158&gt;=45, B3158&lt;=54), "45-54",
  B3158&gt;=55, "55+"
)</f>
        <v>18-24</v>
      </c>
      <c r="D3158" t="s">
        <v>153</v>
      </c>
      <c r="E3158" t="s">
        <v>56</v>
      </c>
      <c r="F3158" t="s">
        <v>21</v>
      </c>
      <c r="G3158">
        <v>50</v>
      </c>
      <c r="H3158" t="s">
        <v>57</v>
      </c>
      <c r="I3158" t="s">
        <v>45</v>
      </c>
      <c r="J3158" t="s">
        <v>94</v>
      </c>
      <c r="K3158" t="s">
        <v>25</v>
      </c>
      <c r="L3158">
        <v>3.1</v>
      </c>
      <c r="M3158" t="s">
        <v>152</v>
      </c>
      <c r="N3158" t="s">
        <v>35</v>
      </c>
      <c r="O3158" t="s">
        <v>72</v>
      </c>
      <c r="P3158" t="s">
        <v>152</v>
      </c>
      <c r="Q3158" t="s">
        <v>152</v>
      </c>
      <c r="R3158">
        <v>18</v>
      </c>
      <c r="S3158" t="s">
        <v>35</v>
      </c>
      <c r="T3158" t="str">
        <f t="shared" si="98"/>
        <v>Month</v>
      </c>
      <c r="U3158">
        <f>VLOOKUP(T3158,[1]tablescore!$B$3:$C$8, 2,FALSE)</f>
        <v>12</v>
      </c>
      <c r="V3158" t="str">
        <f t="shared" si="99"/>
        <v>Moderate</v>
      </c>
      <c r="W3158" t="s">
        <v>88</v>
      </c>
    </row>
    <row r="3159" spans="1:23" x14ac:dyDescent="0.25">
      <c r="A3159">
        <v>3158</v>
      </c>
      <c r="B3159">
        <v>21</v>
      </c>
      <c r="C3159" t="str" cm="1">
        <f t="array" ref="C3159">_xlfn.IFS(
  AND(B3159&gt;=18, B3159&lt;=24), "18-24",
  AND(B3159&gt;=25, B3159&lt;=34), "25-34",
  AND(B3159&gt;=35, B3159&lt;=44), "35-44",
  AND(B3159&gt;=45, B3159&lt;=54), "45-54",
  B3159&gt;=55, "55+"
)</f>
        <v>18-24</v>
      </c>
      <c r="D3159" t="s">
        <v>153</v>
      </c>
      <c r="E3159" t="s">
        <v>136</v>
      </c>
      <c r="F3159" t="s">
        <v>69</v>
      </c>
      <c r="G3159">
        <v>34</v>
      </c>
      <c r="H3159" t="s">
        <v>32</v>
      </c>
      <c r="I3159" t="s">
        <v>23</v>
      </c>
      <c r="J3159" t="s">
        <v>108</v>
      </c>
      <c r="K3159" t="s">
        <v>58</v>
      </c>
      <c r="L3159">
        <v>3.1</v>
      </c>
      <c r="M3159" t="s">
        <v>152</v>
      </c>
      <c r="N3159" t="s">
        <v>34</v>
      </c>
      <c r="O3159" t="s">
        <v>76</v>
      </c>
      <c r="P3159" t="s">
        <v>152</v>
      </c>
      <c r="Q3159" t="s">
        <v>152</v>
      </c>
      <c r="R3159">
        <v>5</v>
      </c>
      <c r="S3159" t="s">
        <v>59</v>
      </c>
      <c r="T3159" t="str">
        <f t="shared" si="98"/>
        <v>2-week</v>
      </c>
      <c r="U3159">
        <f>VLOOKUP(T3159,[1]tablescore!$B$3:$C$8, 2,FALSE)</f>
        <v>26</v>
      </c>
      <c r="V3159" t="str">
        <f t="shared" si="99"/>
        <v>Loyal</v>
      </c>
      <c r="W3159" t="s">
        <v>30</v>
      </c>
    </row>
    <row r="3160" spans="1:23" x14ac:dyDescent="0.25">
      <c r="A3160">
        <v>3159</v>
      </c>
      <c r="B3160">
        <v>30</v>
      </c>
      <c r="C3160" t="str" cm="1">
        <f t="array" ref="C3160">_xlfn.IFS(
  AND(B3160&gt;=18, B3160&lt;=24), "18-24",
  AND(B3160&gt;=25, B3160&lt;=34), "25-34",
  AND(B3160&gt;=35, B3160&lt;=44), "35-44",
  AND(B3160&gt;=45, B3160&lt;=54), "45-54",
  B3160&gt;=55, "55+"
)</f>
        <v>25-34</v>
      </c>
      <c r="D3160" t="s">
        <v>153</v>
      </c>
      <c r="E3160" t="s">
        <v>106</v>
      </c>
      <c r="F3160" t="s">
        <v>69</v>
      </c>
      <c r="G3160">
        <v>77</v>
      </c>
      <c r="H3160" t="s">
        <v>91</v>
      </c>
      <c r="I3160" t="s">
        <v>45</v>
      </c>
      <c r="J3160" t="s">
        <v>24</v>
      </c>
      <c r="K3160" t="s">
        <v>25</v>
      </c>
      <c r="L3160">
        <v>4.9000000000000004</v>
      </c>
      <c r="M3160" t="s">
        <v>152</v>
      </c>
      <c r="N3160" t="s">
        <v>46</v>
      </c>
      <c r="O3160" t="s">
        <v>72</v>
      </c>
      <c r="P3160" t="s">
        <v>152</v>
      </c>
      <c r="Q3160" t="s">
        <v>152</v>
      </c>
      <c r="R3160">
        <v>44</v>
      </c>
      <c r="S3160" t="s">
        <v>27</v>
      </c>
      <c r="T3160" t="str">
        <f t="shared" si="98"/>
        <v>Month</v>
      </c>
      <c r="U3160">
        <f>VLOOKUP(T3160,[1]tablescore!$B$3:$C$8, 2,FALSE)</f>
        <v>12</v>
      </c>
      <c r="V3160" t="str">
        <f t="shared" si="99"/>
        <v>Moderate</v>
      </c>
      <c r="W3160" t="s">
        <v>88</v>
      </c>
    </row>
    <row r="3161" spans="1:23" x14ac:dyDescent="0.25">
      <c r="A3161">
        <v>3160</v>
      </c>
      <c r="B3161">
        <v>62</v>
      </c>
      <c r="C3161" t="str" cm="1">
        <f t="array" ref="C3161">_xlfn.IFS(
  AND(B3161&gt;=18, B3161&lt;=24), "18-24",
  AND(B3161&gt;=25, B3161&lt;=34), "25-34",
  AND(B3161&gt;=35, B3161&lt;=44), "35-44",
  AND(B3161&gt;=45, B3161&lt;=54), "45-54",
  B3161&gt;=55, "55+"
)</f>
        <v>55+</v>
      </c>
      <c r="D3161" t="s">
        <v>153</v>
      </c>
      <c r="E3161" t="s">
        <v>125</v>
      </c>
      <c r="F3161" t="s">
        <v>69</v>
      </c>
      <c r="G3161">
        <v>89</v>
      </c>
      <c r="H3161" t="s">
        <v>62</v>
      </c>
      <c r="I3161" t="s">
        <v>23</v>
      </c>
      <c r="J3161" t="s">
        <v>71</v>
      </c>
      <c r="K3161" t="s">
        <v>25</v>
      </c>
      <c r="L3161">
        <v>2.9</v>
      </c>
      <c r="M3161" t="s">
        <v>152</v>
      </c>
      <c r="N3161" t="s">
        <v>46</v>
      </c>
      <c r="O3161" t="s">
        <v>76</v>
      </c>
      <c r="P3161" t="s">
        <v>152</v>
      </c>
      <c r="Q3161" t="s">
        <v>152</v>
      </c>
      <c r="R3161">
        <v>4</v>
      </c>
      <c r="S3161" t="s">
        <v>34</v>
      </c>
      <c r="T3161" t="str">
        <f t="shared" si="98"/>
        <v>Quarterly</v>
      </c>
      <c r="U3161">
        <f>VLOOKUP(T3161,[1]tablescore!$B$3:$C$8, 2,FALSE)</f>
        <v>4</v>
      </c>
      <c r="V3161" t="str">
        <f t="shared" si="99"/>
        <v>Low Loyalty</v>
      </c>
      <c r="W3161" t="s">
        <v>60</v>
      </c>
    </row>
    <row r="3162" spans="1:23" x14ac:dyDescent="0.25">
      <c r="A3162">
        <v>3161</v>
      </c>
      <c r="B3162">
        <v>28</v>
      </c>
      <c r="C3162" t="str" cm="1">
        <f t="array" ref="C3162">_xlfn.IFS(
  AND(B3162&gt;=18, B3162&lt;=24), "18-24",
  AND(B3162&gt;=25, B3162&lt;=34), "25-34",
  AND(B3162&gt;=35, B3162&lt;=44), "35-44",
  AND(B3162&gt;=45, B3162&lt;=54), "45-54",
  B3162&gt;=55, "55+"
)</f>
        <v>25-34</v>
      </c>
      <c r="D3162" t="s">
        <v>153</v>
      </c>
      <c r="E3162" t="s">
        <v>133</v>
      </c>
      <c r="F3162" t="s">
        <v>69</v>
      </c>
      <c r="G3162">
        <v>87</v>
      </c>
      <c r="H3162" t="s">
        <v>143</v>
      </c>
      <c r="I3162" t="s">
        <v>92</v>
      </c>
      <c r="J3162" t="s">
        <v>49</v>
      </c>
      <c r="K3162" t="s">
        <v>58</v>
      </c>
      <c r="L3162">
        <v>3.8</v>
      </c>
      <c r="M3162" t="s">
        <v>152</v>
      </c>
      <c r="N3162" t="s">
        <v>59</v>
      </c>
      <c r="O3162" t="s">
        <v>47</v>
      </c>
      <c r="P3162" t="s">
        <v>152</v>
      </c>
      <c r="Q3162" t="s">
        <v>152</v>
      </c>
      <c r="R3162">
        <v>37</v>
      </c>
      <c r="S3162" t="s">
        <v>35</v>
      </c>
      <c r="T3162" t="str">
        <f t="shared" si="98"/>
        <v>2-week</v>
      </c>
      <c r="U3162">
        <f>VLOOKUP(T3162,[1]tablescore!$B$3:$C$8, 2,FALSE)</f>
        <v>26</v>
      </c>
      <c r="V3162" t="str">
        <f t="shared" si="99"/>
        <v>Loyal</v>
      </c>
      <c r="W3162" t="s">
        <v>30</v>
      </c>
    </row>
    <row r="3163" spans="1:23" x14ac:dyDescent="0.25">
      <c r="A3163">
        <v>3162</v>
      </c>
      <c r="B3163">
        <v>66</v>
      </c>
      <c r="C3163" t="str" cm="1">
        <f t="array" ref="C3163">_xlfn.IFS(
  AND(B3163&gt;=18, B3163&lt;=24), "18-24",
  AND(B3163&gt;=25, B3163&lt;=34), "25-34",
  AND(B3163&gt;=35, B3163&lt;=44), "35-44",
  AND(B3163&gt;=45, B3163&lt;=54), "45-54",
  B3163&gt;=55, "55+"
)</f>
        <v>55+</v>
      </c>
      <c r="D3163" t="s">
        <v>153</v>
      </c>
      <c r="E3163" t="s">
        <v>82</v>
      </c>
      <c r="F3163" t="s">
        <v>21</v>
      </c>
      <c r="G3163">
        <v>77</v>
      </c>
      <c r="H3163" t="s">
        <v>37</v>
      </c>
      <c r="I3163" t="s">
        <v>38</v>
      </c>
      <c r="J3163" t="s">
        <v>63</v>
      </c>
      <c r="K3163" t="s">
        <v>25</v>
      </c>
      <c r="L3163">
        <v>4.2</v>
      </c>
      <c r="M3163" t="s">
        <v>152</v>
      </c>
      <c r="N3163" t="s">
        <v>35</v>
      </c>
      <c r="O3163" t="s">
        <v>72</v>
      </c>
      <c r="P3163" t="s">
        <v>152</v>
      </c>
      <c r="Q3163" t="s">
        <v>152</v>
      </c>
      <c r="R3163">
        <v>43</v>
      </c>
      <c r="S3163" t="s">
        <v>35</v>
      </c>
      <c r="T3163" t="str">
        <f t="shared" si="98"/>
        <v>Month</v>
      </c>
      <c r="U3163">
        <f>VLOOKUP(T3163,[1]tablescore!$B$3:$C$8, 2,FALSE)</f>
        <v>12</v>
      </c>
      <c r="V3163" t="str">
        <f t="shared" si="99"/>
        <v>Moderate</v>
      </c>
      <c r="W3163" t="s">
        <v>88</v>
      </c>
    </row>
    <row r="3164" spans="1:23" x14ac:dyDescent="0.25">
      <c r="A3164">
        <v>3163</v>
      </c>
      <c r="B3164">
        <v>66</v>
      </c>
      <c r="C3164" t="str" cm="1">
        <f t="array" ref="C3164">_xlfn.IFS(
  AND(B3164&gt;=18, B3164&lt;=24), "18-24",
  AND(B3164&gt;=25, B3164&lt;=34), "25-34",
  AND(B3164&gt;=35, B3164&lt;=44), "35-44",
  AND(B3164&gt;=45, B3164&lt;=54), "45-54",
  B3164&gt;=55, "55+"
)</f>
        <v>55+</v>
      </c>
      <c r="D3164" t="s">
        <v>153</v>
      </c>
      <c r="E3164" t="s">
        <v>73</v>
      </c>
      <c r="F3164" t="s">
        <v>43</v>
      </c>
      <c r="G3164">
        <v>85</v>
      </c>
      <c r="H3164" t="s">
        <v>148</v>
      </c>
      <c r="I3164" t="s">
        <v>23</v>
      </c>
      <c r="J3164" t="s">
        <v>138</v>
      </c>
      <c r="K3164" t="s">
        <v>25</v>
      </c>
      <c r="L3164">
        <v>3.9</v>
      </c>
      <c r="M3164" t="s">
        <v>152</v>
      </c>
      <c r="N3164" t="s">
        <v>27</v>
      </c>
      <c r="O3164" t="s">
        <v>55</v>
      </c>
      <c r="P3164" t="s">
        <v>152</v>
      </c>
      <c r="Q3164" t="s">
        <v>152</v>
      </c>
      <c r="R3164">
        <v>28</v>
      </c>
      <c r="S3164" t="s">
        <v>34</v>
      </c>
      <c r="T3164" t="str">
        <f t="shared" si="98"/>
        <v>Quarterly</v>
      </c>
      <c r="U3164">
        <f>VLOOKUP(T3164,[1]tablescore!$B$3:$C$8, 2,FALSE)</f>
        <v>4</v>
      </c>
      <c r="V3164" t="str">
        <f t="shared" si="99"/>
        <v>Low Loyalty</v>
      </c>
      <c r="W3164" t="s">
        <v>60</v>
      </c>
    </row>
    <row r="3165" spans="1:23" x14ac:dyDescent="0.25">
      <c r="A3165">
        <v>3164</v>
      </c>
      <c r="B3165">
        <v>49</v>
      </c>
      <c r="C3165" t="str" cm="1">
        <f t="array" ref="C3165">_xlfn.IFS(
  AND(B3165&gt;=18, B3165&lt;=24), "18-24",
  AND(B3165&gt;=25, B3165&lt;=34), "25-34",
  AND(B3165&gt;=35, B3165&lt;=44), "35-44",
  AND(B3165&gt;=45, B3165&lt;=54), "45-54",
  B3165&gt;=55, "55+"
)</f>
        <v>45-54</v>
      </c>
      <c r="D3165" t="s">
        <v>153</v>
      </c>
      <c r="E3165" t="s">
        <v>95</v>
      </c>
      <c r="F3165" t="s">
        <v>21</v>
      </c>
      <c r="G3165">
        <v>66</v>
      </c>
      <c r="H3165" t="s">
        <v>143</v>
      </c>
      <c r="I3165" t="s">
        <v>92</v>
      </c>
      <c r="J3165" t="s">
        <v>49</v>
      </c>
      <c r="K3165" t="s">
        <v>54</v>
      </c>
      <c r="L3165">
        <v>2.8</v>
      </c>
      <c r="M3165" t="s">
        <v>152</v>
      </c>
      <c r="N3165" t="s">
        <v>34</v>
      </c>
      <c r="O3165" t="s">
        <v>28</v>
      </c>
      <c r="P3165" t="s">
        <v>152</v>
      </c>
      <c r="Q3165" t="s">
        <v>152</v>
      </c>
      <c r="R3165">
        <v>36</v>
      </c>
      <c r="S3165" t="s">
        <v>35</v>
      </c>
      <c r="T3165" t="str">
        <f t="shared" si="98"/>
        <v>Month</v>
      </c>
      <c r="U3165">
        <f>VLOOKUP(T3165,[1]tablescore!$B$3:$C$8, 2,FALSE)</f>
        <v>12</v>
      </c>
      <c r="V3165" t="str">
        <f t="shared" si="99"/>
        <v>Moderate</v>
      </c>
      <c r="W3165" t="s">
        <v>88</v>
      </c>
    </row>
    <row r="3166" spans="1:23" x14ac:dyDescent="0.25">
      <c r="A3166">
        <v>3165</v>
      </c>
      <c r="B3166">
        <v>40</v>
      </c>
      <c r="C3166" t="str" cm="1">
        <f t="array" ref="C3166">_xlfn.IFS(
  AND(B3166&gt;=18, B3166&lt;=24), "18-24",
  AND(B3166&gt;=25, B3166&lt;=34), "25-34",
  AND(B3166&gt;=35, B3166&lt;=44), "35-44",
  AND(B3166&gt;=45, B3166&lt;=54), "45-54",
  B3166&gt;=55, "55+"
)</f>
        <v>35-44</v>
      </c>
      <c r="D3166" t="s">
        <v>153</v>
      </c>
      <c r="E3166" t="s">
        <v>82</v>
      </c>
      <c r="F3166" t="s">
        <v>21</v>
      </c>
      <c r="G3166">
        <v>32</v>
      </c>
      <c r="H3166" t="s">
        <v>117</v>
      </c>
      <c r="I3166" t="s">
        <v>23</v>
      </c>
      <c r="J3166" t="s">
        <v>67</v>
      </c>
      <c r="K3166" t="s">
        <v>25</v>
      </c>
      <c r="L3166">
        <v>2.6</v>
      </c>
      <c r="M3166" t="s">
        <v>152</v>
      </c>
      <c r="N3166" t="s">
        <v>35</v>
      </c>
      <c r="O3166" t="s">
        <v>55</v>
      </c>
      <c r="P3166" t="s">
        <v>152</v>
      </c>
      <c r="Q3166" t="s">
        <v>152</v>
      </c>
      <c r="R3166">
        <v>16</v>
      </c>
      <c r="S3166" t="s">
        <v>27</v>
      </c>
      <c r="T3166" t="str">
        <f t="shared" si="98"/>
        <v>Annually</v>
      </c>
      <c r="U3166">
        <f>VLOOKUP(T3166,[1]tablescore!$B$3:$C$8, 2,FALSE)</f>
        <v>1</v>
      </c>
      <c r="V3166" t="str">
        <f t="shared" si="99"/>
        <v>Low Loyalty</v>
      </c>
      <c r="W3166" t="s">
        <v>50</v>
      </c>
    </row>
    <row r="3167" spans="1:23" x14ac:dyDescent="0.25">
      <c r="A3167">
        <v>3166</v>
      </c>
      <c r="B3167">
        <v>49</v>
      </c>
      <c r="C3167" t="str" cm="1">
        <f t="array" ref="C3167">_xlfn.IFS(
  AND(B3167&gt;=18, B3167&lt;=24), "18-24",
  AND(B3167&gt;=25, B3167&lt;=34), "25-34",
  AND(B3167&gt;=35, B3167&lt;=44), "35-44",
  AND(B3167&gt;=45, B3167&lt;=54), "45-54",
  B3167&gt;=55, "55+"
)</f>
        <v>45-54</v>
      </c>
      <c r="D3167" t="s">
        <v>153</v>
      </c>
      <c r="E3167" t="s">
        <v>102</v>
      </c>
      <c r="F3167" t="s">
        <v>65</v>
      </c>
      <c r="G3167">
        <v>92</v>
      </c>
      <c r="H3167" t="s">
        <v>78</v>
      </c>
      <c r="I3167" t="s">
        <v>45</v>
      </c>
      <c r="J3167" t="s">
        <v>93</v>
      </c>
      <c r="K3167" t="s">
        <v>39</v>
      </c>
      <c r="L3167">
        <v>3</v>
      </c>
      <c r="M3167" t="s">
        <v>152</v>
      </c>
      <c r="N3167" t="s">
        <v>46</v>
      </c>
      <c r="O3167" t="s">
        <v>76</v>
      </c>
      <c r="P3167" t="s">
        <v>152</v>
      </c>
      <c r="Q3167" t="s">
        <v>152</v>
      </c>
      <c r="R3167">
        <v>38</v>
      </c>
      <c r="S3167" t="s">
        <v>34</v>
      </c>
      <c r="T3167" t="str">
        <f t="shared" si="98"/>
        <v>Quarterly</v>
      </c>
      <c r="U3167">
        <f>VLOOKUP(T3167,[1]tablescore!$B$3:$C$8, 2,FALSE)</f>
        <v>4</v>
      </c>
      <c r="V3167" t="str">
        <f t="shared" si="99"/>
        <v>Low Loyalty</v>
      </c>
      <c r="W3167" t="s">
        <v>97</v>
      </c>
    </row>
    <row r="3168" spans="1:23" x14ac:dyDescent="0.25">
      <c r="A3168">
        <v>3167</v>
      </c>
      <c r="B3168">
        <v>19</v>
      </c>
      <c r="C3168" t="str" cm="1">
        <f t="array" ref="C3168">_xlfn.IFS(
  AND(B3168&gt;=18, B3168&lt;=24), "18-24",
  AND(B3168&gt;=25, B3168&lt;=34), "25-34",
  AND(B3168&gt;=35, B3168&lt;=44), "35-44",
  AND(B3168&gt;=45, B3168&lt;=54), "45-54",
  B3168&gt;=55, "55+"
)</f>
        <v>18-24</v>
      </c>
      <c r="D3168" t="s">
        <v>153</v>
      </c>
      <c r="E3168" t="s">
        <v>56</v>
      </c>
      <c r="F3168" t="s">
        <v>21</v>
      </c>
      <c r="G3168">
        <v>80</v>
      </c>
      <c r="H3168" t="s">
        <v>142</v>
      </c>
      <c r="I3168" t="s">
        <v>45</v>
      </c>
      <c r="J3168" t="s">
        <v>81</v>
      </c>
      <c r="K3168" t="s">
        <v>25</v>
      </c>
      <c r="L3168">
        <v>2.7</v>
      </c>
      <c r="M3168" t="s">
        <v>152</v>
      </c>
      <c r="N3168" t="s">
        <v>59</v>
      </c>
      <c r="O3168" t="s">
        <v>47</v>
      </c>
      <c r="P3168" t="s">
        <v>152</v>
      </c>
      <c r="Q3168" t="s">
        <v>152</v>
      </c>
      <c r="R3168">
        <v>37</v>
      </c>
      <c r="S3168" t="s">
        <v>34</v>
      </c>
      <c r="T3168" t="str">
        <f t="shared" si="98"/>
        <v>2-week</v>
      </c>
      <c r="U3168">
        <f>VLOOKUP(T3168,[1]tablescore!$B$3:$C$8, 2,FALSE)</f>
        <v>26</v>
      </c>
      <c r="V3168" t="str">
        <f t="shared" si="99"/>
        <v>Loyal</v>
      </c>
      <c r="W3168" t="s">
        <v>30</v>
      </c>
    </row>
    <row r="3169" spans="1:23" x14ac:dyDescent="0.25">
      <c r="A3169">
        <v>3168</v>
      </c>
      <c r="B3169">
        <v>24</v>
      </c>
      <c r="C3169" t="str" cm="1">
        <f t="array" ref="C3169">_xlfn.IFS(
  AND(B3169&gt;=18, B3169&lt;=24), "18-24",
  AND(B3169&gt;=25, B3169&lt;=34), "25-34",
  AND(B3169&gt;=35, B3169&lt;=44), "35-44",
  AND(B3169&gt;=45, B3169&lt;=54), "45-54",
  B3169&gt;=55, "55+"
)</f>
        <v>18-24</v>
      </c>
      <c r="D3169" t="s">
        <v>153</v>
      </c>
      <c r="E3169" t="s">
        <v>82</v>
      </c>
      <c r="F3169" t="s">
        <v>21</v>
      </c>
      <c r="G3169">
        <v>78</v>
      </c>
      <c r="H3169" t="s">
        <v>48</v>
      </c>
      <c r="I3169" t="s">
        <v>45</v>
      </c>
      <c r="J3169" t="s">
        <v>138</v>
      </c>
      <c r="K3169" t="s">
        <v>58</v>
      </c>
      <c r="L3169">
        <v>2.8</v>
      </c>
      <c r="M3169" t="s">
        <v>152</v>
      </c>
      <c r="N3169" t="s">
        <v>29</v>
      </c>
      <c r="O3169" t="s">
        <v>72</v>
      </c>
      <c r="P3169" t="s">
        <v>152</v>
      </c>
      <c r="Q3169" t="s">
        <v>152</v>
      </c>
      <c r="R3169">
        <v>9</v>
      </c>
      <c r="S3169" t="s">
        <v>35</v>
      </c>
      <c r="T3169" t="str">
        <f t="shared" si="98"/>
        <v>2-week</v>
      </c>
      <c r="U3169">
        <f>VLOOKUP(T3169,[1]tablescore!$B$3:$C$8, 2,FALSE)</f>
        <v>26</v>
      </c>
      <c r="V3169" t="str">
        <f t="shared" si="99"/>
        <v>Loyal</v>
      </c>
      <c r="W3169" t="s">
        <v>77</v>
      </c>
    </row>
    <row r="3170" spans="1:23" x14ac:dyDescent="0.25">
      <c r="A3170">
        <v>3169</v>
      </c>
      <c r="B3170">
        <v>31</v>
      </c>
      <c r="C3170" t="str" cm="1">
        <f t="array" ref="C3170">_xlfn.IFS(
  AND(B3170&gt;=18, B3170&lt;=24), "18-24",
  AND(B3170&gt;=25, B3170&lt;=34), "25-34",
  AND(B3170&gt;=35, B3170&lt;=44), "35-44",
  AND(B3170&gt;=45, B3170&lt;=54), "45-54",
  B3170&gt;=55, "55+"
)</f>
        <v>25-34</v>
      </c>
      <c r="D3170" t="s">
        <v>153</v>
      </c>
      <c r="E3170" t="s">
        <v>36</v>
      </c>
      <c r="F3170" t="s">
        <v>21</v>
      </c>
      <c r="G3170">
        <v>24</v>
      </c>
      <c r="H3170" t="s">
        <v>57</v>
      </c>
      <c r="I3170" t="s">
        <v>45</v>
      </c>
      <c r="J3170" t="s">
        <v>121</v>
      </c>
      <c r="K3170" t="s">
        <v>39</v>
      </c>
      <c r="L3170">
        <v>2.9</v>
      </c>
      <c r="M3170" t="s">
        <v>152</v>
      </c>
      <c r="N3170" t="s">
        <v>34</v>
      </c>
      <c r="O3170" t="s">
        <v>72</v>
      </c>
      <c r="P3170" t="s">
        <v>152</v>
      </c>
      <c r="Q3170" t="s">
        <v>152</v>
      </c>
      <c r="R3170">
        <v>14</v>
      </c>
      <c r="S3170" t="s">
        <v>46</v>
      </c>
      <c r="T3170" t="str">
        <f t="shared" si="98"/>
        <v>2-week</v>
      </c>
      <c r="U3170">
        <f>VLOOKUP(T3170,[1]tablescore!$B$3:$C$8, 2,FALSE)</f>
        <v>26</v>
      </c>
      <c r="V3170" t="str">
        <f t="shared" si="99"/>
        <v>Loyal</v>
      </c>
      <c r="W3170" t="s">
        <v>30</v>
      </c>
    </row>
    <row r="3171" spans="1:23" x14ac:dyDescent="0.25">
      <c r="A3171">
        <v>3170</v>
      </c>
      <c r="B3171">
        <v>35</v>
      </c>
      <c r="C3171" t="str" cm="1">
        <f t="array" ref="C3171">_xlfn.IFS(
  AND(B3171&gt;=18, B3171&lt;=24), "18-24",
  AND(B3171&gt;=25, B3171&lt;=34), "25-34",
  AND(B3171&gt;=35, B3171&lt;=44), "35-44",
  AND(B3171&gt;=45, B3171&lt;=54), "45-54",
  B3171&gt;=55, "55+"
)</f>
        <v>35-44</v>
      </c>
      <c r="D3171" t="s">
        <v>153</v>
      </c>
      <c r="E3171" t="s">
        <v>113</v>
      </c>
      <c r="F3171" t="s">
        <v>21</v>
      </c>
      <c r="G3171">
        <v>59</v>
      </c>
      <c r="H3171" t="s">
        <v>142</v>
      </c>
      <c r="I3171" t="s">
        <v>45</v>
      </c>
      <c r="J3171" t="s">
        <v>53</v>
      </c>
      <c r="K3171" t="s">
        <v>58</v>
      </c>
      <c r="L3171">
        <v>3.8</v>
      </c>
      <c r="M3171" t="s">
        <v>152</v>
      </c>
      <c r="N3171" t="s">
        <v>29</v>
      </c>
      <c r="O3171" t="s">
        <v>40</v>
      </c>
      <c r="P3171" t="s">
        <v>152</v>
      </c>
      <c r="Q3171" t="s">
        <v>152</v>
      </c>
      <c r="R3171">
        <v>3</v>
      </c>
      <c r="S3171" t="s">
        <v>29</v>
      </c>
      <c r="T3171" t="str">
        <f t="shared" si="98"/>
        <v>Daily</v>
      </c>
      <c r="U3171">
        <f>VLOOKUP(T3171,[1]tablescore!$B$3:$C$8, 2,FALSE)</f>
        <v>30</v>
      </c>
      <c r="V3171" t="str">
        <f t="shared" si="99"/>
        <v>Highly Loyal</v>
      </c>
      <c r="W3171" t="s">
        <v>41</v>
      </c>
    </row>
    <row r="3172" spans="1:23" x14ac:dyDescent="0.25">
      <c r="A3172">
        <v>3171</v>
      </c>
      <c r="B3172">
        <v>65</v>
      </c>
      <c r="C3172" t="str" cm="1">
        <f t="array" ref="C3172">_xlfn.IFS(
  AND(B3172&gt;=18, B3172&lt;=24), "18-24",
  AND(B3172&gt;=25, B3172&lt;=34), "25-34",
  AND(B3172&gt;=35, B3172&lt;=44), "35-44",
  AND(B3172&gt;=45, B3172&lt;=54), "45-54",
  B3172&gt;=55, "55+"
)</f>
        <v>55+</v>
      </c>
      <c r="D3172" t="s">
        <v>153</v>
      </c>
      <c r="E3172" t="s">
        <v>89</v>
      </c>
      <c r="F3172" t="s">
        <v>69</v>
      </c>
      <c r="G3172">
        <v>41</v>
      </c>
      <c r="H3172" t="s">
        <v>44</v>
      </c>
      <c r="I3172" t="s">
        <v>92</v>
      </c>
      <c r="J3172" t="s">
        <v>63</v>
      </c>
      <c r="K3172" t="s">
        <v>39</v>
      </c>
      <c r="L3172">
        <v>4.4000000000000004</v>
      </c>
      <c r="M3172" t="s">
        <v>152</v>
      </c>
      <c r="N3172" t="s">
        <v>59</v>
      </c>
      <c r="O3172" t="s">
        <v>28</v>
      </c>
      <c r="P3172" t="s">
        <v>152</v>
      </c>
      <c r="Q3172" t="s">
        <v>152</v>
      </c>
      <c r="R3172">
        <v>10</v>
      </c>
      <c r="S3172" t="s">
        <v>27</v>
      </c>
      <c r="T3172" t="str">
        <f t="shared" si="98"/>
        <v>2-week</v>
      </c>
      <c r="U3172">
        <f>VLOOKUP(T3172,[1]tablescore!$B$3:$C$8, 2,FALSE)</f>
        <v>26</v>
      </c>
      <c r="V3172" t="str">
        <f t="shared" si="99"/>
        <v>Loyal</v>
      </c>
      <c r="W3172" t="s">
        <v>30</v>
      </c>
    </row>
    <row r="3173" spans="1:23" x14ac:dyDescent="0.25">
      <c r="A3173">
        <v>3172</v>
      </c>
      <c r="B3173">
        <v>68</v>
      </c>
      <c r="C3173" t="str" cm="1">
        <f t="array" ref="C3173">_xlfn.IFS(
  AND(B3173&gt;=18, B3173&lt;=24), "18-24",
  AND(B3173&gt;=25, B3173&lt;=34), "25-34",
  AND(B3173&gt;=35, B3173&lt;=44), "35-44",
  AND(B3173&gt;=45, B3173&lt;=54), "45-54",
  B3173&gt;=55, "55+"
)</f>
        <v>55+</v>
      </c>
      <c r="D3173" t="s">
        <v>153</v>
      </c>
      <c r="E3173" t="s">
        <v>106</v>
      </c>
      <c r="F3173" t="s">
        <v>69</v>
      </c>
      <c r="G3173">
        <v>26</v>
      </c>
      <c r="H3173" t="s">
        <v>122</v>
      </c>
      <c r="I3173" t="s">
        <v>45</v>
      </c>
      <c r="J3173" t="s">
        <v>33</v>
      </c>
      <c r="K3173" t="s">
        <v>39</v>
      </c>
      <c r="L3173">
        <v>3.1</v>
      </c>
      <c r="M3173" t="s">
        <v>152</v>
      </c>
      <c r="N3173" t="s">
        <v>27</v>
      </c>
      <c r="O3173" t="s">
        <v>28</v>
      </c>
      <c r="P3173" t="s">
        <v>152</v>
      </c>
      <c r="Q3173" t="s">
        <v>152</v>
      </c>
      <c r="R3173">
        <v>26</v>
      </c>
      <c r="S3173" t="s">
        <v>34</v>
      </c>
      <c r="T3173" t="str">
        <f t="shared" si="98"/>
        <v>2-week</v>
      </c>
      <c r="U3173">
        <f>VLOOKUP(T3173,[1]tablescore!$B$3:$C$8, 2,FALSE)</f>
        <v>26</v>
      </c>
      <c r="V3173" t="str">
        <f t="shared" si="99"/>
        <v>Loyal</v>
      </c>
      <c r="W3173" t="s">
        <v>77</v>
      </c>
    </row>
    <row r="3174" spans="1:23" x14ac:dyDescent="0.25">
      <c r="A3174">
        <v>3173</v>
      </c>
      <c r="B3174">
        <v>57</v>
      </c>
      <c r="C3174" t="str" cm="1">
        <f t="array" ref="C3174">_xlfn.IFS(
  AND(B3174&gt;=18, B3174&lt;=24), "18-24",
  AND(B3174&gt;=25, B3174&lt;=34), "25-34",
  AND(B3174&gt;=35, B3174&lt;=44), "35-44",
  AND(B3174&gt;=45, B3174&lt;=54), "45-54",
  B3174&gt;=55, "55+"
)</f>
        <v>55+</v>
      </c>
      <c r="D3174" t="s">
        <v>153</v>
      </c>
      <c r="E3174" t="s">
        <v>131</v>
      </c>
      <c r="F3174" t="s">
        <v>21</v>
      </c>
      <c r="G3174">
        <v>52</v>
      </c>
      <c r="H3174" t="s">
        <v>70</v>
      </c>
      <c r="I3174" t="s">
        <v>45</v>
      </c>
      <c r="J3174" t="s">
        <v>79</v>
      </c>
      <c r="K3174" t="s">
        <v>58</v>
      </c>
      <c r="L3174">
        <v>3.7</v>
      </c>
      <c r="M3174" t="s">
        <v>152</v>
      </c>
      <c r="N3174" t="s">
        <v>29</v>
      </c>
      <c r="O3174" t="s">
        <v>55</v>
      </c>
      <c r="P3174" t="s">
        <v>152</v>
      </c>
      <c r="Q3174" t="s">
        <v>152</v>
      </c>
      <c r="R3174">
        <v>30</v>
      </c>
      <c r="S3174" t="s">
        <v>59</v>
      </c>
      <c r="T3174" t="str">
        <f t="shared" si="98"/>
        <v>2-week</v>
      </c>
      <c r="U3174">
        <f>VLOOKUP(T3174,[1]tablescore!$B$3:$C$8, 2,FALSE)</f>
        <v>26</v>
      </c>
      <c r="V3174" t="str">
        <f t="shared" si="99"/>
        <v>Loyal</v>
      </c>
      <c r="W3174" t="s">
        <v>77</v>
      </c>
    </row>
    <row r="3175" spans="1:23" x14ac:dyDescent="0.25">
      <c r="A3175">
        <v>3174</v>
      </c>
      <c r="B3175">
        <v>69</v>
      </c>
      <c r="C3175" t="str" cm="1">
        <f t="array" ref="C3175">_xlfn.IFS(
  AND(B3175&gt;=18, B3175&lt;=24), "18-24",
  AND(B3175&gt;=25, B3175&lt;=34), "25-34",
  AND(B3175&gt;=35, B3175&lt;=44), "35-44",
  AND(B3175&gt;=45, B3175&lt;=54), "45-54",
  B3175&gt;=55, "55+"
)</f>
        <v>55+</v>
      </c>
      <c r="D3175" t="s">
        <v>153</v>
      </c>
      <c r="E3175" t="s">
        <v>87</v>
      </c>
      <c r="F3175" t="s">
        <v>21</v>
      </c>
      <c r="G3175">
        <v>46</v>
      </c>
      <c r="H3175" t="s">
        <v>140</v>
      </c>
      <c r="I3175" t="s">
        <v>23</v>
      </c>
      <c r="J3175" t="s">
        <v>86</v>
      </c>
      <c r="K3175" t="s">
        <v>54</v>
      </c>
      <c r="L3175">
        <v>4.9000000000000004</v>
      </c>
      <c r="M3175" t="s">
        <v>152</v>
      </c>
      <c r="N3175" t="s">
        <v>35</v>
      </c>
      <c r="O3175" t="s">
        <v>47</v>
      </c>
      <c r="P3175" t="s">
        <v>152</v>
      </c>
      <c r="Q3175" t="s">
        <v>152</v>
      </c>
      <c r="R3175">
        <v>32</v>
      </c>
      <c r="S3175" t="s">
        <v>46</v>
      </c>
      <c r="T3175" t="str">
        <f t="shared" si="98"/>
        <v>2-week</v>
      </c>
      <c r="U3175">
        <f>VLOOKUP(T3175,[1]tablescore!$B$3:$C$8, 2,FALSE)</f>
        <v>26</v>
      </c>
      <c r="V3175" t="str">
        <f t="shared" si="99"/>
        <v>Loyal</v>
      </c>
      <c r="W3175" t="s">
        <v>30</v>
      </c>
    </row>
    <row r="3176" spans="1:23" x14ac:dyDescent="0.25">
      <c r="A3176">
        <v>3175</v>
      </c>
      <c r="B3176">
        <v>45</v>
      </c>
      <c r="C3176" t="str" cm="1">
        <f t="array" ref="C3176">_xlfn.IFS(
  AND(B3176&gt;=18, B3176&lt;=24), "18-24",
  AND(B3176&gt;=25, B3176&lt;=34), "25-34",
  AND(B3176&gt;=35, B3176&lt;=44), "35-44",
  AND(B3176&gt;=45, B3176&lt;=54), "45-54",
  B3176&gt;=55, "55+"
)</f>
        <v>45-54</v>
      </c>
      <c r="D3176" t="s">
        <v>153</v>
      </c>
      <c r="E3176" t="s">
        <v>95</v>
      </c>
      <c r="F3176" t="s">
        <v>21</v>
      </c>
      <c r="G3176">
        <v>52</v>
      </c>
      <c r="H3176" t="s">
        <v>101</v>
      </c>
      <c r="I3176" t="s">
        <v>23</v>
      </c>
      <c r="J3176" t="s">
        <v>121</v>
      </c>
      <c r="K3176" t="s">
        <v>25</v>
      </c>
      <c r="L3176">
        <v>3.8</v>
      </c>
      <c r="M3176" t="s">
        <v>152</v>
      </c>
      <c r="N3176" t="s">
        <v>46</v>
      </c>
      <c r="O3176" t="s">
        <v>76</v>
      </c>
      <c r="P3176" t="s">
        <v>152</v>
      </c>
      <c r="Q3176" t="s">
        <v>152</v>
      </c>
      <c r="R3176">
        <v>35</v>
      </c>
      <c r="S3176" t="s">
        <v>46</v>
      </c>
      <c r="T3176" t="str">
        <f t="shared" si="98"/>
        <v>Month</v>
      </c>
      <c r="U3176">
        <f>VLOOKUP(T3176,[1]tablescore!$B$3:$C$8, 2,FALSE)</f>
        <v>12</v>
      </c>
      <c r="V3176" t="str">
        <f t="shared" si="99"/>
        <v>Moderate</v>
      </c>
      <c r="W3176" t="s">
        <v>88</v>
      </c>
    </row>
    <row r="3177" spans="1:23" x14ac:dyDescent="0.25">
      <c r="A3177">
        <v>3176</v>
      </c>
      <c r="B3177">
        <v>35</v>
      </c>
      <c r="C3177" t="str" cm="1">
        <f t="array" ref="C3177">_xlfn.IFS(
  AND(B3177&gt;=18, B3177&lt;=24), "18-24",
  AND(B3177&gt;=25, B3177&lt;=34), "25-34",
  AND(B3177&gt;=35, B3177&lt;=44), "35-44",
  AND(B3177&gt;=45, B3177&lt;=54), "45-54",
  B3177&gt;=55, "55+"
)</f>
        <v>35-44</v>
      </c>
      <c r="D3177" t="s">
        <v>153</v>
      </c>
      <c r="E3177" t="s">
        <v>131</v>
      </c>
      <c r="F3177" t="s">
        <v>21</v>
      </c>
      <c r="G3177">
        <v>42</v>
      </c>
      <c r="H3177" t="s">
        <v>146</v>
      </c>
      <c r="I3177" t="s">
        <v>45</v>
      </c>
      <c r="J3177" t="s">
        <v>33</v>
      </c>
      <c r="K3177" t="s">
        <v>58</v>
      </c>
      <c r="L3177">
        <v>3.4</v>
      </c>
      <c r="M3177" t="s">
        <v>152</v>
      </c>
      <c r="N3177" t="s">
        <v>59</v>
      </c>
      <c r="O3177" t="s">
        <v>76</v>
      </c>
      <c r="P3177" t="s">
        <v>152</v>
      </c>
      <c r="Q3177" t="s">
        <v>152</v>
      </c>
      <c r="R3177">
        <v>26</v>
      </c>
      <c r="S3177" t="s">
        <v>59</v>
      </c>
      <c r="T3177" t="str">
        <f t="shared" si="98"/>
        <v>Quarterly</v>
      </c>
      <c r="U3177">
        <f>VLOOKUP(T3177,[1]tablescore!$B$3:$C$8, 2,FALSE)</f>
        <v>4</v>
      </c>
      <c r="V3177" t="str">
        <f t="shared" si="99"/>
        <v>Low Loyalty</v>
      </c>
      <c r="W3177" t="s">
        <v>97</v>
      </c>
    </row>
    <row r="3178" spans="1:23" x14ac:dyDescent="0.25">
      <c r="A3178">
        <v>3177</v>
      </c>
      <c r="B3178">
        <v>36</v>
      </c>
      <c r="C3178" t="str" cm="1">
        <f t="array" ref="C3178">_xlfn.IFS(
  AND(B3178&gt;=18, B3178&lt;=24), "18-24",
  AND(B3178&gt;=25, B3178&lt;=34), "25-34",
  AND(B3178&gt;=35, B3178&lt;=44), "35-44",
  AND(B3178&gt;=45, B3178&lt;=54), "45-54",
  B3178&gt;=55, "55+"
)</f>
        <v>35-44</v>
      </c>
      <c r="D3178" t="s">
        <v>153</v>
      </c>
      <c r="E3178" t="s">
        <v>42</v>
      </c>
      <c r="F3178" t="s">
        <v>43</v>
      </c>
      <c r="G3178">
        <v>37</v>
      </c>
      <c r="H3178" t="s">
        <v>74</v>
      </c>
      <c r="I3178" t="s">
        <v>92</v>
      </c>
      <c r="J3178" t="s">
        <v>49</v>
      </c>
      <c r="K3178" t="s">
        <v>39</v>
      </c>
      <c r="L3178">
        <v>4.5999999999999996</v>
      </c>
      <c r="M3178" t="s">
        <v>152</v>
      </c>
      <c r="N3178" t="s">
        <v>35</v>
      </c>
      <c r="O3178" t="s">
        <v>72</v>
      </c>
      <c r="P3178" t="s">
        <v>152</v>
      </c>
      <c r="Q3178" t="s">
        <v>152</v>
      </c>
      <c r="R3178">
        <v>39</v>
      </c>
      <c r="S3178" t="s">
        <v>27</v>
      </c>
      <c r="T3178" t="str">
        <f t="shared" si="98"/>
        <v>Month</v>
      </c>
      <c r="U3178">
        <f>VLOOKUP(T3178,[1]tablescore!$B$3:$C$8, 2,FALSE)</f>
        <v>12</v>
      </c>
      <c r="V3178" t="str">
        <f t="shared" si="99"/>
        <v>Moderate</v>
      </c>
      <c r="W3178" t="s">
        <v>88</v>
      </c>
    </row>
    <row r="3179" spans="1:23" x14ac:dyDescent="0.25">
      <c r="A3179">
        <v>3178</v>
      </c>
      <c r="B3179">
        <v>55</v>
      </c>
      <c r="C3179" t="str" cm="1">
        <f t="array" ref="C3179">_xlfn.IFS(
  AND(B3179&gt;=18, B3179&lt;=24), "18-24",
  AND(B3179&gt;=25, B3179&lt;=34), "25-34",
  AND(B3179&gt;=35, B3179&lt;=44), "35-44",
  AND(B3179&gt;=45, B3179&lt;=54), "45-54",
  B3179&gt;=55, "55+"
)</f>
        <v>55+</v>
      </c>
      <c r="D3179" t="s">
        <v>153</v>
      </c>
      <c r="E3179" t="s">
        <v>136</v>
      </c>
      <c r="F3179" t="s">
        <v>69</v>
      </c>
      <c r="G3179">
        <v>52</v>
      </c>
      <c r="H3179" t="s">
        <v>70</v>
      </c>
      <c r="I3179" t="s">
        <v>23</v>
      </c>
      <c r="J3179" t="s">
        <v>118</v>
      </c>
      <c r="K3179" t="s">
        <v>58</v>
      </c>
      <c r="L3179">
        <v>3.2</v>
      </c>
      <c r="M3179" t="s">
        <v>152</v>
      </c>
      <c r="N3179" t="s">
        <v>27</v>
      </c>
      <c r="O3179" t="s">
        <v>55</v>
      </c>
      <c r="P3179" t="s">
        <v>152</v>
      </c>
      <c r="Q3179" t="s">
        <v>152</v>
      </c>
      <c r="R3179">
        <v>31</v>
      </c>
      <c r="S3179" t="s">
        <v>27</v>
      </c>
      <c r="T3179" t="str">
        <f t="shared" si="98"/>
        <v>Month</v>
      </c>
      <c r="U3179">
        <f>VLOOKUP(T3179,[1]tablescore!$B$3:$C$8, 2,FALSE)</f>
        <v>12</v>
      </c>
      <c r="V3179" t="str">
        <f t="shared" si="99"/>
        <v>Moderate</v>
      </c>
      <c r="W3179" t="s">
        <v>88</v>
      </c>
    </row>
    <row r="3180" spans="1:23" x14ac:dyDescent="0.25">
      <c r="A3180">
        <v>3179</v>
      </c>
      <c r="B3180">
        <v>66</v>
      </c>
      <c r="C3180" t="str" cm="1">
        <f t="array" ref="C3180">_xlfn.IFS(
  AND(B3180&gt;=18, B3180&lt;=24), "18-24",
  AND(B3180&gt;=25, B3180&lt;=34), "25-34",
  AND(B3180&gt;=35, B3180&lt;=44), "35-44",
  AND(B3180&gt;=45, B3180&lt;=54), "45-54",
  B3180&gt;=55, "55+"
)</f>
        <v>55+</v>
      </c>
      <c r="D3180" t="s">
        <v>153</v>
      </c>
      <c r="E3180" t="s">
        <v>42</v>
      </c>
      <c r="F3180" t="s">
        <v>43</v>
      </c>
      <c r="G3180">
        <v>34</v>
      </c>
      <c r="H3180" t="s">
        <v>140</v>
      </c>
      <c r="I3180" t="s">
        <v>23</v>
      </c>
      <c r="J3180" t="s">
        <v>118</v>
      </c>
      <c r="K3180" t="s">
        <v>39</v>
      </c>
      <c r="L3180">
        <v>2.7</v>
      </c>
      <c r="M3180" t="s">
        <v>152</v>
      </c>
      <c r="N3180" t="s">
        <v>35</v>
      </c>
      <c r="O3180" t="s">
        <v>40</v>
      </c>
      <c r="P3180" t="s">
        <v>152</v>
      </c>
      <c r="Q3180" t="s">
        <v>152</v>
      </c>
      <c r="R3180">
        <v>28</v>
      </c>
      <c r="S3180" t="s">
        <v>27</v>
      </c>
      <c r="T3180" t="str">
        <f t="shared" si="98"/>
        <v>Annually</v>
      </c>
      <c r="U3180">
        <f>VLOOKUP(T3180,[1]tablescore!$B$3:$C$8, 2,FALSE)</f>
        <v>1</v>
      </c>
      <c r="V3180" t="str">
        <f t="shared" si="99"/>
        <v>Low Loyalty</v>
      </c>
      <c r="W3180" t="s">
        <v>50</v>
      </c>
    </row>
    <row r="3181" spans="1:23" x14ac:dyDescent="0.25">
      <c r="A3181">
        <v>3180</v>
      </c>
      <c r="B3181">
        <v>57</v>
      </c>
      <c r="C3181" t="str" cm="1">
        <f t="array" ref="C3181">_xlfn.IFS(
  AND(B3181&gt;=18, B3181&lt;=24), "18-24",
  AND(B3181&gt;=25, B3181&lt;=34), "25-34",
  AND(B3181&gt;=35, B3181&lt;=44), "35-44",
  AND(B3181&gt;=45, B3181&lt;=54), "45-54",
  B3181&gt;=55, "55+"
)</f>
        <v>55+</v>
      </c>
      <c r="D3181" t="s">
        <v>153</v>
      </c>
      <c r="E3181" t="s">
        <v>61</v>
      </c>
      <c r="F3181" t="s">
        <v>21</v>
      </c>
      <c r="G3181">
        <v>88</v>
      </c>
      <c r="H3181" t="s">
        <v>144</v>
      </c>
      <c r="I3181" t="s">
        <v>45</v>
      </c>
      <c r="J3181" t="s">
        <v>79</v>
      </c>
      <c r="K3181" t="s">
        <v>39</v>
      </c>
      <c r="L3181">
        <v>4.3</v>
      </c>
      <c r="M3181" t="s">
        <v>152</v>
      </c>
      <c r="N3181" t="s">
        <v>59</v>
      </c>
      <c r="O3181" t="s">
        <v>40</v>
      </c>
      <c r="P3181" t="s">
        <v>152</v>
      </c>
      <c r="Q3181" t="s">
        <v>152</v>
      </c>
      <c r="R3181">
        <v>12</v>
      </c>
      <c r="S3181" t="s">
        <v>59</v>
      </c>
      <c r="T3181" t="str">
        <f t="shared" si="98"/>
        <v>2-week</v>
      </c>
      <c r="U3181">
        <f>VLOOKUP(T3181,[1]tablescore!$B$3:$C$8, 2,FALSE)</f>
        <v>26</v>
      </c>
      <c r="V3181" t="str">
        <f t="shared" si="99"/>
        <v>Loyal</v>
      </c>
      <c r="W3181" t="s">
        <v>77</v>
      </c>
    </row>
    <row r="3182" spans="1:23" x14ac:dyDescent="0.25">
      <c r="A3182">
        <v>3181</v>
      </c>
      <c r="B3182">
        <v>18</v>
      </c>
      <c r="C3182" t="str" cm="1">
        <f t="array" ref="C3182">_xlfn.IFS(
  AND(B3182&gt;=18, B3182&lt;=24), "18-24",
  AND(B3182&gt;=25, B3182&lt;=34), "25-34",
  AND(B3182&gt;=35, B3182&lt;=44), "35-44",
  AND(B3182&gt;=45, B3182&lt;=54), "45-54",
  B3182&gt;=55, "55+"
)</f>
        <v>18-24</v>
      </c>
      <c r="D3182" t="s">
        <v>153</v>
      </c>
      <c r="E3182" t="s">
        <v>68</v>
      </c>
      <c r="F3182" t="s">
        <v>69</v>
      </c>
      <c r="G3182">
        <v>88</v>
      </c>
      <c r="H3182" t="s">
        <v>57</v>
      </c>
      <c r="I3182" t="s">
        <v>23</v>
      </c>
      <c r="J3182" t="s">
        <v>49</v>
      </c>
      <c r="K3182" t="s">
        <v>58</v>
      </c>
      <c r="L3182">
        <v>3.8</v>
      </c>
      <c r="M3182" t="s">
        <v>152</v>
      </c>
      <c r="N3182" t="s">
        <v>35</v>
      </c>
      <c r="O3182" t="s">
        <v>55</v>
      </c>
      <c r="P3182" t="s">
        <v>152</v>
      </c>
      <c r="Q3182" t="s">
        <v>152</v>
      </c>
      <c r="R3182">
        <v>46</v>
      </c>
      <c r="S3182" t="s">
        <v>46</v>
      </c>
      <c r="T3182" t="str">
        <f t="shared" si="98"/>
        <v>Daily</v>
      </c>
      <c r="U3182">
        <f>VLOOKUP(T3182,[1]tablescore!$B$3:$C$8, 2,FALSE)</f>
        <v>30</v>
      </c>
      <c r="V3182" t="str">
        <f t="shared" si="99"/>
        <v>Highly Loyal</v>
      </c>
      <c r="W3182" t="s">
        <v>41</v>
      </c>
    </row>
    <row r="3183" spans="1:23" x14ac:dyDescent="0.25">
      <c r="A3183">
        <v>3182</v>
      </c>
      <c r="B3183">
        <v>31</v>
      </c>
      <c r="C3183" t="str" cm="1">
        <f t="array" ref="C3183">_xlfn.IFS(
  AND(B3183&gt;=18, B3183&lt;=24), "18-24",
  AND(B3183&gt;=25, B3183&lt;=34), "25-34",
  AND(B3183&gt;=35, B3183&lt;=44), "35-44",
  AND(B3183&gt;=45, B3183&lt;=54), "45-54",
  B3183&gt;=55, "55+"
)</f>
        <v>25-34</v>
      </c>
      <c r="D3183" t="s">
        <v>153</v>
      </c>
      <c r="E3183" t="s">
        <v>102</v>
      </c>
      <c r="F3183" t="s">
        <v>65</v>
      </c>
      <c r="G3183">
        <v>51</v>
      </c>
      <c r="H3183" t="s">
        <v>57</v>
      </c>
      <c r="I3183" t="s">
        <v>45</v>
      </c>
      <c r="J3183" t="s">
        <v>63</v>
      </c>
      <c r="K3183" t="s">
        <v>54</v>
      </c>
      <c r="L3183">
        <v>4.4000000000000004</v>
      </c>
      <c r="M3183" t="s">
        <v>152</v>
      </c>
      <c r="N3183" t="s">
        <v>35</v>
      </c>
      <c r="O3183" t="s">
        <v>40</v>
      </c>
      <c r="P3183" t="s">
        <v>152</v>
      </c>
      <c r="Q3183" t="s">
        <v>152</v>
      </c>
      <c r="R3183">
        <v>27</v>
      </c>
      <c r="S3183" t="s">
        <v>46</v>
      </c>
      <c r="T3183" t="str">
        <f t="shared" si="98"/>
        <v>Quarterly</v>
      </c>
      <c r="U3183">
        <f>VLOOKUP(T3183,[1]tablescore!$B$3:$C$8, 2,FALSE)</f>
        <v>4</v>
      </c>
      <c r="V3183" t="str">
        <f t="shared" si="99"/>
        <v>Low Loyalty</v>
      </c>
      <c r="W3183" t="s">
        <v>97</v>
      </c>
    </row>
    <row r="3184" spans="1:23" x14ac:dyDescent="0.25">
      <c r="A3184">
        <v>3183</v>
      </c>
      <c r="B3184">
        <v>50</v>
      </c>
      <c r="C3184" t="str" cm="1">
        <f t="array" ref="C3184">_xlfn.IFS(
  AND(B3184&gt;=18, B3184&lt;=24), "18-24",
  AND(B3184&gt;=25, B3184&lt;=34), "25-34",
  AND(B3184&gt;=35, B3184&lt;=44), "35-44",
  AND(B3184&gt;=45, B3184&lt;=54), "45-54",
  B3184&gt;=55, "55+"
)</f>
        <v>45-54</v>
      </c>
      <c r="D3184" t="s">
        <v>153</v>
      </c>
      <c r="E3184" t="s">
        <v>89</v>
      </c>
      <c r="F3184" t="s">
        <v>69</v>
      </c>
      <c r="G3184">
        <v>97</v>
      </c>
      <c r="H3184" t="s">
        <v>142</v>
      </c>
      <c r="I3184" t="s">
        <v>23</v>
      </c>
      <c r="J3184" t="s">
        <v>96</v>
      </c>
      <c r="K3184" t="s">
        <v>58</v>
      </c>
      <c r="L3184">
        <v>3.6</v>
      </c>
      <c r="M3184" t="s">
        <v>152</v>
      </c>
      <c r="N3184" t="s">
        <v>46</v>
      </c>
      <c r="O3184" t="s">
        <v>40</v>
      </c>
      <c r="P3184" t="s">
        <v>152</v>
      </c>
      <c r="Q3184" t="s">
        <v>152</v>
      </c>
      <c r="R3184">
        <v>4</v>
      </c>
      <c r="S3184" t="s">
        <v>27</v>
      </c>
      <c r="T3184" t="str">
        <f t="shared" si="98"/>
        <v>Annually</v>
      </c>
      <c r="U3184">
        <f>VLOOKUP(T3184,[1]tablescore!$B$3:$C$8, 2,FALSE)</f>
        <v>1</v>
      </c>
      <c r="V3184" t="str">
        <f t="shared" si="99"/>
        <v>Low Loyalty</v>
      </c>
      <c r="W3184" t="s">
        <v>50</v>
      </c>
    </row>
    <row r="3185" spans="1:23" x14ac:dyDescent="0.25">
      <c r="A3185">
        <v>3184</v>
      </c>
      <c r="B3185">
        <v>50</v>
      </c>
      <c r="C3185" t="str" cm="1">
        <f t="array" ref="C3185">_xlfn.IFS(
  AND(B3185&gt;=18, B3185&lt;=24), "18-24",
  AND(B3185&gt;=25, B3185&lt;=34), "25-34",
  AND(B3185&gt;=35, B3185&lt;=44), "35-44",
  AND(B3185&gt;=45, B3185&lt;=54), "45-54",
  B3185&gt;=55, "55+"
)</f>
        <v>45-54</v>
      </c>
      <c r="D3185" t="s">
        <v>153</v>
      </c>
      <c r="E3185" t="s">
        <v>51</v>
      </c>
      <c r="F3185" t="s">
        <v>43</v>
      </c>
      <c r="G3185">
        <v>56</v>
      </c>
      <c r="H3185" t="s">
        <v>91</v>
      </c>
      <c r="I3185" t="s">
        <v>45</v>
      </c>
      <c r="J3185" t="s">
        <v>96</v>
      </c>
      <c r="K3185" t="s">
        <v>25</v>
      </c>
      <c r="L3185">
        <v>3.5</v>
      </c>
      <c r="M3185" t="s">
        <v>152</v>
      </c>
      <c r="N3185" t="s">
        <v>59</v>
      </c>
      <c r="O3185" t="s">
        <v>55</v>
      </c>
      <c r="P3185" t="s">
        <v>152</v>
      </c>
      <c r="Q3185" t="s">
        <v>152</v>
      </c>
      <c r="R3185">
        <v>14</v>
      </c>
      <c r="S3185" t="s">
        <v>35</v>
      </c>
      <c r="T3185" t="str">
        <f t="shared" si="98"/>
        <v>Quarterly</v>
      </c>
      <c r="U3185">
        <f>VLOOKUP(T3185,[1]tablescore!$B$3:$C$8, 2,FALSE)</f>
        <v>4</v>
      </c>
      <c r="V3185" t="str">
        <f t="shared" si="99"/>
        <v>Low Loyalty</v>
      </c>
      <c r="W3185" t="s">
        <v>97</v>
      </c>
    </row>
    <row r="3186" spans="1:23" x14ac:dyDescent="0.25">
      <c r="A3186">
        <v>3185</v>
      </c>
      <c r="B3186">
        <v>61</v>
      </c>
      <c r="C3186" t="str" cm="1">
        <f t="array" ref="C3186">_xlfn.IFS(
  AND(B3186&gt;=18, B3186&lt;=24), "18-24",
  AND(B3186&gt;=25, B3186&lt;=34), "25-34",
  AND(B3186&gt;=35, B3186&lt;=44), "35-44",
  AND(B3186&gt;=45, B3186&lt;=54), "45-54",
  B3186&gt;=55, "55+"
)</f>
        <v>55+</v>
      </c>
      <c r="D3186" t="s">
        <v>153</v>
      </c>
      <c r="E3186" t="s">
        <v>31</v>
      </c>
      <c r="F3186" t="s">
        <v>21</v>
      </c>
      <c r="G3186">
        <v>53</v>
      </c>
      <c r="H3186" t="s">
        <v>78</v>
      </c>
      <c r="I3186" t="s">
        <v>23</v>
      </c>
      <c r="J3186" t="s">
        <v>96</v>
      </c>
      <c r="K3186" t="s">
        <v>39</v>
      </c>
      <c r="L3186">
        <v>4.2</v>
      </c>
      <c r="M3186" t="s">
        <v>152</v>
      </c>
      <c r="N3186" t="s">
        <v>27</v>
      </c>
      <c r="O3186" t="s">
        <v>72</v>
      </c>
      <c r="P3186" t="s">
        <v>152</v>
      </c>
      <c r="Q3186" t="s">
        <v>152</v>
      </c>
      <c r="R3186">
        <v>30</v>
      </c>
      <c r="S3186" t="s">
        <v>29</v>
      </c>
      <c r="T3186" t="str">
        <f t="shared" si="98"/>
        <v>Quarterly</v>
      </c>
      <c r="U3186">
        <f>VLOOKUP(T3186,[1]tablescore!$B$3:$C$8, 2,FALSE)</f>
        <v>4</v>
      </c>
      <c r="V3186" t="str">
        <f t="shared" si="99"/>
        <v>Low Loyalty</v>
      </c>
      <c r="W3186" t="s">
        <v>60</v>
      </c>
    </row>
    <row r="3187" spans="1:23" x14ac:dyDescent="0.25">
      <c r="A3187">
        <v>3186</v>
      </c>
      <c r="B3187">
        <v>52</v>
      </c>
      <c r="C3187" t="str" cm="1">
        <f t="array" ref="C3187">_xlfn.IFS(
  AND(B3187&gt;=18, B3187&lt;=24), "18-24",
  AND(B3187&gt;=25, B3187&lt;=34), "25-34",
  AND(B3187&gt;=35, B3187&lt;=44), "35-44",
  AND(B3187&gt;=45, B3187&lt;=54), "45-54",
  B3187&gt;=55, "55+"
)</f>
        <v>45-54</v>
      </c>
      <c r="D3187" t="s">
        <v>153</v>
      </c>
      <c r="E3187" t="s">
        <v>87</v>
      </c>
      <c r="F3187" t="s">
        <v>21</v>
      </c>
      <c r="G3187">
        <v>71</v>
      </c>
      <c r="H3187" t="s">
        <v>124</v>
      </c>
      <c r="I3187" t="s">
        <v>23</v>
      </c>
      <c r="J3187" t="s">
        <v>81</v>
      </c>
      <c r="K3187" t="s">
        <v>58</v>
      </c>
      <c r="L3187">
        <v>4.7</v>
      </c>
      <c r="M3187" t="s">
        <v>152</v>
      </c>
      <c r="N3187" t="s">
        <v>27</v>
      </c>
      <c r="O3187" t="s">
        <v>28</v>
      </c>
      <c r="P3187" t="s">
        <v>152</v>
      </c>
      <c r="Q3187" t="s">
        <v>152</v>
      </c>
      <c r="R3187">
        <v>6</v>
      </c>
      <c r="S3187" t="s">
        <v>46</v>
      </c>
      <c r="T3187" t="str">
        <f t="shared" si="98"/>
        <v>Annually</v>
      </c>
      <c r="U3187">
        <f>VLOOKUP(T3187,[1]tablescore!$B$3:$C$8, 2,FALSE)</f>
        <v>1</v>
      </c>
      <c r="V3187" t="str">
        <f t="shared" si="99"/>
        <v>Low Loyalty</v>
      </c>
      <c r="W3187" t="s">
        <v>50</v>
      </c>
    </row>
    <row r="3188" spans="1:23" x14ac:dyDescent="0.25">
      <c r="A3188">
        <v>3187</v>
      </c>
      <c r="B3188">
        <v>38</v>
      </c>
      <c r="C3188" t="str" cm="1">
        <f t="array" ref="C3188">_xlfn.IFS(
  AND(B3188&gt;=18, B3188&lt;=24), "18-24",
  AND(B3188&gt;=25, B3188&lt;=34), "25-34",
  AND(B3188&gt;=35, B3188&lt;=44), "35-44",
  AND(B3188&gt;=45, B3188&lt;=54), "45-54",
  B3188&gt;=55, "55+"
)</f>
        <v>35-44</v>
      </c>
      <c r="D3188" t="s">
        <v>153</v>
      </c>
      <c r="E3188" t="s">
        <v>106</v>
      </c>
      <c r="F3188" t="s">
        <v>69</v>
      </c>
      <c r="G3188">
        <v>93</v>
      </c>
      <c r="H3188" t="s">
        <v>128</v>
      </c>
      <c r="I3188" t="s">
        <v>38</v>
      </c>
      <c r="J3188" t="s">
        <v>109</v>
      </c>
      <c r="K3188" t="s">
        <v>25</v>
      </c>
      <c r="L3188">
        <v>4.8</v>
      </c>
      <c r="M3188" t="s">
        <v>152</v>
      </c>
      <c r="N3188" t="s">
        <v>46</v>
      </c>
      <c r="O3188" t="s">
        <v>76</v>
      </c>
      <c r="P3188" t="s">
        <v>152</v>
      </c>
      <c r="Q3188" t="s">
        <v>152</v>
      </c>
      <c r="R3188">
        <v>43</v>
      </c>
      <c r="S3188" t="s">
        <v>29</v>
      </c>
      <c r="T3188" t="str">
        <f t="shared" si="98"/>
        <v>Annually</v>
      </c>
      <c r="U3188">
        <f>VLOOKUP(T3188,[1]tablescore!$B$3:$C$8, 2,FALSE)</f>
        <v>1</v>
      </c>
      <c r="V3188" t="str">
        <f t="shared" si="99"/>
        <v>Low Loyalty</v>
      </c>
      <c r="W3188" t="s">
        <v>50</v>
      </c>
    </row>
    <row r="3189" spans="1:23" x14ac:dyDescent="0.25">
      <c r="A3189">
        <v>3188</v>
      </c>
      <c r="B3189">
        <v>67</v>
      </c>
      <c r="C3189" t="str" cm="1">
        <f t="array" ref="C3189">_xlfn.IFS(
  AND(B3189&gt;=18, B3189&lt;=24), "18-24",
  AND(B3189&gt;=25, B3189&lt;=34), "25-34",
  AND(B3189&gt;=35, B3189&lt;=44), "35-44",
  AND(B3189&gt;=45, B3189&lt;=54), "45-54",
  B3189&gt;=55, "55+"
)</f>
        <v>55+</v>
      </c>
      <c r="D3189" t="s">
        <v>153</v>
      </c>
      <c r="E3189" t="s">
        <v>20</v>
      </c>
      <c r="F3189" t="s">
        <v>21</v>
      </c>
      <c r="G3189">
        <v>72</v>
      </c>
      <c r="H3189" t="s">
        <v>105</v>
      </c>
      <c r="I3189" t="s">
        <v>23</v>
      </c>
      <c r="J3189" t="s">
        <v>129</v>
      </c>
      <c r="K3189" t="s">
        <v>25</v>
      </c>
      <c r="L3189">
        <v>3.2</v>
      </c>
      <c r="M3189" t="s">
        <v>152</v>
      </c>
      <c r="N3189" t="s">
        <v>27</v>
      </c>
      <c r="O3189" t="s">
        <v>40</v>
      </c>
      <c r="P3189" t="s">
        <v>152</v>
      </c>
      <c r="Q3189" t="s">
        <v>152</v>
      </c>
      <c r="R3189">
        <v>28</v>
      </c>
      <c r="S3189" t="s">
        <v>59</v>
      </c>
      <c r="T3189" t="str">
        <f t="shared" si="98"/>
        <v>Daily</v>
      </c>
      <c r="U3189">
        <f>VLOOKUP(T3189,[1]tablescore!$B$3:$C$8, 2,FALSE)</f>
        <v>30</v>
      </c>
      <c r="V3189" t="str">
        <f t="shared" si="99"/>
        <v>Highly Loyal</v>
      </c>
      <c r="W3189" t="s">
        <v>41</v>
      </c>
    </row>
    <row r="3190" spans="1:23" x14ac:dyDescent="0.25">
      <c r="A3190">
        <v>3189</v>
      </c>
      <c r="B3190">
        <v>42</v>
      </c>
      <c r="C3190" t="str" cm="1">
        <f t="array" ref="C3190">_xlfn.IFS(
  AND(B3190&gt;=18, B3190&lt;=24), "18-24",
  AND(B3190&gt;=25, B3190&lt;=34), "25-34",
  AND(B3190&gt;=35, B3190&lt;=44), "35-44",
  AND(B3190&gt;=45, B3190&lt;=54), "45-54",
  B3190&gt;=55, "55+"
)</f>
        <v>35-44</v>
      </c>
      <c r="D3190" t="s">
        <v>153</v>
      </c>
      <c r="E3190" t="s">
        <v>20</v>
      </c>
      <c r="F3190" t="s">
        <v>21</v>
      </c>
      <c r="G3190">
        <v>59</v>
      </c>
      <c r="H3190" t="s">
        <v>145</v>
      </c>
      <c r="I3190" t="s">
        <v>45</v>
      </c>
      <c r="J3190" t="s">
        <v>93</v>
      </c>
      <c r="K3190" t="s">
        <v>25</v>
      </c>
      <c r="L3190">
        <v>3.5</v>
      </c>
      <c r="M3190" t="s">
        <v>152</v>
      </c>
      <c r="N3190" t="s">
        <v>29</v>
      </c>
      <c r="O3190" t="s">
        <v>55</v>
      </c>
      <c r="P3190" t="s">
        <v>152</v>
      </c>
      <c r="Q3190" t="s">
        <v>152</v>
      </c>
      <c r="R3190">
        <v>39</v>
      </c>
      <c r="S3190" t="s">
        <v>34</v>
      </c>
      <c r="T3190" t="str">
        <f t="shared" si="98"/>
        <v>Month</v>
      </c>
      <c r="U3190">
        <f>VLOOKUP(T3190,[1]tablescore!$B$3:$C$8, 2,FALSE)</f>
        <v>12</v>
      </c>
      <c r="V3190" t="str">
        <f t="shared" si="99"/>
        <v>Moderate</v>
      </c>
      <c r="W3190" t="s">
        <v>88</v>
      </c>
    </row>
    <row r="3191" spans="1:23" x14ac:dyDescent="0.25">
      <c r="A3191">
        <v>3190</v>
      </c>
      <c r="B3191">
        <v>25</v>
      </c>
      <c r="C3191" t="str" cm="1">
        <f t="array" ref="C3191">_xlfn.IFS(
  AND(B3191&gt;=18, B3191&lt;=24), "18-24",
  AND(B3191&gt;=25, B3191&lt;=34), "25-34",
  AND(B3191&gt;=35, B3191&lt;=44), "35-44",
  AND(B3191&gt;=45, B3191&lt;=54), "45-54",
  B3191&gt;=55, "55+"
)</f>
        <v>25-34</v>
      </c>
      <c r="D3191" t="s">
        <v>153</v>
      </c>
      <c r="E3191" t="s">
        <v>132</v>
      </c>
      <c r="F3191" t="s">
        <v>43</v>
      </c>
      <c r="G3191">
        <v>87</v>
      </c>
      <c r="H3191" t="s">
        <v>111</v>
      </c>
      <c r="I3191" t="s">
        <v>45</v>
      </c>
      <c r="J3191" t="s">
        <v>118</v>
      </c>
      <c r="K3191" t="s">
        <v>54</v>
      </c>
      <c r="L3191">
        <v>4.2</v>
      </c>
      <c r="M3191" t="s">
        <v>152</v>
      </c>
      <c r="N3191" t="s">
        <v>46</v>
      </c>
      <c r="O3191" t="s">
        <v>76</v>
      </c>
      <c r="P3191" t="s">
        <v>152</v>
      </c>
      <c r="Q3191" t="s">
        <v>152</v>
      </c>
      <c r="R3191">
        <v>30</v>
      </c>
      <c r="S3191" t="s">
        <v>46</v>
      </c>
      <c r="T3191" t="str">
        <f t="shared" si="98"/>
        <v>2-week</v>
      </c>
      <c r="U3191">
        <f>VLOOKUP(T3191,[1]tablescore!$B$3:$C$8, 2,FALSE)</f>
        <v>26</v>
      </c>
      <c r="V3191" t="str">
        <f t="shared" si="99"/>
        <v>Loyal</v>
      </c>
      <c r="W3191" t="s">
        <v>77</v>
      </c>
    </row>
    <row r="3192" spans="1:23" x14ac:dyDescent="0.25">
      <c r="A3192">
        <v>3191</v>
      </c>
      <c r="B3192">
        <v>41</v>
      </c>
      <c r="C3192" t="str" cm="1">
        <f t="array" ref="C3192">_xlfn.IFS(
  AND(B3192&gt;=18, B3192&lt;=24), "18-24",
  AND(B3192&gt;=25, B3192&lt;=34), "25-34",
  AND(B3192&gt;=35, B3192&lt;=44), "35-44",
  AND(B3192&gt;=45, B3192&lt;=54), "45-54",
  B3192&gt;=55, "55+"
)</f>
        <v>35-44</v>
      </c>
      <c r="D3192" t="s">
        <v>153</v>
      </c>
      <c r="E3192" t="s">
        <v>36</v>
      </c>
      <c r="F3192" t="s">
        <v>21</v>
      </c>
      <c r="G3192">
        <v>78</v>
      </c>
      <c r="H3192" t="s">
        <v>99</v>
      </c>
      <c r="I3192" t="s">
        <v>38</v>
      </c>
      <c r="J3192" t="s">
        <v>75</v>
      </c>
      <c r="K3192" t="s">
        <v>58</v>
      </c>
      <c r="L3192">
        <v>3.4</v>
      </c>
      <c r="M3192" t="s">
        <v>152</v>
      </c>
      <c r="N3192" t="s">
        <v>34</v>
      </c>
      <c r="O3192" t="s">
        <v>40</v>
      </c>
      <c r="P3192" t="s">
        <v>152</v>
      </c>
      <c r="Q3192" t="s">
        <v>152</v>
      </c>
      <c r="R3192">
        <v>5</v>
      </c>
      <c r="S3192" t="s">
        <v>27</v>
      </c>
      <c r="T3192" t="str">
        <f t="shared" si="98"/>
        <v>2-week</v>
      </c>
      <c r="U3192">
        <f>VLOOKUP(T3192,[1]tablescore!$B$3:$C$8, 2,FALSE)</f>
        <v>26</v>
      </c>
      <c r="V3192" t="str">
        <f t="shared" si="99"/>
        <v>Loyal</v>
      </c>
      <c r="W3192" t="s">
        <v>30</v>
      </c>
    </row>
    <row r="3193" spans="1:23" x14ac:dyDescent="0.25">
      <c r="A3193">
        <v>3192</v>
      </c>
      <c r="B3193">
        <v>62</v>
      </c>
      <c r="C3193" t="str" cm="1">
        <f t="array" ref="C3193">_xlfn.IFS(
  AND(B3193&gt;=18, B3193&lt;=24), "18-24",
  AND(B3193&gt;=25, B3193&lt;=34), "25-34",
  AND(B3193&gt;=35, B3193&lt;=44), "35-44",
  AND(B3193&gt;=45, B3193&lt;=54), "45-54",
  B3193&gt;=55, "55+"
)</f>
        <v>55+</v>
      </c>
      <c r="D3193" t="s">
        <v>153</v>
      </c>
      <c r="E3193" t="s">
        <v>104</v>
      </c>
      <c r="F3193" t="s">
        <v>21</v>
      </c>
      <c r="G3193">
        <v>68</v>
      </c>
      <c r="H3193" t="s">
        <v>91</v>
      </c>
      <c r="I3193" t="s">
        <v>92</v>
      </c>
      <c r="J3193" t="s">
        <v>33</v>
      </c>
      <c r="K3193" t="s">
        <v>25</v>
      </c>
      <c r="L3193">
        <v>4.7</v>
      </c>
      <c r="M3193" t="s">
        <v>152</v>
      </c>
      <c r="N3193" t="s">
        <v>34</v>
      </c>
      <c r="O3193" t="s">
        <v>76</v>
      </c>
      <c r="P3193" t="s">
        <v>152</v>
      </c>
      <c r="Q3193" t="s">
        <v>152</v>
      </c>
      <c r="R3193">
        <v>42</v>
      </c>
      <c r="S3193" t="s">
        <v>27</v>
      </c>
      <c r="T3193" t="str">
        <f t="shared" si="98"/>
        <v>Quarterly</v>
      </c>
      <c r="U3193">
        <f>VLOOKUP(T3193,[1]tablescore!$B$3:$C$8, 2,FALSE)</f>
        <v>4</v>
      </c>
      <c r="V3193" t="str">
        <f t="shared" si="99"/>
        <v>Low Loyalty</v>
      </c>
      <c r="W3193" t="s">
        <v>97</v>
      </c>
    </row>
    <row r="3194" spans="1:23" x14ac:dyDescent="0.25">
      <c r="A3194">
        <v>3193</v>
      </c>
      <c r="B3194">
        <v>19</v>
      </c>
      <c r="C3194" t="str" cm="1">
        <f t="array" ref="C3194">_xlfn.IFS(
  AND(B3194&gt;=18, B3194&lt;=24), "18-24",
  AND(B3194&gt;=25, B3194&lt;=34), "25-34",
  AND(B3194&gt;=35, B3194&lt;=44), "35-44",
  AND(B3194&gt;=45, B3194&lt;=54), "45-54",
  B3194&gt;=55, "55+"
)</f>
        <v>18-24</v>
      </c>
      <c r="D3194" t="s">
        <v>153</v>
      </c>
      <c r="E3194" t="s">
        <v>31</v>
      </c>
      <c r="F3194" t="s">
        <v>21</v>
      </c>
      <c r="G3194">
        <v>76</v>
      </c>
      <c r="H3194" t="s">
        <v>150</v>
      </c>
      <c r="I3194" t="s">
        <v>38</v>
      </c>
      <c r="J3194" t="s">
        <v>33</v>
      </c>
      <c r="K3194" t="s">
        <v>58</v>
      </c>
      <c r="L3194">
        <v>3</v>
      </c>
      <c r="M3194" t="s">
        <v>152</v>
      </c>
      <c r="N3194" t="s">
        <v>27</v>
      </c>
      <c r="O3194" t="s">
        <v>40</v>
      </c>
      <c r="P3194" t="s">
        <v>152</v>
      </c>
      <c r="Q3194" t="s">
        <v>152</v>
      </c>
      <c r="R3194">
        <v>20</v>
      </c>
      <c r="S3194" t="s">
        <v>35</v>
      </c>
      <c r="T3194" t="str">
        <f t="shared" si="98"/>
        <v>2-week</v>
      </c>
      <c r="U3194">
        <f>VLOOKUP(T3194,[1]tablescore!$B$3:$C$8, 2,FALSE)</f>
        <v>26</v>
      </c>
      <c r="V3194" t="str">
        <f t="shared" si="99"/>
        <v>Loyal</v>
      </c>
      <c r="W3194" t="s">
        <v>30</v>
      </c>
    </row>
    <row r="3195" spans="1:23" x14ac:dyDescent="0.25">
      <c r="A3195">
        <v>3194</v>
      </c>
      <c r="B3195">
        <v>63</v>
      </c>
      <c r="C3195" t="str" cm="1">
        <f t="array" ref="C3195">_xlfn.IFS(
  AND(B3195&gt;=18, B3195&lt;=24), "18-24",
  AND(B3195&gt;=25, B3195&lt;=34), "25-34",
  AND(B3195&gt;=35, B3195&lt;=44), "35-44",
  AND(B3195&gt;=45, B3195&lt;=54), "45-54",
  B3195&gt;=55, "55+"
)</f>
        <v>55+</v>
      </c>
      <c r="D3195" t="s">
        <v>153</v>
      </c>
      <c r="E3195" t="s">
        <v>127</v>
      </c>
      <c r="F3195" t="s">
        <v>69</v>
      </c>
      <c r="G3195">
        <v>99</v>
      </c>
      <c r="H3195" t="s">
        <v>128</v>
      </c>
      <c r="I3195" t="s">
        <v>23</v>
      </c>
      <c r="J3195" t="s">
        <v>86</v>
      </c>
      <c r="K3195" t="s">
        <v>25</v>
      </c>
      <c r="L3195">
        <v>4</v>
      </c>
      <c r="M3195" t="s">
        <v>152</v>
      </c>
      <c r="N3195" t="s">
        <v>46</v>
      </c>
      <c r="O3195" t="s">
        <v>28</v>
      </c>
      <c r="P3195" t="s">
        <v>152</v>
      </c>
      <c r="Q3195" t="s">
        <v>152</v>
      </c>
      <c r="R3195">
        <v>35</v>
      </c>
      <c r="S3195" t="s">
        <v>27</v>
      </c>
      <c r="T3195" t="str">
        <f t="shared" si="98"/>
        <v>2-week</v>
      </c>
      <c r="U3195">
        <f>VLOOKUP(T3195,[1]tablescore!$B$3:$C$8, 2,FALSE)</f>
        <v>26</v>
      </c>
      <c r="V3195" t="str">
        <f t="shared" si="99"/>
        <v>Loyal</v>
      </c>
      <c r="W3195" t="s">
        <v>30</v>
      </c>
    </row>
    <row r="3196" spans="1:23" x14ac:dyDescent="0.25">
      <c r="A3196">
        <v>3195</v>
      </c>
      <c r="B3196">
        <v>43</v>
      </c>
      <c r="C3196" t="str" cm="1">
        <f t="array" ref="C3196">_xlfn.IFS(
  AND(B3196&gt;=18, B3196&lt;=24), "18-24",
  AND(B3196&gt;=25, B3196&lt;=34), "25-34",
  AND(B3196&gt;=35, B3196&lt;=44), "35-44",
  AND(B3196&gt;=45, B3196&lt;=54), "45-54",
  B3196&gt;=55, "55+"
)</f>
        <v>35-44</v>
      </c>
      <c r="D3196" t="s">
        <v>153</v>
      </c>
      <c r="E3196" t="s">
        <v>51</v>
      </c>
      <c r="F3196" t="s">
        <v>43</v>
      </c>
      <c r="G3196">
        <v>52</v>
      </c>
      <c r="H3196" t="s">
        <v>135</v>
      </c>
      <c r="I3196" t="s">
        <v>23</v>
      </c>
      <c r="J3196" t="s">
        <v>81</v>
      </c>
      <c r="K3196" t="s">
        <v>54</v>
      </c>
      <c r="L3196">
        <v>4.5999999999999996</v>
      </c>
      <c r="M3196" t="s">
        <v>152</v>
      </c>
      <c r="N3196" t="s">
        <v>59</v>
      </c>
      <c r="O3196" t="s">
        <v>55</v>
      </c>
      <c r="P3196" t="s">
        <v>152</v>
      </c>
      <c r="Q3196" t="s">
        <v>152</v>
      </c>
      <c r="R3196">
        <v>10</v>
      </c>
      <c r="S3196" t="s">
        <v>27</v>
      </c>
      <c r="T3196" t="str">
        <f t="shared" si="98"/>
        <v>2-week</v>
      </c>
      <c r="U3196">
        <f>VLOOKUP(T3196,[1]tablescore!$B$3:$C$8, 2,FALSE)</f>
        <v>26</v>
      </c>
      <c r="V3196" t="str">
        <f t="shared" si="99"/>
        <v>Loyal</v>
      </c>
      <c r="W3196" t="s">
        <v>77</v>
      </c>
    </row>
    <row r="3197" spans="1:23" x14ac:dyDescent="0.25">
      <c r="A3197">
        <v>3196</v>
      </c>
      <c r="B3197">
        <v>68</v>
      </c>
      <c r="C3197" t="str" cm="1">
        <f t="array" ref="C3197">_xlfn.IFS(
  AND(B3197&gt;=18, B3197&lt;=24), "18-24",
  AND(B3197&gt;=25, B3197&lt;=34), "25-34",
  AND(B3197&gt;=35, B3197&lt;=44), "35-44",
  AND(B3197&gt;=45, B3197&lt;=54), "45-54",
  B3197&gt;=55, "55+"
)</f>
        <v>55+</v>
      </c>
      <c r="D3197" t="s">
        <v>153</v>
      </c>
      <c r="E3197" t="s">
        <v>89</v>
      </c>
      <c r="F3197" t="s">
        <v>69</v>
      </c>
      <c r="G3197">
        <v>58</v>
      </c>
      <c r="H3197" t="s">
        <v>70</v>
      </c>
      <c r="I3197" t="s">
        <v>38</v>
      </c>
      <c r="J3197" t="s">
        <v>108</v>
      </c>
      <c r="K3197" t="s">
        <v>39</v>
      </c>
      <c r="L3197">
        <v>4.9000000000000004</v>
      </c>
      <c r="M3197" t="s">
        <v>152</v>
      </c>
      <c r="N3197" t="s">
        <v>59</v>
      </c>
      <c r="O3197" t="s">
        <v>47</v>
      </c>
      <c r="P3197" t="s">
        <v>152</v>
      </c>
      <c r="Q3197" t="s">
        <v>152</v>
      </c>
      <c r="R3197">
        <v>36</v>
      </c>
      <c r="S3197" t="s">
        <v>27</v>
      </c>
      <c r="T3197" t="str">
        <f t="shared" si="98"/>
        <v>Quarterly</v>
      </c>
      <c r="U3197">
        <f>VLOOKUP(T3197,[1]tablescore!$B$3:$C$8, 2,FALSE)</f>
        <v>4</v>
      </c>
      <c r="V3197" t="str">
        <f t="shared" si="99"/>
        <v>Low Loyalty</v>
      </c>
      <c r="W3197" t="s">
        <v>60</v>
      </c>
    </row>
    <row r="3198" spans="1:23" x14ac:dyDescent="0.25">
      <c r="A3198">
        <v>3197</v>
      </c>
      <c r="B3198">
        <v>24</v>
      </c>
      <c r="C3198" t="str" cm="1">
        <f t="array" ref="C3198">_xlfn.IFS(
  AND(B3198&gt;=18, B3198&lt;=24), "18-24",
  AND(B3198&gt;=25, B3198&lt;=34), "25-34",
  AND(B3198&gt;=35, B3198&lt;=44), "35-44",
  AND(B3198&gt;=45, B3198&lt;=54), "45-54",
  B3198&gt;=55, "55+"
)</f>
        <v>18-24</v>
      </c>
      <c r="D3198" t="s">
        <v>153</v>
      </c>
      <c r="E3198" t="s">
        <v>136</v>
      </c>
      <c r="F3198" t="s">
        <v>69</v>
      </c>
      <c r="G3198">
        <v>59</v>
      </c>
      <c r="H3198" t="s">
        <v>148</v>
      </c>
      <c r="I3198" t="s">
        <v>23</v>
      </c>
      <c r="J3198" t="s">
        <v>33</v>
      </c>
      <c r="K3198" t="s">
        <v>25</v>
      </c>
      <c r="L3198">
        <v>2.8</v>
      </c>
      <c r="M3198" t="s">
        <v>152</v>
      </c>
      <c r="N3198" t="s">
        <v>59</v>
      </c>
      <c r="O3198" t="s">
        <v>28</v>
      </c>
      <c r="P3198" t="s">
        <v>152</v>
      </c>
      <c r="Q3198" t="s">
        <v>152</v>
      </c>
      <c r="R3198">
        <v>21</v>
      </c>
      <c r="S3198" t="s">
        <v>59</v>
      </c>
      <c r="T3198" t="str">
        <f t="shared" si="98"/>
        <v>2-week</v>
      </c>
      <c r="U3198">
        <f>VLOOKUP(T3198,[1]tablescore!$B$3:$C$8, 2,FALSE)</f>
        <v>26</v>
      </c>
      <c r="V3198" t="str">
        <f t="shared" si="99"/>
        <v>Loyal</v>
      </c>
      <c r="W3198" t="s">
        <v>30</v>
      </c>
    </row>
    <row r="3199" spans="1:23" x14ac:dyDescent="0.25">
      <c r="A3199">
        <v>3198</v>
      </c>
      <c r="B3199">
        <v>27</v>
      </c>
      <c r="C3199" t="str" cm="1">
        <f t="array" ref="C3199">_xlfn.IFS(
  AND(B3199&gt;=18, B3199&lt;=24), "18-24",
  AND(B3199&gt;=25, B3199&lt;=34), "25-34",
  AND(B3199&gt;=35, B3199&lt;=44), "35-44",
  AND(B3199&gt;=45, B3199&lt;=54), "45-54",
  B3199&gt;=55, "55+"
)</f>
        <v>25-34</v>
      </c>
      <c r="D3199" t="s">
        <v>153</v>
      </c>
      <c r="E3199" t="s">
        <v>31</v>
      </c>
      <c r="F3199" t="s">
        <v>21</v>
      </c>
      <c r="G3199">
        <v>71</v>
      </c>
      <c r="H3199" t="s">
        <v>32</v>
      </c>
      <c r="I3199" t="s">
        <v>45</v>
      </c>
      <c r="J3199" t="s">
        <v>86</v>
      </c>
      <c r="K3199" t="s">
        <v>39</v>
      </c>
      <c r="L3199">
        <v>3.2</v>
      </c>
      <c r="M3199" t="s">
        <v>152</v>
      </c>
      <c r="N3199" t="s">
        <v>34</v>
      </c>
      <c r="O3199" t="s">
        <v>40</v>
      </c>
      <c r="P3199" t="s">
        <v>152</v>
      </c>
      <c r="Q3199" t="s">
        <v>152</v>
      </c>
      <c r="R3199">
        <v>29</v>
      </c>
      <c r="S3199" t="s">
        <v>27</v>
      </c>
      <c r="T3199" t="str">
        <f t="shared" si="98"/>
        <v>Quarterly</v>
      </c>
      <c r="U3199">
        <f>VLOOKUP(T3199,[1]tablescore!$B$3:$C$8, 2,FALSE)</f>
        <v>4</v>
      </c>
      <c r="V3199" t="str">
        <f t="shared" si="99"/>
        <v>Low Loyalty</v>
      </c>
      <c r="W3199" t="s">
        <v>97</v>
      </c>
    </row>
    <row r="3200" spans="1:23" x14ac:dyDescent="0.25">
      <c r="A3200">
        <v>3199</v>
      </c>
      <c r="B3200">
        <v>61</v>
      </c>
      <c r="C3200" t="str" cm="1">
        <f t="array" ref="C3200">_xlfn.IFS(
  AND(B3200&gt;=18, B3200&lt;=24), "18-24",
  AND(B3200&gt;=25, B3200&lt;=34), "25-34",
  AND(B3200&gt;=35, B3200&lt;=44), "35-44",
  AND(B3200&gt;=45, B3200&lt;=54), "45-54",
  B3200&gt;=55, "55+"
)</f>
        <v>55+</v>
      </c>
      <c r="D3200" t="s">
        <v>153</v>
      </c>
      <c r="E3200" t="s">
        <v>127</v>
      </c>
      <c r="F3200" t="s">
        <v>69</v>
      </c>
      <c r="G3200">
        <v>94</v>
      </c>
      <c r="H3200" t="s">
        <v>141</v>
      </c>
      <c r="I3200" t="s">
        <v>23</v>
      </c>
      <c r="J3200" t="s">
        <v>100</v>
      </c>
      <c r="K3200" t="s">
        <v>25</v>
      </c>
      <c r="L3200">
        <v>2.8</v>
      </c>
      <c r="M3200" t="s">
        <v>152</v>
      </c>
      <c r="N3200" t="s">
        <v>35</v>
      </c>
      <c r="O3200" t="s">
        <v>40</v>
      </c>
      <c r="P3200" t="s">
        <v>152</v>
      </c>
      <c r="Q3200" t="s">
        <v>152</v>
      </c>
      <c r="R3200">
        <v>39</v>
      </c>
      <c r="S3200" t="s">
        <v>59</v>
      </c>
      <c r="T3200" t="str">
        <f t="shared" si="98"/>
        <v>Daily</v>
      </c>
      <c r="U3200">
        <f>VLOOKUP(T3200,[1]tablescore!$B$3:$C$8, 2,FALSE)</f>
        <v>30</v>
      </c>
      <c r="V3200" t="str">
        <f t="shared" si="99"/>
        <v>Highly Loyal</v>
      </c>
      <c r="W3200" t="s">
        <v>41</v>
      </c>
    </row>
    <row r="3201" spans="1:23" x14ac:dyDescent="0.25">
      <c r="A3201">
        <v>3200</v>
      </c>
      <c r="B3201">
        <v>59</v>
      </c>
      <c r="C3201" t="str" cm="1">
        <f t="array" ref="C3201">_xlfn.IFS(
  AND(B3201&gt;=18, B3201&lt;=24), "18-24",
  AND(B3201&gt;=25, B3201&lt;=34), "25-34",
  AND(B3201&gt;=35, B3201&lt;=44), "35-44",
  AND(B3201&gt;=45, B3201&lt;=54), "45-54",
  B3201&gt;=55, "55+"
)</f>
        <v>55+</v>
      </c>
      <c r="D3201" t="s">
        <v>153</v>
      </c>
      <c r="E3201" t="s">
        <v>68</v>
      </c>
      <c r="F3201" t="s">
        <v>69</v>
      </c>
      <c r="G3201">
        <v>40</v>
      </c>
      <c r="H3201" t="s">
        <v>32</v>
      </c>
      <c r="I3201" t="s">
        <v>92</v>
      </c>
      <c r="J3201" t="s">
        <v>71</v>
      </c>
      <c r="K3201" t="s">
        <v>25</v>
      </c>
      <c r="L3201">
        <v>4.2</v>
      </c>
      <c r="M3201" t="s">
        <v>152</v>
      </c>
      <c r="N3201" t="s">
        <v>46</v>
      </c>
      <c r="O3201" t="s">
        <v>28</v>
      </c>
      <c r="P3201" t="s">
        <v>152</v>
      </c>
      <c r="Q3201" t="s">
        <v>152</v>
      </c>
      <c r="R3201">
        <v>16</v>
      </c>
      <c r="S3201" t="s">
        <v>46</v>
      </c>
      <c r="T3201" t="str">
        <f t="shared" si="98"/>
        <v>Month</v>
      </c>
      <c r="U3201">
        <f>VLOOKUP(T3201,[1]tablescore!$B$3:$C$8, 2,FALSE)</f>
        <v>12</v>
      </c>
      <c r="V3201" t="str">
        <f t="shared" si="99"/>
        <v>Moderate</v>
      </c>
      <c r="W3201" t="s">
        <v>88</v>
      </c>
    </row>
    <row r="3202" spans="1:23" x14ac:dyDescent="0.25">
      <c r="A3202">
        <v>3201</v>
      </c>
      <c r="B3202">
        <v>67</v>
      </c>
      <c r="C3202" t="str" cm="1">
        <f t="array" ref="C3202">_xlfn.IFS(
  AND(B3202&gt;=18, B3202&lt;=24), "18-24",
  AND(B3202&gt;=25, B3202&lt;=34), "25-34",
  AND(B3202&gt;=35, B3202&lt;=44), "35-44",
  AND(B3202&gt;=45, B3202&lt;=54), "45-54",
  B3202&gt;=55, "55+"
)</f>
        <v>55+</v>
      </c>
      <c r="D3202" t="s">
        <v>153</v>
      </c>
      <c r="E3202" t="s">
        <v>131</v>
      </c>
      <c r="F3202" t="s">
        <v>21</v>
      </c>
      <c r="G3202">
        <v>24</v>
      </c>
      <c r="H3202" t="s">
        <v>70</v>
      </c>
      <c r="I3202" t="s">
        <v>23</v>
      </c>
      <c r="J3202" t="s">
        <v>94</v>
      </c>
      <c r="K3202" t="s">
        <v>39</v>
      </c>
      <c r="L3202">
        <v>4.8</v>
      </c>
      <c r="M3202" t="s">
        <v>152</v>
      </c>
      <c r="N3202" t="s">
        <v>46</v>
      </c>
      <c r="O3202" t="s">
        <v>40</v>
      </c>
      <c r="P3202" t="s">
        <v>152</v>
      </c>
      <c r="Q3202" t="s">
        <v>152</v>
      </c>
      <c r="R3202">
        <v>32</v>
      </c>
      <c r="S3202" t="s">
        <v>27</v>
      </c>
      <c r="T3202" t="str">
        <f t="shared" si="98"/>
        <v>Month</v>
      </c>
      <c r="U3202">
        <f>VLOOKUP(T3202,[1]tablescore!$B$3:$C$8, 2,FALSE)</f>
        <v>12</v>
      </c>
      <c r="V3202" t="str">
        <f t="shared" si="99"/>
        <v>Moderate</v>
      </c>
      <c r="W3202" t="s">
        <v>88</v>
      </c>
    </row>
    <row r="3203" spans="1:23" x14ac:dyDescent="0.25">
      <c r="A3203">
        <v>3202</v>
      </c>
      <c r="B3203">
        <v>46</v>
      </c>
      <c r="C3203" t="str" cm="1">
        <f t="array" ref="C3203">_xlfn.IFS(
  AND(B3203&gt;=18, B3203&lt;=24), "18-24",
  AND(B3203&gt;=25, B3203&lt;=34), "25-34",
  AND(B3203&gt;=35, B3203&lt;=44), "35-44",
  AND(B3203&gt;=45, B3203&lt;=54), "45-54",
  B3203&gt;=55, "55+"
)</f>
        <v>45-54</v>
      </c>
      <c r="D3203" t="s">
        <v>153</v>
      </c>
      <c r="E3203" t="s">
        <v>95</v>
      </c>
      <c r="F3203" t="s">
        <v>21</v>
      </c>
      <c r="G3203">
        <v>38</v>
      </c>
      <c r="H3203" t="s">
        <v>145</v>
      </c>
      <c r="I3203" t="s">
        <v>38</v>
      </c>
      <c r="J3203" t="s">
        <v>129</v>
      </c>
      <c r="K3203" t="s">
        <v>58</v>
      </c>
      <c r="L3203">
        <v>2.8</v>
      </c>
      <c r="M3203" t="s">
        <v>152</v>
      </c>
      <c r="N3203" t="s">
        <v>27</v>
      </c>
      <c r="O3203" t="s">
        <v>72</v>
      </c>
      <c r="P3203" t="s">
        <v>152</v>
      </c>
      <c r="Q3203" t="s">
        <v>152</v>
      </c>
      <c r="R3203">
        <v>34</v>
      </c>
      <c r="S3203" t="s">
        <v>35</v>
      </c>
      <c r="T3203" t="str">
        <f t="shared" ref="T3203:T3266" si="100">IF(TRIM(W3203)="Every 3 months","Quarterly",IF(TRIM(W3203)="Fortnightly","2-week",IF(TRIM(W3203)="Bi-Weekly","2-week",IF(TRIM(W3203)="Weekly","Daily",IF(TRIM(W3203)="Monthly","Month",TRIM(W3203))))))</f>
        <v>Month</v>
      </c>
      <c r="U3203">
        <f>VLOOKUP(T3203,[1]tablescore!$B$3:$C$8, 2,FALSE)</f>
        <v>12</v>
      </c>
      <c r="V3203" t="str">
        <f t="shared" ref="V3203:V3266" si="101">_xlfn.IFS(U3203&gt;=30, "Highly Loyal", U3203&gt;=26, "Loyal", U3203&gt;=12, "Moderate", U3203&lt;5, "Low Loyalty")</f>
        <v>Moderate</v>
      </c>
      <c r="W3203" t="s">
        <v>88</v>
      </c>
    </row>
    <row r="3204" spans="1:23" x14ac:dyDescent="0.25">
      <c r="A3204">
        <v>3203</v>
      </c>
      <c r="B3204">
        <v>65</v>
      </c>
      <c r="C3204" t="str" cm="1">
        <f t="array" ref="C3204">_xlfn.IFS(
  AND(B3204&gt;=18, B3204&lt;=24), "18-24",
  AND(B3204&gt;=25, B3204&lt;=34), "25-34",
  AND(B3204&gt;=35, B3204&lt;=44), "35-44",
  AND(B3204&gt;=45, B3204&lt;=54), "45-54",
  B3204&gt;=55, "55+"
)</f>
        <v>55+</v>
      </c>
      <c r="D3204" t="s">
        <v>153</v>
      </c>
      <c r="E3204" t="s">
        <v>119</v>
      </c>
      <c r="F3204" t="s">
        <v>69</v>
      </c>
      <c r="G3204">
        <v>37</v>
      </c>
      <c r="H3204" t="s">
        <v>148</v>
      </c>
      <c r="I3204" t="s">
        <v>23</v>
      </c>
      <c r="J3204" t="s">
        <v>96</v>
      </c>
      <c r="K3204" t="s">
        <v>58</v>
      </c>
      <c r="L3204">
        <v>4.5</v>
      </c>
      <c r="M3204" t="s">
        <v>152</v>
      </c>
      <c r="N3204" t="s">
        <v>34</v>
      </c>
      <c r="O3204" t="s">
        <v>55</v>
      </c>
      <c r="P3204" t="s">
        <v>152</v>
      </c>
      <c r="Q3204" t="s">
        <v>152</v>
      </c>
      <c r="R3204">
        <v>38</v>
      </c>
      <c r="S3204" t="s">
        <v>29</v>
      </c>
      <c r="T3204" t="str">
        <f t="shared" si="100"/>
        <v>Annually</v>
      </c>
      <c r="U3204">
        <f>VLOOKUP(T3204,[1]tablescore!$B$3:$C$8, 2,FALSE)</f>
        <v>1</v>
      </c>
      <c r="V3204" t="str">
        <f t="shared" si="101"/>
        <v>Low Loyalty</v>
      </c>
      <c r="W3204" t="s">
        <v>50</v>
      </c>
    </row>
    <row r="3205" spans="1:23" x14ac:dyDescent="0.25">
      <c r="A3205">
        <v>3204</v>
      </c>
      <c r="B3205">
        <v>63</v>
      </c>
      <c r="C3205" t="str" cm="1">
        <f t="array" ref="C3205">_xlfn.IFS(
  AND(B3205&gt;=18, B3205&lt;=24), "18-24",
  AND(B3205&gt;=25, B3205&lt;=34), "25-34",
  AND(B3205&gt;=35, B3205&lt;=44), "35-44",
  AND(B3205&gt;=45, B3205&lt;=54), "45-54",
  B3205&gt;=55, "55+"
)</f>
        <v>55+</v>
      </c>
      <c r="D3205" t="s">
        <v>153</v>
      </c>
      <c r="E3205" t="s">
        <v>64</v>
      </c>
      <c r="F3205" t="s">
        <v>65</v>
      </c>
      <c r="G3205">
        <v>29</v>
      </c>
      <c r="H3205" t="s">
        <v>137</v>
      </c>
      <c r="I3205" t="s">
        <v>23</v>
      </c>
      <c r="J3205" t="s">
        <v>86</v>
      </c>
      <c r="K3205" t="s">
        <v>39</v>
      </c>
      <c r="L3205">
        <v>4.0999999999999996</v>
      </c>
      <c r="M3205" t="s">
        <v>152</v>
      </c>
      <c r="N3205" t="s">
        <v>35</v>
      </c>
      <c r="O3205" t="s">
        <v>28</v>
      </c>
      <c r="P3205" t="s">
        <v>152</v>
      </c>
      <c r="Q3205" t="s">
        <v>152</v>
      </c>
      <c r="R3205">
        <v>14</v>
      </c>
      <c r="S3205" t="s">
        <v>29</v>
      </c>
      <c r="T3205" t="str">
        <f t="shared" si="100"/>
        <v>Annually</v>
      </c>
      <c r="U3205">
        <f>VLOOKUP(T3205,[1]tablescore!$B$3:$C$8, 2,FALSE)</f>
        <v>1</v>
      </c>
      <c r="V3205" t="str">
        <f t="shared" si="101"/>
        <v>Low Loyalty</v>
      </c>
      <c r="W3205" t="s">
        <v>50</v>
      </c>
    </row>
    <row r="3206" spans="1:23" x14ac:dyDescent="0.25">
      <c r="A3206">
        <v>3205</v>
      </c>
      <c r="B3206">
        <v>57</v>
      </c>
      <c r="C3206" t="str" cm="1">
        <f t="array" ref="C3206">_xlfn.IFS(
  AND(B3206&gt;=18, B3206&lt;=24), "18-24",
  AND(B3206&gt;=25, B3206&lt;=34), "25-34",
  AND(B3206&gt;=35, B3206&lt;=44), "35-44",
  AND(B3206&gt;=45, B3206&lt;=54), "45-54",
  B3206&gt;=55, "55+"
)</f>
        <v>55+</v>
      </c>
      <c r="D3206" t="s">
        <v>153</v>
      </c>
      <c r="E3206" t="s">
        <v>102</v>
      </c>
      <c r="F3206" t="s">
        <v>65</v>
      </c>
      <c r="G3206">
        <v>92</v>
      </c>
      <c r="H3206" t="s">
        <v>123</v>
      </c>
      <c r="I3206" t="s">
        <v>92</v>
      </c>
      <c r="J3206" t="s">
        <v>93</v>
      </c>
      <c r="K3206" t="s">
        <v>58</v>
      </c>
      <c r="L3206">
        <v>4.3</v>
      </c>
      <c r="M3206" t="s">
        <v>152</v>
      </c>
      <c r="N3206" t="s">
        <v>27</v>
      </c>
      <c r="O3206" t="s">
        <v>40</v>
      </c>
      <c r="P3206" t="s">
        <v>152</v>
      </c>
      <c r="Q3206" t="s">
        <v>152</v>
      </c>
      <c r="R3206">
        <v>23</v>
      </c>
      <c r="S3206" t="s">
        <v>59</v>
      </c>
      <c r="T3206" t="str">
        <f t="shared" si="100"/>
        <v>2-week</v>
      </c>
      <c r="U3206">
        <f>VLOOKUP(T3206,[1]tablescore!$B$3:$C$8, 2,FALSE)</f>
        <v>26</v>
      </c>
      <c r="V3206" t="str">
        <f t="shared" si="101"/>
        <v>Loyal</v>
      </c>
      <c r="W3206" t="s">
        <v>77</v>
      </c>
    </row>
    <row r="3207" spans="1:23" x14ac:dyDescent="0.25">
      <c r="A3207">
        <v>3206</v>
      </c>
      <c r="B3207">
        <v>40</v>
      </c>
      <c r="C3207" t="str" cm="1">
        <f t="array" ref="C3207">_xlfn.IFS(
  AND(B3207&gt;=18, B3207&lt;=24), "18-24",
  AND(B3207&gt;=25, B3207&lt;=34), "25-34",
  AND(B3207&gt;=35, B3207&lt;=44), "35-44",
  AND(B3207&gt;=45, B3207&lt;=54), "45-54",
  B3207&gt;=55, "55+"
)</f>
        <v>35-44</v>
      </c>
      <c r="D3207" t="s">
        <v>153</v>
      </c>
      <c r="E3207" t="s">
        <v>104</v>
      </c>
      <c r="F3207" t="s">
        <v>21</v>
      </c>
      <c r="G3207">
        <v>24</v>
      </c>
      <c r="H3207" t="s">
        <v>112</v>
      </c>
      <c r="I3207" t="s">
        <v>92</v>
      </c>
      <c r="J3207" t="s">
        <v>147</v>
      </c>
      <c r="K3207" t="s">
        <v>58</v>
      </c>
      <c r="L3207">
        <v>4.4000000000000004</v>
      </c>
      <c r="M3207" t="s">
        <v>152</v>
      </c>
      <c r="N3207" t="s">
        <v>59</v>
      </c>
      <c r="O3207" t="s">
        <v>72</v>
      </c>
      <c r="P3207" t="s">
        <v>152</v>
      </c>
      <c r="Q3207" t="s">
        <v>152</v>
      </c>
      <c r="R3207">
        <v>50</v>
      </c>
      <c r="S3207" t="s">
        <v>34</v>
      </c>
      <c r="T3207" t="str">
        <f t="shared" si="100"/>
        <v>Quarterly</v>
      </c>
      <c r="U3207">
        <f>VLOOKUP(T3207,[1]tablescore!$B$3:$C$8, 2,FALSE)</f>
        <v>4</v>
      </c>
      <c r="V3207" t="str">
        <f t="shared" si="101"/>
        <v>Low Loyalty</v>
      </c>
      <c r="W3207" t="s">
        <v>97</v>
      </c>
    </row>
    <row r="3208" spans="1:23" x14ac:dyDescent="0.25">
      <c r="A3208">
        <v>3207</v>
      </c>
      <c r="B3208">
        <v>36</v>
      </c>
      <c r="C3208" t="str" cm="1">
        <f t="array" ref="C3208">_xlfn.IFS(
  AND(B3208&gt;=18, B3208&lt;=24), "18-24",
  AND(B3208&gt;=25, B3208&lt;=34), "25-34",
  AND(B3208&gt;=35, B3208&lt;=44), "35-44",
  AND(B3208&gt;=45, B3208&lt;=54), "45-54",
  B3208&gt;=55, "55+"
)</f>
        <v>35-44</v>
      </c>
      <c r="D3208" t="s">
        <v>153</v>
      </c>
      <c r="E3208" t="s">
        <v>132</v>
      </c>
      <c r="F3208" t="s">
        <v>43</v>
      </c>
      <c r="G3208">
        <v>52</v>
      </c>
      <c r="H3208" t="s">
        <v>99</v>
      </c>
      <c r="I3208" t="s">
        <v>45</v>
      </c>
      <c r="J3208" t="s">
        <v>110</v>
      </c>
      <c r="K3208" t="s">
        <v>25</v>
      </c>
      <c r="L3208">
        <v>3</v>
      </c>
      <c r="M3208" t="s">
        <v>152</v>
      </c>
      <c r="N3208" t="s">
        <v>59</v>
      </c>
      <c r="O3208" t="s">
        <v>40</v>
      </c>
      <c r="P3208" t="s">
        <v>152</v>
      </c>
      <c r="Q3208" t="s">
        <v>152</v>
      </c>
      <c r="R3208">
        <v>49</v>
      </c>
      <c r="S3208" t="s">
        <v>46</v>
      </c>
      <c r="T3208" t="str">
        <f t="shared" si="100"/>
        <v>Month</v>
      </c>
      <c r="U3208">
        <f>VLOOKUP(T3208,[1]tablescore!$B$3:$C$8, 2,FALSE)</f>
        <v>12</v>
      </c>
      <c r="V3208" t="str">
        <f t="shared" si="101"/>
        <v>Moderate</v>
      </c>
      <c r="W3208" t="s">
        <v>88</v>
      </c>
    </row>
    <row r="3209" spans="1:23" x14ac:dyDescent="0.25">
      <c r="A3209">
        <v>3208</v>
      </c>
      <c r="B3209">
        <v>67</v>
      </c>
      <c r="C3209" t="str" cm="1">
        <f t="array" ref="C3209">_xlfn.IFS(
  AND(B3209&gt;=18, B3209&lt;=24), "18-24",
  AND(B3209&gt;=25, B3209&lt;=34), "25-34",
  AND(B3209&gt;=35, B3209&lt;=44), "35-44",
  AND(B3209&gt;=45, B3209&lt;=54), "45-54",
  B3209&gt;=55, "55+"
)</f>
        <v>55+</v>
      </c>
      <c r="D3209" t="s">
        <v>153</v>
      </c>
      <c r="E3209" t="s">
        <v>131</v>
      </c>
      <c r="F3209" t="s">
        <v>21</v>
      </c>
      <c r="G3209">
        <v>29</v>
      </c>
      <c r="H3209" t="s">
        <v>117</v>
      </c>
      <c r="I3209" t="s">
        <v>92</v>
      </c>
      <c r="J3209" t="s">
        <v>118</v>
      </c>
      <c r="K3209" t="s">
        <v>54</v>
      </c>
      <c r="L3209">
        <v>2.7</v>
      </c>
      <c r="M3209" t="s">
        <v>152</v>
      </c>
      <c r="N3209" t="s">
        <v>59</v>
      </c>
      <c r="O3209" t="s">
        <v>47</v>
      </c>
      <c r="P3209" t="s">
        <v>152</v>
      </c>
      <c r="Q3209" t="s">
        <v>152</v>
      </c>
      <c r="R3209">
        <v>14</v>
      </c>
      <c r="S3209" t="s">
        <v>46</v>
      </c>
      <c r="T3209" t="str">
        <f t="shared" si="100"/>
        <v>Annually</v>
      </c>
      <c r="U3209">
        <f>VLOOKUP(T3209,[1]tablescore!$B$3:$C$8, 2,FALSE)</f>
        <v>1</v>
      </c>
      <c r="V3209" t="str">
        <f t="shared" si="101"/>
        <v>Low Loyalty</v>
      </c>
      <c r="W3209" t="s">
        <v>50</v>
      </c>
    </row>
    <row r="3210" spans="1:23" x14ac:dyDescent="0.25">
      <c r="A3210">
        <v>3209</v>
      </c>
      <c r="B3210">
        <v>61</v>
      </c>
      <c r="C3210" t="str" cm="1">
        <f t="array" ref="C3210">_xlfn.IFS(
  AND(B3210&gt;=18, B3210&lt;=24), "18-24",
  AND(B3210&gt;=25, B3210&lt;=34), "25-34",
  AND(B3210&gt;=35, B3210&lt;=44), "35-44",
  AND(B3210&gt;=45, B3210&lt;=54), "45-54",
  B3210&gt;=55, "55+"
)</f>
        <v>55+</v>
      </c>
      <c r="D3210" t="s">
        <v>153</v>
      </c>
      <c r="E3210" t="s">
        <v>106</v>
      </c>
      <c r="F3210" t="s">
        <v>69</v>
      </c>
      <c r="G3210">
        <v>30</v>
      </c>
      <c r="H3210" t="s">
        <v>116</v>
      </c>
      <c r="I3210" t="s">
        <v>23</v>
      </c>
      <c r="J3210" t="s">
        <v>129</v>
      </c>
      <c r="K3210" t="s">
        <v>25</v>
      </c>
      <c r="L3210">
        <v>3.3</v>
      </c>
      <c r="M3210" t="s">
        <v>152</v>
      </c>
      <c r="N3210" t="s">
        <v>46</v>
      </c>
      <c r="O3210" t="s">
        <v>72</v>
      </c>
      <c r="P3210" t="s">
        <v>152</v>
      </c>
      <c r="Q3210" t="s">
        <v>152</v>
      </c>
      <c r="R3210">
        <v>42</v>
      </c>
      <c r="S3210" t="s">
        <v>46</v>
      </c>
      <c r="T3210" t="str">
        <f t="shared" si="100"/>
        <v>Daily</v>
      </c>
      <c r="U3210">
        <f>VLOOKUP(T3210,[1]tablescore!$B$3:$C$8, 2,FALSE)</f>
        <v>30</v>
      </c>
      <c r="V3210" t="str">
        <f t="shared" si="101"/>
        <v>Highly Loyal</v>
      </c>
      <c r="W3210" t="s">
        <v>41</v>
      </c>
    </row>
    <row r="3211" spans="1:23" x14ac:dyDescent="0.25">
      <c r="A3211">
        <v>3210</v>
      </c>
      <c r="B3211">
        <v>64</v>
      </c>
      <c r="C3211" t="str" cm="1">
        <f t="array" ref="C3211">_xlfn.IFS(
  AND(B3211&gt;=18, B3211&lt;=24), "18-24",
  AND(B3211&gt;=25, B3211&lt;=34), "25-34",
  AND(B3211&gt;=35, B3211&lt;=44), "35-44",
  AND(B3211&gt;=45, B3211&lt;=54), "45-54",
  B3211&gt;=55, "55+"
)</f>
        <v>55+</v>
      </c>
      <c r="D3211" t="s">
        <v>153</v>
      </c>
      <c r="E3211" t="s">
        <v>73</v>
      </c>
      <c r="F3211" t="s">
        <v>43</v>
      </c>
      <c r="G3211">
        <v>31</v>
      </c>
      <c r="H3211" t="s">
        <v>74</v>
      </c>
      <c r="I3211" t="s">
        <v>23</v>
      </c>
      <c r="J3211" t="s">
        <v>100</v>
      </c>
      <c r="K3211" t="s">
        <v>58</v>
      </c>
      <c r="L3211">
        <v>4.3</v>
      </c>
      <c r="M3211" t="s">
        <v>152</v>
      </c>
      <c r="N3211" t="s">
        <v>34</v>
      </c>
      <c r="O3211" t="s">
        <v>55</v>
      </c>
      <c r="P3211" t="s">
        <v>152</v>
      </c>
      <c r="Q3211" t="s">
        <v>152</v>
      </c>
      <c r="R3211">
        <v>39</v>
      </c>
      <c r="S3211" t="s">
        <v>59</v>
      </c>
      <c r="T3211" t="str">
        <f t="shared" si="100"/>
        <v>Annually</v>
      </c>
      <c r="U3211">
        <f>VLOOKUP(T3211,[1]tablescore!$B$3:$C$8, 2,FALSE)</f>
        <v>1</v>
      </c>
      <c r="V3211" t="str">
        <f t="shared" si="101"/>
        <v>Low Loyalty</v>
      </c>
      <c r="W3211" t="s">
        <v>50</v>
      </c>
    </row>
    <row r="3212" spans="1:23" x14ac:dyDescent="0.25">
      <c r="A3212">
        <v>3211</v>
      </c>
      <c r="B3212">
        <v>30</v>
      </c>
      <c r="C3212" t="str" cm="1">
        <f t="array" ref="C3212">_xlfn.IFS(
  AND(B3212&gt;=18, B3212&lt;=24), "18-24",
  AND(B3212&gt;=25, B3212&lt;=34), "25-34",
  AND(B3212&gt;=35, B3212&lt;=44), "35-44",
  AND(B3212&gt;=45, B3212&lt;=54), "45-54",
  B3212&gt;=55, "55+"
)</f>
        <v>25-34</v>
      </c>
      <c r="D3212" t="s">
        <v>153</v>
      </c>
      <c r="E3212" t="s">
        <v>131</v>
      </c>
      <c r="F3212" t="s">
        <v>21</v>
      </c>
      <c r="G3212">
        <v>67</v>
      </c>
      <c r="H3212" t="s">
        <v>107</v>
      </c>
      <c r="I3212" t="s">
        <v>45</v>
      </c>
      <c r="J3212" t="s">
        <v>147</v>
      </c>
      <c r="K3212" t="s">
        <v>54</v>
      </c>
      <c r="L3212">
        <v>2.9</v>
      </c>
      <c r="M3212" t="s">
        <v>152</v>
      </c>
      <c r="N3212" t="s">
        <v>59</v>
      </c>
      <c r="O3212" t="s">
        <v>28</v>
      </c>
      <c r="P3212" t="s">
        <v>152</v>
      </c>
      <c r="Q3212" t="s">
        <v>152</v>
      </c>
      <c r="R3212">
        <v>43</v>
      </c>
      <c r="S3212" t="s">
        <v>29</v>
      </c>
      <c r="T3212" t="str">
        <f t="shared" si="100"/>
        <v>2-week</v>
      </c>
      <c r="U3212">
        <f>VLOOKUP(T3212,[1]tablescore!$B$3:$C$8, 2,FALSE)</f>
        <v>26</v>
      </c>
      <c r="V3212" t="str">
        <f t="shared" si="101"/>
        <v>Loyal</v>
      </c>
      <c r="W3212" t="s">
        <v>77</v>
      </c>
    </row>
    <row r="3213" spans="1:23" x14ac:dyDescent="0.25">
      <c r="A3213">
        <v>3212</v>
      </c>
      <c r="B3213">
        <v>53</v>
      </c>
      <c r="C3213" t="str" cm="1">
        <f t="array" ref="C3213">_xlfn.IFS(
  AND(B3213&gt;=18, B3213&lt;=24), "18-24",
  AND(B3213&gt;=25, B3213&lt;=34), "25-34",
  AND(B3213&gt;=35, B3213&lt;=44), "35-44",
  AND(B3213&gt;=45, B3213&lt;=54), "45-54",
  B3213&gt;=55, "55+"
)</f>
        <v>45-54</v>
      </c>
      <c r="D3213" t="s">
        <v>153</v>
      </c>
      <c r="E3213" t="s">
        <v>95</v>
      </c>
      <c r="F3213" t="s">
        <v>21</v>
      </c>
      <c r="G3213">
        <v>65</v>
      </c>
      <c r="H3213" t="s">
        <v>44</v>
      </c>
      <c r="I3213" t="s">
        <v>23</v>
      </c>
      <c r="J3213" t="s">
        <v>49</v>
      </c>
      <c r="K3213" t="s">
        <v>25</v>
      </c>
      <c r="L3213">
        <v>4.9000000000000004</v>
      </c>
      <c r="M3213" t="s">
        <v>152</v>
      </c>
      <c r="N3213" t="s">
        <v>27</v>
      </c>
      <c r="O3213" t="s">
        <v>55</v>
      </c>
      <c r="P3213" t="s">
        <v>152</v>
      </c>
      <c r="Q3213" t="s">
        <v>152</v>
      </c>
      <c r="R3213">
        <v>12</v>
      </c>
      <c r="S3213" t="s">
        <v>35</v>
      </c>
      <c r="T3213" t="str">
        <f t="shared" si="100"/>
        <v>Month</v>
      </c>
      <c r="U3213">
        <f>VLOOKUP(T3213,[1]tablescore!$B$3:$C$8, 2,FALSE)</f>
        <v>12</v>
      </c>
      <c r="V3213" t="str">
        <f t="shared" si="101"/>
        <v>Moderate</v>
      </c>
      <c r="W3213" t="s">
        <v>88</v>
      </c>
    </row>
    <row r="3214" spans="1:23" x14ac:dyDescent="0.25">
      <c r="A3214">
        <v>3213</v>
      </c>
      <c r="B3214">
        <v>27</v>
      </c>
      <c r="C3214" t="str" cm="1">
        <f t="array" ref="C3214">_xlfn.IFS(
  AND(B3214&gt;=18, B3214&lt;=24), "18-24",
  AND(B3214&gt;=25, B3214&lt;=34), "25-34",
  AND(B3214&gt;=35, B3214&lt;=44), "35-44",
  AND(B3214&gt;=45, B3214&lt;=54), "45-54",
  B3214&gt;=55, "55+"
)</f>
        <v>25-34</v>
      </c>
      <c r="D3214" t="s">
        <v>153</v>
      </c>
      <c r="E3214" t="s">
        <v>51</v>
      </c>
      <c r="F3214" t="s">
        <v>43</v>
      </c>
      <c r="G3214">
        <v>22</v>
      </c>
      <c r="H3214" t="s">
        <v>52</v>
      </c>
      <c r="I3214" t="s">
        <v>45</v>
      </c>
      <c r="J3214" t="s">
        <v>129</v>
      </c>
      <c r="K3214" t="s">
        <v>25</v>
      </c>
      <c r="L3214">
        <v>3.6</v>
      </c>
      <c r="M3214" t="s">
        <v>152</v>
      </c>
      <c r="N3214" t="s">
        <v>34</v>
      </c>
      <c r="O3214" t="s">
        <v>72</v>
      </c>
      <c r="P3214" t="s">
        <v>152</v>
      </c>
      <c r="Q3214" t="s">
        <v>152</v>
      </c>
      <c r="R3214">
        <v>21</v>
      </c>
      <c r="S3214" t="s">
        <v>59</v>
      </c>
      <c r="T3214" t="str">
        <f t="shared" si="100"/>
        <v>Daily</v>
      </c>
      <c r="U3214">
        <f>VLOOKUP(T3214,[1]tablescore!$B$3:$C$8, 2,FALSE)</f>
        <v>30</v>
      </c>
      <c r="V3214" t="str">
        <f t="shared" si="101"/>
        <v>Highly Loyal</v>
      </c>
      <c r="W3214" t="s">
        <v>41</v>
      </c>
    </row>
    <row r="3215" spans="1:23" x14ac:dyDescent="0.25">
      <c r="A3215">
        <v>3214</v>
      </c>
      <c r="B3215">
        <v>27</v>
      </c>
      <c r="C3215" t="str" cm="1">
        <f t="array" ref="C3215">_xlfn.IFS(
  AND(B3215&gt;=18, B3215&lt;=24), "18-24",
  AND(B3215&gt;=25, B3215&lt;=34), "25-34",
  AND(B3215&gt;=35, B3215&lt;=44), "35-44",
  AND(B3215&gt;=45, B3215&lt;=54), "45-54",
  B3215&gt;=55, "55+"
)</f>
        <v>25-34</v>
      </c>
      <c r="D3215" t="s">
        <v>153</v>
      </c>
      <c r="E3215" t="s">
        <v>89</v>
      </c>
      <c r="F3215" t="s">
        <v>69</v>
      </c>
      <c r="G3215">
        <v>56</v>
      </c>
      <c r="H3215" t="s">
        <v>105</v>
      </c>
      <c r="I3215" t="s">
        <v>45</v>
      </c>
      <c r="J3215" t="s">
        <v>110</v>
      </c>
      <c r="K3215" t="s">
        <v>25</v>
      </c>
      <c r="L3215">
        <v>3.3</v>
      </c>
      <c r="M3215" t="s">
        <v>152</v>
      </c>
      <c r="N3215" t="s">
        <v>29</v>
      </c>
      <c r="O3215" t="s">
        <v>55</v>
      </c>
      <c r="P3215" t="s">
        <v>152</v>
      </c>
      <c r="Q3215" t="s">
        <v>152</v>
      </c>
      <c r="R3215">
        <v>33</v>
      </c>
      <c r="S3215" t="s">
        <v>27</v>
      </c>
      <c r="T3215" t="str">
        <f t="shared" si="100"/>
        <v>Month</v>
      </c>
      <c r="U3215">
        <f>VLOOKUP(T3215,[1]tablescore!$B$3:$C$8, 2,FALSE)</f>
        <v>12</v>
      </c>
      <c r="V3215" t="str">
        <f t="shared" si="101"/>
        <v>Moderate</v>
      </c>
      <c r="W3215" t="s">
        <v>88</v>
      </c>
    </row>
    <row r="3216" spans="1:23" x14ac:dyDescent="0.25">
      <c r="A3216">
        <v>3215</v>
      </c>
      <c r="B3216">
        <v>53</v>
      </c>
      <c r="C3216" t="str" cm="1">
        <f t="array" ref="C3216">_xlfn.IFS(
  AND(B3216&gt;=18, B3216&lt;=24), "18-24",
  AND(B3216&gt;=25, B3216&lt;=34), "25-34",
  AND(B3216&gt;=35, B3216&lt;=44), "35-44",
  AND(B3216&gt;=45, B3216&lt;=54), "45-54",
  B3216&gt;=55, "55+"
)</f>
        <v>45-54</v>
      </c>
      <c r="D3216" t="s">
        <v>153</v>
      </c>
      <c r="E3216" t="s">
        <v>87</v>
      </c>
      <c r="F3216" t="s">
        <v>21</v>
      </c>
      <c r="G3216">
        <v>78</v>
      </c>
      <c r="H3216" t="s">
        <v>140</v>
      </c>
      <c r="I3216" t="s">
        <v>45</v>
      </c>
      <c r="J3216" t="s">
        <v>139</v>
      </c>
      <c r="K3216" t="s">
        <v>39</v>
      </c>
      <c r="L3216">
        <v>3.1</v>
      </c>
      <c r="M3216" t="s">
        <v>152</v>
      </c>
      <c r="N3216" t="s">
        <v>34</v>
      </c>
      <c r="O3216" t="s">
        <v>40</v>
      </c>
      <c r="P3216" t="s">
        <v>152</v>
      </c>
      <c r="Q3216" t="s">
        <v>152</v>
      </c>
      <c r="R3216">
        <v>6</v>
      </c>
      <c r="S3216" t="s">
        <v>59</v>
      </c>
      <c r="T3216" t="str">
        <f t="shared" si="100"/>
        <v>Annually</v>
      </c>
      <c r="U3216">
        <f>VLOOKUP(T3216,[1]tablescore!$B$3:$C$8, 2,FALSE)</f>
        <v>1</v>
      </c>
      <c r="V3216" t="str">
        <f t="shared" si="101"/>
        <v>Low Loyalty</v>
      </c>
      <c r="W3216" t="s">
        <v>50</v>
      </c>
    </row>
    <row r="3217" spans="1:23" x14ac:dyDescent="0.25">
      <c r="A3217">
        <v>3216</v>
      </c>
      <c r="B3217">
        <v>34</v>
      </c>
      <c r="C3217" t="str" cm="1">
        <f t="array" ref="C3217">_xlfn.IFS(
  AND(B3217&gt;=18, B3217&lt;=24), "18-24",
  AND(B3217&gt;=25, B3217&lt;=34), "25-34",
  AND(B3217&gt;=35, B3217&lt;=44), "35-44",
  AND(B3217&gt;=45, B3217&lt;=54), "45-54",
  B3217&gt;=55, "55+"
)</f>
        <v>25-34</v>
      </c>
      <c r="D3217" t="s">
        <v>153</v>
      </c>
      <c r="E3217" t="s">
        <v>64</v>
      </c>
      <c r="F3217" t="s">
        <v>65</v>
      </c>
      <c r="G3217">
        <v>90</v>
      </c>
      <c r="H3217" t="s">
        <v>44</v>
      </c>
      <c r="I3217" t="s">
        <v>45</v>
      </c>
      <c r="J3217" t="s">
        <v>147</v>
      </c>
      <c r="K3217" t="s">
        <v>54</v>
      </c>
      <c r="L3217">
        <v>2.7</v>
      </c>
      <c r="M3217" t="s">
        <v>152</v>
      </c>
      <c r="N3217" t="s">
        <v>34</v>
      </c>
      <c r="O3217" t="s">
        <v>40</v>
      </c>
      <c r="P3217" t="s">
        <v>152</v>
      </c>
      <c r="Q3217" t="s">
        <v>152</v>
      </c>
      <c r="R3217">
        <v>10</v>
      </c>
      <c r="S3217" t="s">
        <v>46</v>
      </c>
      <c r="T3217" t="str">
        <f t="shared" si="100"/>
        <v>Quarterly</v>
      </c>
      <c r="U3217">
        <f>VLOOKUP(T3217,[1]tablescore!$B$3:$C$8, 2,FALSE)</f>
        <v>4</v>
      </c>
      <c r="V3217" t="str">
        <f t="shared" si="101"/>
        <v>Low Loyalty</v>
      </c>
      <c r="W3217" t="s">
        <v>97</v>
      </c>
    </row>
    <row r="3218" spans="1:23" x14ac:dyDescent="0.25">
      <c r="A3218">
        <v>3217</v>
      </c>
      <c r="B3218">
        <v>39</v>
      </c>
      <c r="C3218" t="str" cm="1">
        <f t="array" ref="C3218">_xlfn.IFS(
  AND(B3218&gt;=18, B3218&lt;=24), "18-24",
  AND(B3218&gt;=25, B3218&lt;=34), "25-34",
  AND(B3218&gt;=35, B3218&lt;=44), "35-44",
  AND(B3218&gt;=45, B3218&lt;=54), "45-54",
  B3218&gt;=55, "55+"
)</f>
        <v>35-44</v>
      </c>
      <c r="D3218" t="s">
        <v>153</v>
      </c>
      <c r="E3218" t="s">
        <v>104</v>
      </c>
      <c r="F3218" t="s">
        <v>21</v>
      </c>
      <c r="G3218">
        <v>85</v>
      </c>
      <c r="H3218" t="s">
        <v>115</v>
      </c>
      <c r="I3218" t="s">
        <v>38</v>
      </c>
      <c r="J3218" t="s">
        <v>79</v>
      </c>
      <c r="K3218" t="s">
        <v>25</v>
      </c>
      <c r="L3218">
        <v>3.4</v>
      </c>
      <c r="M3218" t="s">
        <v>152</v>
      </c>
      <c r="N3218" t="s">
        <v>59</v>
      </c>
      <c r="O3218" t="s">
        <v>47</v>
      </c>
      <c r="P3218" t="s">
        <v>152</v>
      </c>
      <c r="Q3218" t="s">
        <v>152</v>
      </c>
      <c r="R3218">
        <v>18</v>
      </c>
      <c r="S3218" t="s">
        <v>35</v>
      </c>
      <c r="T3218" t="str">
        <f t="shared" si="100"/>
        <v>Daily</v>
      </c>
      <c r="U3218">
        <f>VLOOKUP(T3218,[1]tablescore!$B$3:$C$8, 2,FALSE)</f>
        <v>30</v>
      </c>
      <c r="V3218" t="str">
        <f t="shared" si="101"/>
        <v>Highly Loyal</v>
      </c>
      <c r="W3218" t="s">
        <v>41</v>
      </c>
    </row>
    <row r="3219" spans="1:23" x14ac:dyDescent="0.25">
      <c r="A3219">
        <v>3218</v>
      </c>
      <c r="B3219">
        <v>44</v>
      </c>
      <c r="C3219" t="str" cm="1">
        <f t="array" ref="C3219">_xlfn.IFS(
  AND(B3219&gt;=18, B3219&lt;=24), "18-24",
  AND(B3219&gt;=25, B3219&lt;=34), "25-34",
  AND(B3219&gt;=35, B3219&lt;=44), "35-44",
  AND(B3219&gt;=45, B3219&lt;=54), "45-54",
  B3219&gt;=55, "55+"
)</f>
        <v>35-44</v>
      </c>
      <c r="D3219" t="s">
        <v>153</v>
      </c>
      <c r="E3219" t="s">
        <v>89</v>
      </c>
      <c r="F3219" t="s">
        <v>69</v>
      </c>
      <c r="G3219">
        <v>58</v>
      </c>
      <c r="H3219" t="s">
        <v>48</v>
      </c>
      <c r="I3219" t="s">
        <v>45</v>
      </c>
      <c r="J3219" t="s">
        <v>67</v>
      </c>
      <c r="K3219" t="s">
        <v>58</v>
      </c>
      <c r="L3219">
        <v>3.4</v>
      </c>
      <c r="M3219" t="s">
        <v>152</v>
      </c>
      <c r="N3219" t="s">
        <v>46</v>
      </c>
      <c r="O3219" t="s">
        <v>28</v>
      </c>
      <c r="P3219" t="s">
        <v>152</v>
      </c>
      <c r="Q3219" t="s">
        <v>152</v>
      </c>
      <c r="R3219">
        <v>46</v>
      </c>
      <c r="S3219" t="s">
        <v>29</v>
      </c>
      <c r="T3219" t="str">
        <f t="shared" si="100"/>
        <v>Daily</v>
      </c>
      <c r="U3219">
        <f>VLOOKUP(T3219,[1]tablescore!$B$3:$C$8, 2,FALSE)</f>
        <v>30</v>
      </c>
      <c r="V3219" t="str">
        <f t="shared" si="101"/>
        <v>Highly Loyal</v>
      </c>
      <c r="W3219" t="s">
        <v>41</v>
      </c>
    </row>
    <row r="3220" spans="1:23" x14ac:dyDescent="0.25">
      <c r="A3220">
        <v>3219</v>
      </c>
      <c r="B3220">
        <v>37</v>
      </c>
      <c r="C3220" t="str" cm="1">
        <f t="array" ref="C3220">_xlfn.IFS(
  AND(B3220&gt;=18, B3220&lt;=24), "18-24",
  AND(B3220&gt;=25, B3220&lt;=34), "25-34",
  AND(B3220&gt;=35, B3220&lt;=44), "35-44",
  AND(B3220&gt;=45, B3220&lt;=54), "45-54",
  B3220&gt;=55, "55+"
)</f>
        <v>35-44</v>
      </c>
      <c r="D3220" t="s">
        <v>153</v>
      </c>
      <c r="E3220" t="s">
        <v>87</v>
      </c>
      <c r="F3220" t="s">
        <v>21</v>
      </c>
      <c r="G3220">
        <v>34</v>
      </c>
      <c r="H3220" t="s">
        <v>103</v>
      </c>
      <c r="I3220" t="s">
        <v>45</v>
      </c>
      <c r="J3220" t="s">
        <v>86</v>
      </c>
      <c r="K3220" t="s">
        <v>58</v>
      </c>
      <c r="L3220">
        <v>3.9</v>
      </c>
      <c r="M3220" t="s">
        <v>152</v>
      </c>
      <c r="N3220" t="s">
        <v>29</v>
      </c>
      <c r="O3220" t="s">
        <v>28</v>
      </c>
      <c r="P3220" t="s">
        <v>152</v>
      </c>
      <c r="Q3220" t="s">
        <v>152</v>
      </c>
      <c r="R3220">
        <v>49</v>
      </c>
      <c r="S3220" t="s">
        <v>46</v>
      </c>
      <c r="T3220" t="str">
        <f t="shared" si="100"/>
        <v>Month</v>
      </c>
      <c r="U3220">
        <f>VLOOKUP(T3220,[1]tablescore!$B$3:$C$8, 2,FALSE)</f>
        <v>12</v>
      </c>
      <c r="V3220" t="str">
        <f t="shared" si="101"/>
        <v>Moderate</v>
      </c>
      <c r="W3220" t="s">
        <v>88</v>
      </c>
    </row>
    <row r="3221" spans="1:23" x14ac:dyDescent="0.25">
      <c r="A3221">
        <v>3220</v>
      </c>
      <c r="B3221">
        <v>57</v>
      </c>
      <c r="C3221" t="str" cm="1">
        <f t="array" ref="C3221">_xlfn.IFS(
  AND(B3221&gt;=18, B3221&lt;=24), "18-24",
  AND(B3221&gt;=25, B3221&lt;=34), "25-34",
  AND(B3221&gt;=35, B3221&lt;=44), "35-44",
  AND(B3221&gt;=45, B3221&lt;=54), "45-54",
  B3221&gt;=55, "55+"
)</f>
        <v>55+</v>
      </c>
      <c r="D3221" t="s">
        <v>153</v>
      </c>
      <c r="E3221" t="s">
        <v>64</v>
      </c>
      <c r="F3221" t="s">
        <v>65</v>
      </c>
      <c r="G3221">
        <v>40</v>
      </c>
      <c r="H3221" t="s">
        <v>111</v>
      </c>
      <c r="I3221" t="s">
        <v>23</v>
      </c>
      <c r="J3221" t="s">
        <v>53</v>
      </c>
      <c r="K3221" t="s">
        <v>54</v>
      </c>
      <c r="L3221">
        <v>3.5</v>
      </c>
      <c r="M3221" t="s">
        <v>152</v>
      </c>
      <c r="N3221" t="s">
        <v>34</v>
      </c>
      <c r="O3221" t="s">
        <v>72</v>
      </c>
      <c r="P3221" t="s">
        <v>152</v>
      </c>
      <c r="Q3221" t="s">
        <v>152</v>
      </c>
      <c r="R3221">
        <v>39</v>
      </c>
      <c r="S3221" t="s">
        <v>27</v>
      </c>
      <c r="T3221" t="str">
        <f t="shared" si="100"/>
        <v>Daily</v>
      </c>
      <c r="U3221">
        <f>VLOOKUP(T3221,[1]tablescore!$B$3:$C$8, 2,FALSE)</f>
        <v>30</v>
      </c>
      <c r="V3221" t="str">
        <f t="shared" si="101"/>
        <v>Highly Loyal</v>
      </c>
      <c r="W3221" t="s">
        <v>41</v>
      </c>
    </row>
    <row r="3222" spans="1:23" x14ac:dyDescent="0.25">
      <c r="A3222">
        <v>3221</v>
      </c>
      <c r="B3222">
        <v>38</v>
      </c>
      <c r="C3222" t="str" cm="1">
        <f t="array" ref="C3222">_xlfn.IFS(
  AND(B3222&gt;=18, B3222&lt;=24), "18-24",
  AND(B3222&gt;=25, B3222&lt;=34), "25-34",
  AND(B3222&gt;=35, B3222&lt;=44), "35-44",
  AND(B3222&gt;=45, B3222&lt;=54), "45-54",
  B3222&gt;=55, "55+"
)</f>
        <v>35-44</v>
      </c>
      <c r="D3222" t="s">
        <v>153</v>
      </c>
      <c r="E3222" t="s">
        <v>68</v>
      </c>
      <c r="F3222" t="s">
        <v>69</v>
      </c>
      <c r="G3222">
        <v>29</v>
      </c>
      <c r="H3222" t="s">
        <v>114</v>
      </c>
      <c r="I3222" t="s">
        <v>45</v>
      </c>
      <c r="J3222" t="s">
        <v>138</v>
      </c>
      <c r="K3222" t="s">
        <v>58</v>
      </c>
      <c r="L3222">
        <v>4.0999999999999996</v>
      </c>
      <c r="M3222" t="s">
        <v>152</v>
      </c>
      <c r="N3222" t="s">
        <v>46</v>
      </c>
      <c r="O3222" t="s">
        <v>40</v>
      </c>
      <c r="P3222" t="s">
        <v>152</v>
      </c>
      <c r="Q3222" t="s">
        <v>152</v>
      </c>
      <c r="R3222">
        <v>16</v>
      </c>
      <c r="S3222" t="s">
        <v>35</v>
      </c>
      <c r="T3222" t="str">
        <f t="shared" si="100"/>
        <v>Month</v>
      </c>
      <c r="U3222">
        <f>VLOOKUP(T3222,[1]tablescore!$B$3:$C$8, 2,FALSE)</f>
        <v>12</v>
      </c>
      <c r="V3222" t="str">
        <f t="shared" si="101"/>
        <v>Moderate</v>
      </c>
      <c r="W3222" t="s">
        <v>88</v>
      </c>
    </row>
    <row r="3223" spans="1:23" x14ac:dyDescent="0.25">
      <c r="A3223">
        <v>3222</v>
      </c>
      <c r="B3223">
        <v>21</v>
      </c>
      <c r="C3223" t="str" cm="1">
        <f t="array" ref="C3223">_xlfn.IFS(
  AND(B3223&gt;=18, B3223&lt;=24), "18-24",
  AND(B3223&gt;=25, B3223&lt;=34), "25-34",
  AND(B3223&gt;=35, B3223&lt;=44), "35-44",
  AND(B3223&gt;=45, B3223&lt;=54), "45-54",
  B3223&gt;=55, "55+"
)</f>
        <v>18-24</v>
      </c>
      <c r="D3223" t="s">
        <v>153</v>
      </c>
      <c r="E3223" t="s">
        <v>113</v>
      </c>
      <c r="F3223" t="s">
        <v>21</v>
      </c>
      <c r="G3223">
        <v>76</v>
      </c>
      <c r="H3223" t="s">
        <v>83</v>
      </c>
      <c r="I3223" t="s">
        <v>45</v>
      </c>
      <c r="J3223" t="s">
        <v>139</v>
      </c>
      <c r="K3223" t="s">
        <v>25</v>
      </c>
      <c r="L3223">
        <v>3.2</v>
      </c>
      <c r="M3223" t="s">
        <v>152</v>
      </c>
      <c r="N3223" t="s">
        <v>27</v>
      </c>
      <c r="O3223" t="s">
        <v>55</v>
      </c>
      <c r="P3223" t="s">
        <v>152</v>
      </c>
      <c r="Q3223" t="s">
        <v>152</v>
      </c>
      <c r="R3223">
        <v>28</v>
      </c>
      <c r="S3223" t="s">
        <v>35</v>
      </c>
      <c r="T3223" t="str">
        <f t="shared" si="100"/>
        <v>Annually</v>
      </c>
      <c r="U3223">
        <f>VLOOKUP(T3223,[1]tablescore!$B$3:$C$8, 2,FALSE)</f>
        <v>1</v>
      </c>
      <c r="V3223" t="str">
        <f t="shared" si="101"/>
        <v>Low Loyalty</v>
      </c>
      <c r="W3223" t="s">
        <v>50</v>
      </c>
    </row>
    <row r="3224" spans="1:23" x14ac:dyDescent="0.25">
      <c r="A3224">
        <v>3223</v>
      </c>
      <c r="B3224">
        <v>45</v>
      </c>
      <c r="C3224" t="str" cm="1">
        <f t="array" ref="C3224">_xlfn.IFS(
  AND(B3224&gt;=18, B3224&lt;=24), "18-24",
  AND(B3224&gt;=25, B3224&lt;=34), "25-34",
  AND(B3224&gt;=35, B3224&lt;=44), "35-44",
  AND(B3224&gt;=45, B3224&lt;=54), "45-54",
  B3224&gt;=55, "55+"
)</f>
        <v>45-54</v>
      </c>
      <c r="D3224" t="s">
        <v>153</v>
      </c>
      <c r="E3224" t="s">
        <v>89</v>
      </c>
      <c r="F3224" t="s">
        <v>69</v>
      </c>
      <c r="G3224">
        <v>84</v>
      </c>
      <c r="H3224" t="s">
        <v>105</v>
      </c>
      <c r="I3224" t="s">
        <v>38</v>
      </c>
      <c r="J3224" t="s">
        <v>33</v>
      </c>
      <c r="K3224" t="s">
        <v>58</v>
      </c>
      <c r="L3224">
        <v>4.5999999999999996</v>
      </c>
      <c r="M3224" t="s">
        <v>152</v>
      </c>
      <c r="N3224" t="s">
        <v>59</v>
      </c>
      <c r="O3224" t="s">
        <v>76</v>
      </c>
      <c r="P3224" t="s">
        <v>152</v>
      </c>
      <c r="Q3224" t="s">
        <v>152</v>
      </c>
      <c r="R3224">
        <v>22</v>
      </c>
      <c r="S3224" t="s">
        <v>46</v>
      </c>
      <c r="T3224" t="str">
        <f t="shared" si="100"/>
        <v>Quarterly</v>
      </c>
      <c r="U3224">
        <f>VLOOKUP(T3224,[1]tablescore!$B$3:$C$8, 2,FALSE)</f>
        <v>4</v>
      </c>
      <c r="V3224" t="str">
        <f t="shared" si="101"/>
        <v>Low Loyalty</v>
      </c>
      <c r="W3224" t="s">
        <v>60</v>
      </c>
    </row>
    <row r="3225" spans="1:23" x14ac:dyDescent="0.25">
      <c r="A3225">
        <v>3224</v>
      </c>
      <c r="B3225">
        <v>68</v>
      </c>
      <c r="C3225" t="str" cm="1">
        <f t="array" ref="C3225">_xlfn.IFS(
  AND(B3225&gt;=18, B3225&lt;=24), "18-24",
  AND(B3225&gt;=25, B3225&lt;=34), "25-34",
  AND(B3225&gt;=35, B3225&lt;=44), "35-44",
  AND(B3225&gt;=45, B3225&lt;=54), "45-54",
  B3225&gt;=55, "55+"
)</f>
        <v>55+</v>
      </c>
      <c r="D3225" t="s">
        <v>153</v>
      </c>
      <c r="E3225" t="s">
        <v>56</v>
      </c>
      <c r="F3225" t="s">
        <v>21</v>
      </c>
      <c r="G3225">
        <v>65</v>
      </c>
      <c r="H3225" t="s">
        <v>57</v>
      </c>
      <c r="I3225" t="s">
        <v>38</v>
      </c>
      <c r="J3225" t="s">
        <v>24</v>
      </c>
      <c r="K3225" t="s">
        <v>39</v>
      </c>
      <c r="L3225">
        <v>3.9</v>
      </c>
      <c r="M3225" t="s">
        <v>152</v>
      </c>
      <c r="N3225" t="s">
        <v>46</v>
      </c>
      <c r="O3225" t="s">
        <v>55</v>
      </c>
      <c r="P3225" t="s">
        <v>152</v>
      </c>
      <c r="Q3225" t="s">
        <v>152</v>
      </c>
      <c r="R3225">
        <v>36</v>
      </c>
      <c r="S3225" t="s">
        <v>29</v>
      </c>
      <c r="T3225" t="str">
        <f t="shared" si="100"/>
        <v>2-week</v>
      </c>
      <c r="U3225">
        <f>VLOOKUP(T3225,[1]tablescore!$B$3:$C$8, 2,FALSE)</f>
        <v>26</v>
      </c>
      <c r="V3225" t="str">
        <f t="shared" si="101"/>
        <v>Loyal</v>
      </c>
      <c r="W3225" t="s">
        <v>77</v>
      </c>
    </row>
    <row r="3226" spans="1:23" x14ac:dyDescent="0.25">
      <c r="A3226">
        <v>3225</v>
      </c>
      <c r="B3226">
        <v>37</v>
      </c>
      <c r="C3226" t="str" cm="1">
        <f t="array" ref="C3226">_xlfn.IFS(
  AND(B3226&gt;=18, B3226&lt;=24), "18-24",
  AND(B3226&gt;=25, B3226&lt;=34), "25-34",
  AND(B3226&gt;=35, B3226&lt;=44), "35-44",
  AND(B3226&gt;=45, B3226&lt;=54), "45-54",
  B3226&gt;=55, "55+"
)</f>
        <v>35-44</v>
      </c>
      <c r="D3226" t="s">
        <v>153</v>
      </c>
      <c r="E3226" t="s">
        <v>104</v>
      </c>
      <c r="F3226" t="s">
        <v>21</v>
      </c>
      <c r="G3226">
        <v>80</v>
      </c>
      <c r="H3226" t="s">
        <v>80</v>
      </c>
      <c r="I3226" t="s">
        <v>23</v>
      </c>
      <c r="J3226" t="s">
        <v>129</v>
      </c>
      <c r="K3226" t="s">
        <v>25</v>
      </c>
      <c r="L3226">
        <v>2.7</v>
      </c>
      <c r="M3226" t="s">
        <v>152</v>
      </c>
      <c r="N3226" t="s">
        <v>35</v>
      </c>
      <c r="O3226" t="s">
        <v>40</v>
      </c>
      <c r="P3226" t="s">
        <v>152</v>
      </c>
      <c r="Q3226" t="s">
        <v>152</v>
      </c>
      <c r="R3226">
        <v>18</v>
      </c>
      <c r="S3226" t="s">
        <v>46</v>
      </c>
      <c r="T3226" t="str">
        <f t="shared" si="100"/>
        <v>Month</v>
      </c>
      <c r="U3226">
        <f>VLOOKUP(T3226,[1]tablescore!$B$3:$C$8, 2,FALSE)</f>
        <v>12</v>
      </c>
      <c r="V3226" t="str">
        <f t="shared" si="101"/>
        <v>Moderate</v>
      </c>
      <c r="W3226" t="s">
        <v>88</v>
      </c>
    </row>
    <row r="3227" spans="1:23" x14ac:dyDescent="0.25">
      <c r="A3227">
        <v>3226</v>
      </c>
      <c r="B3227">
        <v>53</v>
      </c>
      <c r="C3227" t="str" cm="1">
        <f t="array" ref="C3227">_xlfn.IFS(
  AND(B3227&gt;=18, B3227&lt;=24), "18-24",
  AND(B3227&gt;=25, B3227&lt;=34), "25-34",
  AND(B3227&gt;=35, B3227&lt;=44), "35-44",
  AND(B3227&gt;=45, B3227&lt;=54), "45-54",
  B3227&gt;=55, "55+"
)</f>
        <v>45-54</v>
      </c>
      <c r="D3227" t="s">
        <v>153</v>
      </c>
      <c r="E3227" t="s">
        <v>20</v>
      </c>
      <c r="F3227" t="s">
        <v>21</v>
      </c>
      <c r="G3227">
        <v>98</v>
      </c>
      <c r="H3227" t="s">
        <v>83</v>
      </c>
      <c r="I3227" t="s">
        <v>45</v>
      </c>
      <c r="J3227" t="s">
        <v>71</v>
      </c>
      <c r="K3227" t="s">
        <v>58</v>
      </c>
      <c r="L3227">
        <v>3</v>
      </c>
      <c r="M3227" t="s">
        <v>152</v>
      </c>
      <c r="N3227" t="s">
        <v>27</v>
      </c>
      <c r="O3227" t="s">
        <v>76</v>
      </c>
      <c r="P3227" t="s">
        <v>152</v>
      </c>
      <c r="Q3227" t="s">
        <v>152</v>
      </c>
      <c r="R3227">
        <v>31</v>
      </c>
      <c r="S3227" t="s">
        <v>27</v>
      </c>
      <c r="T3227" t="str">
        <f t="shared" si="100"/>
        <v>Daily</v>
      </c>
      <c r="U3227">
        <f>VLOOKUP(T3227,[1]tablescore!$B$3:$C$8, 2,FALSE)</f>
        <v>30</v>
      </c>
      <c r="V3227" t="str">
        <f t="shared" si="101"/>
        <v>Highly Loyal</v>
      </c>
      <c r="W3227" t="s">
        <v>41</v>
      </c>
    </row>
    <row r="3228" spans="1:23" x14ac:dyDescent="0.25">
      <c r="A3228">
        <v>3227</v>
      </c>
      <c r="B3228">
        <v>57</v>
      </c>
      <c r="C3228" t="str" cm="1">
        <f t="array" ref="C3228">_xlfn.IFS(
  AND(B3228&gt;=18, B3228&lt;=24), "18-24",
  AND(B3228&gt;=25, B3228&lt;=34), "25-34",
  AND(B3228&gt;=35, B3228&lt;=44), "35-44",
  AND(B3228&gt;=45, B3228&lt;=54), "45-54",
  B3228&gt;=55, "55+"
)</f>
        <v>55+</v>
      </c>
      <c r="D3228" t="s">
        <v>153</v>
      </c>
      <c r="E3228" t="s">
        <v>51</v>
      </c>
      <c r="F3228" t="s">
        <v>43</v>
      </c>
      <c r="G3228">
        <v>71</v>
      </c>
      <c r="H3228" t="s">
        <v>134</v>
      </c>
      <c r="I3228" t="s">
        <v>92</v>
      </c>
      <c r="J3228" t="s">
        <v>118</v>
      </c>
      <c r="K3228" t="s">
        <v>39</v>
      </c>
      <c r="L3228">
        <v>3.3</v>
      </c>
      <c r="M3228" t="s">
        <v>152</v>
      </c>
      <c r="N3228" t="s">
        <v>59</v>
      </c>
      <c r="O3228" t="s">
        <v>47</v>
      </c>
      <c r="P3228" t="s">
        <v>152</v>
      </c>
      <c r="Q3228" t="s">
        <v>152</v>
      </c>
      <c r="R3228">
        <v>38</v>
      </c>
      <c r="S3228" t="s">
        <v>34</v>
      </c>
      <c r="T3228" t="str">
        <f t="shared" si="100"/>
        <v>2-week</v>
      </c>
      <c r="U3228">
        <f>VLOOKUP(T3228,[1]tablescore!$B$3:$C$8, 2,FALSE)</f>
        <v>26</v>
      </c>
      <c r="V3228" t="str">
        <f t="shared" si="101"/>
        <v>Loyal</v>
      </c>
      <c r="W3228" t="s">
        <v>30</v>
      </c>
    </row>
    <row r="3229" spans="1:23" x14ac:dyDescent="0.25">
      <c r="A3229">
        <v>3228</v>
      </c>
      <c r="B3229">
        <v>28</v>
      </c>
      <c r="C3229" t="str" cm="1">
        <f t="array" ref="C3229">_xlfn.IFS(
  AND(B3229&gt;=18, B3229&lt;=24), "18-24",
  AND(B3229&gt;=25, B3229&lt;=34), "25-34",
  AND(B3229&gt;=35, B3229&lt;=44), "35-44",
  AND(B3229&gt;=45, B3229&lt;=54), "45-54",
  B3229&gt;=55, "55+"
)</f>
        <v>25-34</v>
      </c>
      <c r="D3229" t="s">
        <v>153</v>
      </c>
      <c r="E3229" t="s">
        <v>119</v>
      </c>
      <c r="F3229" t="s">
        <v>69</v>
      </c>
      <c r="G3229">
        <v>69</v>
      </c>
      <c r="H3229" t="s">
        <v>120</v>
      </c>
      <c r="I3229" t="s">
        <v>92</v>
      </c>
      <c r="J3229" t="s">
        <v>53</v>
      </c>
      <c r="K3229" t="s">
        <v>58</v>
      </c>
      <c r="L3229">
        <v>2.7</v>
      </c>
      <c r="M3229" t="s">
        <v>152</v>
      </c>
      <c r="N3229" t="s">
        <v>27</v>
      </c>
      <c r="O3229" t="s">
        <v>40</v>
      </c>
      <c r="P3229" t="s">
        <v>152</v>
      </c>
      <c r="Q3229" t="s">
        <v>152</v>
      </c>
      <c r="R3229">
        <v>42</v>
      </c>
      <c r="S3229" t="s">
        <v>59</v>
      </c>
      <c r="T3229" t="str">
        <f t="shared" si="100"/>
        <v>Quarterly</v>
      </c>
      <c r="U3229">
        <f>VLOOKUP(T3229,[1]tablescore!$B$3:$C$8, 2,FALSE)</f>
        <v>4</v>
      </c>
      <c r="V3229" t="str">
        <f t="shared" si="101"/>
        <v>Low Loyalty</v>
      </c>
      <c r="W3229" t="s">
        <v>60</v>
      </c>
    </row>
    <row r="3230" spans="1:23" x14ac:dyDescent="0.25">
      <c r="A3230">
        <v>3229</v>
      </c>
      <c r="B3230">
        <v>37</v>
      </c>
      <c r="C3230" t="str" cm="1">
        <f t="array" ref="C3230">_xlfn.IFS(
  AND(B3230&gt;=18, B3230&lt;=24), "18-24",
  AND(B3230&gt;=25, B3230&lt;=34), "25-34",
  AND(B3230&gt;=35, B3230&lt;=44), "35-44",
  AND(B3230&gt;=45, B3230&lt;=54), "45-54",
  B3230&gt;=55, "55+"
)</f>
        <v>35-44</v>
      </c>
      <c r="D3230" t="s">
        <v>153</v>
      </c>
      <c r="E3230" t="s">
        <v>106</v>
      </c>
      <c r="F3230" t="s">
        <v>69</v>
      </c>
      <c r="G3230">
        <v>95</v>
      </c>
      <c r="H3230" t="s">
        <v>146</v>
      </c>
      <c r="I3230" t="s">
        <v>45</v>
      </c>
      <c r="J3230" t="s">
        <v>139</v>
      </c>
      <c r="K3230" t="s">
        <v>39</v>
      </c>
      <c r="L3230">
        <v>4.5999999999999996</v>
      </c>
      <c r="M3230" t="s">
        <v>152</v>
      </c>
      <c r="N3230" t="s">
        <v>27</v>
      </c>
      <c r="O3230" t="s">
        <v>72</v>
      </c>
      <c r="P3230" t="s">
        <v>152</v>
      </c>
      <c r="Q3230" t="s">
        <v>152</v>
      </c>
      <c r="R3230">
        <v>27</v>
      </c>
      <c r="S3230" t="s">
        <v>46</v>
      </c>
      <c r="T3230" t="str">
        <f t="shared" si="100"/>
        <v>Annually</v>
      </c>
      <c r="U3230">
        <f>VLOOKUP(T3230,[1]tablescore!$B$3:$C$8, 2,FALSE)</f>
        <v>1</v>
      </c>
      <c r="V3230" t="str">
        <f t="shared" si="101"/>
        <v>Low Loyalty</v>
      </c>
      <c r="W3230" t="s">
        <v>50</v>
      </c>
    </row>
    <row r="3231" spans="1:23" x14ac:dyDescent="0.25">
      <c r="A3231">
        <v>3230</v>
      </c>
      <c r="B3231">
        <v>54</v>
      </c>
      <c r="C3231" t="str" cm="1">
        <f t="array" ref="C3231">_xlfn.IFS(
  AND(B3231&gt;=18, B3231&lt;=24), "18-24",
  AND(B3231&gt;=25, B3231&lt;=34), "25-34",
  AND(B3231&gt;=35, B3231&lt;=44), "35-44",
  AND(B3231&gt;=45, B3231&lt;=54), "45-54",
  B3231&gt;=55, "55+"
)</f>
        <v>45-54</v>
      </c>
      <c r="D3231" t="s">
        <v>153</v>
      </c>
      <c r="E3231" t="s">
        <v>95</v>
      </c>
      <c r="F3231" t="s">
        <v>21</v>
      </c>
      <c r="G3231">
        <v>67</v>
      </c>
      <c r="H3231" t="s">
        <v>146</v>
      </c>
      <c r="I3231" t="s">
        <v>45</v>
      </c>
      <c r="J3231" t="s">
        <v>86</v>
      </c>
      <c r="K3231" t="s">
        <v>58</v>
      </c>
      <c r="L3231">
        <v>2.7</v>
      </c>
      <c r="M3231" t="s">
        <v>152</v>
      </c>
      <c r="N3231" t="s">
        <v>59</v>
      </c>
      <c r="O3231" t="s">
        <v>28</v>
      </c>
      <c r="P3231" t="s">
        <v>152</v>
      </c>
      <c r="Q3231" t="s">
        <v>152</v>
      </c>
      <c r="R3231">
        <v>24</v>
      </c>
      <c r="S3231" t="s">
        <v>35</v>
      </c>
      <c r="T3231" t="str">
        <f t="shared" si="100"/>
        <v>Month</v>
      </c>
      <c r="U3231">
        <f>VLOOKUP(T3231,[1]tablescore!$B$3:$C$8, 2,FALSE)</f>
        <v>12</v>
      </c>
      <c r="V3231" t="str">
        <f t="shared" si="101"/>
        <v>Moderate</v>
      </c>
      <c r="W3231" t="s">
        <v>88</v>
      </c>
    </row>
    <row r="3232" spans="1:23" x14ac:dyDescent="0.25">
      <c r="A3232">
        <v>3231</v>
      </c>
      <c r="B3232">
        <v>49</v>
      </c>
      <c r="C3232" t="str" cm="1">
        <f t="array" ref="C3232">_xlfn.IFS(
  AND(B3232&gt;=18, B3232&lt;=24), "18-24",
  AND(B3232&gt;=25, B3232&lt;=34), "25-34",
  AND(B3232&gt;=35, B3232&lt;=44), "35-44",
  AND(B3232&gt;=45, B3232&lt;=54), "45-54",
  B3232&gt;=55, "55+"
)</f>
        <v>45-54</v>
      </c>
      <c r="D3232" t="s">
        <v>153</v>
      </c>
      <c r="E3232" t="s">
        <v>51</v>
      </c>
      <c r="F3232" t="s">
        <v>43</v>
      </c>
      <c r="G3232">
        <v>49</v>
      </c>
      <c r="H3232" t="s">
        <v>111</v>
      </c>
      <c r="I3232" t="s">
        <v>45</v>
      </c>
      <c r="J3232" t="s">
        <v>79</v>
      </c>
      <c r="K3232" t="s">
        <v>54</v>
      </c>
      <c r="L3232">
        <v>2.5</v>
      </c>
      <c r="M3232" t="s">
        <v>152</v>
      </c>
      <c r="N3232" t="s">
        <v>29</v>
      </c>
      <c r="O3232" t="s">
        <v>47</v>
      </c>
      <c r="P3232" t="s">
        <v>152</v>
      </c>
      <c r="Q3232" t="s">
        <v>152</v>
      </c>
      <c r="R3232">
        <v>38</v>
      </c>
      <c r="S3232" t="s">
        <v>59</v>
      </c>
      <c r="T3232" t="str">
        <f t="shared" si="100"/>
        <v>Annually</v>
      </c>
      <c r="U3232">
        <f>VLOOKUP(T3232,[1]tablescore!$B$3:$C$8, 2,FALSE)</f>
        <v>1</v>
      </c>
      <c r="V3232" t="str">
        <f t="shared" si="101"/>
        <v>Low Loyalty</v>
      </c>
      <c r="W3232" t="s">
        <v>50</v>
      </c>
    </row>
    <row r="3233" spans="1:23" x14ac:dyDescent="0.25">
      <c r="A3233">
        <v>3232</v>
      </c>
      <c r="B3233">
        <v>62</v>
      </c>
      <c r="C3233" t="str" cm="1">
        <f t="array" ref="C3233">_xlfn.IFS(
  AND(B3233&gt;=18, B3233&lt;=24), "18-24",
  AND(B3233&gt;=25, B3233&lt;=34), "25-34",
  AND(B3233&gt;=35, B3233&lt;=44), "35-44",
  AND(B3233&gt;=45, B3233&lt;=54), "45-54",
  B3233&gt;=55, "55+"
)</f>
        <v>55+</v>
      </c>
      <c r="D3233" t="s">
        <v>153</v>
      </c>
      <c r="E3233" t="s">
        <v>73</v>
      </c>
      <c r="F3233" t="s">
        <v>43</v>
      </c>
      <c r="G3233">
        <v>97</v>
      </c>
      <c r="H3233" t="s">
        <v>107</v>
      </c>
      <c r="I3233" t="s">
        <v>45</v>
      </c>
      <c r="J3233" t="s">
        <v>33</v>
      </c>
      <c r="K3233" t="s">
        <v>25</v>
      </c>
      <c r="L3233">
        <v>4.4000000000000004</v>
      </c>
      <c r="M3233" t="s">
        <v>152</v>
      </c>
      <c r="N3233" t="s">
        <v>46</v>
      </c>
      <c r="O3233" t="s">
        <v>40</v>
      </c>
      <c r="P3233" t="s">
        <v>152</v>
      </c>
      <c r="Q3233" t="s">
        <v>152</v>
      </c>
      <c r="R3233">
        <v>9</v>
      </c>
      <c r="S3233" t="s">
        <v>27</v>
      </c>
      <c r="T3233" t="str">
        <f t="shared" si="100"/>
        <v>Annually</v>
      </c>
      <c r="U3233">
        <f>VLOOKUP(T3233,[1]tablescore!$B$3:$C$8, 2,FALSE)</f>
        <v>1</v>
      </c>
      <c r="V3233" t="str">
        <f t="shared" si="101"/>
        <v>Low Loyalty</v>
      </c>
      <c r="W3233" t="s">
        <v>50</v>
      </c>
    </row>
    <row r="3234" spans="1:23" x14ac:dyDescent="0.25">
      <c r="A3234">
        <v>3233</v>
      </c>
      <c r="B3234">
        <v>45</v>
      </c>
      <c r="C3234" t="str" cm="1">
        <f t="array" ref="C3234">_xlfn.IFS(
  AND(B3234&gt;=18, B3234&lt;=24), "18-24",
  AND(B3234&gt;=25, B3234&lt;=34), "25-34",
  AND(B3234&gt;=35, B3234&lt;=44), "35-44",
  AND(B3234&gt;=45, B3234&lt;=54), "45-54",
  B3234&gt;=55, "55+"
)</f>
        <v>45-54</v>
      </c>
      <c r="D3234" t="s">
        <v>153</v>
      </c>
      <c r="E3234" t="s">
        <v>113</v>
      </c>
      <c r="F3234" t="s">
        <v>21</v>
      </c>
      <c r="G3234">
        <v>34</v>
      </c>
      <c r="H3234" t="s">
        <v>37</v>
      </c>
      <c r="I3234" t="s">
        <v>45</v>
      </c>
      <c r="J3234" t="s">
        <v>53</v>
      </c>
      <c r="K3234" t="s">
        <v>39</v>
      </c>
      <c r="L3234">
        <v>4</v>
      </c>
      <c r="M3234" t="s">
        <v>152</v>
      </c>
      <c r="N3234" t="s">
        <v>46</v>
      </c>
      <c r="O3234" t="s">
        <v>47</v>
      </c>
      <c r="P3234" t="s">
        <v>152</v>
      </c>
      <c r="Q3234" t="s">
        <v>152</v>
      </c>
      <c r="R3234">
        <v>19</v>
      </c>
      <c r="S3234" t="s">
        <v>34</v>
      </c>
      <c r="T3234" t="str">
        <f t="shared" si="100"/>
        <v>Month</v>
      </c>
      <c r="U3234">
        <f>VLOOKUP(T3234,[1]tablescore!$B$3:$C$8, 2,FALSE)</f>
        <v>12</v>
      </c>
      <c r="V3234" t="str">
        <f t="shared" si="101"/>
        <v>Moderate</v>
      </c>
      <c r="W3234" t="s">
        <v>88</v>
      </c>
    </row>
    <row r="3235" spans="1:23" x14ac:dyDescent="0.25">
      <c r="A3235">
        <v>3234</v>
      </c>
      <c r="B3235">
        <v>45</v>
      </c>
      <c r="C3235" t="str" cm="1">
        <f t="array" ref="C3235">_xlfn.IFS(
  AND(B3235&gt;=18, B3235&lt;=24), "18-24",
  AND(B3235&gt;=25, B3235&lt;=34), "25-34",
  AND(B3235&gt;=35, B3235&lt;=44), "35-44",
  AND(B3235&gt;=45, B3235&lt;=54), "45-54",
  B3235&gt;=55, "55+"
)</f>
        <v>45-54</v>
      </c>
      <c r="D3235" t="s">
        <v>153</v>
      </c>
      <c r="E3235" t="s">
        <v>136</v>
      </c>
      <c r="F3235" t="s">
        <v>69</v>
      </c>
      <c r="G3235">
        <v>74</v>
      </c>
      <c r="H3235" t="s">
        <v>116</v>
      </c>
      <c r="I3235" t="s">
        <v>45</v>
      </c>
      <c r="J3235" t="s">
        <v>93</v>
      </c>
      <c r="K3235" t="s">
        <v>58</v>
      </c>
      <c r="L3235">
        <v>3.8</v>
      </c>
      <c r="M3235" t="s">
        <v>152</v>
      </c>
      <c r="N3235" t="s">
        <v>27</v>
      </c>
      <c r="O3235" t="s">
        <v>28</v>
      </c>
      <c r="P3235" t="s">
        <v>152</v>
      </c>
      <c r="Q3235" t="s">
        <v>152</v>
      </c>
      <c r="R3235">
        <v>11</v>
      </c>
      <c r="S3235" t="s">
        <v>59</v>
      </c>
      <c r="T3235" t="str">
        <f t="shared" si="100"/>
        <v>2-week</v>
      </c>
      <c r="U3235">
        <f>VLOOKUP(T3235,[1]tablescore!$B$3:$C$8, 2,FALSE)</f>
        <v>26</v>
      </c>
      <c r="V3235" t="str">
        <f t="shared" si="101"/>
        <v>Loyal</v>
      </c>
      <c r="W3235" t="s">
        <v>77</v>
      </c>
    </row>
    <row r="3236" spans="1:23" x14ac:dyDescent="0.25">
      <c r="A3236">
        <v>3235</v>
      </c>
      <c r="B3236">
        <v>49</v>
      </c>
      <c r="C3236" t="str" cm="1">
        <f t="array" ref="C3236">_xlfn.IFS(
  AND(B3236&gt;=18, B3236&lt;=24), "18-24",
  AND(B3236&gt;=25, B3236&lt;=34), "25-34",
  AND(B3236&gt;=35, B3236&lt;=44), "35-44",
  AND(B3236&gt;=45, B3236&lt;=54), "45-54",
  B3236&gt;=55, "55+"
)</f>
        <v>45-54</v>
      </c>
      <c r="D3236" t="s">
        <v>153</v>
      </c>
      <c r="E3236" t="s">
        <v>106</v>
      </c>
      <c r="F3236" t="s">
        <v>69</v>
      </c>
      <c r="G3236">
        <v>96</v>
      </c>
      <c r="H3236" t="s">
        <v>140</v>
      </c>
      <c r="I3236" t="s">
        <v>45</v>
      </c>
      <c r="J3236" t="s">
        <v>94</v>
      </c>
      <c r="K3236" t="s">
        <v>25</v>
      </c>
      <c r="L3236">
        <v>2.5</v>
      </c>
      <c r="M3236" t="s">
        <v>152</v>
      </c>
      <c r="N3236" t="s">
        <v>34</v>
      </c>
      <c r="O3236" t="s">
        <v>72</v>
      </c>
      <c r="P3236" t="s">
        <v>152</v>
      </c>
      <c r="Q3236" t="s">
        <v>152</v>
      </c>
      <c r="R3236">
        <v>16</v>
      </c>
      <c r="S3236" t="s">
        <v>59</v>
      </c>
      <c r="T3236" t="str">
        <f t="shared" si="100"/>
        <v>Quarterly</v>
      </c>
      <c r="U3236">
        <f>VLOOKUP(T3236,[1]tablescore!$B$3:$C$8, 2,FALSE)</f>
        <v>4</v>
      </c>
      <c r="V3236" t="str">
        <f t="shared" si="101"/>
        <v>Low Loyalty</v>
      </c>
      <c r="W3236" t="s">
        <v>60</v>
      </c>
    </row>
    <row r="3237" spans="1:23" x14ac:dyDescent="0.25">
      <c r="A3237">
        <v>3236</v>
      </c>
      <c r="B3237">
        <v>27</v>
      </c>
      <c r="C3237" t="str" cm="1">
        <f t="array" ref="C3237">_xlfn.IFS(
  AND(B3237&gt;=18, B3237&lt;=24), "18-24",
  AND(B3237&gt;=25, B3237&lt;=34), "25-34",
  AND(B3237&gt;=35, B3237&lt;=44), "35-44",
  AND(B3237&gt;=45, B3237&lt;=54), "45-54",
  B3237&gt;=55, "55+"
)</f>
        <v>25-34</v>
      </c>
      <c r="D3237" t="s">
        <v>153</v>
      </c>
      <c r="E3237" t="s">
        <v>136</v>
      </c>
      <c r="F3237" t="s">
        <v>69</v>
      </c>
      <c r="G3237">
        <v>68</v>
      </c>
      <c r="H3237" t="s">
        <v>111</v>
      </c>
      <c r="I3237" t="s">
        <v>45</v>
      </c>
      <c r="J3237" t="s">
        <v>96</v>
      </c>
      <c r="K3237" t="s">
        <v>54</v>
      </c>
      <c r="L3237">
        <v>4</v>
      </c>
      <c r="M3237" t="s">
        <v>152</v>
      </c>
      <c r="N3237" t="s">
        <v>29</v>
      </c>
      <c r="O3237" t="s">
        <v>40</v>
      </c>
      <c r="P3237" t="s">
        <v>152</v>
      </c>
      <c r="Q3237" t="s">
        <v>152</v>
      </c>
      <c r="R3237">
        <v>18</v>
      </c>
      <c r="S3237" t="s">
        <v>29</v>
      </c>
      <c r="T3237" t="str">
        <f t="shared" si="100"/>
        <v>Month</v>
      </c>
      <c r="U3237">
        <f>VLOOKUP(T3237,[1]tablescore!$B$3:$C$8, 2,FALSE)</f>
        <v>12</v>
      </c>
      <c r="V3237" t="str">
        <f t="shared" si="101"/>
        <v>Moderate</v>
      </c>
      <c r="W3237" t="s">
        <v>88</v>
      </c>
    </row>
    <row r="3238" spans="1:23" x14ac:dyDescent="0.25">
      <c r="A3238">
        <v>3237</v>
      </c>
      <c r="B3238">
        <v>63</v>
      </c>
      <c r="C3238" t="str" cm="1">
        <f t="array" ref="C3238">_xlfn.IFS(
  AND(B3238&gt;=18, B3238&lt;=24), "18-24",
  AND(B3238&gt;=25, B3238&lt;=34), "25-34",
  AND(B3238&gt;=35, B3238&lt;=44), "35-44",
  AND(B3238&gt;=45, B3238&lt;=54), "45-54",
  B3238&gt;=55, "55+"
)</f>
        <v>55+</v>
      </c>
      <c r="D3238" t="s">
        <v>153</v>
      </c>
      <c r="E3238" t="s">
        <v>136</v>
      </c>
      <c r="F3238" t="s">
        <v>69</v>
      </c>
      <c r="G3238">
        <v>84</v>
      </c>
      <c r="H3238" t="s">
        <v>126</v>
      </c>
      <c r="I3238" t="s">
        <v>23</v>
      </c>
      <c r="J3238" t="s">
        <v>79</v>
      </c>
      <c r="K3238" t="s">
        <v>58</v>
      </c>
      <c r="L3238">
        <v>4.0999999999999996</v>
      </c>
      <c r="M3238" t="s">
        <v>152</v>
      </c>
      <c r="N3238" t="s">
        <v>29</v>
      </c>
      <c r="O3238" t="s">
        <v>47</v>
      </c>
      <c r="P3238" t="s">
        <v>152</v>
      </c>
      <c r="Q3238" t="s">
        <v>152</v>
      </c>
      <c r="R3238">
        <v>8</v>
      </c>
      <c r="S3238" t="s">
        <v>35</v>
      </c>
      <c r="T3238" t="str">
        <f t="shared" si="100"/>
        <v>Month</v>
      </c>
      <c r="U3238">
        <f>VLOOKUP(T3238,[1]tablescore!$B$3:$C$8, 2,FALSE)</f>
        <v>12</v>
      </c>
      <c r="V3238" t="str">
        <f t="shared" si="101"/>
        <v>Moderate</v>
      </c>
      <c r="W3238" t="s">
        <v>88</v>
      </c>
    </row>
    <row r="3239" spans="1:23" x14ac:dyDescent="0.25">
      <c r="A3239">
        <v>3238</v>
      </c>
      <c r="B3239">
        <v>61</v>
      </c>
      <c r="C3239" t="str" cm="1">
        <f t="array" ref="C3239">_xlfn.IFS(
  AND(B3239&gt;=18, B3239&lt;=24), "18-24",
  AND(B3239&gt;=25, B3239&lt;=34), "25-34",
  AND(B3239&gt;=35, B3239&lt;=44), "35-44",
  AND(B3239&gt;=45, B3239&lt;=54), "45-54",
  B3239&gt;=55, "55+"
)</f>
        <v>55+</v>
      </c>
      <c r="D3239" t="s">
        <v>153</v>
      </c>
      <c r="E3239" t="s">
        <v>113</v>
      </c>
      <c r="F3239" t="s">
        <v>21</v>
      </c>
      <c r="G3239">
        <v>57</v>
      </c>
      <c r="H3239" t="s">
        <v>145</v>
      </c>
      <c r="I3239" t="s">
        <v>45</v>
      </c>
      <c r="J3239" t="s">
        <v>24</v>
      </c>
      <c r="K3239" t="s">
        <v>54</v>
      </c>
      <c r="L3239">
        <v>2.8</v>
      </c>
      <c r="M3239" t="s">
        <v>152</v>
      </c>
      <c r="N3239" t="s">
        <v>34</v>
      </c>
      <c r="O3239" t="s">
        <v>28</v>
      </c>
      <c r="P3239" t="s">
        <v>152</v>
      </c>
      <c r="Q3239" t="s">
        <v>152</v>
      </c>
      <c r="R3239">
        <v>4</v>
      </c>
      <c r="S3239" t="s">
        <v>35</v>
      </c>
      <c r="T3239" t="str">
        <f t="shared" si="100"/>
        <v>Daily</v>
      </c>
      <c r="U3239">
        <f>VLOOKUP(T3239,[1]tablescore!$B$3:$C$8, 2,FALSE)</f>
        <v>30</v>
      </c>
      <c r="V3239" t="str">
        <f t="shared" si="101"/>
        <v>Highly Loyal</v>
      </c>
      <c r="W3239" t="s">
        <v>41</v>
      </c>
    </row>
    <row r="3240" spans="1:23" x14ac:dyDescent="0.25">
      <c r="A3240">
        <v>3239</v>
      </c>
      <c r="B3240">
        <v>25</v>
      </c>
      <c r="C3240" t="str" cm="1">
        <f t="array" ref="C3240">_xlfn.IFS(
  AND(B3240&gt;=18, B3240&lt;=24), "18-24",
  AND(B3240&gt;=25, B3240&lt;=34), "25-34",
  AND(B3240&gt;=35, B3240&lt;=44), "35-44",
  AND(B3240&gt;=45, B3240&lt;=54), "45-54",
  B3240&gt;=55, "55+"
)</f>
        <v>25-34</v>
      </c>
      <c r="D3240" t="s">
        <v>153</v>
      </c>
      <c r="E3240" t="s">
        <v>51</v>
      </c>
      <c r="F3240" t="s">
        <v>43</v>
      </c>
      <c r="G3240">
        <v>84</v>
      </c>
      <c r="H3240" t="s">
        <v>52</v>
      </c>
      <c r="I3240" t="s">
        <v>92</v>
      </c>
      <c r="J3240" t="s">
        <v>86</v>
      </c>
      <c r="K3240" t="s">
        <v>58</v>
      </c>
      <c r="L3240">
        <v>3.4</v>
      </c>
      <c r="M3240" t="s">
        <v>152</v>
      </c>
      <c r="N3240" t="s">
        <v>46</v>
      </c>
      <c r="O3240" t="s">
        <v>72</v>
      </c>
      <c r="P3240" t="s">
        <v>152</v>
      </c>
      <c r="Q3240" t="s">
        <v>152</v>
      </c>
      <c r="R3240">
        <v>37</v>
      </c>
      <c r="S3240" t="s">
        <v>35</v>
      </c>
      <c r="T3240" t="str">
        <f t="shared" si="100"/>
        <v>Quarterly</v>
      </c>
      <c r="U3240">
        <f>VLOOKUP(T3240,[1]tablescore!$B$3:$C$8, 2,FALSE)</f>
        <v>4</v>
      </c>
      <c r="V3240" t="str">
        <f t="shared" si="101"/>
        <v>Low Loyalty</v>
      </c>
      <c r="W3240" t="s">
        <v>60</v>
      </c>
    </row>
    <row r="3241" spans="1:23" x14ac:dyDescent="0.25">
      <c r="A3241">
        <v>3240</v>
      </c>
      <c r="B3241">
        <v>33</v>
      </c>
      <c r="C3241" t="str" cm="1">
        <f t="array" ref="C3241">_xlfn.IFS(
  AND(B3241&gt;=18, B3241&lt;=24), "18-24",
  AND(B3241&gt;=25, B3241&lt;=34), "25-34",
  AND(B3241&gt;=35, B3241&lt;=44), "35-44",
  AND(B3241&gt;=45, B3241&lt;=54), "45-54",
  B3241&gt;=55, "55+"
)</f>
        <v>25-34</v>
      </c>
      <c r="D3241" t="s">
        <v>153</v>
      </c>
      <c r="E3241" t="s">
        <v>89</v>
      </c>
      <c r="F3241" t="s">
        <v>69</v>
      </c>
      <c r="G3241">
        <v>32</v>
      </c>
      <c r="H3241" t="s">
        <v>112</v>
      </c>
      <c r="I3241" t="s">
        <v>45</v>
      </c>
      <c r="J3241" t="s">
        <v>63</v>
      </c>
      <c r="K3241" t="s">
        <v>58</v>
      </c>
      <c r="L3241">
        <v>2.7</v>
      </c>
      <c r="M3241" t="s">
        <v>152</v>
      </c>
      <c r="N3241" t="s">
        <v>27</v>
      </c>
      <c r="O3241" t="s">
        <v>72</v>
      </c>
      <c r="P3241" t="s">
        <v>152</v>
      </c>
      <c r="Q3241" t="s">
        <v>152</v>
      </c>
      <c r="R3241">
        <v>30</v>
      </c>
      <c r="S3241" t="s">
        <v>35</v>
      </c>
      <c r="T3241" t="str">
        <f t="shared" si="100"/>
        <v>Month</v>
      </c>
      <c r="U3241">
        <f>VLOOKUP(T3241,[1]tablescore!$B$3:$C$8, 2,FALSE)</f>
        <v>12</v>
      </c>
      <c r="V3241" t="str">
        <f t="shared" si="101"/>
        <v>Moderate</v>
      </c>
      <c r="W3241" t="s">
        <v>88</v>
      </c>
    </row>
    <row r="3242" spans="1:23" x14ac:dyDescent="0.25">
      <c r="A3242">
        <v>3241</v>
      </c>
      <c r="B3242">
        <v>56</v>
      </c>
      <c r="C3242" t="str" cm="1">
        <f t="array" ref="C3242">_xlfn.IFS(
  AND(B3242&gt;=18, B3242&lt;=24), "18-24",
  AND(B3242&gt;=25, B3242&lt;=34), "25-34",
  AND(B3242&gt;=35, B3242&lt;=44), "35-44",
  AND(B3242&gt;=45, B3242&lt;=54), "45-54",
  B3242&gt;=55, "55+"
)</f>
        <v>55+</v>
      </c>
      <c r="D3242" t="s">
        <v>153</v>
      </c>
      <c r="E3242" t="s">
        <v>42</v>
      </c>
      <c r="F3242" t="s">
        <v>43</v>
      </c>
      <c r="G3242">
        <v>37</v>
      </c>
      <c r="H3242" t="s">
        <v>66</v>
      </c>
      <c r="I3242" t="s">
        <v>45</v>
      </c>
      <c r="J3242" t="s">
        <v>84</v>
      </c>
      <c r="K3242" t="s">
        <v>58</v>
      </c>
      <c r="L3242">
        <v>3.8</v>
      </c>
      <c r="M3242" t="s">
        <v>152</v>
      </c>
      <c r="N3242" t="s">
        <v>27</v>
      </c>
      <c r="O3242" t="s">
        <v>72</v>
      </c>
      <c r="P3242" t="s">
        <v>152</v>
      </c>
      <c r="Q3242" t="s">
        <v>152</v>
      </c>
      <c r="R3242">
        <v>37</v>
      </c>
      <c r="S3242" t="s">
        <v>34</v>
      </c>
      <c r="T3242" t="str">
        <f t="shared" si="100"/>
        <v>Month</v>
      </c>
      <c r="U3242">
        <f>VLOOKUP(T3242,[1]tablescore!$B$3:$C$8, 2,FALSE)</f>
        <v>12</v>
      </c>
      <c r="V3242" t="str">
        <f t="shared" si="101"/>
        <v>Moderate</v>
      </c>
      <c r="W3242" t="s">
        <v>88</v>
      </c>
    </row>
    <row r="3243" spans="1:23" x14ac:dyDescent="0.25">
      <c r="A3243">
        <v>3242</v>
      </c>
      <c r="B3243">
        <v>50</v>
      </c>
      <c r="C3243" t="str" cm="1">
        <f t="array" ref="C3243">_xlfn.IFS(
  AND(B3243&gt;=18, B3243&lt;=24), "18-24",
  AND(B3243&gt;=25, B3243&lt;=34), "25-34",
  AND(B3243&gt;=35, B3243&lt;=44), "35-44",
  AND(B3243&gt;=45, B3243&lt;=54), "45-54",
  B3243&gt;=55, "55+"
)</f>
        <v>45-54</v>
      </c>
      <c r="D3243" t="s">
        <v>153</v>
      </c>
      <c r="E3243" t="s">
        <v>68</v>
      </c>
      <c r="F3243" t="s">
        <v>69</v>
      </c>
      <c r="G3243">
        <v>58</v>
      </c>
      <c r="H3243" t="s">
        <v>146</v>
      </c>
      <c r="I3243" t="s">
        <v>45</v>
      </c>
      <c r="J3243" t="s">
        <v>93</v>
      </c>
      <c r="K3243" t="s">
        <v>54</v>
      </c>
      <c r="L3243">
        <v>4.4000000000000004</v>
      </c>
      <c r="M3243" t="s">
        <v>152</v>
      </c>
      <c r="N3243" t="s">
        <v>27</v>
      </c>
      <c r="O3243" t="s">
        <v>76</v>
      </c>
      <c r="P3243" t="s">
        <v>152</v>
      </c>
      <c r="Q3243" t="s">
        <v>152</v>
      </c>
      <c r="R3243">
        <v>30</v>
      </c>
      <c r="S3243" t="s">
        <v>46</v>
      </c>
      <c r="T3243" t="str">
        <f t="shared" si="100"/>
        <v>Quarterly</v>
      </c>
      <c r="U3243">
        <f>VLOOKUP(T3243,[1]tablescore!$B$3:$C$8, 2,FALSE)</f>
        <v>4</v>
      </c>
      <c r="V3243" t="str">
        <f t="shared" si="101"/>
        <v>Low Loyalty</v>
      </c>
      <c r="W3243" t="s">
        <v>60</v>
      </c>
    </row>
    <row r="3244" spans="1:23" x14ac:dyDescent="0.25">
      <c r="A3244">
        <v>3243</v>
      </c>
      <c r="B3244">
        <v>45</v>
      </c>
      <c r="C3244" t="str" cm="1">
        <f t="array" ref="C3244">_xlfn.IFS(
  AND(B3244&gt;=18, B3244&lt;=24), "18-24",
  AND(B3244&gt;=25, B3244&lt;=34), "25-34",
  AND(B3244&gt;=35, B3244&lt;=44), "35-44",
  AND(B3244&gt;=45, B3244&lt;=54), "45-54",
  B3244&gt;=55, "55+"
)</f>
        <v>45-54</v>
      </c>
      <c r="D3244" t="s">
        <v>153</v>
      </c>
      <c r="E3244" t="s">
        <v>131</v>
      </c>
      <c r="F3244" t="s">
        <v>21</v>
      </c>
      <c r="G3244">
        <v>74</v>
      </c>
      <c r="H3244" t="s">
        <v>48</v>
      </c>
      <c r="I3244" t="s">
        <v>38</v>
      </c>
      <c r="J3244" t="s">
        <v>118</v>
      </c>
      <c r="K3244" t="s">
        <v>58</v>
      </c>
      <c r="L3244">
        <v>2.8</v>
      </c>
      <c r="M3244" t="s">
        <v>152</v>
      </c>
      <c r="N3244" t="s">
        <v>35</v>
      </c>
      <c r="O3244" t="s">
        <v>28</v>
      </c>
      <c r="P3244" t="s">
        <v>152</v>
      </c>
      <c r="Q3244" t="s">
        <v>152</v>
      </c>
      <c r="R3244">
        <v>17</v>
      </c>
      <c r="S3244" t="s">
        <v>29</v>
      </c>
      <c r="T3244" t="str">
        <f t="shared" si="100"/>
        <v>Daily</v>
      </c>
      <c r="U3244">
        <f>VLOOKUP(T3244,[1]tablescore!$B$3:$C$8, 2,FALSE)</f>
        <v>30</v>
      </c>
      <c r="V3244" t="str">
        <f t="shared" si="101"/>
        <v>Highly Loyal</v>
      </c>
      <c r="W3244" t="s">
        <v>41</v>
      </c>
    </row>
    <row r="3245" spans="1:23" x14ac:dyDescent="0.25">
      <c r="A3245">
        <v>3244</v>
      </c>
      <c r="B3245">
        <v>45</v>
      </c>
      <c r="C3245" t="str" cm="1">
        <f t="array" ref="C3245">_xlfn.IFS(
  AND(B3245&gt;=18, B3245&lt;=24), "18-24",
  AND(B3245&gt;=25, B3245&lt;=34), "25-34",
  AND(B3245&gt;=35, B3245&lt;=44), "35-44",
  AND(B3245&gt;=45, B3245&lt;=54), "45-54",
  B3245&gt;=55, "55+"
)</f>
        <v>45-54</v>
      </c>
      <c r="D3245" t="s">
        <v>153</v>
      </c>
      <c r="E3245" t="s">
        <v>104</v>
      </c>
      <c r="F3245" t="s">
        <v>21</v>
      </c>
      <c r="G3245">
        <v>99</v>
      </c>
      <c r="H3245" t="s">
        <v>144</v>
      </c>
      <c r="I3245" t="s">
        <v>23</v>
      </c>
      <c r="J3245" t="s">
        <v>94</v>
      </c>
      <c r="K3245" t="s">
        <v>54</v>
      </c>
      <c r="L3245">
        <v>5</v>
      </c>
      <c r="M3245" t="s">
        <v>152</v>
      </c>
      <c r="N3245" t="s">
        <v>29</v>
      </c>
      <c r="O3245" t="s">
        <v>76</v>
      </c>
      <c r="P3245" t="s">
        <v>152</v>
      </c>
      <c r="Q3245" t="s">
        <v>152</v>
      </c>
      <c r="R3245">
        <v>11</v>
      </c>
      <c r="S3245" t="s">
        <v>34</v>
      </c>
      <c r="T3245" t="str">
        <f t="shared" si="100"/>
        <v>Quarterly</v>
      </c>
      <c r="U3245">
        <f>VLOOKUP(T3245,[1]tablescore!$B$3:$C$8, 2,FALSE)</f>
        <v>4</v>
      </c>
      <c r="V3245" t="str">
        <f t="shared" si="101"/>
        <v>Low Loyalty</v>
      </c>
      <c r="W3245" t="s">
        <v>97</v>
      </c>
    </row>
    <row r="3246" spans="1:23" x14ac:dyDescent="0.25">
      <c r="A3246">
        <v>3245</v>
      </c>
      <c r="B3246">
        <v>65</v>
      </c>
      <c r="C3246" t="str" cm="1">
        <f t="array" ref="C3246">_xlfn.IFS(
  AND(B3246&gt;=18, B3246&lt;=24), "18-24",
  AND(B3246&gt;=25, B3246&lt;=34), "25-34",
  AND(B3246&gt;=35, B3246&lt;=44), "35-44",
  AND(B3246&gt;=45, B3246&lt;=54), "45-54",
  B3246&gt;=55, "55+"
)</f>
        <v>55+</v>
      </c>
      <c r="D3246" t="s">
        <v>153</v>
      </c>
      <c r="E3246" t="s">
        <v>31</v>
      </c>
      <c r="F3246" t="s">
        <v>21</v>
      </c>
      <c r="G3246">
        <v>81</v>
      </c>
      <c r="H3246" t="s">
        <v>74</v>
      </c>
      <c r="I3246" t="s">
        <v>45</v>
      </c>
      <c r="J3246" t="s">
        <v>94</v>
      </c>
      <c r="K3246" t="s">
        <v>58</v>
      </c>
      <c r="L3246">
        <v>4.7</v>
      </c>
      <c r="M3246" t="s">
        <v>152</v>
      </c>
      <c r="N3246" t="s">
        <v>34</v>
      </c>
      <c r="O3246" t="s">
        <v>28</v>
      </c>
      <c r="P3246" t="s">
        <v>152</v>
      </c>
      <c r="Q3246" t="s">
        <v>152</v>
      </c>
      <c r="R3246">
        <v>42</v>
      </c>
      <c r="S3246" t="s">
        <v>27</v>
      </c>
      <c r="T3246" t="str">
        <f t="shared" si="100"/>
        <v>Annually</v>
      </c>
      <c r="U3246">
        <f>VLOOKUP(T3246,[1]tablescore!$B$3:$C$8, 2,FALSE)</f>
        <v>1</v>
      </c>
      <c r="V3246" t="str">
        <f t="shared" si="101"/>
        <v>Low Loyalty</v>
      </c>
      <c r="W3246" t="s">
        <v>50</v>
      </c>
    </row>
    <row r="3247" spans="1:23" x14ac:dyDescent="0.25">
      <c r="A3247">
        <v>3246</v>
      </c>
      <c r="B3247">
        <v>63</v>
      </c>
      <c r="C3247" t="str" cm="1">
        <f t="array" ref="C3247">_xlfn.IFS(
  AND(B3247&gt;=18, B3247&lt;=24), "18-24",
  AND(B3247&gt;=25, B3247&lt;=34), "25-34",
  AND(B3247&gt;=35, B3247&lt;=44), "35-44",
  AND(B3247&gt;=45, B3247&lt;=54), "45-54",
  B3247&gt;=55, "55+"
)</f>
        <v>55+</v>
      </c>
      <c r="D3247" t="s">
        <v>153</v>
      </c>
      <c r="E3247" t="s">
        <v>95</v>
      </c>
      <c r="F3247" t="s">
        <v>21</v>
      </c>
      <c r="G3247">
        <v>76</v>
      </c>
      <c r="H3247" t="s">
        <v>111</v>
      </c>
      <c r="I3247" t="s">
        <v>45</v>
      </c>
      <c r="J3247" t="s">
        <v>75</v>
      </c>
      <c r="K3247" t="s">
        <v>58</v>
      </c>
      <c r="L3247">
        <v>3.2</v>
      </c>
      <c r="M3247" t="s">
        <v>152</v>
      </c>
      <c r="N3247" t="s">
        <v>46</v>
      </c>
      <c r="O3247" t="s">
        <v>47</v>
      </c>
      <c r="P3247" t="s">
        <v>152</v>
      </c>
      <c r="Q3247" t="s">
        <v>152</v>
      </c>
      <c r="R3247">
        <v>20</v>
      </c>
      <c r="S3247" t="s">
        <v>35</v>
      </c>
      <c r="T3247" t="str">
        <f t="shared" si="100"/>
        <v>Daily</v>
      </c>
      <c r="U3247">
        <f>VLOOKUP(T3247,[1]tablescore!$B$3:$C$8, 2,FALSE)</f>
        <v>30</v>
      </c>
      <c r="V3247" t="str">
        <f t="shared" si="101"/>
        <v>Highly Loyal</v>
      </c>
      <c r="W3247" t="s">
        <v>41</v>
      </c>
    </row>
    <row r="3248" spans="1:23" x14ac:dyDescent="0.25">
      <c r="A3248">
        <v>3247</v>
      </c>
      <c r="B3248">
        <v>70</v>
      </c>
      <c r="C3248" t="str" cm="1">
        <f t="array" ref="C3248">_xlfn.IFS(
  AND(B3248&gt;=18, B3248&lt;=24), "18-24",
  AND(B3248&gt;=25, B3248&lt;=34), "25-34",
  AND(B3248&gt;=35, B3248&lt;=44), "35-44",
  AND(B3248&gt;=45, B3248&lt;=54), "45-54",
  B3248&gt;=55, "55+"
)</f>
        <v>55+</v>
      </c>
      <c r="D3248" t="s">
        <v>153</v>
      </c>
      <c r="E3248" t="s">
        <v>51</v>
      </c>
      <c r="F3248" t="s">
        <v>43</v>
      </c>
      <c r="G3248">
        <v>98</v>
      </c>
      <c r="H3248" t="s">
        <v>151</v>
      </c>
      <c r="I3248" t="s">
        <v>45</v>
      </c>
      <c r="J3248" t="s">
        <v>147</v>
      </c>
      <c r="K3248" t="s">
        <v>54</v>
      </c>
      <c r="L3248">
        <v>2.9</v>
      </c>
      <c r="M3248" t="s">
        <v>152</v>
      </c>
      <c r="N3248" t="s">
        <v>29</v>
      </c>
      <c r="O3248" t="s">
        <v>76</v>
      </c>
      <c r="P3248" t="s">
        <v>152</v>
      </c>
      <c r="Q3248" t="s">
        <v>152</v>
      </c>
      <c r="R3248">
        <v>37</v>
      </c>
      <c r="S3248" t="s">
        <v>35</v>
      </c>
      <c r="T3248" t="str">
        <f t="shared" si="100"/>
        <v>Month</v>
      </c>
      <c r="U3248">
        <f>VLOOKUP(T3248,[1]tablescore!$B$3:$C$8, 2,FALSE)</f>
        <v>12</v>
      </c>
      <c r="V3248" t="str">
        <f t="shared" si="101"/>
        <v>Moderate</v>
      </c>
      <c r="W3248" t="s">
        <v>88</v>
      </c>
    </row>
    <row r="3249" spans="1:23" x14ac:dyDescent="0.25">
      <c r="A3249">
        <v>3248</v>
      </c>
      <c r="B3249">
        <v>53</v>
      </c>
      <c r="C3249" t="str" cm="1">
        <f t="array" ref="C3249">_xlfn.IFS(
  AND(B3249&gt;=18, B3249&lt;=24), "18-24",
  AND(B3249&gt;=25, B3249&lt;=34), "25-34",
  AND(B3249&gt;=35, B3249&lt;=44), "35-44",
  AND(B3249&gt;=45, B3249&lt;=54), "45-54",
  B3249&gt;=55, "55+"
)</f>
        <v>45-54</v>
      </c>
      <c r="D3249" t="s">
        <v>153</v>
      </c>
      <c r="E3249" t="s">
        <v>127</v>
      </c>
      <c r="F3249" t="s">
        <v>69</v>
      </c>
      <c r="G3249">
        <v>91</v>
      </c>
      <c r="H3249" t="s">
        <v>74</v>
      </c>
      <c r="I3249" t="s">
        <v>45</v>
      </c>
      <c r="J3249" t="s">
        <v>86</v>
      </c>
      <c r="K3249" t="s">
        <v>54</v>
      </c>
      <c r="L3249">
        <v>3.7</v>
      </c>
      <c r="M3249" t="s">
        <v>152</v>
      </c>
      <c r="N3249" t="s">
        <v>29</v>
      </c>
      <c r="O3249" t="s">
        <v>28</v>
      </c>
      <c r="P3249" t="s">
        <v>152</v>
      </c>
      <c r="Q3249" t="s">
        <v>152</v>
      </c>
      <c r="R3249">
        <v>12</v>
      </c>
      <c r="S3249" t="s">
        <v>46</v>
      </c>
      <c r="T3249" t="str">
        <f t="shared" si="100"/>
        <v>2-week</v>
      </c>
      <c r="U3249">
        <f>VLOOKUP(T3249,[1]tablescore!$B$3:$C$8, 2,FALSE)</f>
        <v>26</v>
      </c>
      <c r="V3249" t="str">
        <f t="shared" si="101"/>
        <v>Loyal</v>
      </c>
      <c r="W3249" t="s">
        <v>30</v>
      </c>
    </row>
    <row r="3250" spans="1:23" x14ac:dyDescent="0.25">
      <c r="A3250">
        <v>3249</v>
      </c>
      <c r="B3250">
        <v>22</v>
      </c>
      <c r="C3250" t="str" cm="1">
        <f t="array" ref="C3250">_xlfn.IFS(
  AND(B3250&gt;=18, B3250&lt;=24), "18-24",
  AND(B3250&gt;=25, B3250&lt;=34), "25-34",
  AND(B3250&gt;=35, B3250&lt;=44), "35-44",
  AND(B3250&gt;=45, B3250&lt;=54), "45-54",
  B3250&gt;=55, "55+"
)</f>
        <v>18-24</v>
      </c>
      <c r="D3250" t="s">
        <v>153</v>
      </c>
      <c r="E3250" t="s">
        <v>113</v>
      </c>
      <c r="F3250" t="s">
        <v>21</v>
      </c>
      <c r="G3250">
        <v>79</v>
      </c>
      <c r="H3250" t="s">
        <v>141</v>
      </c>
      <c r="I3250" t="s">
        <v>38</v>
      </c>
      <c r="J3250" t="s">
        <v>86</v>
      </c>
      <c r="K3250" t="s">
        <v>54</v>
      </c>
      <c r="L3250">
        <v>4.2</v>
      </c>
      <c r="M3250" t="s">
        <v>152</v>
      </c>
      <c r="N3250" t="s">
        <v>29</v>
      </c>
      <c r="O3250" t="s">
        <v>40</v>
      </c>
      <c r="P3250" t="s">
        <v>152</v>
      </c>
      <c r="Q3250" t="s">
        <v>152</v>
      </c>
      <c r="R3250">
        <v>41</v>
      </c>
      <c r="S3250" t="s">
        <v>34</v>
      </c>
      <c r="T3250" t="str">
        <f t="shared" si="100"/>
        <v>Quarterly</v>
      </c>
      <c r="U3250">
        <f>VLOOKUP(T3250,[1]tablescore!$B$3:$C$8, 2,FALSE)</f>
        <v>4</v>
      </c>
      <c r="V3250" t="str">
        <f t="shared" si="101"/>
        <v>Low Loyalty</v>
      </c>
      <c r="W3250" t="s">
        <v>60</v>
      </c>
    </row>
    <row r="3251" spans="1:23" x14ac:dyDescent="0.25">
      <c r="A3251">
        <v>3250</v>
      </c>
      <c r="B3251">
        <v>26</v>
      </c>
      <c r="C3251" t="str" cm="1">
        <f t="array" ref="C3251">_xlfn.IFS(
  AND(B3251&gt;=18, B3251&lt;=24), "18-24",
  AND(B3251&gt;=25, B3251&lt;=34), "25-34",
  AND(B3251&gt;=35, B3251&lt;=44), "35-44",
  AND(B3251&gt;=45, B3251&lt;=54), "45-54",
  B3251&gt;=55, "55+"
)</f>
        <v>25-34</v>
      </c>
      <c r="D3251" t="s">
        <v>153</v>
      </c>
      <c r="E3251" t="s">
        <v>133</v>
      </c>
      <c r="F3251" t="s">
        <v>69</v>
      </c>
      <c r="G3251">
        <v>83</v>
      </c>
      <c r="H3251" t="s">
        <v>128</v>
      </c>
      <c r="I3251" t="s">
        <v>45</v>
      </c>
      <c r="J3251" t="s">
        <v>71</v>
      </c>
      <c r="K3251" t="s">
        <v>54</v>
      </c>
      <c r="L3251">
        <v>3.4</v>
      </c>
      <c r="M3251" t="s">
        <v>152</v>
      </c>
      <c r="N3251" t="s">
        <v>27</v>
      </c>
      <c r="O3251" t="s">
        <v>28</v>
      </c>
      <c r="P3251" t="s">
        <v>152</v>
      </c>
      <c r="Q3251" t="s">
        <v>152</v>
      </c>
      <c r="R3251">
        <v>32</v>
      </c>
      <c r="S3251" t="s">
        <v>27</v>
      </c>
      <c r="T3251" t="str">
        <f t="shared" si="100"/>
        <v>Quarterly</v>
      </c>
      <c r="U3251">
        <f>VLOOKUP(T3251,[1]tablescore!$B$3:$C$8, 2,FALSE)</f>
        <v>4</v>
      </c>
      <c r="V3251" t="str">
        <f t="shared" si="101"/>
        <v>Low Loyalty</v>
      </c>
      <c r="W3251" t="s">
        <v>60</v>
      </c>
    </row>
    <row r="3252" spans="1:23" x14ac:dyDescent="0.25">
      <c r="A3252">
        <v>3251</v>
      </c>
      <c r="B3252">
        <v>23</v>
      </c>
      <c r="C3252" t="str" cm="1">
        <f t="array" ref="C3252">_xlfn.IFS(
  AND(B3252&gt;=18, B3252&lt;=24), "18-24",
  AND(B3252&gt;=25, B3252&lt;=34), "25-34",
  AND(B3252&gt;=35, B3252&lt;=44), "35-44",
  AND(B3252&gt;=45, B3252&lt;=54), "45-54",
  B3252&gt;=55, "55+"
)</f>
        <v>18-24</v>
      </c>
      <c r="D3252" t="s">
        <v>153</v>
      </c>
      <c r="E3252" t="s">
        <v>64</v>
      </c>
      <c r="F3252" t="s">
        <v>65</v>
      </c>
      <c r="G3252">
        <v>90</v>
      </c>
      <c r="H3252" t="s">
        <v>134</v>
      </c>
      <c r="I3252" t="s">
        <v>45</v>
      </c>
      <c r="J3252" t="s">
        <v>86</v>
      </c>
      <c r="K3252" t="s">
        <v>39</v>
      </c>
      <c r="L3252">
        <v>2.9</v>
      </c>
      <c r="M3252" t="s">
        <v>152</v>
      </c>
      <c r="N3252" t="s">
        <v>35</v>
      </c>
      <c r="O3252" t="s">
        <v>72</v>
      </c>
      <c r="P3252" t="s">
        <v>152</v>
      </c>
      <c r="Q3252" t="s">
        <v>152</v>
      </c>
      <c r="R3252">
        <v>15</v>
      </c>
      <c r="S3252" t="s">
        <v>29</v>
      </c>
      <c r="T3252" t="str">
        <f t="shared" si="100"/>
        <v>Daily</v>
      </c>
      <c r="U3252">
        <f>VLOOKUP(T3252,[1]tablescore!$B$3:$C$8, 2,FALSE)</f>
        <v>30</v>
      </c>
      <c r="V3252" t="str">
        <f t="shared" si="101"/>
        <v>Highly Loyal</v>
      </c>
      <c r="W3252" t="s">
        <v>41</v>
      </c>
    </row>
    <row r="3253" spans="1:23" x14ac:dyDescent="0.25">
      <c r="A3253">
        <v>3252</v>
      </c>
      <c r="B3253">
        <v>25</v>
      </c>
      <c r="C3253" t="str" cm="1">
        <f t="array" ref="C3253">_xlfn.IFS(
  AND(B3253&gt;=18, B3253&lt;=24), "18-24",
  AND(B3253&gt;=25, B3253&lt;=34), "25-34",
  AND(B3253&gt;=35, B3253&lt;=44), "35-44",
  AND(B3253&gt;=45, B3253&lt;=54), "45-54",
  B3253&gt;=55, "55+"
)</f>
        <v>25-34</v>
      </c>
      <c r="D3253" t="s">
        <v>153</v>
      </c>
      <c r="E3253" t="s">
        <v>64</v>
      </c>
      <c r="F3253" t="s">
        <v>65</v>
      </c>
      <c r="G3253">
        <v>20</v>
      </c>
      <c r="H3253" t="s">
        <v>107</v>
      </c>
      <c r="I3253" t="s">
        <v>45</v>
      </c>
      <c r="J3253" t="s">
        <v>81</v>
      </c>
      <c r="K3253" t="s">
        <v>25</v>
      </c>
      <c r="L3253">
        <v>3.7</v>
      </c>
      <c r="M3253" t="s">
        <v>152</v>
      </c>
      <c r="N3253" t="s">
        <v>59</v>
      </c>
      <c r="O3253" t="s">
        <v>55</v>
      </c>
      <c r="P3253" t="s">
        <v>152</v>
      </c>
      <c r="Q3253" t="s">
        <v>152</v>
      </c>
      <c r="R3253">
        <v>39</v>
      </c>
      <c r="S3253" t="s">
        <v>29</v>
      </c>
      <c r="T3253" t="str">
        <f t="shared" si="100"/>
        <v>Quarterly</v>
      </c>
      <c r="U3253">
        <f>VLOOKUP(T3253,[1]tablescore!$B$3:$C$8, 2,FALSE)</f>
        <v>4</v>
      </c>
      <c r="V3253" t="str">
        <f t="shared" si="101"/>
        <v>Low Loyalty</v>
      </c>
      <c r="W3253" t="s">
        <v>60</v>
      </c>
    </row>
    <row r="3254" spans="1:23" x14ac:dyDescent="0.25">
      <c r="A3254">
        <v>3253</v>
      </c>
      <c r="B3254">
        <v>69</v>
      </c>
      <c r="C3254" t="str" cm="1">
        <f t="array" ref="C3254">_xlfn.IFS(
  AND(B3254&gt;=18, B3254&lt;=24), "18-24",
  AND(B3254&gt;=25, B3254&lt;=34), "25-34",
  AND(B3254&gt;=35, B3254&lt;=44), "35-44",
  AND(B3254&gt;=45, B3254&lt;=54), "45-54",
  B3254&gt;=55, "55+"
)</f>
        <v>55+</v>
      </c>
      <c r="D3254" t="s">
        <v>153</v>
      </c>
      <c r="E3254" t="s">
        <v>42</v>
      </c>
      <c r="F3254" t="s">
        <v>43</v>
      </c>
      <c r="G3254">
        <v>21</v>
      </c>
      <c r="H3254" t="s">
        <v>57</v>
      </c>
      <c r="I3254" t="s">
        <v>23</v>
      </c>
      <c r="J3254" t="s">
        <v>110</v>
      </c>
      <c r="K3254" t="s">
        <v>39</v>
      </c>
      <c r="L3254">
        <v>2.7</v>
      </c>
      <c r="M3254" t="s">
        <v>152</v>
      </c>
      <c r="N3254" t="s">
        <v>34</v>
      </c>
      <c r="O3254" t="s">
        <v>76</v>
      </c>
      <c r="P3254" t="s">
        <v>152</v>
      </c>
      <c r="Q3254" t="s">
        <v>152</v>
      </c>
      <c r="R3254">
        <v>48</v>
      </c>
      <c r="S3254" t="s">
        <v>27</v>
      </c>
      <c r="T3254" t="str">
        <f t="shared" si="100"/>
        <v>2-week</v>
      </c>
      <c r="U3254">
        <f>VLOOKUP(T3254,[1]tablescore!$B$3:$C$8, 2,FALSE)</f>
        <v>26</v>
      </c>
      <c r="V3254" t="str">
        <f t="shared" si="101"/>
        <v>Loyal</v>
      </c>
      <c r="W3254" t="s">
        <v>30</v>
      </c>
    </row>
    <row r="3255" spans="1:23" x14ac:dyDescent="0.25">
      <c r="A3255">
        <v>3254</v>
      </c>
      <c r="B3255">
        <v>36</v>
      </c>
      <c r="C3255" t="str" cm="1">
        <f t="array" ref="C3255">_xlfn.IFS(
  AND(B3255&gt;=18, B3255&lt;=24), "18-24",
  AND(B3255&gt;=25, B3255&lt;=34), "25-34",
  AND(B3255&gt;=35, B3255&lt;=44), "35-44",
  AND(B3255&gt;=45, B3255&lt;=54), "45-54",
  B3255&gt;=55, "55+"
)</f>
        <v>35-44</v>
      </c>
      <c r="D3255" t="s">
        <v>153</v>
      </c>
      <c r="E3255" t="s">
        <v>133</v>
      </c>
      <c r="F3255" t="s">
        <v>69</v>
      </c>
      <c r="G3255">
        <v>60</v>
      </c>
      <c r="H3255" t="s">
        <v>143</v>
      </c>
      <c r="I3255" t="s">
        <v>45</v>
      </c>
      <c r="J3255" t="s">
        <v>110</v>
      </c>
      <c r="K3255" t="s">
        <v>58</v>
      </c>
      <c r="L3255">
        <v>3.2</v>
      </c>
      <c r="M3255" t="s">
        <v>152</v>
      </c>
      <c r="N3255" t="s">
        <v>59</v>
      </c>
      <c r="O3255" t="s">
        <v>72</v>
      </c>
      <c r="P3255" t="s">
        <v>152</v>
      </c>
      <c r="Q3255" t="s">
        <v>152</v>
      </c>
      <c r="R3255">
        <v>8</v>
      </c>
      <c r="S3255" t="s">
        <v>29</v>
      </c>
      <c r="T3255" t="str">
        <f t="shared" si="100"/>
        <v>2-week</v>
      </c>
      <c r="U3255">
        <f>VLOOKUP(T3255,[1]tablescore!$B$3:$C$8, 2,FALSE)</f>
        <v>26</v>
      </c>
      <c r="V3255" t="str">
        <f t="shared" si="101"/>
        <v>Loyal</v>
      </c>
      <c r="W3255" t="s">
        <v>30</v>
      </c>
    </row>
    <row r="3256" spans="1:23" x14ac:dyDescent="0.25">
      <c r="A3256">
        <v>3255</v>
      </c>
      <c r="B3256">
        <v>21</v>
      </c>
      <c r="C3256" t="str" cm="1">
        <f t="array" ref="C3256">_xlfn.IFS(
  AND(B3256&gt;=18, B3256&lt;=24), "18-24",
  AND(B3256&gt;=25, B3256&lt;=34), "25-34",
  AND(B3256&gt;=35, B3256&lt;=44), "35-44",
  AND(B3256&gt;=45, B3256&lt;=54), "45-54",
  B3256&gt;=55, "55+"
)</f>
        <v>18-24</v>
      </c>
      <c r="D3256" t="s">
        <v>153</v>
      </c>
      <c r="E3256" t="s">
        <v>31</v>
      </c>
      <c r="F3256" t="s">
        <v>21</v>
      </c>
      <c r="G3256">
        <v>31</v>
      </c>
      <c r="H3256" t="s">
        <v>116</v>
      </c>
      <c r="I3256" t="s">
        <v>38</v>
      </c>
      <c r="J3256" t="s">
        <v>147</v>
      </c>
      <c r="K3256" t="s">
        <v>25</v>
      </c>
      <c r="L3256">
        <v>4.9000000000000004</v>
      </c>
      <c r="M3256" t="s">
        <v>152</v>
      </c>
      <c r="N3256" t="s">
        <v>29</v>
      </c>
      <c r="O3256" t="s">
        <v>76</v>
      </c>
      <c r="P3256" t="s">
        <v>152</v>
      </c>
      <c r="Q3256" t="s">
        <v>152</v>
      </c>
      <c r="R3256">
        <v>11</v>
      </c>
      <c r="S3256" t="s">
        <v>34</v>
      </c>
      <c r="T3256" t="str">
        <f t="shared" si="100"/>
        <v>Quarterly</v>
      </c>
      <c r="U3256">
        <f>VLOOKUP(T3256,[1]tablescore!$B$3:$C$8, 2,FALSE)</f>
        <v>4</v>
      </c>
      <c r="V3256" t="str">
        <f t="shared" si="101"/>
        <v>Low Loyalty</v>
      </c>
      <c r="W3256" t="s">
        <v>97</v>
      </c>
    </row>
    <row r="3257" spans="1:23" x14ac:dyDescent="0.25">
      <c r="A3257">
        <v>3256</v>
      </c>
      <c r="B3257">
        <v>57</v>
      </c>
      <c r="C3257" t="str" cm="1">
        <f t="array" ref="C3257">_xlfn.IFS(
  AND(B3257&gt;=18, B3257&lt;=24), "18-24",
  AND(B3257&gt;=25, B3257&lt;=34), "25-34",
  AND(B3257&gt;=35, B3257&lt;=44), "35-44",
  AND(B3257&gt;=45, B3257&lt;=54), "45-54",
  B3257&gt;=55, "55+"
)</f>
        <v>55+</v>
      </c>
      <c r="D3257" t="s">
        <v>153</v>
      </c>
      <c r="E3257" t="s">
        <v>61</v>
      </c>
      <c r="F3257" t="s">
        <v>21</v>
      </c>
      <c r="G3257">
        <v>40</v>
      </c>
      <c r="H3257" t="s">
        <v>137</v>
      </c>
      <c r="I3257" t="s">
        <v>45</v>
      </c>
      <c r="J3257" t="s">
        <v>94</v>
      </c>
      <c r="K3257" t="s">
        <v>58</v>
      </c>
      <c r="L3257">
        <v>2.8</v>
      </c>
      <c r="M3257" t="s">
        <v>152</v>
      </c>
      <c r="N3257" t="s">
        <v>35</v>
      </c>
      <c r="O3257" t="s">
        <v>47</v>
      </c>
      <c r="P3257" t="s">
        <v>152</v>
      </c>
      <c r="Q3257" t="s">
        <v>152</v>
      </c>
      <c r="R3257">
        <v>36</v>
      </c>
      <c r="S3257" t="s">
        <v>34</v>
      </c>
      <c r="T3257" t="str">
        <f t="shared" si="100"/>
        <v>Month</v>
      </c>
      <c r="U3257">
        <f>VLOOKUP(T3257,[1]tablescore!$B$3:$C$8, 2,FALSE)</f>
        <v>12</v>
      </c>
      <c r="V3257" t="str">
        <f t="shared" si="101"/>
        <v>Moderate</v>
      </c>
      <c r="W3257" t="s">
        <v>88</v>
      </c>
    </row>
    <row r="3258" spans="1:23" x14ac:dyDescent="0.25">
      <c r="A3258">
        <v>3257</v>
      </c>
      <c r="B3258">
        <v>60</v>
      </c>
      <c r="C3258" t="str" cm="1">
        <f t="array" ref="C3258">_xlfn.IFS(
  AND(B3258&gt;=18, B3258&lt;=24), "18-24",
  AND(B3258&gt;=25, B3258&lt;=34), "25-34",
  AND(B3258&gt;=35, B3258&lt;=44), "35-44",
  AND(B3258&gt;=45, B3258&lt;=54), "45-54",
  B3258&gt;=55, "55+"
)</f>
        <v>55+</v>
      </c>
      <c r="D3258" t="s">
        <v>153</v>
      </c>
      <c r="E3258" t="s">
        <v>89</v>
      </c>
      <c r="F3258" t="s">
        <v>69</v>
      </c>
      <c r="G3258">
        <v>26</v>
      </c>
      <c r="H3258" t="s">
        <v>148</v>
      </c>
      <c r="I3258" t="s">
        <v>23</v>
      </c>
      <c r="J3258" t="s">
        <v>86</v>
      </c>
      <c r="K3258" t="s">
        <v>25</v>
      </c>
      <c r="L3258">
        <v>4.7</v>
      </c>
      <c r="M3258" t="s">
        <v>152</v>
      </c>
      <c r="N3258" t="s">
        <v>35</v>
      </c>
      <c r="O3258" t="s">
        <v>40</v>
      </c>
      <c r="P3258" t="s">
        <v>152</v>
      </c>
      <c r="Q3258" t="s">
        <v>152</v>
      </c>
      <c r="R3258">
        <v>50</v>
      </c>
      <c r="S3258" t="s">
        <v>29</v>
      </c>
      <c r="T3258" t="str">
        <f t="shared" si="100"/>
        <v>Quarterly</v>
      </c>
      <c r="U3258">
        <f>VLOOKUP(T3258,[1]tablescore!$B$3:$C$8, 2,FALSE)</f>
        <v>4</v>
      </c>
      <c r="V3258" t="str">
        <f t="shared" si="101"/>
        <v>Low Loyalty</v>
      </c>
      <c r="W3258" t="s">
        <v>97</v>
      </c>
    </row>
    <row r="3259" spans="1:23" x14ac:dyDescent="0.25">
      <c r="A3259">
        <v>3258</v>
      </c>
      <c r="B3259">
        <v>44</v>
      </c>
      <c r="C3259" t="str" cm="1">
        <f t="array" ref="C3259">_xlfn.IFS(
  AND(B3259&gt;=18, B3259&lt;=24), "18-24",
  AND(B3259&gt;=25, B3259&lt;=34), "25-34",
  AND(B3259&gt;=35, B3259&lt;=44), "35-44",
  AND(B3259&gt;=45, B3259&lt;=54), "45-54",
  B3259&gt;=55, "55+"
)</f>
        <v>35-44</v>
      </c>
      <c r="D3259" t="s">
        <v>153</v>
      </c>
      <c r="E3259" t="s">
        <v>56</v>
      </c>
      <c r="F3259" t="s">
        <v>21</v>
      </c>
      <c r="G3259">
        <v>98</v>
      </c>
      <c r="H3259" t="s">
        <v>134</v>
      </c>
      <c r="I3259" t="s">
        <v>45</v>
      </c>
      <c r="J3259" t="s">
        <v>110</v>
      </c>
      <c r="K3259" t="s">
        <v>58</v>
      </c>
      <c r="L3259">
        <v>3.3</v>
      </c>
      <c r="M3259" t="s">
        <v>152</v>
      </c>
      <c r="N3259" t="s">
        <v>46</v>
      </c>
      <c r="O3259" t="s">
        <v>28</v>
      </c>
      <c r="P3259" t="s">
        <v>152</v>
      </c>
      <c r="Q3259" t="s">
        <v>152</v>
      </c>
      <c r="R3259">
        <v>39</v>
      </c>
      <c r="S3259" t="s">
        <v>29</v>
      </c>
      <c r="T3259" t="str">
        <f t="shared" si="100"/>
        <v>Quarterly</v>
      </c>
      <c r="U3259">
        <f>VLOOKUP(T3259,[1]tablescore!$B$3:$C$8, 2,FALSE)</f>
        <v>4</v>
      </c>
      <c r="V3259" t="str">
        <f t="shared" si="101"/>
        <v>Low Loyalty</v>
      </c>
      <c r="W3259" t="s">
        <v>97</v>
      </c>
    </row>
    <row r="3260" spans="1:23" x14ac:dyDescent="0.25">
      <c r="A3260">
        <v>3259</v>
      </c>
      <c r="B3260">
        <v>31</v>
      </c>
      <c r="C3260" t="str" cm="1">
        <f t="array" ref="C3260">_xlfn.IFS(
  AND(B3260&gt;=18, B3260&lt;=24), "18-24",
  AND(B3260&gt;=25, B3260&lt;=34), "25-34",
  AND(B3260&gt;=35, B3260&lt;=44), "35-44",
  AND(B3260&gt;=45, B3260&lt;=54), "45-54",
  B3260&gt;=55, "55+"
)</f>
        <v>25-34</v>
      </c>
      <c r="D3260" t="s">
        <v>153</v>
      </c>
      <c r="E3260" t="s">
        <v>73</v>
      </c>
      <c r="F3260" t="s">
        <v>43</v>
      </c>
      <c r="G3260">
        <v>51</v>
      </c>
      <c r="H3260" t="s">
        <v>137</v>
      </c>
      <c r="I3260" t="s">
        <v>45</v>
      </c>
      <c r="J3260" t="s">
        <v>147</v>
      </c>
      <c r="K3260" t="s">
        <v>39</v>
      </c>
      <c r="L3260">
        <v>4.3</v>
      </c>
      <c r="M3260" t="s">
        <v>152</v>
      </c>
      <c r="N3260" t="s">
        <v>59</v>
      </c>
      <c r="O3260" t="s">
        <v>28</v>
      </c>
      <c r="P3260" t="s">
        <v>152</v>
      </c>
      <c r="Q3260" t="s">
        <v>152</v>
      </c>
      <c r="R3260">
        <v>11</v>
      </c>
      <c r="S3260" t="s">
        <v>27</v>
      </c>
      <c r="T3260" t="str">
        <f t="shared" si="100"/>
        <v>2-week</v>
      </c>
      <c r="U3260">
        <f>VLOOKUP(T3260,[1]tablescore!$B$3:$C$8, 2,FALSE)</f>
        <v>26</v>
      </c>
      <c r="V3260" t="str">
        <f t="shared" si="101"/>
        <v>Loyal</v>
      </c>
      <c r="W3260" t="s">
        <v>77</v>
      </c>
    </row>
    <row r="3261" spans="1:23" x14ac:dyDescent="0.25">
      <c r="A3261">
        <v>3260</v>
      </c>
      <c r="B3261">
        <v>57</v>
      </c>
      <c r="C3261" t="str" cm="1">
        <f t="array" ref="C3261">_xlfn.IFS(
  AND(B3261&gt;=18, B3261&lt;=24), "18-24",
  AND(B3261&gt;=25, B3261&lt;=34), "25-34",
  AND(B3261&gt;=35, B3261&lt;=44), "35-44",
  AND(B3261&gt;=45, B3261&lt;=54), "45-54",
  B3261&gt;=55, "55+"
)</f>
        <v>55+</v>
      </c>
      <c r="D3261" t="s">
        <v>153</v>
      </c>
      <c r="E3261" t="s">
        <v>125</v>
      </c>
      <c r="F3261" t="s">
        <v>69</v>
      </c>
      <c r="G3261">
        <v>95</v>
      </c>
      <c r="H3261" t="s">
        <v>101</v>
      </c>
      <c r="I3261" t="s">
        <v>92</v>
      </c>
      <c r="J3261" t="s">
        <v>129</v>
      </c>
      <c r="K3261" t="s">
        <v>58</v>
      </c>
      <c r="L3261">
        <v>3.7</v>
      </c>
      <c r="M3261" t="s">
        <v>152</v>
      </c>
      <c r="N3261" t="s">
        <v>46</v>
      </c>
      <c r="O3261" t="s">
        <v>72</v>
      </c>
      <c r="P3261" t="s">
        <v>152</v>
      </c>
      <c r="Q3261" t="s">
        <v>152</v>
      </c>
      <c r="R3261">
        <v>5</v>
      </c>
      <c r="S3261" t="s">
        <v>59</v>
      </c>
      <c r="T3261" t="str">
        <f t="shared" si="100"/>
        <v>Quarterly</v>
      </c>
      <c r="U3261">
        <f>VLOOKUP(T3261,[1]tablescore!$B$3:$C$8, 2,FALSE)</f>
        <v>4</v>
      </c>
      <c r="V3261" t="str">
        <f t="shared" si="101"/>
        <v>Low Loyalty</v>
      </c>
      <c r="W3261" t="s">
        <v>97</v>
      </c>
    </row>
    <row r="3262" spans="1:23" x14ac:dyDescent="0.25">
      <c r="A3262">
        <v>3261</v>
      </c>
      <c r="B3262">
        <v>39</v>
      </c>
      <c r="C3262" t="str" cm="1">
        <f t="array" ref="C3262">_xlfn.IFS(
  AND(B3262&gt;=18, B3262&lt;=24), "18-24",
  AND(B3262&gt;=25, B3262&lt;=34), "25-34",
  AND(B3262&gt;=35, B3262&lt;=44), "35-44",
  AND(B3262&gt;=45, B3262&lt;=54), "45-54",
  B3262&gt;=55, "55+"
)</f>
        <v>35-44</v>
      </c>
      <c r="D3262" t="s">
        <v>153</v>
      </c>
      <c r="E3262" t="s">
        <v>119</v>
      </c>
      <c r="F3262" t="s">
        <v>69</v>
      </c>
      <c r="G3262">
        <v>36</v>
      </c>
      <c r="H3262" t="s">
        <v>148</v>
      </c>
      <c r="I3262" t="s">
        <v>45</v>
      </c>
      <c r="J3262" t="s">
        <v>84</v>
      </c>
      <c r="K3262" t="s">
        <v>54</v>
      </c>
      <c r="L3262">
        <v>4.5</v>
      </c>
      <c r="M3262" t="s">
        <v>152</v>
      </c>
      <c r="N3262" t="s">
        <v>34</v>
      </c>
      <c r="O3262" t="s">
        <v>72</v>
      </c>
      <c r="P3262" t="s">
        <v>152</v>
      </c>
      <c r="Q3262" t="s">
        <v>152</v>
      </c>
      <c r="R3262">
        <v>7</v>
      </c>
      <c r="S3262" t="s">
        <v>27</v>
      </c>
      <c r="T3262" t="str">
        <f t="shared" si="100"/>
        <v>Annually</v>
      </c>
      <c r="U3262">
        <f>VLOOKUP(T3262,[1]tablescore!$B$3:$C$8, 2,FALSE)</f>
        <v>1</v>
      </c>
      <c r="V3262" t="str">
        <f t="shared" si="101"/>
        <v>Low Loyalty</v>
      </c>
      <c r="W3262" t="s">
        <v>50</v>
      </c>
    </row>
    <row r="3263" spans="1:23" x14ac:dyDescent="0.25">
      <c r="A3263">
        <v>3262</v>
      </c>
      <c r="B3263">
        <v>48</v>
      </c>
      <c r="C3263" t="str" cm="1">
        <f t="array" ref="C3263">_xlfn.IFS(
  AND(B3263&gt;=18, B3263&lt;=24), "18-24",
  AND(B3263&gt;=25, B3263&lt;=34), "25-34",
  AND(B3263&gt;=35, B3263&lt;=44), "35-44",
  AND(B3263&gt;=45, B3263&lt;=54), "45-54",
  B3263&gt;=55, "55+"
)</f>
        <v>45-54</v>
      </c>
      <c r="D3263" t="s">
        <v>153</v>
      </c>
      <c r="E3263" t="s">
        <v>136</v>
      </c>
      <c r="F3263" t="s">
        <v>69</v>
      </c>
      <c r="G3263">
        <v>52</v>
      </c>
      <c r="H3263" t="s">
        <v>44</v>
      </c>
      <c r="I3263" t="s">
        <v>23</v>
      </c>
      <c r="J3263" t="s">
        <v>109</v>
      </c>
      <c r="K3263" t="s">
        <v>25</v>
      </c>
      <c r="L3263">
        <v>3.4</v>
      </c>
      <c r="M3263" t="s">
        <v>152</v>
      </c>
      <c r="N3263" t="s">
        <v>34</v>
      </c>
      <c r="O3263" t="s">
        <v>76</v>
      </c>
      <c r="P3263" t="s">
        <v>152</v>
      </c>
      <c r="Q3263" t="s">
        <v>152</v>
      </c>
      <c r="R3263">
        <v>50</v>
      </c>
      <c r="S3263" t="s">
        <v>59</v>
      </c>
      <c r="T3263" t="str">
        <f t="shared" si="100"/>
        <v>Daily</v>
      </c>
      <c r="U3263">
        <f>VLOOKUP(T3263,[1]tablescore!$B$3:$C$8, 2,FALSE)</f>
        <v>30</v>
      </c>
      <c r="V3263" t="str">
        <f t="shared" si="101"/>
        <v>Highly Loyal</v>
      </c>
      <c r="W3263" t="s">
        <v>41</v>
      </c>
    </row>
    <row r="3264" spans="1:23" x14ac:dyDescent="0.25">
      <c r="A3264">
        <v>3263</v>
      </c>
      <c r="B3264">
        <v>42</v>
      </c>
      <c r="C3264" t="str" cm="1">
        <f t="array" ref="C3264">_xlfn.IFS(
  AND(B3264&gt;=18, B3264&lt;=24), "18-24",
  AND(B3264&gt;=25, B3264&lt;=34), "25-34",
  AND(B3264&gt;=35, B3264&lt;=44), "35-44",
  AND(B3264&gt;=45, B3264&lt;=54), "45-54",
  B3264&gt;=55, "55+"
)</f>
        <v>35-44</v>
      </c>
      <c r="D3264" t="s">
        <v>153</v>
      </c>
      <c r="E3264" t="s">
        <v>113</v>
      </c>
      <c r="F3264" t="s">
        <v>21</v>
      </c>
      <c r="G3264">
        <v>35</v>
      </c>
      <c r="H3264" t="s">
        <v>116</v>
      </c>
      <c r="I3264" t="s">
        <v>45</v>
      </c>
      <c r="J3264" t="s">
        <v>84</v>
      </c>
      <c r="K3264" t="s">
        <v>39</v>
      </c>
      <c r="L3264">
        <v>2.7</v>
      </c>
      <c r="M3264" t="s">
        <v>152</v>
      </c>
      <c r="N3264" t="s">
        <v>35</v>
      </c>
      <c r="O3264" t="s">
        <v>55</v>
      </c>
      <c r="P3264" t="s">
        <v>152</v>
      </c>
      <c r="Q3264" t="s">
        <v>152</v>
      </c>
      <c r="R3264">
        <v>21</v>
      </c>
      <c r="S3264" t="s">
        <v>35</v>
      </c>
      <c r="T3264" t="str">
        <f t="shared" si="100"/>
        <v>Quarterly</v>
      </c>
      <c r="U3264">
        <f>VLOOKUP(T3264,[1]tablescore!$B$3:$C$8, 2,FALSE)</f>
        <v>4</v>
      </c>
      <c r="V3264" t="str">
        <f t="shared" si="101"/>
        <v>Low Loyalty</v>
      </c>
      <c r="W3264" t="s">
        <v>97</v>
      </c>
    </row>
    <row r="3265" spans="1:23" x14ac:dyDescent="0.25">
      <c r="A3265">
        <v>3264</v>
      </c>
      <c r="B3265">
        <v>56</v>
      </c>
      <c r="C3265" t="str" cm="1">
        <f t="array" ref="C3265">_xlfn.IFS(
  AND(B3265&gt;=18, B3265&lt;=24), "18-24",
  AND(B3265&gt;=25, B3265&lt;=34), "25-34",
  AND(B3265&gt;=35, B3265&lt;=44), "35-44",
  AND(B3265&gt;=45, B3265&lt;=54), "45-54",
  B3265&gt;=55, "55+"
)</f>
        <v>55+</v>
      </c>
      <c r="D3265" t="s">
        <v>153</v>
      </c>
      <c r="E3265" t="s">
        <v>61</v>
      </c>
      <c r="F3265" t="s">
        <v>21</v>
      </c>
      <c r="G3265">
        <v>68</v>
      </c>
      <c r="H3265" t="s">
        <v>145</v>
      </c>
      <c r="I3265" t="s">
        <v>38</v>
      </c>
      <c r="J3265" t="s">
        <v>94</v>
      </c>
      <c r="K3265" t="s">
        <v>58</v>
      </c>
      <c r="L3265">
        <v>4.4000000000000004</v>
      </c>
      <c r="M3265" t="s">
        <v>152</v>
      </c>
      <c r="N3265" t="s">
        <v>46</v>
      </c>
      <c r="O3265" t="s">
        <v>28</v>
      </c>
      <c r="P3265" t="s">
        <v>152</v>
      </c>
      <c r="Q3265" t="s">
        <v>152</v>
      </c>
      <c r="R3265">
        <v>31</v>
      </c>
      <c r="S3265" t="s">
        <v>59</v>
      </c>
      <c r="T3265" t="str">
        <f t="shared" si="100"/>
        <v>2-week</v>
      </c>
      <c r="U3265">
        <f>VLOOKUP(T3265,[1]tablescore!$B$3:$C$8, 2,FALSE)</f>
        <v>26</v>
      </c>
      <c r="V3265" t="str">
        <f t="shared" si="101"/>
        <v>Loyal</v>
      </c>
      <c r="W3265" t="s">
        <v>30</v>
      </c>
    </row>
    <row r="3266" spans="1:23" x14ac:dyDescent="0.25">
      <c r="A3266">
        <v>3265</v>
      </c>
      <c r="B3266">
        <v>28</v>
      </c>
      <c r="C3266" t="str" cm="1">
        <f t="array" ref="C3266">_xlfn.IFS(
  AND(B3266&gt;=18, B3266&lt;=24), "18-24",
  AND(B3266&gt;=25, B3266&lt;=34), "25-34",
  AND(B3266&gt;=35, B3266&lt;=44), "35-44",
  AND(B3266&gt;=45, B3266&lt;=54), "45-54",
  B3266&gt;=55, "55+"
)</f>
        <v>25-34</v>
      </c>
      <c r="D3266" t="s">
        <v>153</v>
      </c>
      <c r="E3266" t="s">
        <v>95</v>
      </c>
      <c r="F3266" t="s">
        <v>21</v>
      </c>
      <c r="G3266">
        <v>50</v>
      </c>
      <c r="H3266" t="s">
        <v>32</v>
      </c>
      <c r="I3266" t="s">
        <v>38</v>
      </c>
      <c r="J3266" t="s">
        <v>63</v>
      </c>
      <c r="K3266" t="s">
        <v>25</v>
      </c>
      <c r="L3266">
        <v>4</v>
      </c>
      <c r="M3266" t="s">
        <v>152</v>
      </c>
      <c r="N3266" t="s">
        <v>46</v>
      </c>
      <c r="O3266" t="s">
        <v>28</v>
      </c>
      <c r="P3266" t="s">
        <v>152</v>
      </c>
      <c r="Q3266" t="s">
        <v>152</v>
      </c>
      <c r="R3266">
        <v>39</v>
      </c>
      <c r="S3266" t="s">
        <v>35</v>
      </c>
      <c r="T3266" t="str">
        <f t="shared" si="100"/>
        <v>2-week</v>
      </c>
      <c r="U3266">
        <f>VLOOKUP(T3266,[1]tablescore!$B$3:$C$8, 2,FALSE)</f>
        <v>26</v>
      </c>
      <c r="V3266" t="str">
        <f t="shared" si="101"/>
        <v>Loyal</v>
      </c>
      <c r="W3266" t="s">
        <v>77</v>
      </c>
    </row>
    <row r="3267" spans="1:23" x14ac:dyDescent="0.25">
      <c r="A3267">
        <v>3266</v>
      </c>
      <c r="B3267">
        <v>40</v>
      </c>
      <c r="C3267" t="str" cm="1">
        <f t="array" ref="C3267">_xlfn.IFS(
  AND(B3267&gt;=18, B3267&lt;=24), "18-24",
  AND(B3267&gt;=25, B3267&lt;=34), "25-34",
  AND(B3267&gt;=35, B3267&lt;=44), "35-44",
  AND(B3267&gt;=45, B3267&lt;=54), "45-54",
  B3267&gt;=55, "55+"
)</f>
        <v>35-44</v>
      </c>
      <c r="D3267" t="s">
        <v>153</v>
      </c>
      <c r="E3267" t="s">
        <v>89</v>
      </c>
      <c r="F3267" t="s">
        <v>69</v>
      </c>
      <c r="G3267">
        <v>100</v>
      </c>
      <c r="H3267" t="s">
        <v>90</v>
      </c>
      <c r="I3267" t="s">
        <v>45</v>
      </c>
      <c r="J3267" t="s">
        <v>53</v>
      </c>
      <c r="K3267" t="s">
        <v>25</v>
      </c>
      <c r="L3267">
        <v>3.2</v>
      </c>
      <c r="M3267" t="s">
        <v>152</v>
      </c>
      <c r="N3267" t="s">
        <v>27</v>
      </c>
      <c r="O3267" t="s">
        <v>28</v>
      </c>
      <c r="P3267" t="s">
        <v>152</v>
      </c>
      <c r="Q3267" t="s">
        <v>152</v>
      </c>
      <c r="R3267">
        <v>28</v>
      </c>
      <c r="S3267" t="s">
        <v>27</v>
      </c>
      <c r="T3267" t="str">
        <f t="shared" ref="T3267:T3330" si="102">IF(TRIM(W3267)="Every 3 months","Quarterly",IF(TRIM(W3267)="Fortnightly","2-week",IF(TRIM(W3267)="Bi-Weekly","2-week",IF(TRIM(W3267)="Weekly","Daily",IF(TRIM(W3267)="Monthly","Month",TRIM(W3267))))))</f>
        <v>2-week</v>
      </c>
      <c r="U3267">
        <f>VLOOKUP(T3267,[1]tablescore!$B$3:$C$8, 2,FALSE)</f>
        <v>26</v>
      </c>
      <c r="V3267" t="str">
        <f t="shared" ref="V3267:V3330" si="103">_xlfn.IFS(U3267&gt;=30, "Highly Loyal", U3267&gt;=26, "Loyal", U3267&gt;=12, "Moderate", U3267&lt;5, "Low Loyalty")</f>
        <v>Loyal</v>
      </c>
      <c r="W3267" t="s">
        <v>30</v>
      </c>
    </row>
    <row r="3268" spans="1:23" x14ac:dyDescent="0.25">
      <c r="A3268">
        <v>3267</v>
      </c>
      <c r="B3268">
        <v>49</v>
      </c>
      <c r="C3268" t="str" cm="1">
        <f t="array" ref="C3268">_xlfn.IFS(
  AND(B3268&gt;=18, B3268&lt;=24), "18-24",
  AND(B3268&gt;=25, B3268&lt;=34), "25-34",
  AND(B3268&gt;=35, B3268&lt;=44), "35-44",
  AND(B3268&gt;=45, B3268&lt;=54), "45-54",
  B3268&gt;=55, "55+"
)</f>
        <v>45-54</v>
      </c>
      <c r="D3268" t="s">
        <v>153</v>
      </c>
      <c r="E3268" t="s">
        <v>64</v>
      </c>
      <c r="F3268" t="s">
        <v>65</v>
      </c>
      <c r="G3268">
        <v>74</v>
      </c>
      <c r="H3268" t="s">
        <v>90</v>
      </c>
      <c r="I3268" t="s">
        <v>38</v>
      </c>
      <c r="J3268" t="s">
        <v>24</v>
      </c>
      <c r="K3268" t="s">
        <v>25</v>
      </c>
      <c r="L3268">
        <v>4.2</v>
      </c>
      <c r="M3268" t="s">
        <v>152</v>
      </c>
      <c r="N3268" t="s">
        <v>34</v>
      </c>
      <c r="O3268" t="s">
        <v>47</v>
      </c>
      <c r="P3268" t="s">
        <v>152</v>
      </c>
      <c r="Q3268" t="s">
        <v>152</v>
      </c>
      <c r="R3268">
        <v>33</v>
      </c>
      <c r="S3268" t="s">
        <v>34</v>
      </c>
      <c r="T3268" t="str">
        <f t="shared" si="102"/>
        <v>Daily</v>
      </c>
      <c r="U3268">
        <f>VLOOKUP(T3268,[1]tablescore!$B$3:$C$8, 2,FALSE)</f>
        <v>30</v>
      </c>
      <c r="V3268" t="str">
        <f t="shared" si="103"/>
        <v>Highly Loyal</v>
      </c>
      <c r="W3268" t="s">
        <v>41</v>
      </c>
    </row>
    <row r="3269" spans="1:23" x14ac:dyDescent="0.25">
      <c r="A3269">
        <v>3268</v>
      </c>
      <c r="B3269">
        <v>37</v>
      </c>
      <c r="C3269" t="str" cm="1">
        <f t="array" ref="C3269">_xlfn.IFS(
  AND(B3269&gt;=18, B3269&lt;=24), "18-24",
  AND(B3269&gt;=25, B3269&lt;=34), "25-34",
  AND(B3269&gt;=35, B3269&lt;=44), "35-44",
  AND(B3269&gt;=45, B3269&lt;=54), "45-54",
  B3269&gt;=55, "55+"
)</f>
        <v>35-44</v>
      </c>
      <c r="D3269" t="s">
        <v>153</v>
      </c>
      <c r="E3269" t="s">
        <v>104</v>
      </c>
      <c r="F3269" t="s">
        <v>21</v>
      </c>
      <c r="G3269">
        <v>45</v>
      </c>
      <c r="H3269" t="s">
        <v>144</v>
      </c>
      <c r="I3269" t="s">
        <v>23</v>
      </c>
      <c r="J3269" t="s">
        <v>71</v>
      </c>
      <c r="K3269" t="s">
        <v>25</v>
      </c>
      <c r="L3269">
        <v>3</v>
      </c>
      <c r="M3269" t="s">
        <v>152</v>
      </c>
      <c r="N3269" t="s">
        <v>59</v>
      </c>
      <c r="O3269" t="s">
        <v>76</v>
      </c>
      <c r="P3269" t="s">
        <v>152</v>
      </c>
      <c r="Q3269" t="s">
        <v>152</v>
      </c>
      <c r="R3269">
        <v>42</v>
      </c>
      <c r="S3269" t="s">
        <v>27</v>
      </c>
      <c r="T3269" t="str">
        <f t="shared" si="102"/>
        <v>Quarterly</v>
      </c>
      <c r="U3269">
        <f>VLOOKUP(T3269,[1]tablescore!$B$3:$C$8, 2,FALSE)</f>
        <v>4</v>
      </c>
      <c r="V3269" t="str">
        <f t="shared" si="103"/>
        <v>Low Loyalty</v>
      </c>
      <c r="W3269" t="s">
        <v>60</v>
      </c>
    </row>
    <row r="3270" spans="1:23" x14ac:dyDescent="0.25">
      <c r="A3270">
        <v>3269</v>
      </c>
      <c r="B3270">
        <v>22</v>
      </c>
      <c r="C3270" t="str" cm="1">
        <f t="array" ref="C3270">_xlfn.IFS(
  AND(B3270&gt;=18, B3270&lt;=24), "18-24",
  AND(B3270&gt;=25, B3270&lt;=34), "25-34",
  AND(B3270&gt;=35, B3270&lt;=44), "35-44",
  AND(B3270&gt;=45, B3270&lt;=54), "45-54",
  B3270&gt;=55, "55+"
)</f>
        <v>18-24</v>
      </c>
      <c r="D3270" t="s">
        <v>153</v>
      </c>
      <c r="E3270" t="s">
        <v>82</v>
      </c>
      <c r="F3270" t="s">
        <v>21</v>
      </c>
      <c r="G3270">
        <v>97</v>
      </c>
      <c r="H3270" t="s">
        <v>74</v>
      </c>
      <c r="I3270" t="s">
        <v>45</v>
      </c>
      <c r="J3270" t="s">
        <v>109</v>
      </c>
      <c r="K3270" t="s">
        <v>58</v>
      </c>
      <c r="L3270">
        <v>2.8</v>
      </c>
      <c r="M3270" t="s">
        <v>152</v>
      </c>
      <c r="N3270" t="s">
        <v>35</v>
      </c>
      <c r="O3270" t="s">
        <v>40</v>
      </c>
      <c r="P3270" t="s">
        <v>152</v>
      </c>
      <c r="Q3270" t="s">
        <v>152</v>
      </c>
      <c r="R3270">
        <v>5</v>
      </c>
      <c r="S3270" t="s">
        <v>34</v>
      </c>
      <c r="T3270" t="str">
        <f t="shared" si="102"/>
        <v>Quarterly</v>
      </c>
      <c r="U3270">
        <f>VLOOKUP(T3270,[1]tablescore!$B$3:$C$8, 2,FALSE)</f>
        <v>4</v>
      </c>
      <c r="V3270" t="str">
        <f t="shared" si="103"/>
        <v>Low Loyalty</v>
      </c>
      <c r="W3270" t="s">
        <v>97</v>
      </c>
    </row>
    <row r="3271" spans="1:23" x14ac:dyDescent="0.25">
      <c r="A3271">
        <v>3270</v>
      </c>
      <c r="B3271">
        <v>27</v>
      </c>
      <c r="C3271" t="str" cm="1">
        <f t="array" ref="C3271">_xlfn.IFS(
  AND(B3271&gt;=18, B3271&lt;=24), "18-24",
  AND(B3271&gt;=25, B3271&lt;=34), "25-34",
  AND(B3271&gt;=35, B3271&lt;=44), "35-44",
  AND(B3271&gt;=45, B3271&lt;=54), "45-54",
  B3271&gt;=55, "55+"
)</f>
        <v>25-34</v>
      </c>
      <c r="D3271" t="s">
        <v>153</v>
      </c>
      <c r="E3271" t="s">
        <v>20</v>
      </c>
      <c r="F3271" t="s">
        <v>21</v>
      </c>
      <c r="G3271">
        <v>60</v>
      </c>
      <c r="H3271" t="s">
        <v>124</v>
      </c>
      <c r="I3271" t="s">
        <v>45</v>
      </c>
      <c r="J3271" t="s">
        <v>138</v>
      </c>
      <c r="K3271" t="s">
        <v>25</v>
      </c>
      <c r="L3271">
        <v>4.9000000000000004</v>
      </c>
      <c r="M3271" t="s">
        <v>152</v>
      </c>
      <c r="N3271" t="s">
        <v>29</v>
      </c>
      <c r="O3271" t="s">
        <v>28</v>
      </c>
      <c r="P3271" t="s">
        <v>152</v>
      </c>
      <c r="Q3271" t="s">
        <v>152</v>
      </c>
      <c r="R3271">
        <v>25</v>
      </c>
      <c r="S3271" t="s">
        <v>35</v>
      </c>
      <c r="T3271" t="str">
        <f t="shared" si="102"/>
        <v>Month</v>
      </c>
      <c r="U3271">
        <f>VLOOKUP(T3271,[1]tablescore!$B$3:$C$8, 2,FALSE)</f>
        <v>12</v>
      </c>
      <c r="V3271" t="str">
        <f t="shared" si="103"/>
        <v>Moderate</v>
      </c>
      <c r="W3271" t="s">
        <v>88</v>
      </c>
    </row>
    <row r="3272" spans="1:23" x14ac:dyDescent="0.25">
      <c r="A3272">
        <v>3271</v>
      </c>
      <c r="B3272">
        <v>59</v>
      </c>
      <c r="C3272" t="str" cm="1">
        <f t="array" ref="C3272">_xlfn.IFS(
  AND(B3272&gt;=18, B3272&lt;=24), "18-24",
  AND(B3272&gt;=25, B3272&lt;=34), "25-34",
  AND(B3272&gt;=35, B3272&lt;=44), "35-44",
  AND(B3272&gt;=45, B3272&lt;=54), "45-54",
  B3272&gt;=55, "55+"
)</f>
        <v>55+</v>
      </c>
      <c r="D3272" t="s">
        <v>153</v>
      </c>
      <c r="E3272" t="s">
        <v>131</v>
      </c>
      <c r="F3272" t="s">
        <v>21</v>
      </c>
      <c r="G3272">
        <v>25</v>
      </c>
      <c r="H3272" t="s">
        <v>115</v>
      </c>
      <c r="I3272" t="s">
        <v>45</v>
      </c>
      <c r="J3272" t="s">
        <v>129</v>
      </c>
      <c r="K3272" t="s">
        <v>25</v>
      </c>
      <c r="L3272">
        <v>4.7</v>
      </c>
      <c r="M3272" t="s">
        <v>152</v>
      </c>
      <c r="N3272" t="s">
        <v>35</v>
      </c>
      <c r="O3272" t="s">
        <v>28</v>
      </c>
      <c r="P3272" t="s">
        <v>152</v>
      </c>
      <c r="Q3272" t="s">
        <v>152</v>
      </c>
      <c r="R3272">
        <v>48</v>
      </c>
      <c r="S3272" t="s">
        <v>46</v>
      </c>
      <c r="T3272" t="str">
        <f t="shared" si="102"/>
        <v>Annually</v>
      </c>
      <c r="U3272">
        <f>VLOOKUP(T3272,[1]tablescore!$B$3:$C$8, 2,FALSE)</f>
        <v>1</v>
      </c>
      <c r="V3272" t="str">
        <f t="shared" si="103"/>
        <v>Low Loyalty</v>
      </c>
      <c r="W3272" t="s">
        <v>50</v>
      </c>
    </row>
    <row r="3273" spans="1:23" x14ac:dyDescent="0.25">
      <c r="A3273">
        <v>3272</v>
      </c>
      <c r="B3273">
        <v>35</v>
      </c>
      <c r="C3273" t="str" cm="1">
        <f t="array" ref="C3273">_xlfn.IFS(
  AND(B3273&gt;=18, B3273&lt;=24), "18-24",
  AND(B3273&gt;=25, B3273&lt;=34), "25-34",
  AND(B3273&gt;=35, B3273&lt;=44), "35-44",
  AND(B3273&gt;=45, B3273&lt;=54), "45-54",
  B3273&gt;=55, "55+"
)</f>
        <v>35-44</v>
      </c>
      <c r="D3273" t="s">
        <v>153</v>
      </c>
      <c r="E3273" t="s">
        <v>131</v>
      </c>
      <c r="F3273" t="s">
        <v>21</v>
      </c>
      <c r="G3273">
        <v>55</v>
      </c>
      <c r="H3273" t="s">
        <v>107</v>
      </c>
      <c r="I3273" t="s">
        <v>92</v>
      </c>
      <c r="J3273" t="s">
        <v>147</v>
      </c>
      <c r="K3273" t="s">
        <v>39</v>
      </c>
      <c r="L3273">
        <v>4.4000000000000004</v>
      </c>
      <c r="M3273" t="s">
        <v>152</v>
      </c>
      <c r="N3273" t="s">
        <v>59</v>
      </c>
      <c r="O3273" t="s">
        <v>55</v>
      </c>
      <c r="P3273" t="s">
        <v>152</v>
      </c>
      <c r="Q3273" t="s">
        <v>152</v>
      </c>
      <c r="R3273">
        <v>30</v>
      </c>
      <c r="S3273" t="s">
        <v>27</v>
      </c>
      <c r="T3273" t="str">
        <f t="shared" si="102"/>
        <v>Daily</v>
      </c>
      <c r="U3273">
        <f>VLOOKUP(T3273,[1]tablescore!$B$3:$C$8, 2,FALSE)</f>
        <v>30</v>
      </c>
      <c r="V3273" t="str">
        <f t="shared" si="103"/>
        <v>Highly Loyal</v>
      </c>
      <c r="W3273" t="s">
        <v>41</v>
      </c>
    </row>
    <row r="3274" spans="1:23" x14ac:dyDescent="0.25">
      <c r="A3274">
        <v>3273</v>
      </c>
      <c r="B3274">
        <v>58</v>
      </c>
      <c r="C3274" t="str" cm="1">
        <f t="array" ref="C3274">_xlfn.IFS(
  AND(B3274&gt;=18, B3274&lt;=24), "18-24",
  AND(B3274&gt;=25, B3274&lt;=34), "25-34",
  AND(B3274&gt;=35, B3274&lt;=44), "35-44",
  AND(B3274&gt;=45, B3274&lt;=54), "45-54",
  B3274&gt;=55, "55+"
)</f>
        <v>55+</v>
      </c>
      <c r="D3274" t="s">
        <v>153</v>
      </c>
      <c r="E3274" t="s">
        <v>73</v>
      </c>
      <c r="F3274" t="s">
        <v>43</v>
      </c>
      <c r="G3274">
        <v>99</v>
      </c>
      <c r="H3274" t="s">
        <v>105</v>
      </c>
      <c r="I3274" t="s">
        <v>45</v>
      </c>
      <c r="J3274" t="s">
        <v>93</v>
      </c>
      <c r="K3274" t="s">
        <v>25</v>
      </c>
      <c r="L3274">
        <v>3.1</v>
      </c>
      <c r="M3274" t="s">
        <v>152</v>
      </c>
      <c r="N3274" t="s">
        <v>34</v>
      </c>
      <c r="O3274" t="s">
        <v>47</v>
      </c>
      <c r="P3274" t="s">
        <v>152</v>
      </c>
      <c r="Q3274" t="s">
        <v>152</v>
      </c>
      <c r="R3274">
        <v>34</v>
      </c>
      <c r="S3274" t="s">
        <v>46</v>
      </c>
      <c r="T3274" t="str">
        <f t="shared" si="102"/>
        <v>Quarterly</v>
      </c>
      <c r="U3274">
        <f>VLOOKUP(T3274,[1]tablescore!$B$3:$C$8, 2,FALSE)</f>
        <v>4</v>
      </c>
      <c r="V3274" t="str">
        <f t="shared" si="103"/>
        <v>Low Loyalty</v>
      </c>
      <c r="W3274" t="s">
        <v>60</v>
      </c>
    </row>
    <row r="3275" spans="1:23" x14ac:dyDescent="0.25">
      <c r="A3275">
        <v>3274</v>
      </c>
      <c r="B3275">
        <v>58</v>
      </c>
      <c r="C3275" t="str" cm="1">
        <f t="array" ref="C3275">_xlfn.IFS(
  AND(B3275&gt;=18, B3275&lt;=24), "18-24",
  AND(B3275&gt;=25, B3275&lt;=34), "25-34",
  AND(B3275&gt;=35, B3275&lt;=44), "35-44",
  AND(B3275&gt;=45, B3275&lt;=54), "45-54",
  B3275&gt;=55, "55+"
)</f>
        <v>55+</v>
      </c>
      <c r="D3275" t="s">
        <v>153</v>
      </c>
      <c r="E3275" t="s">
        <v>136</v>
      </c>
      <c r="F3275" t="s">
        <v>69</v>
      </c>
      <c r="G3275">
        <v>45</v>
      </c>
      <c r="H3275" t="s">
        <v>107</v>
      </c>
      <c r="I3275" t="s">
        <v>38</v>
      </c>
      <c r="J3275" t="s">
        <v>121</v>
      </c>
      <c r="K3275" t="s">
        <v>54</v>
      </c>
      <c r="L3275">
        <v>2.6</v>
      </c>
      <c r="M3275" t="s">
        <v>152</v>
      </c>
      <c r="N3275" t="s">
        <v>27</v>
      </c>
      <c r="O3275" t="s">
        <v>40</v>
      </c>
      <c r="P3275" t="s">
        <v>152</v>
      </c>
      <c r="Q3275" t="s">
        <v>152</v>
      </c>
      <c r="R3275">
        <v>34</v>
      </c>
      <c r="S3275" t="s">
        <v>46</v>
      </c>
      <c r="T3275" t="str">
        <f t="shared" si="102"/>
        <v>Quarterly</v>
      </c>
      <c r="U3275">
        <f>VLOOKUP(T3275,[1]tablescore!$B$3:$C$8, 2,FALSE)</f>
        <v>4</v>
      </c>
      <c r="V3275" t="str">
        <f t="shared" si="103"/>
        <v>Low Loyalty</v>
      </c>
      <c r="W3275" t="s">
        <v>97</v>
      </c>
    </row>
    <row r="3276" spans="1:23" x14ac:dyDescent="0.25">
      <c r="A3276">
        <v>3275</v>
      </c>
      <c r="B3276">
        <v>46</v>
      </c>
      <c r="C3276" t="str" cm="1">
        <f t="array" ref="C3276">_xlfn.IFS(
  AND(B3276&gt;=18, B3276&lt;=24), "18-24",
  AND(B3276&gt;=25, B3276&lt;=34), "25-34",
  AND(B3276&gt;=35, B3276&lt;=44), "35-44",
  AND(B3276&gt;=45, B3276&lt;=54), "45-54",
  B3276&gt;=55, "55+"
)</f>
        <v>45-54</v>
      </c>
      <c r="D3276" t="s">
        <v>153</v>
      </c>
      <c r="E3276" t="s">
        <v>31</v>
      </c>
      <c r="F3276" t="s">
        <v>21</v>
      </c>
      <c r="G3276">
        <v>20</v>
      </c>
      <c r="H3276" t="s">
        <v>101</v>
      </c>
      <c r="I3276" t="s">
        <v>45</v>
      </c>
      <c r="J3276" t="s">
        <v>109</v>
      </c>
      <c r="K3276" t="s">
        <v>39</v>
      </c>
      <c r="L3276">
        <v>3.9</v>
      </c>
      <c r="M3276" t="s">
        <v>152</v>
      </c>
      <c r="N3276" t="s">
        <v>27</v>
      </c>
      <c r="O3276" t="s">
        <v>76</v>
      </c>
      <c r="P3276" t="s">
        <v>152</v>
      </c>
      <c r="Q3276" t="s">
        <v>152</v>
      </c>
      <c r="R3276">
        <v>14</v>
      </c>
      <c r="S3276" t="s">
        <v>35</v>
      </c>
      <c r="T3276" t="str">
        <f t="shared" si="102"/>
        <v>2-week</v>
      </c>
      <c r="U3276">
        <f>VLOOKUP(T3276,[1]tablescore!$B$3:$C$8, 2,FALSE)</f>
        <v>26</v>
      </c>
      <c r="V3276" t="str">
        <f t="shared" si="103"/>
        <v>Loyal</v>
      </c>
      <c r="W3276" t="s">
        <v>30</v>
      </c>
    </row>
    <row r="3277" spans="1:23" x14ac:dyDescent="0.25">
      <c r="A3277">
        <v>3276</v>
      </c>
      <c r="B3277">
        <v>43</v>
      </c>
      <c r="C3277" t="str" cm="1">
        <f t="array" ref="C3277">_xlfn.IFS(
  AND(B3277&gt;=18, B3277&lt;=24), "18-24",
  AND(B3277&gt;=25, B3277&lt;=34), "25-34",
  AND(B3277&gt;=35, B3277&lt;=44), "35-44",
  AND(B3277&gt;=45, B3277&lt;=54), "45-54",
  B3277&gt;=55, "55+"
)</f>
        <v>35-44</v>
      </c>
      <c r="D3277" t="s">
        <v>153</v>
      </c>
      <c r="E3277" t="s">
        <v>95</v>
      </c>
      <c r="F3277" t="s">
        <v>21</v>
      </c>
      <c r="G3277">
        <v>88</v>
      </c>
      <c r="H3277" t="s">
        <v>90</v>
      </c>
      <c r="I3277" t="s">
        <v>92</v>
      </c>
      <c r="J3277" t="s">
        <v>96</v>
      </c>
      <c r="K3277" t="s">
        <v>54</v>
      </c>
      <c r="L3277">
        <v>2.6</v>
      </c>
      <c r="M3277" t="s">
        <v>152</v>
      </c>
      <c r="N3277" t="s">
        <v>29</v>
      </c>
      <c r="O3277" t="s">
        <v>72</v>
      </c>
      <c r="P3277" t="s">
        <v>152</v>
      </c>
      <c r="Q3277" t="s">
        <v>152</v>
      </c>
      <c r="R3277">
        <v>2</v>
      </c>
      <c r="S3277" t="s">
        <v>59</v>
      </c>
      <c r="T3277" t="str">
        <f t="shared" si="102"/>
        <v>Daily</v>
      </c>
      <c r="U3277">
        <f>VLOOKUP(T3277,[1]tablescore!$B$3:$C$8, 2,FALSE)</f>
        <v>30</v>
      </c>
      <c r="V3277" t="str">
        <f t="shared" si="103"/>
        <v>Highly Loyal</v>
      </c>
      <c r="W3277" t="s">
        <v>41</v>
      </c>
    </row>
    <row r="3278" spans="1:23" x14ac:dyDescent="0.25">
      <c r="A3278">
        <v>3277</v>
      </c>
      <c r="B3278">
        <v>39</v>
      </c>
      <c r="C3278" t="str" cm="1">
        <f t="array" ref="C3278">_xlfn.IFS(
  AND(B3278&gt;=18, B3278&lt;=24), "18-24",
  AND(B3278&gt;=25, B3278&lt;=34), "25-34",
  AND(B3278&gt;=35, B3278&lt;=44), "35-44",
  AND(B3278&gt;=45, B3278&lt;=54), "45-54",
  B3278&gt;=55, "55+"
)</f>
        <v>35-44</v>
      </c>
      <c r="D3278" t="s">
        <v>153</v>
      </c>
      <c r="E3278" t="s">
        <v>119</v>
      </c>
      <c r="F3278" t="s">
        <v>69</v>
      </c>
      <c r="G3278">
        <v>99</v>
      </c>
      <c r="H3278" t="s">
        <v>130</v>
      </c>
      <c r="I3278" t="s">
        <v>45</v>
      </c>
      <c r="J3278" t="s">
        <v>53</v>
      </c>
      <c r="K3278" t="s">
        <v>54</v>
      </c>
      <c r="L3278">
        <v>4</v>
      </c>
      <c r="M3278" t="s">
        <v>152</v>
      </c>
      <c r="N3278" t="s">
        <v>27</v>
      </c>
      <c r="O3278" t="s">
        <v>76</v>
      </c>
      <c r="P3278" t="s">
        <v>152</v>
      </c>
      <c r="Q3278" t="s">
        <v>152</v>
      </c>
      <c r="R3278">
        <v>41</v>
      </c>
      <c r="S3278" t="s">
        <v>46</v>
      </c>
      <c r="T3278" t="str">
        <f t="shared" si="102"/>
        <v>Quarterly</v>
      </c>
      <c r="U3278">
        <f>VLOOKUP(T3278,[1]tablescore!$B$3:$C$8, 2,FALSE)</f>
        <v>4</v>
      </c>
      <c r="V3278" t="str">
        <f t="shared" si="103"/>
        <v>Low Loyalty</v>
      </c>
      <c r="W3278" t="s">
        <v>97</v>
      </c>
    </row>
    <row r="3279" spans="1:23" x14ac:dyDescent="0.25">
      <c r="A3279">
        <v>3278</v>
      </c>
      <c r="B3279">
        <v>59</v>
      </c>
      <c r="C3279" t="str" cm="1">
        <f t="array" ref="C3279">_xlfn.IFS(
  AND(B3279&gt;=18, B3279&lt;=24), "18-24",
  AND(B3279&gt;=25, B3279&lt;=34), "25-34",
  AND(B3279&gt;=35, B3279&lt;=44), "35-44",
  AND(B3279&gt;=45, B3279&lt;=54), "45-54",
  B3279&gt;=55, "55+"
)</f>
        <v>55+</v>
      </c>
      <c r="D3279" t="s">
        <v>153</v>
      </c>
      <c r="E3279" t="s">
        <v>87</v>
      </c>
      <c r="F3279" t="s">
        <v>21</v>
      </c>
      <c r="G3279">
        <v>86</v>
      </c>
      <c r="H3279" t="s">
        <v>105</v>
      </c>
      <c r="I3279" t="s">
        <v>45</v>
      </c>
      <c r="J3279" t="s">
        <v>138</v>
      </c>
      <c r="K3279" t="s">
        <v>39</v>
      </c>
      <c r="L3279">
        <v>4.9000000000000004</v>
      </c>
      <c r="M3279" t="s">
        <v>152</v>
      </c>
      <c r="N3279" t="s">
        <v>35</v>
      </c>
      <c r="O3279" t="s">
        <v>76</v>
      </c>
      <c r="P3279" t="s">
        <v>152</v>
      </c>
      <c r="Q3279" t="s">
        <v>152</v>
      </c>
      <c r="R3279">
        <v>3</v>
      </c>
      <c r="S3279" t="s">
        <v>27</v>
      </c>
      <c r="T3279" t="str">
        <f t="shared" si="102"/>
        <v>Month</v>
      </c>
      <c r="U3279">
        <f>VLOOKUP(T3279,[1]tablescore!$B$3:$C$8, 2,FALSE)</f>
        <v>12</v>
      </c>
      <c r="V3279" t="str">
        <f t="shared" si="103"/>
        <v>Moderate</v>
      </c>
      <c r="W3279" t="s">
        <v>88</v>
      </c>
    </row>
    <row r="3280" spans="1:23" x14ac:dyDescent="0.25">
      <c r="A3280">
        <v>3279</v>
      </c>
      <c r="B3280">
        <v>59</v>
      </c>
      <c r="C3280" t="str" cm="1">
        <f t="array" ref="C3280">_xlfn.IFS(
  AND(B3280&gt;=18, B3280&lt;=24), "18-24",
  AND(B3280&gt;=25, B3280&lt;=34), "25-34",
  AND(B3280&gt;=35, B3280&lt;=44), "35-44",
  AND(B3280&gt;=45, B3280&lt;=54), "45-54",
  B3280&gt;=55, "55+"
)</f>
        <v>55+</v>
      </c>
      <c r="D3280" t="s">
        <v>153</v>
      </c>
      <c r="E3280" t="s">
        <v>82</v>
      </c>
      <c r="F3280" t="s">
        <v>21</v>
      </c>
      <c r="G3280">
        <v>70</v>
      </c>
      <c r="H3280" t="s">
        <v>57</v>
      </c>
      <c r="I3280" t="s">
        <v>45</v>
      </c>
      <c r="J3280" t="s">
        <v>94</v>
      </c>
      <c r="K3280" t="s">
        <v>54</v>
      </c>
      <c r="L3280">
        <v>3.3</v>
      </c>
      <c r="M3280" t="s">
        <v>152</v>
      </c>
      <c r="N3280" t="s">
        <v>59</v>
      </c>
      <c r="O3280" t="s">
        <v>72</v>
      </c>
      <c r="P3280" t="s">
        <v>152</v>
      </c>
      <c r="Q3280" t="s">
        <v>152</v>
      </c>
      <c r="R3280">
        <v>18</v>
      </c>
      <c r="S3280" t="s">
        <v>34</v>
      </c>
      <c r="T3280" t="str">
        <f t="shared" si="102"/>
        <v>Daily</v>
      </c>
      <c r="U3280">
        <f>VLOOKUP(T3280,[1]tablescore!$B$3:$C$8, 2,FALSE)</f>
        <v>30</v>
      </c>
      <c r="V3280" t="str">
        <f t="shared" si="103"/>
        <v>Highly Loyal</v>
      </c>
      <c r="W3280" t="s">
        <v>41</v>
      </c>
    </row>
    <row r="3281" spans="1:23" x14ac:dyDescent="0.25">
      <c r="A3281">
        <v>3280</v>
      </c>
      <c r="B3281">
        <v>59</v>
      </c>
      <c r="C3281" t="str" cm="1">
        <f t="array" ref="C3281">_xlfn.IFS(
  AND(B3281&gt;=18, B3281&lt;=24), "18-24",
  AND(B3281&gt;=25, B3281&lt;=34), "25-34",
  AND(B3281&gt;=35, B3281&lt;=44), "35-44",
  AND(B3281&gt;=45, B3281&lt;=54), "45-54",
  B3281&gt;=55, "55+"
)</f>
        <v>55+</v>
      </c>
      <c r="D3281" t="s">
        <v>153</v>
      </c>
      <c r="E3281" t="s">
        <v>125</v>
      </c>
      <c r="F3281" t="s">
        <v>69</v>
      </c>
      <c r="G3281">
        <v>50</v>
      </c>
      <c r="H3281" t="s">
        <v>52</v>
      </c>
      <c r="I3281" t="s">
        <v>38</v>
      </c>
      <c r="J3281" t="s">
        <v>108</v>
      </c>
      <c r="K3281" t="s">
        <v>58</v>
      </c>
      <c r="L3281">
        <v>3</v>
      </c>
      <c r="M3281" t="s">
        <v>152</v>
      </c>
      <c r="N3281" t="s">
        <v>27</v>
      </c>
      <c r="O3281" t="s">
        <v>28</v>
      </c>
      <c r="P3281" t="s">
        <v>152</v>
      </c>
      <c r="Q3281" t="s">
        <v>152</v>
      </c>
      <c r="R3281">
        <v>1</v>
      </c>
      <c r="S3281" t="s">
        <v>59</v>
      </c>
      <c r="T3281" t="str">
        <f t="shared" si="102"/>
        <v>2-week</v>
      </c>
      <c r="U3281">
        <f>VLOOKUP(T3281,[1]tablescore!$B$3:$C$8, 2,FALSE)</f>
        <v>26</v>
      </c>
      <c r="V3281" t="str">
        <f t="shared" si="103"/>
        <v>Loyal</v>
      </c>
      <c r="W3281" t="s">
        <v>30</v>
      </c>
    </row>
    <row r="3282" spans="1:23" x14ac:dyDescent="0.25">
      <c r="A3282">
        <v>3281</v>
      </c>
      <c r="B3282">
        <v>45</v>
      </c>
      <c r="C3282" t="str" cm="1">
        <f t="array" ref="C3282">_xlfn.IFS(
  AND(B3282&gt;=18, B3282&lt;=24), "18-24",
  AND(B3282&gt;=25, B3282&lt;=34), "25-34",
  AND(B3282&gt;=35, B3282&lt;=44), "35-44",
  AND(B3282&gt;=45, B3282&lt;=54), "45-54",
  B3282&gt;=55, "55+"
)</f>
        <v>45-54</v>
      </c>
      <c r="D3282" t="s">
        <v>153</v>
      </c>
      <c r="E3282" t="s">
        <v>68</v>
      </c>
      <c r="F3282" t="s">
        <v>69</v>
      </c>
      <c r="G3282">
        <v>57</v>
      </c>
      <c r="H3282" t="s">
        <v>85</v>
      </c>
      <c r="I3282" t="s">
        <v>23</v>
      </c>
      <c r="J3282" t="s">
        <v>108</v>
      </c>
      <c r="K3282" t="s">
        <v>25</v>
      </c>
      <c r="L3282">
        <v>2.7</v>
      </c>
      <c r="M3282" t="s">
        <v>152</v>
      </c>
      <c r="N3282" t="s">
        <v>27</v>
      </c>
      <c r="O3282" t="s">
        <v>47</v>
      </c>
      <c r="P3282" t="s">
        <v>152</v>
      </c>
      <c r="Q3282" t="s">
        <v>152</v>
      </c>
      <c r="R3282">
        <v>5</v>
      </c>
      <c r="S3282" t="s">
        <v>46</v>
      </c>
      <c r="T3282" t="str">
        <f t="shared" si="102"/>
        <v>Month</v>
      </c>
      <c r="U3282">
        <f>VLOOKUP(T3282,[1]tablescore!$B$3:$C$8, 2,FALSE)</f>
        <v>12</v>
      </c>
      <c r="V3282" t="str">
        <f t="shared" si="103"/>
        <v>Moderate</v>
      </c>
      <c r="W3282" t="s">
        <v>88</v>
      </c>
    </row>
    <row r="3283" spans="1:23" x14ac:dyDescent="0.25">
      <c r="A3283">
        <v>3282</v>
      </c>
      <c r="B3283">
        <v>27</v>
      </c>
      <c r="C3283" t="str" cm="1">
        <f t="array" ref="C3283">_xlfn.IFS(
  AND(B3283&gt;=18, B3283&lt;=24), "18-24",
  AND(B3283&gt;=25, B3283&lt;=34), "25-34",
  AND(B3283&gt;=35, B3283&lt;=44), "35-44",
  AND(B3283&gt;=45, B3283&lt;=54), "45-54",
  B3283&gt;=55, "55+"
)</f>
        <v>25-34</v>
      </c>
      <c r="D3283" t="s">
        <v>153</v>
      </c>
      <c r="E3283" t="s">
        <v>95</v>
      </c>
      <c r="F3283" t="s">
        <v>21</v>
      </c>
      <c r="G3283">
        <v>69</v>
      </c>
      <c r="H3283" t="s">
        <v>48</v>
      </c>
      <c r="I3283" t="s">
        <v>23</v>
      </c>
      <c r="J3283" t="s">
        <v>81</v>
      </c>
      <c r="K3283" t="s">
        <v>25</v>
      </c>
      <c r="L3283">
        <v>3.1</v>
      </c>
      <c r="M3283" t="s">
        <v>152</v>
      </c>
      <c r="N3283" t="s">
        <v>59</v>
      </c>
      <c r="O3283" t="s">
        <v>40</v>
      </c>
      <c r="P3283" t="s">
        <v>152</v>
      </c>
      <c r="Q3283" t="s">
        <v>152</v>
      </c>
      <c r="R3283">
        <v>41</v>
      </c>
      <c r="S3283" t="s">
        <v>34</v>
      </c>
      <c r="T3283" t="str">
        <f t="shared" si="102"/>
        <v>Annually</v>
      </c>
      <c r="U3283">
        <f>VLOOKUP(T3283,[1]tablescore!$B$3:$C$8, 2,FALSE)</f>
        <v>1</v>
      </c>
      <c r="V3283" t="str">
        <f t="shared" si="103"/>
        <v>Low Loyalty</v>
      </c>
      <c r="W3283" t="s">
        <v>50</v>
      </c>
    </row>
    <row r="3284" spans="1:23" x14ac:dyDescent="0.25">
      <c r="A3284">
        <v>3283</v>
      </c>
      <c r="B3284">
        <v>24</v>
      </c>
      <c r="C3284" t="str" cm="1">
        <f t="array" ref="C3284">_xlfn.IFS(
  AND(B3284&gt;=18, B3284&lt;=24), "18-24",
  AND(B3284&gt;=25, B3284&lt;=34), "25-34",
  AND(B3284&gt;=35, B3284&lt;=44), "35-44",
  AND(B3284&gt;=45, B3284&lt;=54), "45-54",
  B3284&gt;=55, "55+"
)</f>
        <v>18-24</v>
      </c>
      <c r="D3284" t="s">
        <v>153</v>
      </c>
      <c r="E3284" t="s">
        <v>113</v>
      </c>
      <c r="F3284" t="s">
        <v>21</v>
      </c>
      <c r="G3284">
        <v>94</v>
      </c>
      <c r="H3284" t="s">
        <v>99</v>
      </c>
      <c r="I3284" t="s">
        <v>45</v>
      </c>
      <c r="J3284" t="s">
        <v>108</v>
      </c>
      <c r="K3284" t="s">
        <v>58</v>
      </c>
      <c r="L3284">
        <v>4.8</v>
      </c>
      <c r="M3284" t="s">
        <v>152</v>
      </c>
      <c r="N3284" t="s">
        <v>34</v>
      </c>
      <c r="O3284" t="s">
        <v>47</v>
      </c>
      <c r="P3284" t="s">
        <v>152</v>
      </c>
      <c r="Q3284" t="s">
        <v>152</v>
      </c>
      <c r="R3284">
        <v>5</v>
      </c>
      <c r="S3284" t="s">
        <v>27</v>
      </c>
      <c r="T3284" t="str">
        <f t="shared" si="102"/>
        <v>Month</v>
      </c>
      <c r="U3284">
        <f>VLOOKUP(T3284,[1]tablescore!$B$3:$C$8, 2,FALSE)</f>
        <v>12</v>
      </c>
      <c r="V3284" t="str">
        <f t="shared" si="103"/>
        <v>Moderate</v>
      </c>
      <c r="W3284" t="s">
        <v>88</v>
      </c>
    </row>
    <row r="3285" spans="1:23" x14ac:dyDescent="0.25">
      <c r="A3285">
        <v>3284</v>
      </c>
      <c r="B3285">
        <v>47</v>
      </c>
      <c r="C3285" t="str" cm="1">
        <f t="array" ref="C3285">_xlfn.IFS(
  AND(B3285&gt;=18, B3285&lt;=24), "18-24",
  AND(B3285&gt;=25, B3285&lt;=34), "25-34",
  AND(B3285&gt;=35, B3285&lt;=44), "35-44",
  AND(B3285&gt;=45, B3285&lt;=54), "45-54",
  B3285&gt;=55, "55+"
)</f>
        <v>45-54</v>
      </c>
      <c r="D3285" t="s">
        <v>153</v>
      </c>
      <c r="E3285" t="s">
        <v>102</v>
      </c>
      <c r="F3285" t="s">
        <v>65</v>
      </c>
      <c r="G3285">
        <v>24</v>
      </c>
      <c r="H3285" t="s">
        <v>98</v>
      </c>
      <c r="I3285" t="s">
        <v>23</v>
      </c>
      <c r="J3285" t="s">
        <v>75</v>
      </c>
      <c r="K3285" t="s">
        <v>39</v>
      </c>
      <c r="L3285">
        <v>2.9</v>
      </c>
      <c r="M3285" t="s">
        <v>152</v>
      </c>
      <c r="N3285" t="s">
        <v>27</v>
      </c>
      <c r="O3285" t="s">
        <v>28</v>
      </c>
      <c r="P3285" t="s">
        <v>152</v>
      </c>
      <c r="Q3285" t="s">
        <v>152</v>
      </c>
      <c r="R3285">
        <v>10</v>
      </c>
      <c r="S3285" t="s">
        <v>59</v>
      </c>
      <c r="T3285" t="str">
        <f t="shared" si="102"/>
        <v>Quarterly</v>
      </c>
      <c r="U3285">
        <f>VLOOKUP(T3285,[1]tablescore!$B$3:$C$8, 2,FALSE)</f>
        <v>4</v>
      </c>
      <c r="V3285" t="str">
        <f t="shared" si="103"/>
        <v>Low Loyalty</v>
      </c>
      <c r="W3285" t="s">
        <v>97</v>
      </c>
    </row>
    <row r="3286" spans="1:23" x14ac:dyDescent="0.25">
      <c r="A3286">
        <v>3285</v>
      </c>
      <c r="B3286">
        <v>70</v>
      </c>
      <c r="C3286" t="str" cm="1">
        <f t="array" ref="C3286">_xlfn.IFS(
  AND(B3286&gt;=18, B3286&lt;=24), "18-24",
  AND(B3286&gt;=25, B3286&lt;=34), "25-34",
  AND(B3286&gt;=35, B3286&lt;=44), "35-44",
  AND(B3286&gt;=45, B3286&lt;=54), "45-54",
  B3286&gt;=55, "55+"
)</f>
        <v>55+</v>
      </c>
      <c r="D3286" t="s">
        <v>153</v>
      </c>
      <c r="E3286" t="s">
        <v>119</v>
      </c>
      <c r="F3286" t="s">
        <v>69</v>
      </c>
      <c r="G3286">
        <v>79</v>
      </c>
      <c r="H3286" t="s">
        <v>22</v>
      </c>
      <c r="I3286" t="s">
        <v>23</v>
      </c>
      <c r="J3286" t="s">
        <v>53</v>
      </c>
      <c r="K3286" t="s">
        <v>39</v>
      </c>
      <c r="L3286">
        <v>4.5</v>
      </c>
      <c r="M3286" t="s">
        <v>152</v>
      </c>
      <c r="N3286" t="s">
        <v>59</v>
      </c>
      <c r="O3286" t="s">
        <v>72</v>
      </c>
      <c r="P3286" t="s">
        <v>152</v>
      </c>
      <c r="Q3286" t="s">
        <v>152</v>
      </c>
      <c r="R3286">
        <v>20</v>
      </c>
      <c r="S3286" t="s">
        <v>29</v>
      </c>
      <c r="T3286" t="str">
        <f t="shared" si="102"/>
        <v>Annually</v>
      </c>
      <c r="U3286">
        <f>VLOOKUP(T3286,[1]tablescore!$B$3:$C$8, 2,FALSE)</f>
        <v>1</v>
      </c>
      <c r="V3286" t="str">
        <f t="shared" si="103"/>
        <v>Low Loyalty</v>
      </c>
      <c r="W3286" t="s">
        <v>50</v>
      </c>
    </row>
    <row r="3287" spans="1:23" x14ac:dyDescent="0.25">
      <c r="A3287">
        <v>3286</v>
      </c>
      <c r="B3287">
        <v>58</v>
      </c>
      <c r="C3287" t="str" cm="1">
        <f t="array" ref="C3287">_xlfn.IFS(
  AND(B3287&gt;=18, B3287&lt;=24), "18-24",
  AND(B3287&gt;=25, B3287&lt;=34), "25-34",
  AND(B3287&gt;=35, B3287&lt;=44), "35-44",
  AND(B3287&gt;=45, B3287&lt;=54), "45-54",
  B3287&gt;=55, "55+"
)</f>
        <v>55+</v>
      </c>
      <c r="D3287" t="s">
        <v>153</v>
      </c>
      <c r="E3287" t="s">
        <v>125</v>
      </c>
      <c r="F3287" t="s">
        <v>69</v>
      </c>
      <c r="G3287">
        <v>31</v>
      </c>
      <c r="H3287" t="s">
        <v>78</v>
      </c>
      <c r="I3287" t="s">
        <v>92</v>
      </c>
      <c r="J3287" t="s">
        <v>147</v>
      </c>
      <c r="K3287" t="s">
        <v>58</v>
      </c>
      <c r="L3287">
        <v>4.5999999999999996</v>
      </c>
      <c r="M3287" t="s">
        <v>152</v>
      </c>
      <c r="N3287" t="s">
        <v>46</v>
      </c>
      <c r="O3287" t="s">
        <v>40</v>
      </c>
      <c r="P3287" t="s">
        <v>152</v>
      </c>
      <c r="Q3287" t="s">
        <v>152</v>
      </c>
      <c r="R3287">
        <v>11</v>
      </c>
      <c r="S3287" t="s">
        <v>35</v>
      </c>
      <c r="T3287" t="str">
        <f t="shared" si="102"/>
        <v>Daily</v>
      </c>
      <c r="U3287">
        <f>VLOOKUP(T3287,[1]tablescore!$B$3:$C$8, 2,FALSE)</f>
        <v>30</v>
      </c>
      <c r="V3287" t="str">
        <f t="shared" si="103"/>
        <v>Highly Loyal</v>
      </c>
      <c r="W3287" t="s">
        <v>41</v>
      </c>
    </row>
    <row r="3288" spans="1:23" x14ac:dyDescent="0.25">
      <c r="A3288">
        <v>3287</v>
      </c>
      <c r="B3288">
        <v>45</v>
      </c>
      <c r="C3288" t="str" cm="1">
        <f t="array" ref="C3288">_xlfn.IFS(
  AND(B3288&gt;=18, B3288&lt;=24), "18-24",
  AND(B3288&gt;=25, B3288&lt;=34), "25-34",
  AND(B3288&gt;=35, B3288&lt;=44), "35-44",
  AND(B3288&gt;=45, B3288&lt;=54), "45-54",
  B3288&gt;=55, "55+"
)</f>
        <v>45-54</v>
      </c>
      <c r="D3288" t="s">
        <v>153</v>
      </c>
      <c r="E3288" t="s">
        <v>102</v>
      </c>
      <c r="F3288" t="s">
        <v>65</v>
      </c>
      <c r="G3288">
        <v>67</v>
      </c>
      <c r="H3288" t="s">
        <v>115</v>
      </c>
      <c r="I3288" t="s">
        <v>23</v>
      </c>
      <c r="J3288" t="s">
        <v>71</v>
      </c>
      <c r="K3288" t="s">
        <v>25</v>
      </c>
      <c r="L3288">
        <v>5</v>
      </c>
      <c r="M3288" t="s">
        <v>152</v>
      </c>
      <c r="N3288" t="s">
        <v>29</v>
      </c>
      <c r="O3288" t="s">
        <v>28</v>
      </c>
      <c r="P3288" t="s">
        <v>152</v>
      </c>
      <c r="Q3288" t="s">
        <v>152</v>
      </c>
      <c r="R3288">
        <v>4</v>
      </c>
      <c r="S3288" t="s">
        <v>29</v>
      </c>
      <c r="T3288" t="str">
        <f t="shared" si="102"/>
        <v>2-week</v>
      </c>
      <c r="U3288">
        <f>VLOOKUP(T3288,[1]tablescore!$B$3:$C$8, 2,FALSE)</f>
        <v>26</v>
      </c>
      <c r="V3288" t="str">
        <f t="shared" si="103"/>
        <v>Loyal</v>
      </c>
      <c r="W3288" t="s">
        <v>30</v>
      </c>
    </row>
    <row r="3289" spans="1:23" x14ac:dyDescent="0.25">
      <c r="A3289">
        <v>3288</v>
      </c>
      <c r="B3289">
        <v>24</v>
      </c>
      <c r="C3289" t="str" cm="1">
        <f t="array" ref="C3289">_xlfn.IFS(
  AND(B3289&gt;=18, B3289&lt;=24), "18-24",
  AND(B3289&gt;=25, B3289&lt;=34), "25-34",
  AND(B3289&gt;=35, B3289&lt;=44), "35-44",
  AND(B3289&gt;=45, B3289&lt;=54), "45-54",
  B3289&gt;=55, "55+"
)</f>
        <v>18-24</v>
      </c>
      <c r="D3289" t="s">
        <v>153</v>
      </c>
      <c r="E3289" t="s">
        <v>87</v>
      </c>
      <c r="F3289" t="s">
        <v>21</v>
      </c>
      <c r="G3289">
        <v>63</v>
      </c>
      <c r="H3289" t="s">
        <v>66</v>
      </c>
      <c r="I3289" t="s">
        <v>23</v>
      </c>
      <c r="J3289" t="s">
        <v>94</v>
      </c>
      <c r="K3289" t="s">
        <v>39</v>
      </c>
      <c r="L3289">
        <v>4.3</v>
      </c>
      <c r="M3289" t="s">
        <v>152</v>
      </c>
      <c r="N3289" t="s">
        <v>46</v>
      </c>
      <c r="O3289" t="s">
        <v>72</v>
      </c>
      <c r="P3289" t="s">
        <v>152</v>
      </c>
      <c r="Q3289" t="s">
        <v>152</v>
      </c>
      <c r="R3289">
        <v>38</v>
      </c>
      <c r="S3289" t="s">
        <v>27</v>
      </c>
      <c r="T3289" t="str">
        <f t="shared" si="102"/>
        <v>Daily</v>
      </c>
      <c r="U3289">
        <f>VLOOKUP(T3289,[1]tablescore!$B$3:$C$8, 2,FALSE)</f>
        <v>30</v>
      </c>
      <c r="V3289" t="str">
        <f t="shared" si="103"/>
        <v>Highly Loyal</v>
      </c>
      <c r="W3289" t="s">
        <v>41</v>
      </c>
    </row>
    <row r="3290" spans="1:23" x14ac:dyDescent="0.25">
      <c r="A3290">
        <v>3289</v>
      </c>
      <c r="B3290">
        <v>67</v>
      </c>
      <c r="C3290" t="str" cm="1">
        <f t="array" ref="C3290">_xlfn.IFS(
  AND(B3290&gt;=18, B3290&lt;=24), "18-24",
  AND(B3290&gt;=25, B3290&lt;=34), "25-34",
  AND(B3290&gt;=35, B3290&lt;=44), "35-44",
  AND(B3290&gt;=45, B3290&lt;=54), "45-54",
  B3290&gt;=55, "55+"
)</f>
        <v>55+</v>
      </c>
      <c r="D3290" t="s">
        <v>153</v>
      </c>
      <c r="E3290" t="s">
        <v>68</v>
      </c>
      <c r="F3290" t="s">
        <v>69</v>
      </c>
      <c r="G3290">
        <v>61</v>
      </c>
      <c r="H3290" t="s">
        <v>126</v>
      </c>
      <c r="I3290" t="s">
        <v>92</v>
      </c>
      <c r="J3290" t="s">
        <v>53</v>
      </c>
      <c r="K3290" t="s">
        <v>39</v>
      </c>
      <c r="L3290">
        <v>4.9000000000000004</v>
      </c>
      <c r="M3290" t="s">
        <v>152</v>
      </c>
      <c r="N3290" t="s">
        <v>59</v>
      </c>
      <c r="O3290" t="s">
        <v>47</v>
      </c>
      <c r="P3290" t="s">
        <v>152</v>
      </c>
      <c r="Q3290" t="s">
        <v>152</v>
      </c>
      <c r="R3290">
        <v>19</v>
      </c>
      <c r="S3290" t="s">
        <v>27</v>
      </c>
      <c r="T3290" t="str">
        <f t="shared" si="102"/>
        <v>2-week</v>
      </c>
      <c r="U3290">
        <f>VLOOKUP(T3290,[1]tablescore!$B$3:$C$8, 2,FALSE)</f>
        <v>26</v>
      </c>
      <c r="V3290" t="str">
        <f t="shared" si="103"/>
        <v>Loyal</v>
      </c>
      <c r="W3290" t="s">
        <v>77</v>
      </c>
    </row>
    <row r="3291" spans="1:23" x14ac:dyDescent="0.25">
      <c r="A3291">
        <v>3290</v>
      </c>
      <c r="B3291">
        <v>31</v>
      </c>
      <c r="C3291" t="str" cm="1">
        <f t="array" ref="C3291">_xlfn.IFS(
  AND(B3291&gt;=18, B3291&lt;=24), "18-24",
  AND(B3291&gt;=25, B3291&lt;=34), "25-34",
  AND(B3291&gt;=35, B3291&lt;=44), "35-44",
  AND(B3291&gt;=45, B3291&lt;=54), "45-54",
  B3291&gt;=55, "55+"
)</f>
        <v>25-34</v>
      </c>
      <c r="D3291" t="s">
        <v>153</v>
      </c>
      <c r="E3291" t="s">
        <v>133</v>
      </c>
      <c r="F3291" t="s">
        <v>69</v>
      </c>
      <c r="G3291">
        <v>50</v>
      </c>
      <c r="H3291" t="s">
        <v>57</v>
      </c>
      <c r="I3291" t="s">
        <v>45</v>
      </c>
      <c r="J3291" t="s">
        <v>33</v>
      </c>
      <c r="K3291" t="s">
        <v>54</v>
      </c>
      <c r="L3291">
        <v>4</v>
      </c>
      <c r="M3291" t="s">
        <v>152</v>
      </c>
      <c r="N3291" t="s">
        <v>29</v>
      </c>
      <c r="O3291" t="s">
        <v>72</v>
      </c>
      <c r="P3291" t="s">
        <v>152</v>
      </c>
      <c r="Q3291" t="s">
        <v>152</v>
      </c>
      <c r="R3291">
        <v>16</v>
      </c>
      <c r="S3291" t="s">
        <v>29</v>
      </c>
      <c r="T3291" t="str">
        <f t="shared" si="102"/>
        <v>Quarterly</v>
      </c>
      <c r="U3291">
        <f>VLOOKUP(T3291,[1]tablescore!$B$3:$C$8, 2,FALSE)</f>
        <v>4</v>
      </c>
      <c r="V3291" t="str">
        <f t="shared" si="103"/>
        <v>Low Loyalty</v>
      </c>
      <c r="W3291" t="s">
        <v>97</v>
      </c>
    </row>
    <row r="3292" spans="1:23" x14ac:dyDescent="0.25">
      <c r="A3292">
        <v>3291</v>
      </c>
      <c r="B3292">
        <v>52</v>
      </c>
      <c r="C3292" t="str" cm="1">
        <f t="array" ref="C3292">_xlfn.IFS(
  AND(B3292&gt;=18, B3292&lt;=24), "18-24",
  AND(B3292&gt;=25, B3292&lt;=34), "25-34",
  AND(B3292&gt;=35, B3292&lt;=44), "35-44",
  AND(B3292&gt;=45, B3292&lt;=54), "45-54",
  B3292&gt;=55, "55+"
)</f>
        <v>45-54</v>
      </c>
      <c r="D3292" t="s">
        <v>153</v>
      </c>
      <c r="E3292" t="s">
        <v>64</v>
      </c>
      <c r="F3292" t="s">
        <v>65</v>
      </c>
      <c r="G3292">
        <v>82</v>
      </c>
      <c r="H3292" t="s">
        <v>114</v>
      </c>
      <c r="I3292" t="s">
        <v>23</v>
      </c>
      <c r="J3292" t="s">
        <v>94</v>
      </c>
      <c r="K3292" t="s">
        <v>39</v>
      </c>
      <c r="L3292">
        <v>3.1</v>
      </c>
      <c r="M3292" t="s">
        <v>152</v>
      </c>
      <c r="N3292" t="s">
        <v>34</v>
      </c>
      <c r="O3292" t="s">
        <v>40</v>
      </c>
      <c r="P3292" t="s">
        <v>152</v>
      </c>
      <c r="Q3292" t="s">
        <v>152</v>
      </c>
      <c r="R3292">
        <v>2</v>
      </c>
      <c r="S3292" t="s">
        <v>46</v>
      </c>
      <c r="T3292" t="str">
        <f t="shared" si="102"/>
        <v>Month</v>
      </c>
      <c r="U3292">
        <f>VLOOKUP(T3292,[1]tablescore!$B$3:$C$8, 2,FALSE)</f>
        <v>12</v>
      </c>
      <c r="V3292" t="str">
        <f t="shared" si="103"/>
        <v>Moderate</v>
      </c>
      <c r="W3292" t="s">
        <v>88</v>
      </c>
    </row>
    <row r="3293" spans="1:23" x14ac:dyDescent="0.25">
      <c r="A3293">
        <v>3292</v>
      </c>
      <c r="B3293">
        <v>29</v>
      </c>
      <c r="C3293" t="str" cm="1">
        <f t="array" ref="C3293">_xlfn.IFS(
  AND(B3293&gt;=18, B3293&lt;=24), "18-24",
  AND(B3293&gt;=25, B3293&lt;=34), "25-34",
  AND(B3293&gt;=35, B3293&lt;=44), "35-44",
  AND(B3293&gt;=45, B3293&lt;=54), "45-54",
  B3293&gt;=55, "55+"
)</f>
        <v>25-34</v>
      </c>
      <c r="D3293" t="s">
        <v>153</v>
      </c>
      <c r="E3293" t="s">
        <v>136</v>
      </c>
      <c r="F3293" t="s">
        <v>69</v>
      </c>
      <c r="G3293">
        <v>51</v>
      </c>
      <c r="H3293" t="s">
        <v>123</v>
      </c>
      <c r="I3293" t="s">
        <v>23</v>
      </c>
      <c r="J3293" t="s">
        <v>79</v>
      </c>
      <c r="K3293" t="s">
        <v>58</v>
      </c>
      <c r="L3293">
        <v>2.6</v>
      </c>
      <c r="M3293" t="s">
        <v>152</v>
      </c>
      <c r="N3293" t="s">
        <v>34</v>
      </c>
      <c r="O3293" t="s">
        <v>72</v>
      </c>
      <c r="P3293" t="s">
        <v>152</v>
      </c>
      <c r="Q3293" t="s">
        <v>152</v>
      </c>
      <c r="R3293">
        <v>11</v>
      </c>
      <c r="S3293" t="s">
        <v>35</v>
      </c>
      <c r="T3293" t="str">
        <f t="shared" si="102"/>
        <v>Month</v>
      </c>
      <c r="U3293">
        <f>VLOOKUP(T3293,[1]tablescore!$B$3:$C$8, 2,FALSE)</f>
        <v>12</v>
      </c>
      <c r="V3293" t="str">
        <f t="shared" si="103"/>
        <v>Moderate</v>
      </c>
      <c r="W3293" t="s">
        <v>88</v>
      </c>
    </row>
    <row r="3294" spans="1:23" x14ac:dyDescent="0.25">
      <c r="A3294">
        <v>3293</v>
      </c>
      <c r="B3294">
        <v>62</v>
      </c>
      <c r="C3294" t="str" cm="1">
        <f t="array" ref="C3294">_xlfn.IFS(
  AND(B3294&gt;=18, B3294&lt;=24), "18-24",
  AND(B3294&gt;=25, B3294&lt;=34), "25-34",
  AND(B3294&gt;=35, B3294&lt;=44), "35-44",
  AND(B3294&gt;=45, B3294&lt;=54), "45-54",
  B3294&gt;=55, "55+"
)</f>
        <v>55+</v>
      </c>
      <c r="D3294" t="s">
        <v>153</v>
      </c>
      <c r="E3294" t="s">
        <v>68</v>
      </c>
      <c r="F3294" t="s">
        <v>69</v>
      </c>
      <c r="G3294">
        <v>23</v>
      </c>
      <c r="H3294" t="s">
        <v>70</v>
      </c>
      <c r="I3294" t="s">
        <v>23</v>
      </c>
      <c r="J3294" t="s">
        <v>24</v>
      </c>
      <c r="K3294" t="s">
        <v>39</v>
      </c>
      <c r="L3294">
        <v>4.9000000000000004</v>
      </c>
      <c r="M3294" t="s">
        <v>152</v>
      </c>
      <c r="N3294" t="s">
        <v>59</v>
      </c>
      <c r="O3294" t="s">
        <v>55</v>
      </c>
      <c r="P3294" t="s">
        <v>152</v>
      </c>
      <c r="Q3294" t="s">
        <v>152</v>
      </c>
      <c r="R3294">
        <v>18</v>
      </c>
      <c r="S3294" t="s">
        <v>34</v>
      </c>
      <c r="T3294" t="str">
        <f t="shared" si="102"/>
        <v>2-week</v>
      </c>
      <c r="U3294">
        <f>VLOOKUP(T3294,[1]tablescore!$B$3:$C$8, 2,FALSE)</f>
        <v>26</v>
      </c>
      <c r="V3294" t="str">
        <f t="shared" si="103"/>
        <v>Loyal</v>
      </c>
      <c r="W3294" t="s">
        <v>30</v>
      </c>
    </row>
    <row r="3295" spans="1:23" x14ac:dyDescent="0.25">
      <c r="A3295">
        <v>3294</v>
      </c>
      <c r="B3295">
        <v>19</v>
      </c>
      <c r="C3295" t="str" cm="1">
        <f t="array" ref="C3295">_xlfn.IFS(
  AND(B3295&gt;=18, B3295&lt;=24), "18-24",
  AND(B3295&gt;=25, B3295&lt;=34), "25-34",
  AND(B3295&gt;=35, B3295&lt;=44), "35-44",
  AND(B3295&gt;=45, B3295&lt;=54), "45-54",
  B3295&gt;=55, "55+"
)</f>
        <v>18-24</v>
      </c>
      <c r="D3295" t="s">
        <v>153</v>
      </c>
      <c r="E3295" t="s">
        <v>64</v>
      </c>
      <c r="F3295" t="s">
        <v>65</v>
      </c>
      <c r="G3295">
        <v>91</v>
      </c>
      <c r="H3295" t="s">
        <v>66</v>
      </c>
      <c r="I3295" t="s">
        <v>45</v>
      </c>
      <c r="J3295" t="s">
        <v>81</v>
      </c>
      <c r="K3295" t="s">
        <v>39</v>
      </c>
      <c r="L3295">
        <v>3.5</v>
      </c>
      <c r="M3295" t="s">
        <v>152</v>
      </c>
      <c r="N3295" t="s">
        <v>34</v>
      </c>
      <c r="O3295" t="s">
        <v>72</v>
      </c>
      <c r="P3295" t="s">
        <v>152</v>
      </c>
      <c r="Q3295" t="s">
        <v>152</v>
      </c>
      <c r="R3295">
        <v>47</v>
      </c>
      <c r="S3295" t="s">
        <v>27</v>
      </c>
      <c r="T3295" t="str">
        <f t="shared" si="102"/>
        <v>2-week</v>
      </c>
      <c r="U3295">
        <f>VLOOKUP(T3295,[1]tablescore!$B$3:$C$8, 2,FALSE)</f>
        <v>26</v>
      </c>
      <c r="V3295" t="str">
        <f t="shared" si="103"/>
        <v>Loyal</v>
      </c>
      <c r="W3295" t="s">
        <v>30</v>
      </c>
    </row>
    <row r="3296" spans="1:23" x14ac:dyDescent="0.25">
      <c r="A3296">
        <v>3295</v>
      </c>
      <c r="B3296">
        <v>62</v>
      </c>
      <c r="C3296" t="str" cm="1">
        <f t="array" ref="C3296">_xlfn.IFS(
  AND(B3296&gt;=18, B3296&lt;=24), "18-24",
  AND(B3296&gt;=25, B3296&lt;=34), "25-34",
  AND(B3296&gt;=35, B3296&lt;=44), "35-44",
  AND(B3296&gt;=45, B3296&lt;=54), "45-54",
  B3296&gt;=55, "55+"
)</f>
        <v>55+</v>
      </c>
      <c r="D3296" t="s">
        <v>153</v>
      </c>
      <c r="E3296" t="s">
        <v>31</v>
      </c>
      <c r="F3296" t="s">
        <v>21</v>
      </c>
      <c r="G3296">
        <v>60</v>
      </c>
      <c r="H3296" t="s">
        <v>126</v>
      </c>
      <c r="I3296" t="s">
        <v>38</v>
      </c>
      <c r="J3296" t="s">
        <v>147</v>
      </c>
      <c r="K3296" t="s">
        <v>39</v>
      </c>
      <c r="L3296">
        <v>4.5</v>
      </c>
      <c r="M3296" t="s">
        <v>152</v>
      </c>
      <c r="N3296" t="s">
        <v>46</v>
      </c>
      <c r="O3296" t="s">
        <v>76</v>
      </c>
      <c r="P3296" t="s">
        <v>152</v>
      </c>
      <c r="Q3296" t="s">
        <v>152</v>
      </c>
      <c r="R3296">
        <v>15</v>
      </c>
      <c r="S3296" t="s">
        <v>34</v>
      </c>
      <c r="T3296" t="str">
        <f t="shared" si="102"/>
        <v>2-week</v>
      </c>
      <c r="U3296">
        <f>VLOOKUP(T3296,[1]tablescore!$B$3:$C$8, 2,FALSE)</f>
        <v>26</v>
      </c>
      <c r="V3296" t="str">
        <f t="shared" si="103"/>
        <v>Loyal</v>
      </c>
      <c r="W3296" t="s">
        <v>77</v>
      </c>
    </row>
    <row r="3297" spans="1:23" x14ac:dyDescent="0.25">
      <c r="A3297">
        <v>3296</v>
      </c>
      <c r="B3297">
        <v>70</v>
      </c>
      <c r="C3297" t="str" cm="1">
        <f t="array" ref="C3297">_xlfn.IFS(
  AND(B3297&gt;=18, B3297&lt;=24), "18-24",
  AND(B3297&gt;=25, B3297&lt;=34), "25-34",
  AND(B3297&gt;=35, B3297&lt;=44), "35-44",
  AND(B3297&gt;=45, B3297&lt;=54), "45-54",
  B3297&gt;=55, "55+"
)</f>
        <v>55+</v>
      </c>
      <c r="D3297" t="s">
        <v>153</v>
      </c>
      <c r="E3297" t="s">
        <v>20</v>
      </c>
      <c r="F3297" t="s">
        <v>21</v>
      </c>
      <c r="G3297">
        <v>34</v>
      </c>
      <c r="H3297" t="s">
        <v>66</v>
      </c>
      <c r="I3297" t="s">
        <v>38</v>
      </c>
      <c r="J3297" t="s">
        <v>93</v>
      </c>
      <c r="K3297" t="s">
        <v>54</v>
      </c>
      <c r="L3297">
        <v>2.8</v>
      </c>
      <c r="M3297" t="s">
        <v>152</v>
      </c>
      <c r="N3297" t="s">
        <v>46</v>
      </c>
      <c r="O3297" t="s">
        <v>47</v>
      </c>
      <c r="P3297" t="s">
        <v>152</v>
      </c>
      <c r="Q3297" t="s">
        <v>152</v>
      </c>
      <c r="R3297">
        <v>15</v>
      </c>
      <c r="S3297" t="s">
        <v>35</v>
      </c>
      <c r="T3297" t="str">
        <f t="shared" si="102"/>
        <v>Daily</v>
      </c>
      <c r="U3297">
        <f>VLOOKUP(T3297,[1]tablescore!$B$3:$C$8, 2,FALSE)</f>
        <v>30</v>
      </c>
      <c r="V3297" t="str">
        <f t="shared" si="103"/>
        <v>Highly Loyal</v>
      </c>
      <c r="W3297" t="s">
        <v>41</v>
      </c>
    </row>
    <row r="3298" spans="1:23" x14ac:dyDescent="0.25">
      <c r="A3298">
        <v>3297</v>
      </c>
      <c r="B3298">
        <v>20</v>
      </c>
      <c r="C3298" t="str" cm="1">
        <f t="array" ref="C3298">_xlfn.IFS(
  AND(B3298&gt;=18, B3298&lt;=24), "18-24",
  AND(B3298&gt;=25, B3298&lt;=34), "25-34",
  AND(B3298&gt;=35, B3298&lt;=44), "35-44",
  AND(B3298&gt;=45, B3298&lt;=54), "45-54",
  B3298&gt;=55, "55+"
)</f>
        <v>18-24</v>
      </c>
      <c r="D3298" t="s">
        <v>153</v>
      </c>
      <c r="E3298" t="s">
        <v>20</v>
      </c>
      <c r="F3298" t="s">
        <v>21</v>
      </c>
      <c r="G3298">
        <v>23</v>
      </c>
      <c r="H3298" t="s">
        <v>120</v>
      </c>
      <c r="I3298" t="s">
        <v>45</v>
      </c>
      <c r="J3298" t="s">
        <v>96</v>
      </c>
      <c r="K3298" t="s">
        <v>39</v>
      </c>
      <c r="L3298">
        <v>4.2</v>
      </c>
      <c r="M3298" t="s">
        <v>152</v>
      </c>
      <c r="N3298" t="s">
        <v>46</v>
      </c>
      <c r="O3298" t="s">
        <v>47</v>
      </c>
      <c r="P3298" t="s">
        <v>152</v>
      </c>
      <c r="Q3298" t="s">
        <v>152</v>
      </c>
      <c r="R3298">
        <v>47</v>
      </c>
      <c r="S3298" t="s">
        <v>29</v>
      </c>
      <c r="T3298" t="str">
        <f t="shared" si="102"/>
        <v>Quarterly</v>
      </c>
      <c r="U3298">
        <f>VLOOKUP(T3298,[1]tablescore!$B$3:$C$8, 2,FALSE)</f>
        <v>4</v>
      </c>
      <c r="V3298" t="str">
        <f t="shared" si="103"/>
        <v>Low Loyalty</v>
      </c>
      <c r="W3298" t="s">
        <v>60</v>
      </c>
    </row>
    <row r="3299" spans="1:23" x14ac:dyDescent="0.25">
      <c r="A3299">
        <v>3298</v>
      </c>
      <c r="B3299">
        <v>67</v>
      </c>
      <c r="C3299" t="str" cm="1">
        <f t="array" ref="C3299">_xlfn.IFS(
  AND(B3299&gt;=18, B3299&lt;=24), "18-24",
  AND(B3299&gt;=25, B3299&lt;=34), "25-34",
  AND(B3299&gt;=35, B3299&lt;=44), "35-44",
  AND(B3299&gt;=45, B3299&lt;=54), "45-54",
  B3299&gt;=55, "55+"
)</f>
        <v>55+</v>
      </c>
      <c r="D3299" t="s">
        <v>153</v>
      </c>
      <c r="E3299" t="s">
        <v>136</v>
      </c>
      <c r="F3299" t="s">
        <v>69</v>
      </c>
      <c r="G3299">
        <v>82</v>
      </c>
      <c r="H3299" t="s">
        <v>66</v>
      </c>
      <c r="I3299" t="s">
        <v>45</v>
      </c>
      <c r="J3299" t="s">
        <v>84</v>
      </c>
      <c r="K3299" t="s">
        <v>58</v>
      </c>
      <c r="L3299">
        <v>4.0999999999999996</v>
      </c>
      <c r="M3299" t="s">
        <v>152</v>
      </c>
      <c r="N3299" t="s">
        <v>27</v>
      </c>
      <c r="O3299" t="s">
        <v>40</v>
      </c>
      <c r="P3299" t="s">
        <v>152</v>
      </c>
      <c r="Q3299" t="s">
        <v>152</v>
      </c>
      <c r="R3299">
        <v>47</v>
      </c>
      <c r="S3299" t="s">
        <v>46</v>
      </c>
      <c r="T3299" t="str">
        <f t="shared" si="102"/>
        <v>Month</v>
      </c>
      <c r="U3299">
        <f>VLOOKUP(T3299,[1]tablescore!$B$3:$C$8, 2,FALSE)</f>
        <v>12</v>
      </c>
      <c r="V3299" t="str">
        <f t="shared" si="103"/>
        <v>Moderate</v>
      </c>
      <c r="W3299" t="s">
        <v>88</v>
      </c>
    </row>
    <row r="3300" spans="1:23" x14ac:dyDescent="0.25">
      <c r="A3300">
        <v>3299</v>
      </c>
      <c r="B3300">
        <v>65</v>
      </c>
      <c r="C3300" t="str" cm="1">
        <f t="array" ref="C3300">_xlfn.IFS(
  AND(B3300&gt;=18, B3300&lt;=24), "18-24",
  AND(B3300&gt;=25, B3300&lt;=34), "25-34",
  AND(B3300&gt;=35, B3300&lt;=44), "35-44",
  AND(B3300&gt;=45, B3300&lt;=54), "45-54",
  B3300&gt;=55, "55+"
)</f>
        <v>55+</v>
      </c>
      <c r="D3300" t="s">
        <v>153</v>
      </c>
      <c r="E3300" t="s">
        <v>102</v>
      </c>
      <c r="F3300" t="s">
        <v>65</v>
      </c>
      <c r="G3300">
        <v>73</v>
      </c>
      <c r="H3300" t="s">
        <v>123</v>
      </c>
      <c r="I3300" t="s">
        <v>45</v>
      </c>
      <c r="J3300" t="s">
        <v>110</v>
      </c>
      <c r="K3300" t="s">
        <v>58</v>
      </c>
      <c r="L3300">
        <v>3.5</v>
      </c>
      <c r="M3300" t="s">
        <v>152</v>
      </c>
      <c r="N3300" t="s">
        <v>46</v>
      </c>
      <c r="O3300" t="s">
        <v>28</v>
      </c>
      <c r="P3300" t="s">
        <v>152</v>
      </c>
      <c r="Q3300" t="s">
        <v>152</v>
      </c>
      <c r="R3300">
        <v>6</v>
      </c>
      <c r="S3300" t="s">
        <v>34</v>
      </c>
      <c r="T3300" t="str">
        <f t="shared" si="102"/>
        <v>Quarterly</v>
      </c>
      <c r="U3300">
        <f>VLOOKUP(T3300,[1]tablescore!$B$3:$C$8, 2,FALSE)</f>
        <v>4</v>
      </c>
      <c r="V3300" t="str">
        <f t="shared" si="103"/>
        <v>Low Loyalty</v>
      </c>
      <c r="W3300" t="s">
        <v>97</v>
      </c>
    </row>
    <row r="3301" spans="1:23" x14ac:dyDescent="0.25">
      <c r="A3301">
        <v>3300</v>
      </c>
      <c r="B3301">
        <v>45</v>
      </c>
      <c r="C3301" t="str" cm="1">
        <f t="array" ref="C3301">_xlfn.IFS(
  AND(B3301&gt;=18, B3301&lt;=24), "18-24",
  AND(B3301&gt;=25, B3301&lt;=34), "25-34",
  AND(B3301&gt;=35, B3301&lt;=44), "35-44",
  AND(B3301&gt;=45, B3301&lt;=54), "45-54",
  B3301&gt;=55, "55+"
)</f>
        <v>45-54</v>
      </c>
      <c r="D3301" t="s">
        <v>153</v>
      </c>
      <c r="E3301" t="s">
        <v>61</v>
      </c>
      <c r="F3301" t="s">
        <v>21</v>
      </c>
      <c r="G3301">
        <v>32</v>
      </c>
      <c r="H3301" t="s">
        <v>130</v>
      </c>
      <c r="I3301" t="s">
        <v>23</v>
      </c>
      <c r="J3301" t="s">
        <v>86</v>
      </c>
      <c r="K3301" t="s">
        <v>39</v>
      </c>
      <c r="L3301">
        <v>4</v>
      </c>
      <c r="M3301" t="s">
        <v>152</v>
      </c>
      <c r="N3301" t="s">
        <v>34</v>
      </c>
      <c r="O3301" t="s">
        <v>72</v>
      </c>
      <c r="P3301" t="s">
        <v>152</v>
      </c>
      <c r="Q3301" t="s">
        <v>152</v>
      </c>
      <c r="R3301">
        <v>18</v>
      </c>
      <c r="S3301" t="s">
        <v>29</v>
      </c>
      <c r="T3301" t="str">
        <f t="shared" si="102"/>
        <v>Month</v>
      </c>
      <c r="U3301">
        <f>VLOOKUP(T3301,[1]tablescore!$B$3:$C$8, 2,FALSE)</f>
        <v>12</v>
      </c>
      <c r="V3301" t="str">
        <f t="shared" si="103"/>
        <v>Moderate</v>
      </c>
      <c r="W3301" t="s">
        <v>88</v>
      </c>
    </row>
    <row r="3302" spans="1:23" x14ac:dyDescent="0.25">
      <c r="A3302">
        <v>3301</v>
      </c>
      <c r="B3302">
        <v>26</v>
      </c>
      <c r="C3302" t="str" cm="1">
        <f t="array" ref="C3302">_xlfn.IFS(
  AND(B3302&gt;=18, B3302&lt;=24), "18-24",
  AND(B3302&gt;=25, B3302&lt;=34), "25-34",
  AND(B3302&gt;=35, B3302&lt;=44), "35-44",
  AND(B3302&gt;=45, B3302&lt;=54), "45-54",
  B3302&gt;=55, "55+"
)</f>
        <v>25-34</v>
      </c>
      <c r="D3302" t="s">
        <v>153</v>
      </c>
      <c r="E3302" t="s">
        <v>125</v>
      </c>
      <c r="F3302" t="s">
        <v>69</v>
      </c>
      <c r="G3302">
        <v>80</v>
      </c>
      <c r="H3302" t="s">
        <v>101</v>
      </c>
      <c r="I3302" t="s">
        <v>45</v>
      </c>
      <c r="J3302" t="s">
        <v>63</v>
      </c>
      <c r="K3302" t="s">
        <v>39</v>
      </c>
      <c r="L3302">
        <v>4</v>
      </c>
      <c r="M3302" t="s">
        <v>152</v>
      </c>
      <c r="N3302" t="s">
        <v>59</v>
      </c>
      <c r="O3302" t="s">
        <v>28</v>
      </c>
      <c r="P3302" t="s">
        <v>152</v>
      </c>
      <c r="Q3302" t="s">
        <v>152</v>
      </c>
      <c r="R3302">
        <v>40</v>
      </c>
      <c r="S3302" t="s">
        <v>34</v>
      </c>
      <c r="T3302" t="str">
        <f t="shared" si="102"/>
        <v>2-week</v>
      </c>
      <c r="U3302">
        <f>VLOOKUP(T3302,[1]tablescore!$B$3:$C$8, 2,FALSE)</f>
        <v>26</v>
      </c>
      <c r="V3302" t="str">
        <f t="shared" si="103"/>
        <v>Loyal</v>
      </c>
      <c r="W3302" t="s">
        <v>77</v>
      </c>
    </row>
    <row r="3303" spans="1:23" x14ac:dyDescent="0.25">
      <c r="A3303">
        <v>3302</v>
      </c>
      <c r="B3303">
        <v>36</v>
      </c>
      <c r="C3303" t="str" cm="1">
        <f t="array" ref="C3303">_xlfn.IFS(
  AND(B3303&gt;=18, B3303&lt;=24), "18-24",
  AND(B3303&gt;=25, B3303&lt;=34), "25-34",
  AND(B3303&gt;=35, B3303&lt;=44), "35-44",
  AND(B3303&gt;=45, B3303&lt;=54), "45-54",
  B3303&gt;=55, "55+"
)</f>
        <v>35-44</v>
      </c>
      <c r="D3303" t="s">
        <v>153</v>
      </c>
      <c r="E3303" t="s">
        <v>95</v>
      </c>
      <c r="F3303" t="s">
        <v>21</v>
      </c>
      <c r="G3303">
        <v>58</v>
      </c>
      <c r="H3303" t="s">
        <v>101</v>
      </c>
      <c r="I3303" t="s">
        <v>92</v>
      </c>
      <c r="J3303" t="s">
        <v>63</v>
      </c>
      <c r="K3303" t="s">
        <v>54</v>
      </c>
      <c r="L3303">
        <v>2.5</v>
      </c>
      <c r="M3303" t="s">
        <v>152</v>
      </c>
      <c r="N3303" t="s">
        <v>46</v>
      </c>
      <c r="O3303" t="s">
        <v>40</v>
      </c>
      <c r="P3303" t="s">
        <v>152</v>
      </c>
      <c r="Q3303" t="s">
        <v>152</v>
      </c>
      <c r="R3303">
        <v>31</v>
      </c>
      <c r="S3303" t="s">
        <v>27</v>
      </c>
      <c r="T3303" t="str">
        <f t="shared" si="102"/>
        <v>2-week</v>
      </c>
      <c r="U3303">
        <f>VLOOKUP(T3303,[1]tablescore!$B$3:$C$8, 2,FALSE)</f>
        <v>26</v>
      </c>
      <c r="V3303" t="str">
        <f t="shared" si="103"/>
        <v>Loyal</v>
      </c>
      <c r="W3303" t="s">
        <v>30</v>
      </c>
    </row>
    <row r="3304" spans="1:23" x14ac:dyDescent="0.25">
      <c r="A3304">
        <v>3303</v>
      </c>
      <c r="B3304">
        <v>36</v>
      </c>
      <c r="C3304" t="str" cm="1">
        <f t="array" ref="C3304">_xlfn.IFS(
  AND(B3304&gt;=18, B3304&lt;=24), "18-24",
  AND(B3304&gt;=25, B3304&lt;=34), "25-34",
  AND(B3304&gt;=35, B3304&lt;=44), "35-44",
  AND(B3304&gt;=45, B3304&lt;=54), "45-54",
  B3304&gt;=55, "55+"
)</f>
        <v>35-44</v>
      </c>
      <c r="D3304" t="s">
        <v>153</v>
      </c>
      <c r="E3304" t="s">
        <v>20</v>
      </c>
      <c r="F3304" t="s">
        <v>21</v>
      </c>
      <c r="G3304">
        <v>82</v>
      </c>
      <c r="H3304" t="s">
        <v>90</v>
      </c>
      <c r="I3304" t="s">
        <v>92</v>
      </c>
      <c r="J3304" t="s">
        <v>118</v>
      </c>
      <c r="K3304" t="s">
        <v>25</v>
      </c>
      <c r="L3304">
        <v>4.2</v>
      </c>
      <c r="M3304" t="s">
        <v>152</v>
      </c>
      <c r="N3304" t="s">
        <v>29</v>
      </c>
      <c r="O3304" t="s">
        <v>55</v>
      </c>
      <c r="P3304" t="s">
        <v>152</v>
      </c>
      <c r="Q3304" t="s">
        <v>152</v>
      </c>
      <c r="R3304">
        <v>31</v>
      </c>
      <c r="S3304" t="s">
        <v>29</v>
      </c>
      <c r="T3304" t="str">
        <f t="shared" si="102"/>
        <v>2-week</v>
      </c>
      <c r="U3304">
        <f>VLOOKUP(T3304,[1]tablescore!$B$3:$C$8, 2,FALSE)</f>
        <v>26</v>
      </c>
      <c r="V3304" t="str">
        <f t="shared" si="103"/>
        <v>Loyal</v>
      </c>
      <c r="W3304" t="s">
        <v>77</v>
      </c>
    </row>
    <row r="3305" spans="1:23" x14ac:dyDescent="0.25">
      <c r="A3305">
        <v>3304</v>
      </c>
      <c r="B3305">
        <v>20</v>
      </c>
      <c r="C3305" t="str" cm="1">
        <f t="array" ref="C3305">_xlfn.IFS(
  AND(B3305&gt;=18, B3305&lt;=24), "18-24",
  AND(B3305&gt;=25, B3305&lt;=34), "25-34",
  AND(B3305&gt;=35, B3305&lt;=44), "35-44",
  AND(B3305&gt;=45, B3305&lt;=54), "45-54",
  B3305&gt;=55, "55+"
)</f>
        <v>18-24</v>
      </c>
      <c r="D3305" t="s">
        <v>153</v>
      </c>
      <c r="E3305" t="s">
        <v>136</v>
      </c>
      <c r="F3305" t="s">
        <v>69</v>
      </c>
      <c r="G3305">
        <v>60</v>
      </c>
      <c r="H3305" t="s">
        <v>91</v>
      </c>
      <c r="I3305" t="s">
        <v>38</v>
      </c>
      <c r="J3305" t="s">
        <v>49</v>
      </c>
      <c r="K3305" t="s">
        <v>54</v>
      </c>
      <c r="L3305">
        <v>3.4</v>
      </c>
      <c r="M3305" t="s">
        <v>152</v>
      </c>
      <c r="N3305" t="s">
        <v>46</v>
      </c>
      <c r="O3305" t="s">
        <v>47</v>
      </c>
      <c r="P3305" t="s">
        <v>152</v>
      </c>
      <c r="Q3305" t="s">
        <v>152</v>
      </c>
      <c r="R3305">
        <v>4</v>
      </c>
      <c r="S3305" t="s">
        <v>27</v>
      </c>
      <c r="T3305" t="str">
        <f t="shared" si="102"/>
        <v>2-week</v>
      </c>
      <c r="U3305">
        <f>VLOOKUP(T3305,[1]tablescore!$B$3:$C$8, 2,FALSE)</f>
        <v>26</v>
      </c>
      <c r="V3305" t="str">
        <f t="shared" si="103"/>
        <v>Loyal</v>
      </c>
      <c r="W3305" t="s">
        <v>30</v>
      </c>
    </row>
    <row r="3306" spans="1:23" x14ac:dyDescent="0.25">
      <c r="A3306">
        <v>3305</v>
      </c>
      <c r="B3306">
        <v>30</v>
      </c>
      <c r="C3306" t="str" cm="1">
        <f t="array" ref="C3306">_xlfn.IFS(
  AND(B3306&gt;=18, B3306&lt;=24), "18-24",
  AND(B3306&gt;=25, B3306&lt;=34), "25-34",
  AND(B3306&gt;=35, B3306&lt;=44), "35-44",
  AND(B3306&gt;=45, B3306&lt;=54), "45-54",
  B3306&gt;=55, "55+"
)</f>
        <v>25-34</v>
      </c>
      <c r="D3306" t="s">
        <v>153</v>
      </c>
      <c r="E3306" t="s">
        <v>68</v>
      </c>
      <c r="F3306" t="s">
        <v>69</v>
      </c>
      <c r="G3306">
        <v>79</v>
      </c>
      <c r="H3306" t="s">
        <v>91</v>
      </c>
      <c r="I3306" t="s">
        <v>92</v>
      </c>
      <c r="J3306" t="s">
        <v>121</v>
      </c>
      <c r="K3306" t="s">
        <v>58</v>
      </c>
      <c r="L3306">
        <v>4.8</v>
      </c>
      <c r="M3306" t="s">
        <v>152</v>
      </c>
      <c r="N3306" t="s">
        <v>59</v>
      </c>
      <c r="O3306" t="s">
        <v>47</v>
      </c>
      <c r="P3306" t="s">
        <v>152</v>
      </c>
      <c r="Q3306" t="s">
        <v>152</v>
      </c>
      <c r="R3306">
        <v>36</v>
      </c>
      <c r="S3306" t="s">
        <v>34</v>
      </c>
      <c r="T3306" t="str">
        <f t="shared" si="102"/>
        <v>Quarterly</v>
      </c>
      <c r="U3306">
        <f>VLOOKUP(T3306,[1]tablescore!$B$3:$C$8, 2,FALSE)</f>
        <v>4</v>
      </c>
      <c r="V3306" t="str">
        <f t="shared" si="103"/>
        <v>Low Loyalty</v>
      </c>
      <c r="W3306" t="s">
        <v>97</v>
      </c>
    </row>
    <row r="3307" spans="1:23" x14ac:dyDescent="0.25">
      <c r="A3307">
        <v>3306</v>
      </c>
      <c r="B3307">
        <v>34</v>
      </c>
      <c r="C3307" t="str" cm="1">
        <f t="array" ref="C3307">_xlfn.IFS(
  AND(B3307&gt;=18, B3307&lt;=24), "18-24",
  AND(B3307&gt;=25, B3307&lt;=34), "25-34",
  AND(B3307&gt;=35, B3307&lt;=44), "35-44",
  AND(B3307&gt;=45, B3307&lt;=54), "45-54",
  B3307&gt;=55, "55+"
)</f>
        <v>25-34</v>
      </c>
      <c r="D3307" t="s">
        <v>153</v>
      </c>
      <c r="E3307" t="s">
        <v>104</v>
      </c>
      <c r="F3307" t="s">
        <v>21</v>
      </c>
      <c r="G3307">
        <v>41</v>
      </c>
      <c r="H3307" t="s">
        <v>143</v>
      </c>
      <c r="I3307" t="s">
        <v>23</v>
      </c>
      <c r="J3307" t="s">
        <v>109</v>
      </c>
      <c r="K3307" t="s">
        <v>54</v>
      </c>
      <c r="L3307">
        <v>4.9000000000000004</v>
      </c>
      <c r="M3307" t="s">
        <v>152</v>
      </c>
      <c r="N3307" t="s">
        <v>34</v>
      </c>
      <c r="O3307" t="s">
        <v>55</v>
      </c>
      <c r="P3307" t="s">
        <v>152</v>
      </c>
      <c r="Q3307" t="s">
        <v>152</v>
      </c>
      <c r="R3307">
        <v>31</v>
      </c>
      <c r="S3307" t="s">
        <v>46</v>
      </c>
      <c r="T3307" t="str">
        <f t="shared" si="102"/>
        <v>2-week</v>
      </c>
      <c r="U3307">
        <f>VLOOKUP(T3307,[1]tablescore!$B$3:$C$8, 2,FALSE)</f>
        <v>26</v>
      </c>
      <c r="V3307" t="str">
        <f t="shared" si="103"/>
        <v>Loyal</v>
      </c>
      <c r="W3307" t="s">
        <v>77</v>
      </c>
    </row>
    <row r="3308" spans="1:23" x14ac:dyDescent="0.25">
      <c r="A3308">
        <v>3307</v>
      </c>
      <c r="B3308">
        <v>63</v>
      </c>
      <c r="C3308" t="str" cm="1">
        <f t="array" ref="C3308">_xlfn.IFS(
  AND(B3308&gt;=18, B3308&lt;=24), "18-24",
  AND(B3308&gt;=25, B3308&lt;=34), "25-34",
  AND(B3308&gt;=35, B3308&lt;=44), "35-44",
  AND(B3308&gt;=45, B3308&lt;=54), "45-54",
  B3308&gt;=55, "55+"
)</f>
        <v>55+</v>
      </c>
      <c r="D3308" t="s">
        <v>153</v>
      </c>
      <c r="E3308" t="s">
        <v>102</v>
      </c>
      <c r="F3308" t="s">
        <v>65</v>
      </c>
      <c r="G3308">
        <v>39</v>
      </c>
      <c r="H3308" t="s">
        <v>112</v>
      </c>
      <c r="I3308" t="s">
        <v>23</v>
      </c>
      <c r="J3308" t="s">
        <v>121</v>
      </c>
      <c r="K3308" t="s">
        <v>54</v>
      </c>
      <c r="L3308">
        <v>3.6</v>
      </c>
      <c r="M3308" t="s">
        <v>152</v>
      </c>
      <c r="N3308" t="s">
        <v>35</v>
      </c>
      <c r="O3308" t="s">
        <v>76</v>
      </c>
      <c r="P3308" t="s">
        <v>152</v>
      </c>
      <c r="Q3308" t="s">
        <v>152</v>
      </c>
      <c r="R3308">
        <v>6</v>
      </c>
      <c r="S3308" t="s">
        <v>29</v>
      </c>
      <c r="T3308" t="str">
        <f t="shared" si="102"/>
        <v>2-week</v>
      </c>
      <c r="U3308">
        <f>VLOOKUP(T3308,[1]tablescore!$B$3:$C$8, 2,FALSE)</f>
        <v>26</v>
      </c>
      <c r="V3308" t="str">
        <f t="shared" si="103"/>
        <v>Loyal</v>
      </c>
      <c r="W3308" t="s">
        <v>30</v>
      </c>
    </row>
    <row r="3309" spans="1:23" x14ac:dyDescent="0.25">
      <c r="A3309">
        <v>3308</v>
      </c>
      <c r="B3309">
        <v>18</v>
      </c>
      <c r="C3309" t="str" cm="1">
        <f t="array" ref="C3309">_xlfn.IFS(
  AND(B3309&gt;=18, B3309&lt;=24), "18-24",
  AND(B3309&gt;=25, B3309&lt;=34), "25-34",
  AND(B3309&gt;=35, B3309&lt;=44), "35-44",
  AND(B3309&gt;=45, B3309&lt;=54), "45-54",
  B3309&gt;=55, "55+"
)</f>
        <v>18-24</v>
      </c>
      <c r="D3309" t="s">
        <v>153</v>
      </c>
      <c r="E3309" t="s">
        <v>119</v>
      </c>
      <c r="F3309" t="s">
        <v>69</v>
      </c>
      <c r="G3309">
        <v>36</v>
      </c>
      <c r="H3309" t="s">
        <v>141</v>
      </c>
      <c r="I3309" t="s">
        <v>38</v>
      </c>
      <c r="J3309" t="s">
        <v>96</v>
      </c>
      <c r="K3309" t="s">
        <v>25</v>
      </c>
      <c r="L3309">
        <v>4</v>
      </c>
      <c r="M3309" t="s">
        <v>152</v>
      </c>
      <c r="N3309" t="s">
        <v>27</v>
      </c>
      <c r="O3309" t="s">
        <v>76</v>
      </c>
      <c r="P3309" t="s">
        <v>152</v>
      </c>
      <c r="Q3309" t="s">
        <v>152</v>
      </c>
      <c r="R3309">
        <v>1</v>
      </c>
      <c r="S3309" t="s">
        <v>35</v>
      </c>
      <c r="T3309" t="str">
        <f t="shared" si="102"/>
        <v>Month</v>
      </c>
      <c r="U3309">
        <f>VLOOKUP(T3309,[1]tablescore!$B$3:$C$8, 2,FALSE)</f>
        <v>12</v>
      </c>
      <c r="V3309" t="str">
        <f t="shared" si="103"/>
        <v>Moderate</v>
      </c>
      <c r="W3309" t="s">
        <v>88</v>
      </c>
    </row>
    <row r="3310" spans="1:23" x14ac:dyDescent="0.25">
      <c r="A3310">
        <v>3309</v>
      </c>
      <c r="B3310">
        <v>55</v>
      </c>
      <c r="C3310" t="str" cm="1">
        <f t="array" ref="C3310">_xlfn.IFS(
  AND(B3310&gt;=18, B3310&lt;=24), "18-24",
  AND(B3310&gt;=25, B3310&lt;=34), "25-34",
  AND(B3310&gt;=35, B3310&lt;=44), "35-44",
  AND(B3310&gt;=45, B3310&lt;=54), "45-54",
  B3310&gt;=55, "55+"
)</f>
        <v>55+</v>
      </c>
      <c r="D3310" t="s">
        <v>153</v>
      </c>
      <c r="E3310" t="s">
        <v>36</v>
      </c>
      <c r="F3310" t="s">
        <v>21</v>
      </c>
      <c r="G3310">
        <v>70</v>
      </c>
      <c r="H3310" t="s">
        <v>149</v>
      </c>
      <c r="I3310" t="s">
        <v>45</v>
      </c>
      <c r="J3310" t="s">
        <v>71</v>
      </c>
      <c r="K3310" t="s">
        <v>58</v>
      </c>
      <c r="L3310">
        <v>2.6</v>
      </c>
      <c r="M3310" t="s">
        <v>152</v>
      </c>
      <c r="N3310" t="s">
        <v>29</v>
      </c>
      <c r="O3310" t="s">
        <v>28</v>
      </c>
      <c r="P3310" t="s">
        <v>152</v>
      </c>
      <c r="Q3310" t="s">
        <v>152</v>
      </c>
      <c r="R3310">
        <v>29</v>
      </c>
      <c r="S3310" t="s">
        <v>35</v>
      </c>
      <c r="T3310" t="str">
        <f t="shared" si="102"/>
        <v>Month</v>
      </c>
      <c r="U3310">
        <f>VLOOKUP(T3310,[1]tablescore!$B$3:$C$8, 2,FALSE)</f>
        <v>12</v>
      </c>
      <c r="V3310" t="str">
        <f t="shared" si="103"/>
        <v>Moderate</v>
      </c>
      <c r="W3310" t="s">
        <v>88</v>
      </c>
    </row>
    <row r="3311" spans="1:23" x14ac:dyDescent="0.25">
      <c r="A3311">
        <v>3310</v>
      </c>
      <c r="B3311">
        <v>48</v>
      </c>
      <c r="C3311" t="str" cm="1">
        <f t="array" ref="C3311">_xlfn.IFS(
  AND(B3311&gt;=18, B3311&lt;=24), "18-24",
  AND(B3311&gt;=25, B3311&lt;=34), "25-34",
  AND(B3311&gt;=35, B3311&lt;=44), "35-44",
  AND(B3311&gt;=45, B3311&lt;=54), "45-54",
  B3311&gt;=55, "55+"
)</f>
        <v>45-54</v>
      </c>
      <c r="D3311" t="s">
        <v>153</v>
      </c>
      <c r="E3311" t="s">
        <v>68</v>
      </c>
      <c r="F3311" t="s">
        <v>69</v>
      </c>
      <c r="G3311">
        <v>47</v>
      </c>
      <c r="H3311" t="s">
        <v>37</v>
      </c>
      <c r="I3311" t="s">
        <v>45</v>
      </c>
      <c r="J3311" t="s">
        <v>138</v>
      </c>
      <c r="K3311" t="s">
        <v>54</v>
      </c>
      <c r="L3311">
        <v>3.1</v>
      </c>
      <c r="M3311" t="s">
        <v>152</v>
      </c>
      <c r="N3311" t="s">
        <v>27</v>
      </c>
      <c r="O3311" t="s">
        <v>76</v>
      </c>
      <c r="P3311" t="s">
        <v>152</v>
      </c>
      <c r="Q3311" t="s">
        <v>152</v>
      </c>
      <c r="R3311">
        <v>19</v>
      </c>
      <c r="S3311" t="s">
        <v>46</v>
      </c>
      <c r="T3311" t="str">
        <f t="shared" si="102"/>
        <v>Month</v>
      </c>
      <c r="U3311">
        <f>VLOOKUP(T3311,[1]tablescore!$B$3:$C$8, 2,FALSE)</f>
        <v>12</v>
      </c>
      <c r="V3311" t="str">
        <f t="shared" si="103"/>
        <v>Moderate</v>
      </c>
      <c r="W3311" t="s">
        <v>88</v>
      </c>
    </row>
    <row r="3312" spans="1:23" x14ac:dyDescent="0.25">
      <c r="A3312">
        <v>3311</v>
      </c>
      <c r="B3312">
        <v>45</v>
      </c>
      <c r="C3312" t="str" cm="1">
        <f t="array" ref="C3312">_xlfn.IFS(
  AND(B3312&gt;=18, B3312&lt;=24), "18-24",
  AND(B3312&gt;=25, B3312&lt;=34), "25-34",
  AND(B3312&gt;=35, B3312&lt;=44), "35-44",
  AND(B3312&gt;=45, B3312&lt;=54), "45-54",
  B3312&gt;=55, "55+"
)</f>
        <v>45-54</v>
      </c>
      <c r="D3312" t="s">
        <v>153</v>
      </c>
      <c r="E3312" t="s">
        <v>102</v>
      </c>
      <c r="F3312" t="s">
        <v>65</v>
      </c>
      <c r="G3312">
        <v>27</v>
      </c>
      <c r="H3312" t="s">
        <v>150</v>
      </c>
      <c r="I3312" t="s">
        <v>45</v>
      </c>
      <c r="J3312" t="s">
        <v>71</v>
      </c>
      <c r="K3312" t="s">
        <v>25</v>
      </c>
      <c r="L3312">
        <v>3.6</v>
      </c>
      <c r="M3312" t="s">
        <v>152</v>
      </c>
      <c r="N3312" t="s">
        <v>59</v>
      </c>
      <c r="O3312" t="s">
        <v>40</v>
      </c>
      <c r="P3312" t="s">
        <v>152</v>
      </c>
      <c r="Q3312" t="s">
        <v>152</v>
      </c>
      <c r="R3312">
        <v>12</v>
      </c>
      <c r="S3312" t="s">
        <v>46</v>
      </c>
      <c r="T3312" t="str">
        <f t="shared" si="102"/>
        <v>2-week</v>
      </c>
      <c r="U3312">
        <f>VLOOKUP(T3312,[1]tablescore!$B$3:$C$8, 2,FALSE)</f>
        <v>26</v>
      </c>
      <c r="V3312" t="str">
        <f t="shared" si="103"/>
        <v>Loyal</v>
      </c>
      <c r="W3312" t="s">
        <v>30</v>
      </c>
    </row>
    <row r="3313" spans="1:23" x14ac:dyDescent="0.25">
      <c r="A3313">
        <v>3312</v>
      </c>
      <c r="B3313">
        <v>29</v>
      </c>
      <c r="C3313" t="str" cm="1">
        <f t="array" ref="C3313">_xlfn.IFS(
  AND(B3313&gt;=18, B3313&lt;=24), "18-24",
  AND(B3313&gt;=25, B3313&lt;=34), "25-34",
  AND(B3313&gt;=35, B3313&lt;=44), "35-44",
  AND(B3313&gt;=45, B3313&lt;=54), "45-54",
  B3313&gt;=55, "55+"
)</f>
        <v>25-34</v>
      </c>
      <c r="D3313" t="s">
        <v>153</v>
      </c>
      <c r="E3313" t="s">
        <v>125</v>
      </c>
      <c r="F3313" t="s">
        <v>69</v>
      </c>
      <c r="G3313">
        <v>52</v>
      </c>
      <c r="H3313" t="s">
        <v>103</v>
      </c>
      <c r="I3313" t="s">
        <v>23</v>
      </c>
      <c r="J3313" t="s">
        <v>138</v>
      </c>
      <c r="K3313" t="s">
        <v>54</v>
      </c>
      <c r="L3313">
        <v>4</v>
      </c>
      <c r="M3313" t="s">
        <v>152</v>
      </c>
      <c r="N3313" t="s">
        <v>46</v>
      </c>
      <c r="O3313" t="s">
        <v>28</v>
      </c>
      <c r="P3313" t="s">
        <v>152</v>
      </c>
      <c r="Q3313" t="s">
        <v>152</v>
      </c>
      <c r="R3313">
        <v>18</v>
      </c>
      <c r="S3313" t="s">
        <v>34</v>
      </c>
      <c r="T3313" t="str">
        <f t="shared" si="102"/>
        <v>Annually</v>
      </c>
      <c r="U3313">
        <f>VLOOKUP(T3313,[1]tablescore!$B$3:$C$8, 2,FALSE)</f>
        <v>1</v>
      </c>
      <c r="V3313" t="str">
        <f t="shared" si="103"/>
        <v>Low Loyalty</v>
      </c>
      <c r="W3313" t="s">
        <v>50</v>
      </c>
    </row>
    <row r="3314" spans="1:23" x14ac:dyDescent="0.25">
      <c r="A3314">
        <v>3313</v>
      </c>
      <c r="B3314">
        <v>55</v>
      </c>
      <c r="C3314" t="str" cm="1">
        <f t="array" ref="C3314">_xlfn.IFS(
  AND(B3314&gt;=18, B3314&lt;=24), "18-24",
  AND(B3314&gt;=25, B3314&lt;=34), "25-34",
  AND(B3314&gt;=35, B3314&lt;=44), "35-44",
  AND(B3314&gt;=45, B3314&lt;=54), "45-54",
  B3314&gt;=55, "55+"
)</f>
        <v>55+</v>
      </c>
      <c r="D3314" t="s">
        <v>153</v>
      </c>
      <c r="E3314" t="s">
        <v>51</v>
      </c>
      <c r="F3314" t="s">
        <v>43</v>
      </c>
      <c r="G3314">
        <v>75</v>
      </c>
      <c r="H3314" t="s">
        <v>62</v>
      </c>
      <c r="I3314" t="s">
        <v>23</v>
      </c>
      <c r="J3314" t="s">
        <v>94</v>
      </c>
      <c r="K3314" t="s">
        <v>54</v>
      </c>
      <c r="L3314">
        <v>3.9</v>
      </c>
      <c r="M3314" t="s">
        <v>152</v>
      </c>
      <c r="N3314" t="s">
        <v>29</v>
      </c>
      <c r="O3314" t="s">
        <v>47</v>
      </c>
      <c r="P3314" t="s">
        <v>152</v>
      </c>
      <c r="Q3314" t="s">
        <v>152</v>
      </c>
      <c r="R3314">
        <v>45</v>
      </c>
      <c r="S3314" t="s">
        <v>35</v>
      </c>
      <c r="T3314" t="str">
        <f t="shared" si="102"/>
        <v>Quarterly</v>
      </c>
      <c r="U3314">
        <f>VLOOKUP(T3314,[1]tablescore!$B$3:$C$8, 2,FALSE)</f>
        <v>4</v>
      </c>
      <c r="V3314" t="str">
        <f t="shared" si="103"/>
        <v>Low Loyalty</v>
      </c>
      <c r="W3314" t="s">
        <v>60</v>
      </c>
    </row>
    <row r="3315" spans="1:23" x14ac:dyDescent="0.25">
      <c r="A3315">
        <v>3314</v>
      </c>
      <c r="B3315">
        <v>55</v>
      </c>
      <c r="C3315" t="str" cm="1">
        <f t="array" ref="C3315">_xlfn.IFS(
  AND(B3315&gt;=18, B3315&lt;=24), "18-24",
  AND(B3315&gt;=25, B3315&lt;=34), "25-34",
  AND(B3315&gt;=35, B3315&lt;=44), "35-44",
  AND(B3315&gt;=45, B3315&lt;=54), "45-54",
  B3315&gt;=55, "55+"
)</f>
        <v>55+</v>
      </c>
      <c r="D3315" t="s">
        <v>153</v>
      </c>
      <c r="E3315" t="s">
        <v>125</v>
      </c>
      <c r="F3315" t="s">
        <v>69</v>
      </c>
      <c r="G3315">
        <v>30</v>
      </c>
      <c r="H3315" t="s">
        <v>111</v>
      </c>
      <c r="I3315" t="s">
        <v>92</v>
      </c>
      <c r="J3315" t="s">
        <v>94</v>
      </c>
      <c r="K3315" t="s">
        <v>58</v>
      </c>
      <c r="L3315">
        <v>3.9</v>
      </c>
      <c r="M3315" t="s">
        <v>152</v>
      </c>
      <c r="N3315" t="s">
        <v>35</v>
      </c>
      <c r="O3315" t="s">
        <v>28</v>
      </c>
      <c r="P3315" t="s">
        <v>152</v>
      </c>
      <c r="Q3315" t="s">
        <v>152</v>
      </c>
      <c r="R3315">
        <v>45</v>
      </c>
      <c r="S3315" t="s">
        <v>27</v>
      </c>
      <c r="T3315" t="str">
        <f t="shared" si="102"/>
        <v>Month</v>
      </c>
      <c r="U3315">
        <f>VLOOKUP(T3315,[1]tablescore!$B$3:$C$8, 2,FALSE)</f>
        <v>12</v>
      </c>
      <c r="V3315" t="str">
        <f t="shared" si="103"/>
        <v>Moderate</v>
      </c>
      <c r="W3315" t="s">
        <v>88</v>
      </c>
    </row>
    <row r="3316" spans="1:23" x14ac:dyDescent="0.25">
      <c r="A3316">
        <v>3315</v>
      </c>
      <c r="B3316">
        <v>55</v>
      </c>
      <c r="C3316" t="str" cm="1">
        <f t="array" ref="C3316">_xlfn.IFS(
  AND(B3316&gt;=18, B3316&lt;=24), "18-24",
  AND(B3316&gt;=25, B3316&lt;=34), "25-34",
  AND(B3316&gt;=35, B3316&lt;=44), "35-44",
  AND(B3316&gt;=45, B3316&lt;=54), "45-54",
  B3316&gt;=55, "55+"
)</f>
        <v>55+</v>
      </c>
      <c r="D3316" t="s">
        <v>153</v>
      </c>
      <c r="E3316" t="s">
        <v>131</v>
      </c>
      <c r="F3316" t="s">
        <v>21</v>
      </c>
      <c r="G3316">
        <v>94</v>
      </c>
      <c r="H3316" t="s">
        <v>111</v>
      </c>
      <c r="I3316" t="s">
        <v>45</v>
      </c>
      <c r="J3316" t="s">
        <v>84</v>
      </c>
      <c r="K3316" t="s">
        <v>39</v>
      </c>
      <c r="L3316">
        <v>3.3</v>
      </c>
      <c r="M3316" t="s">
        <v>152</v>
      </c>
      <c r="N3316" t="s">
        <v>46</v>
      </c>
      <c r="O3316" t="s">
        <v>55</v>
      </c>
      <c r="P3316" t="s">
        <v>152</v>
      </c>
      <c r="Q3316" t="s">
        <v>152</v>
      </c>
      <c r="R3316">
        <v>8</v>
      </c>
      <c r="S3316" t="s">
        <v>27</v>
      </c>
      <c r="T3316" t="str">
        <f t="shared" si="102"/>
        <v>Quarterly</v>
      </c>
      <c r="U3316">
        <f>VLOOKUP(T3316,[1]tablescore!$B$3:$C$8, 2,FALSE)</f>
        <v>4</v>
      </c>
      <c r="V3316" t="str">
        <f t="shared" si="103"/>
        <v>Low Loyalty</v>
      </c>
      <c r="W3316" t="s">
        <v>60</v>
      </c>
    </row>
    <row r="3317" spans="1:23" x14ac:dyDescent="0.25">
      <c r="A3317">
        <v>3316</v>
      </c>
      <c r="B3317">
        <v>48</v>
      </c>
      <c r="C3317" t="str" cm="1">
        <f t="array" ref="C3317">_xlfn.IFS(
  AND(B3317&gt;=18, B3317&lt;=24), "18-24",
  AND(B3317&gt;=25, B3317&lt;=34), "25-34",
  AND(B3317&gt;=35, B3317&lt;=44), "35-44",
  AND(B3317&gt;=45, B3317&lt;=54), "45-54",
  B3317&gt;=55, "55+"
)</f>
        <v>45-54</v>
      </c>
      <c r="D3317" t="s">
        <v>153</v>
      </c>
      <c r="E3317" t="s">
        <v>119</v>
      </c>
      <c r="F3317" t="s">
        <v>69</v>
      </c>
      <c r="G3317">
        <v>68</v>
      </c>
      <c r="H3317" t="s">
        <v>22</v>
      </c>
      <c r="I3317" t="s">
        <v>38</v>
      </c>
      <c r="J3317" t="s">
        <v>81</v>
      </c>
      <c r="K3317" t="s">
        <v>54</v>
      </c>
      <c r="L3317">
        <v>2.9</v>
      </c>
      <c r="M3317" t="s">
        <v>152</v>
      </c>
      <c r="N3317" t="s">
        <v>27</v>
      </c>
      <c r="O3317" t="s">
        <v>55</v>
      </c>
      <c r="P3317" t="s">
        <v>152</v>
      </c>
      <c r="Q3317" t="s">
        <v>152</v>
      </c>
      <c r="R3317">
        <v>4</v>
      </c>
      <c r="S3317" t="s">
        <v>46</v>
      </c>
      <c r="T3317" t="str">
        <f t="shared" si="102"/>
        <v>Quarterly</v>
      </c>
      <c r="U3317">
        <f>VLOOKUP(T3317,[1]tablescore!$B$3:$C$8, 2,FALSE)</f>
        <v>4</v>
      </c>
      <c r="V3317" t="str">
        <f t="shared" si="103"/>
        <v>Low Loyalty</v>
      </c>
      <c r="W3317" t="s">
        <v>97</v>
      </c>
    </row>
    <row r="3318" spans="1:23" x14ac:dyDescent="0.25">
      <c r="A3318">
        <v>3317</v>
      </c>
      <c r="B3318">
        <v>42</v>
      </c>
      <c r="C3318" t="str" cm="1">
        <f t="array" ref="C3318">_xlfn.IFS(
  AND(B3318&gt;=18, B3318&lt;=24), "18-24",
  AND(B3318&gt;=25, B3318&lt;=34), "25-34",
  AND(B3318&gt;=35, B3318&lt;=44), "35-44",
  AND(B3318&gt;=45, B3318&lt;=54), "45-54",
  B3318&gt;=55, "55+"
)</f>
        <v>35-44</v>
      </c>
      <c r="D3318" t="s">
        <v>153</v>
      </c>
      <c r="E3318" t="s">
        <v>131</v>
      </c>
      <c r="F3318" t="s">
        <v>21</v>
      </c>
      <c r="G3318">
        <v>45</v>
      </c>
      <c r="H3318" t="s">
        <v>123</v>
      </c>
      <c r="I3318" t="s">
        <v>45</v>
      </c>
      <c r="J3318" t="s">
        <v>79</v>
      </c>
      <c r="K3318" t="s">
        <v>54</v>
      </c>
      <c r="L3318">
        <v>3.1</v>
      </c>
      <c r="M3318" t="s">
        <v>152</v>
      </c>
      <c r="N3318" t="s">
        <v>35</v>
      </c>
      <c r="O3318" t="s">
        <v>40</v>
      </c>
      <c r="P3318" t="s">
        <v>152</v>
      </c>
      <c r="Q3318" t="s">
        <v>152</v>
      </c>
      <c r="R3318">
        <v>5</v>
      </c>
      <c r="S3318" t="s">
        <v>59</v>
      </c>
      <c r="T3318" t="str">
        <f t="shared" si="102"/>
        <v>2-week</v>
      </c>
      <c r="U3318">
        <f>VLOOKUP(T3318,[1]tablescore!$B$3:$C$8, 2,FALSE)</f>
        <v>26</v>
      </c>
      <c r="V3318" t="str">
        <f t="shared" si="103"/>
        <v>Loyal</v>
      </c>
      <c r="W3318" t="s">
        <v>30</v>
      </c>
    </row>
    <row r="3319" spans="1:23" x14ac:dyDescent="0.25">
      <c r="A3319">
        <v>3318</v>
      </c>
      <c r="B3319">
        <v>21</v>
      </c>
      <c r="C3319" t="str" cm="1">
        <f t="array" ref="C3319">_xlfn.IFS(
  AND(B3319&gt;=18, B3319&lt;=24), "18-24",
  AND(B3319&gt;=25, B3319&lt;=34), "25-34",
  AND(B3319&gt;=35, B3319&lt;=44), "35-44",
  AND(B3319&gt;=45, B3319&lt;=54), "45-54",
  B3319&gt;=55, "55+"
)</f>
        <v>18-24</v>
      </c>
      <c r="D3319" t="s">
        <v>153</v>
      </c>
      <c r="E3319" t="s">
        <v>125</v>
      </c>
      <c r="F3319" t="s">
        <v>69</v>
      </c>
      <c r="G3319">
        <v>67</v>
      </c>
      <c r="H3319" t="s">
        <v>98</v>
      </c>
      <c r="I3319" t="s">
        <v>92</v>
      </c>
      <c r="J3319" t="s">
        <v>71</v>
      </c>
      <c r="K3319" t="s">
        <v>54</v>
      </c>
      <c r="L3319">
        <v>4.7</v>
      </c>
      <c r="M3319" t="s">
        <v>152</v>
      </c>
      <c r="N3319" t="s">
        <v>59</v>
      </c>
      <c r="O3319" t="s">
        <v>55</v>
      </c>
      <c r="P3319" t="s">
        <v>152</v>
      </c>
      <c r="Q3319" t="s">
        <v>152</v>
      </c>
      <c r="R3319">
        <v>30</v>
      </c>
      <c r="S3319" t="s">
        <v>35</v>
      </c>
      <c r="T3319" t="str">
        <f t="shared" si="102"/>
        <v>Quarterly</v>
      </c>
      <c r="U3319">
        <f>VLOOKUP(T3319,[1]tablescore!$B$3:$C$8, 2,FALSE)</f>
        <v>4</v>
      </c>
      <c r="V3319" t="str">
        <f t="shared" si="103"/>
        <v>Low Loyalty</v>
      </c>
      <c r="W3319" t="s">
        <v>60</v>
      </c>
    </row>
    <row r="3320" spans="1:23" x14ac:dyDescent="0.25">
      <c r="A3320">
        <v>3319</v>
      </c>
      <c r="B3320">
        <v>45</v>
      </c>
      <c r="C3320" t="str" cm="1">
        <f t="array" ref="C3320">_xlfn.IFS(
  AND(B3320&gt;=18, B3320&lt;=24), "18-24",
  AND(B3320&gt;=25, B3320&lt;=34), "25-34",
  AND(B3320&gt;=35, B3320&lt;=44), "35-44",
  AND(B3320&gt;=45, B3320&lt;=54), "45-54",
  B3320&gt;=55, "55+"
)</f>
        <v>45-54</v>
      </c>
      <c r="D3320" t="s">
        <v>153</v>
      </c>
      <c r="E3320" t="s">
        <v>102</v>
      </c>
      <c r="F3320" t="s">
        <v>65</v>
      </c>
      <c r="G3320">
        <v>46</v>
      </c>
      <c r="H3320" t="s">
        <v>114</v>
      </c>
      <c r="I3320" t="s">
        <v>45</v>
      </c>
      <c r="J3320" t="s">
        <v>79</v>
      </c>
      <c r="K3320" t="s">
        <v>54</v>
      </c>
      <c r="L3320">
        <v>3.9</v>
      </c>
      <c r="M3320" t="s">
        <v>152</v>
      </c>
      <c r="N3320" t="s">
        <v>29</v>
      </c>
      <c r="O3320" t="s">
        <v>40</v>
      </c>
      <c r="P3320" t="s">
        <v>152</v>
      </c>
      <c r="Q3320" t="s">
        <v>152</v>
      </c>
      <c r="R3320">
        <v>15</v>
      </c>
      <c r="S3320" t="s">
        <v>46</v>
      </c>
      <c r="T3320" t="str">
        <f t="shared" si="102"/>
        <v>Month</v>
      </c>
      <c r="U3320">
        <f>VLOOKUP(T3320,[1]tablescore!$B$3:$C$8, 2,FALSE)</f>
        <v>12</v>
      </c>
      <c r="V3320" t="str">
        <f t="shared" si="103"/>
        <v>Moderate</v>
      </c>
      <c r="W3320" t="s">
        <v>88</v>
      </c>
    </row>
    <row r="3321" spans="1:23" x14ac:dyDescent="0.25">
      <c r="A3321">
        <v>3320</v>
      </c>
      <c r="B3321">
        <v>23</v>
      </c>
      <c r="C3321" t="str" cm="1">
        <f t="array" ref="C3321">_xlfn.IFS(
  AND(B3321&gt;=18, B3321&lt;=24), "18-24",
  AND(B3321&gt;=25, B3321&lt;=34), "25-34",
  AND(B3321&gt;=35, B3321&lt;=44), "35-44",
  AND(B3321&gt;=45, B3321&lt;=54), "45-54",
  B3321&gt;=55, "55+"
)</f>
        <v>18-24</v>
      </c>
      <c r="D3321" t="s">
        <v>153</v>
      </c>
      <c r="E3321" t="s">
        <v>61</v>
      </c>
      <c r="F3321" t="s">
        <v>21</v>
      </c>
      <c r="G3321">
        <v>31</v>
      </c>
      <c r="H3321" t="s">
        <v>114</v>
      </c>
      <c r="I3321" t="s">
        <v>45</v>
      </c>
      <c r="J3321" t="s">
        <v>129</v>
      </c>
      <c r="K3321" t="s">
        <v>54</v>
      </c>
      <c r="L3321">
        <v>4.3</v>
      </c>
      <c r="M3321" t="s">
        <v>152</v>
      </c>
      <c r="N3321" t="s">
        <v>35</v>
      </c>
      <c r="O3321" t="s">
        <v>47</v>
      </c>
      <c r="P3321" t="s">
        <v>152</v>
      </c>
      <c r="Q3321" t="s">
        <v>152</v>
      </c>
      <c r="R3321">
        <v>17</v>
      </c>
      <c r="S3321" t="s">
        <v>27</v>
      </c>
      <c r="T3321" t="str">
        <f t="shared" si="102"/>
        <v>Quarterly</v>
      </c>
      <c r="U3321">
        <f>VLOOKUP(T3321,[1]tablescore!$B$3:$C$8, 2,FALSE)</f>
        <v>4</v>
      </c>
      <c r="V3321" t="str">
        <f t="shared" si="103"/>
        <v>Low Loyalty</v>
      </c>
      <c r="W3321" t="s">
        <v>97</v>
      </c>
    </row>
    <row r="3322" spans="1:23" x14ac:dyDescent="0.25">
      <c r="A3322">
        <v>3321</v>
      </c>
      <c r="B3322">
        <v>66</v>
      </c>
      <c r="C3322" t="str" cm="1">
        <f t="array" ref="C3322">_xlfn.IFS(
  AND(B3322&gt;=18, B3322&lt;=24), "18-24",
  AND(B3322&gt;=25, B3322&lt;=34), "25-34",
  AND(B3322&gt;=35, B3322&lt;=44), "35-44",
  AND(B3322&gt;=45, B3322&lt;=54), "45-54",
  B3322&gt;=55, "55+"
)</f>
        <v>55+</v>
      </c>
      <c r="D3322" t="s">
        <v>153</v>
      </c>
      <c r="E3322" t="s">
        <v>20</v>
      </c>
      <c r="F3322" t="s">
        <v>21</v>
      </c>
      <c r="G3322">
        <v>44</v>
      </c>
      <c r="H3322" t="s">
        <v>115</v>
      </c>
      <c r="I3322" t="s">
        <v>92</v>
      </c>
      <c r="J3322" t="s">
        <v>67</v>
      </c>
      <c r="K3322" t="s">
        <v>58</v>
      </c>
      <c r="L3322">
        <v>4.2</v>
      </c>
      <c r="M3322" t="s">
        <v>152</v>
      </c>
      <c r="N3322" t="s">
        <v>35</v>
      </c>
      <c r="O3322" t="s">
        <v>72</v>
      </c>
      <c r="P3322" t="s">
        <v>152</v>
      </c>
      <c r="Q3322" t="s">
        <v>152</v>
      </c>
      <c r="R3322">
        <v>45</v>
      </c>
      <c r="S3322" t="s">
        <v>35</v>
      </c>
      <c r="T3322" t="str">
        <f t="shared" si="102"/>
        <v>Quarterly</v>
      </c>
      <c r="U3322">
        <f>VLOOKUP(T3322,[1]tablescore!$B$3:$C$8, 2,FALSE)</f>
        <v>4</v>
      </c>
      <c r="V3322" t="str">
        <f t="shared" si="103"/>
        <v>Low Loyalty</v>
      </c>
      <c r="W3322" t="s">
        <v>97</v>
      </c>
    </row>
    <row r="3323" spans="1:23" x14ac:dyDescent="0.25">
      <c r="A3323">
        <v>3322</v>
      </c>
      <c r="B3323">
        <v>32</v>
      </c>
      <c r="C3323" t="str" cm="1">
        <f t="array" ref="C3323">_xlfn.IFS(
  AND(B3323&gt;=18, B3323&lt;=24), "18-24",
  AND(B3323&gt;=25, B3323&lt;=34), "25-34",
  AND(B3323&gt;=35, B3323&lt;=44), "35-44",
  AND(B3323&gt;=45, B3323&lt;=54), "45-54",
  B3323&gt;=55, "55+"
)</f>
        <v>25-34</v>
      </c>
      <c r="D3323" t="s">
        <v>153</v>
      </c>
      <c r="E3323" t="s">
        <v>64</v>
      </c>
      <c r="F3323" t="s">
        <v>65</v>
      </c>
      <c r="G3323">
        <v>100</v>
      </c>
      <c r="H3323" t="s">
        <v>32</v>
      </c>
      <c r="I3323" t="s">
        <v>38</v>
      </c>
      <c r="J3323" t="s">
        <v>63</v>
      </c>
      <c r="K3323" t="s">
        <v>25</v>
      </c>
      <c r="L3323">
        <v>4.3</v>
      </c>
      <c r="M3323" t="s">
        <v>152</v>
      </c>
      <c r="N3323" t="s">
        <v>34</v>
      </c>
      <c r="O3323" t="s">
        <v>47</v>
      </c>
      <c r="P3323" t="s">
        <v>152</v>
      </c>
      <c r="Q3323" t="s">
        <v>152</v>
      </c>
      <c r="R3323">
        <v>3</v>
      </c>
      <c r="S3323" t="s">
        <v>29</v>
      </c>
      <c r="T3323" t="str">
        <f t="shared" si="102"/>
        <v>Annually</v>
      </c>
      <c r="U3323">
        <f>VLOOKUP(T3323,[1]tablescore!$B$3:$C$8, 2,FALSE)</f>
        <v>1</v>
      </c>
      <c r="V3323" t="str">
        <f t="shared" si="103"/>
        <v>Low Loyalty</v>
      </c>
      <c r="W3323" t="s">
        <v>50</v>
      </c>
    </row>
    <row r="3324" spans="1:23" x14ac:dyDescent="0.25">
      <c r="A3324">
        <v>3323</v>
      </c>
      <c r="B3324">
        <v>52</v>
      </c>
      <c r="C3324" t="str" cm="1">
        <f t="array" ref="C3324">_xlfn.IFS(
  AND(B3324&gt;=18, B3324&lt;=24), "18-24",
  AND(B3324&gt;=25, B3324&lt;=34), "25-34",
  AND(B3324&gt;=35, B3324&lt;=44), "35-44",
  AND(B3324&gt;=45, B3324&lt;=54), "45-54",
  B3324&gt;=55, "55+"
)</f>
        <v>45-54</v>
      </c>
      <c r="D3324" t="s">
        <v>153</v>
      </c>
      <c r="E3324" t="s">
        <v>31</v>
      </c>
      <c r="F3324" t="s">
        <v>21</v>
      </c>
      <c r="G3324">
        <v>92</v>
      </c>
      <c r="H3324" t="s">
        <v>116</v>
      </c>
      <c r="I3324" t="s">
        <v>92</v>
      </c>
      <c r="J3324" t="s">
        <v>121</v>
      </c>
      <c r="K3324" t="s">
        <v>25</v>
      </c>
      <c r="L3324">
        <v>4.5999999999999996</v>
      </c>
      <c r="M3324" t="s">
        <v>152</v>
      </c>
      <c r="N3324" t="s">
        <v>27</v>
      </c>
      <c r="O3324" t="s">
        <v>47</v>
      </c>
      <c r="P3324" t="s">
        <v>152</v>
      </c>
      <c r="Q3324" t="s">
        <v>152</v>
      </c>
      <c r="R3324">
        <v>43</v>
      </c>
      <c r="S3324" t="s">
        <v>46</v>
      </c>
      <c r="T3324" t="str">
        <f t="shared" si="102"/>
        <v>Daily</v>
      </c>
      <c r="U3324">
        <f>VLOOKUP(T3324,[1]tablescore!$B$3:$C$8, 2,FALSE)</f>
        <v>30</v>
      </c>
      <c r="V3324" t="str">
        <f t="shared" si="103"/>
        <v>Highly Loyal</v>
      </c>
      <c r="W3324" t="s">
        <v>41</v>
      </c>
    </row>
    <row r="3325" spans="1:23" x14ac:dyDescent="0.25">
      <c r="A3325">
        <v>3324</v>
      </c>
      <c r="B3325">
        <v>54</v>
      </c>
      <c r="C3325" t="str" cm="1">
        <f t="array" ref="C3325">_xlfn.IFS(
  AND(B3325&gt;=18, B3325&lt;=24), "18-24",
  AND(B3325&gt;=25, B3325&lt;=34), "25-34",
  AND(B3325&gt;=35, B3325&lt;=44), "35-44",
  AND(B3325&gt;=45, B3325&lt;=54), "45-54",
  B3325&gt;=55, "55+"
)</f>
        <v>45-54</v>
      </c>
      <c r="D3325" t="s">
        <v>153</v>
      </c>
      <c r="E3325" t="s">
        <v>68</v>
      </c>
      <c r="F3325" t="s">
        <v>69</v>
      </c>
      <c r="G3325">
        <v>78</v>
      </c>
      <c r="H3325" t="s">
        <v>114</v>
      </c>
      <c r="I3325" t="s">
        <v>45</v>
      </c>
      <c r="J3325" t="s">
        <v>139</v>
      </c>
      <c r="K3325" t="s">
        <v>25</v>
      </c>
      <c r="L3325">
        <v>3.8</v>
      </c>
      <c r="M3325" t="s">
        <v>152</v>
      </c>
      <c r="N3325" t="s">
        <v>29</v>
      </c>
      <c r="O3325" t="s">
        <v>40</v>
      </c>
      <c r="P3325" t="s">
        <v>152</v>
      </c>
      <c r="Q3325" t="s">
        <v>152</v>
      </c>
      <c r="R3325">
        <v>4</v>
      </c>
      <c r="S3325" t="s">
        <v>27</v>
      </c>
      <c r="T3325" t="str">
        <f t="shared" si="102"/>
        <v>Month</v>
      </c>
      <c r="U3325">
        <f>VLOOKUP(T3325,[1]tablescore!$B$3:$C$8, 2,FALSE)</f>
        <v>12</v>
      </c>
      <c r="V3325" t="str">
        <f t="shared" si="103"/>
        <v>Moderate</v>
      </c>
      <c r="W3325" t="s">
        <v>88</v>
      </c>
    </row>
    <row r="3326" spans="1:23" x14ac:dyDescent="0.25">
      <c r="A3326">
        <v>3325</v>
      </c>
      <c r="B3326">
        <v>37</v>
      </c>
      <c r="C3326" t="str" cm="1">
        <f t="array" ref="C3326">_xlfn.IFS(
  AND(B3326&gt;=18, B3326&lt;=24), "18-24",
  AND(B3326&gt;=25, B3326&lt;=34), "25-34",
  AND(B3326&gt;=35, B3326&lt;=44), "35-44",
  AND(B3326&gt;=45, B3326&lt;=54), "45-54",
  B3326&gt;=55, "55+"
)</f>
        <v>35-44</v>
      </c>
      <c r="D3326" t="s">
        <v>153</v>
      </c>
      <c r="E3326" t="s">
        <v>113</v>
      </c>
      <c r="F3326" t="s">
        <v>21</v>
      </c>
      <c r="G3326">
        <v>32</v>
      </c>
      <c r="H3326" t="s">
        <v>70</v>
      </c>
      <c r="I3326" t="s">
        <v>38</v>
      </c>
      <c r="J3326" t="s">
        <v>108</v>
      </c>
      <c r="K3326" t="s">
        <v>58</v>
      </c>
      <c r="L3326">
        <v>3.3</v>
      </c>
      <c r="M3326" t="s">
        <v>152</v>
      </c>
      <c r="N3326" t="s">
        <v>29</v>
      </c>
      <c r="O3326" t="s">
        <v>55</v>
      </c>
      <c r="P3326" t="s">
        <v>152</v>
      </c>
      <c r="Q3326" t="s">
        <v>152</v>
      </c>
      <c r="R3326">
        <v>41</v>
      </c>
      <c r="S3326" t="s">
        <v>29</v>
      </c>
      <c r="T3326" t="str">
        <f t="shared" si="102"/>
        <v>Daily</v>
      </c>
      <c r="U3326">
        <f>VLOOKUP(T3326,[1]tablescore!$B$3:$C$8, 2,FALSE)</f>
        <v>30</v>
      </c>
      <c r="V3326" t="str">
        <f t="shared" si="103"/>
        <v>Highly Loyal</v>
      </c>
      <c r="W3326" t="s">
        <v>41</v>
      </c>
    </row>
    <row r="3327" spans="1:23" x14ac:dyDescent="0.25">
      <c r="A3327">
        <v>3326</v>
      </c>
      <c r="B3327">
        <v>29</v>
      </c>
      <c r="C3327" t="str" cm="1">
        <f t="array" ref="C3327">_xlfn.IFS(
  AND(B3327&gt;=18, B3327&lt;=24), "18-24",
  AND(B3327&gt;=25, B3327&lt;=34), "25-34",
  AND(B3327&gt;=35, B3327&lt;=44), "35-44",
  AND(B3327&gt;=45, B3327&lt;=54), "45-54",
  B3327&gt;=55, "55+"
)</f>
        <v>25-34</v>
      </c>
      <c r="D3327" t="s">
        <v>153</v>
      </c>
      <c r="E3327" t="s">
        <v>42</v>
      </c>
      <c r="F3327" t="s">
        <v>43</v>
      </c>
      <c r="G3327">
        <v>97</v>
      </c>
      <c r="H3327" t="s">
        <v>120</v>
      </c>
      <c r="I3327" t="s">
        <v>45</v>
      </c>
      <c r="J3327" t="s">
        <v>33</v>
      </c>
      <c r="K3327" t="s">
        <v>58</v>
      </c>
      <c r="L3327">
        <v>3.7</v>
      </c>
      <c r="M3327" t="s">
        <v>152</v>
      </c>
      <c r="N3327" t="s">
        <v>59</v>
      </c>
      <c r="O3327" t="s">
        <v>72</v>
      </c>
      <c r="P3327" t="s">
        <v>152</v>
      </c>
      <c r="Q3327" t="s">
        <v>152</v>
      </c>
      <c r="R3327">
        <v>16</v>
      </c>
      <c r="S3327" t="s">
        <v>29</v>
      </c>
      <c r="T3327" t="str">
        <f t="shared" si="102"/>
        <v>Month</v>
      </c>
      <c r="U3327">
        <f>VLOOKUP(T3327,[1]tablescore!$B$3:$C$8, 2,FALSE)</f>
        <v>12</v>
      </c>
      <c r="V3327" t="str">
        <f t="shared" si="103"/>
        <v>Moderate</v>
      </c>
      <c r="W3327" t="s">
        <v>88</v>
      </c>
    </row>
    <row r="3328" spans="1:23" x14ac:dyDescent="0.25">
      <c r="A3328">
        <v>3327</v>
      </c>
      <c r="B3328">
        <v>47</v>
      </c>
      <c r="C3328" t="str" cm="1">
        <f t="array" ref="C3328">_xlfn.IFS(
  AND(B3328&gt;=18, B3328&lt;=24), "18-24",
  AND(B3328&gt;=25, B3328&lt;=34), "25-34",
  AND(B3328&gt;=35, B3328&lt;=44), "35-44",
  AND(B3328&gt;=45, B3328&lt;=54), "45-54",
  B3328&gt;=55, "55+"
)</f>
        <v>45-54</v>
      </c>
      <c r="D3328" t="s">
        <v>153</v>
      </c>
      <c r="E3328" t="s">
        <v>127</v>
      </c>
      <c r="F3328" t="s">
        <v>69</v>
      </c>
      <c r="G3328">
        <v>95</v>
      </c>
      <c r="H3328" t="s">
        <v>114</v>
      </c>
      <c r="I3328" t="s">
        <v>45</v>
      </c>
      <c r="J3328" t="s">
        <v>147</v>
      </c>
      <c r="K3328" t="s">
        <v>54</v>
      </c>
      <c r="L3328">
        <v>4.3</v>
      </c>
      <c r="M3328" t="s">
        <v>152</v>
      </c>
      <c r="N3328" t="s">
        <v>35</v>
      </c>
      <c r="O3328" t="s">
        <v>55</v>
      </c>
      <c r="P3328" t="s">
        <v>152</v>
      </c>
      <c r="Q3328" t="s">
        <v>152</v>
      </c>
      <c r="R3328">
        <v>10</v>
      </c>
      <c r="S3328" t="s">
        <v>59</v>
      </c>
      <c r="T3328" t="str">
        <f t="shared" si="102"/>
        <v>Annually</v>
      </c>
      <c r="U3328">
        <f>VLOOKUP(T3328,[1]tablescore!$B$3:$C$8, 2,FALSE)</f>
        <v>1</v>
      </c>
      <c r="V3328" t="str">
        <f t="shared" si="103"/>
        <v>Low Loyalty</v>
      </c>
      <c r="W3328" t="s">
        <v>50</v>
      </c>
    </row>
    <row r="3329" spans="1:23" x14ac:dyDescent="0.25">
      <c r="A3329">
        <v>3328</v>
      </c>
      <c r="B3329">
        <v>47</v>
      </c>
      <c r="C3329" t="str" cm="1">
        <f t="array" ref="C3329">_xlfn.IFS(
  AND(B3329&gt;=18, B3329&lt;=24), "18-24",
  AND(B3329&gt;=25, B3329&lt;=34), "25-34",
  AND(B3329&gt;=35, B3329&lt;=44), "35-44",
  AND(B3329&gt;=45, B3329&lt;=54), "45-54",
  B3329&gt;=55, "55+"
)</f>
        <v>45-54</v>
      </c>
      <c r="D3329" t="s">
        <v>153</v>
      </c>
      <c r="E3329" t="s">
        <v>61</v>
      </c>
      <c r="F3329" t="s">
        <v>21</v>
      </c>
      <c r="G3329">
        <v>64</v>
      </c>
      <c r="H3329" t="s">
        <v>146</v>
      </c>
      <c r="I3329" t="s">
        <v>45</v>
      </c>
      <c r="J3329" t="s">
        <v>94</v>
      </c>
      <c r="K3329" t="s">
        <v>39</v>
      </c>
      <c r="L3329">
        <v>4.0999999999999996</v>
      </c>
      <c r="M3329" t="s">
        <v>152</v>
      </c>
      <c r="N3329" t="s">
        <v>34</v>
      </c>
      <c r="O3329" t="s">
        <v>28</v>
      </c>
      <c r="P3329" t="s">
        <v>152</v>
      </c>
      <c r="Q3329" t="s">
        <v>152</v>
      </c>
      <c r="R3329">
        <v>2</v>
      </c>
      <c r="S3329" t="s">
        <v>59</v>
      </c>
      <c r="T3329" t="str">
        <f t="shared" si="102"/>
        <v>Quarterly</v>
      </c>
      <c r="U3329">
        <f>VLOOKUP(T3329,[1]tablescore!$B$3:$C$8, 2,FALSE)</f>
        <v>4</v>
      </c>
      <c r="V3329" t="str">
        <f t="shared" si="103"/>
        <v>Low Loyalty</v>
      </c>
      <c r="W3329" t="s">
        <v>60</v>
      </c>
    </row>
    <row r="3330" spans="1:23" x14ac:dyDescent="0.25">
      <c r="A3330">
        <v>3329</v>
      </c>
      <c r="B3330">
        <v>42</v>
      </c>
      <c r="C3330" t="str" cm="1">
        <f t="array" ref="C3330">_xlfn.IFS(
  AND(B3330&gt;=18, B3330&lt;=24), "18-24",
  AND(B3330&gt;=25, B3330&lt;=34), "25-34",
  AND(B3330&gt;=35, B3330&lt;=44), "35-44",
  AND(B3330&gt;=45, B3330&lt;=54), "45-54",
  B3330&gt;=55, "55+"
)</f>
        <v>35-44</v>
      </c>
      <c r="D3330" t="s">
        <v>153</v>
      </c>
      <c r="E3330" t="s">
        <v>42</v>
      </c>
      <c r="F3330" t="s">
        <v>43</v>
      </c>
      <c r="G3330">
        <v>35</v>
      </c>
      <c r="H3330" t="s">
        <v>148</v>
      </c>
      <c r="I3330" t="s">
        <v>45</v>
      </c>
      <c r="J3330" t="s">
        <v>84</v>
      </c>
      <c r="K3330" t="s">
        <v>39</v>
      </c>
      <c r="L3330">
        <v>3.2</v>
      </c>
      <c r="M3330" t="s">
        <v>152</v>
      </c>
      <c r="N3330" t="s">
        <v>29</v>
      </c>
      <c r="O3330" t="s">
        <v>40</v>
      </c>
      <c r="P3330" t="s">
        <v>152</v>
      </c>
      <c r="Q3330" t="s">
        <v>152</v>
      </c>
      <c r="R3330">
        <v>11</v>
      </c>
      <c r="S3330" t="s">
        <v>35</v>
      </c>
      <c r="T3330" t="str">
        <f t="shared" si="102"/>
        <v>2-week</v>
      </c>
      <c r="U3330">
        <f>VLOOKUP(T3330,[1]tablescore!$B$3:$C$8, 2,FALSE)</f>
        <v>26</v>
      </c>
      <c r="V3330" t="str">
        <f t="shared" si="103"/>
        <v>Loyal</v>
      </c>
      <c r="W3330" t="s">
        <v>77</v>
      </c>
    </row>
    <row r="3331" spans="1:23" x14ac:dyDescent="0.25">
      <c r="A3331">
        <v>3330</v>
      </c>
      <c r="B3331">
        <v>34</v>
      </c>
      <c r="C3331" t="str" cm="1">
        <f t="array" ref="C3331">_xlfn.IFS(
  AND(B3331&gt;=18, B3331&lt;=24), "18-24",
  AND(B3331&gt;=25, B3331&lt;=34), "25-34",
  AND(B3331&gt;=35, B3331&lt;=44), "35-44",
  AND(B3331&gt;=45, B3331&lt;=54), "45-54",
  B3331&gt;=55, "55+"
)</f>
        <v>25-34</v>
      </c>
      <c r="D3331" t="s">
        <v>153</v>
      </c>
      <c r="E3331" t="s">
        <v>133</v>
      </c>
      <c r="F3331" t="s">
        <v>69</v>
      </c>
      <c r="G3331">
        <v>54</v>
      </c>
      <c r="H3331" t="s">
        <v>137</v>
      </c>
      <c r="I3331" t="s">
        <v>45</v>
      </c>
      <c r="J3331" t="s">
        <v>24</v>
      </c>
      <c r="K3331" t="s">
        <v>25</v>
      </c>
      <c r="L3331">
        <v>3.8</v>
      </c>
      <c r="M3331" t="s">
        <v>152</v>
      </c>
      <c r="N3331" t="s">
        <v>59</v>
      </c>
      <c r="O3331" t="s">
        <v>28</v>
      </c>
      <c r="P3331" t="s">
        <v>152</v>
      </c>
      <c r="Q3331" t="s">
        <v>152</v>
      </c>
      <c r="R3331">
        <v>1</v>
      </c>
      <c r="S3331" t="s">
        <v>59</v>
      </c>
      <c r="T3331" t="str">
        <f t="shared" ref="T3331:T3394" si="104">IF(TRIM(W3331)="Every 3 months","Quarterly",IF(TRIM(W3331)="Fortnightly","2-week",IF(TRIM(W3331)="Bi-Weekly","2-week",IF(TRIM(W3331)="Weekly","Daily",IF(TRIM(W3331)="Monthly","Month",TRIM(W3331))))))</f>
        <v>2-week</v>
      </c>
      <c r="U3331">
        <f>VLOOKUP(T3331,[1]tablescore!$B$3:$C$8, 2,FALSE)</f>
        <v>26</v>
      </c>
      <c r="V3331" t="str">
        <f t="shared" ref="V3331:V3394" si="105">_xlfn.IFS(U3331&gt;=30, "Highly Loyal", U3331&gt;=26, "Loyal", U3331&gt;=12, "Moderate", U3331&lt;5, "Low Loyalty")</f>
        <v>Loyal</v>
      </c>
      <c r="W3331" t="s">
        <v>77</v>
      </c>
    </row>
    <row r="3332" spans="1:23" x14ac:dyDescent="0.25">
      <c r="A3332">
        <v>3331</v>
      </c>
      <c r="B3332">
        <v>38</v>
      </c>
      <c r="C3332" t="str" cm="1">
        <f t="array" ref="C3332">_xlfn.IFS(
  AND(B3332&gt;=18, B3332&lt;=24), "18-24",
  AND(B3332&gt;=25, B3332&lt;=34), "25-34",
  AND(B3332&gt;=35, B3332&lt;=44), "35-44",
  AND(B3332&gt;=45, B3332&lt;=54), "45-54",
  B3332&gt;=55, "55+"
)</f>
        <v>35-44</v>
      </c>
      <c r="D3332" t="s">
        <v>153</v>
      </c>
      <c r="E3332" t="s">
        <v>51</v>
      </c>
      <c r="F3332" t="s">
        <v>43</v>
      </c>
      <c r="G3332">
        <v>96</v>
      </c>
      <c r="H3332" t="s">
        <v>70</v>
      </c>
      <c r="I3332" t="s">
        <v>45</v>
      </c>
      <c r="J3332" t="s">
        <v>94</v>
      </c>
      <c r="K3332" t="s">
        <v>39</v>
      </c>
      <c r="L3332">
        <v>3.2</v>
      </c>
      <c r="M3332" t="s">
        <v>152</v>
      </c>
      <c r="N3332" t="s">
        <v>46</v>
      </c>
      <c r="O3332" t="s">
        <v>72</v>
      </c>
      <c r="P3332" t="s">
        <v>152</v>
      </c>
      <c r="Q3332" t="s">
        <v>152</v>
      </c>
      <c r="R3332">
        <v>41</v>
      </c>
      <c r="S3332" t="s">
        <v>34</v>
      </c>
      <c r="T3332" t="str">
        <f t="shared" si="104"/>
        <v>Quarterly</v>
      </c>
      <c r="U3332">
        <f>VLOOKUP(T3332,[1]tablescore!$B$3:$C$8, 2,FALSE)</f>
        <v>4</v>
      </c>
      <c r="V3332" t="str">
        <f t="shared" si="105"/>
        <v>Low Loyalty</v>
      </c>
      <c r="W3332" t="s">
        <v>60</v>
      </c>
    </row>
    <row r="3333" spans="1:23" x14ac:dyDescent="0.25">
      <c r="A3333">
        <v>3332</v>
      </c>
      <c r="B3333">
        <v>55</v>
      </c>
      <c r="C3333" t="str" cm="1">
        <f t="array" ref="C3333">_xlfn.IFS(
  AND(B3333&gt;=18, B3333&lt;=24), "18-24",
  AND(B3333&gt;=25, B3333&lt;=34), "25-34",
  AND(B3333&gt;=35, B3333&lt;=44), "35-44",
  AND(B3333&gt;=45, B3333&lt;=54), "45-54",
  B3333&gt;=55, "55+"
)</f>
        <v>55+</v>
      </c>
      <c r="D3333" t="s">
        <v>153</v>
      </c>
      <c r="E3333" t="s">
        <v>89</v>
      </c>
      <c r="F3333" t="s">
        <v>69</v>
      </c>
      <c r="G3333">
        <v>58</v>
      </c>
      <c r="H3333" t="s">
        <v>99</v>
      </c>
      <c r="I3333" t="s">
        <v>45</v>
      </c>
      <c r="J3333" t="s">
        <v>71</v>
      </c>
      <c r="K3333" t="s">
        <v>54</v>
      </c>
      <c r="L3333">
        <v>3.5</v>
      </c>
      <c r="M3333" t="s">
        <v>152</v>
      </c>
      <c r="N3333" t="s">
        <v>59</v>
      </c>
      <c r="O3333" t="s">
        <v>40</v>
      </c>
      <c r="P3333" t="s">
        <v>152</v>
      </c>
      <c r="Q3333" t="s">
        <v>152</v>
      </c>
      <c r="R3333">
        <v>39</v>
      </c>
      <c r="S3333" t="s">
        <v>46</v>
      </c>
      <c r="T3333" t="str">
        <f t="shared" si="104"/>
        <v>Quarterly</v>
      </c>
      <c r="U3333">
        <f>VLOOKUP(T3333,[1]tablescore!$B$3:$C$8, 2,FALSE)</f>
        <v>4</v>
      </c>
      <c r="V3333" t="str">
        <f t="shared" si="105"/>
        <v>Low Loyalty</v>
      </c>
      <c r="W3333" t="s">
        <v>60</v>
      </c>
    </row>
    <row r="3334" spans="1:23" x14ac:dyDescent="0.25">
      <c r="A3334">
        <v>3333</v>
      </c>
      <c r="B3334">
        <v>27</v>
      </c>
      <c r="C3334" t="str" cm="1">
        <f t="array" ref="C3334">_xlfn.IFS(
  AND(B3334&gt;=18, B3334&lt;=24), "18-24",
  AND(B3334&gt;=25, B3334&lt;=34), "25-34",
  AND(B3334&gt;=35, B3334&lt;=44), "35-44",
  AND(B3334&gt;=45, B3334&lt;=54), "45-54",
  B3334&gt;=55, "55+"
)</f>
        <v>25-34</v>
      </c>
      <c r="D3334" t="s">
        <v>153</v>
      </c>
      <c r="E3334" t="s">
        <v>113</v>
      </c>
      <c r="F3334" t="s">
        <v>21</v>
      </c>
      <c r="G3334">
        <v>23</v>
      </c>
      <c r="H3334" t="s">
        <v>140</v>
      </c>
      <c r="I3334" t="s">
        <v>45</v>
      </c>
      <c r="J3334" t="s">
        <v>67</v>
      </c>
      <c r="K3334" t="s">
        <v>54</v>
      </c>
      <c r="L3334">
        <v>3.1</v>
      </c>
      <c r="M3334" t="s">
        <v>152</v>
      </c>
      <c r="N3334" t="s">
        <v>46</v>
      </c>
      <c r="O3334" t="s">
        <v>72</v>
      </c>
      <c r="P3334" t="s">
        <v>152</v>
      </c>
      <c r="Q3334" t="s">
        <v>152</v>
      </c>
      <c r="R3334">
        <v>1</v>
      </c>
      <c r="S3334" t="s">
        <v>46</v>
      </c>
      <c r="T3334" t="str">
        <f t="shared" si="104"/>
        <v>2-week</v>
      </c>
      <c r="U3334">
        <f>VLOOKUP(T3334,[1]tablescore!$B$3:$C$8, 2,FALSE)</f>
        <v>26</v>
      </c>
      <c r="V3334" t="str">
        <f t="shared" si="105"/>
        <v>Loyal</v>
      </c>
      <c r="W3334" t="s">
        <v>77</v>
      </c>
    </row>
    <row r="3335" spans="1:23" x14ac:dyDescent="0.25">
      <c r="A3335">
        <v>3334</v>
      </c>
      <c r="B3335">
        <v>55</v>
      </c>
      <c r="C3335" t="str" cm="1">
        <f t="array" ref="C3335">_xlfn.IFS(
  AND(B3335&gt;=18, B3335&lt;=24), "18-24",
  AND(B3335&gt;=25, B3335&lt;=34), "25-34",
  AND(B3335&gt;=35, B3335&lt;=44), "35-44",
  AND(B3335&gt;=45, B3335&lt;=54), "45-54",
  B3335&gt;=55, "55+"
)</f>
        <v>55+</v>
      </c>
      <c r="D3335" t="s">
        <v>153</v>
      </c>
      <c r="E3335" t="s">
        <v>36</v>
      </c>
      <c r="F3335" t="s">
        <v>21</v>
      </c>
      <c r="G3335">
        <v>35</v>
      </c>
      <c r="H3335" t="s">
        <v>134</v>
      </c>
      <c r="I3335" t="s">
        <v>45</v>
      </c>
      <c r="J3335" t="s">
        <v>84</v>
      </c>
      <c r="K3335" t="s">
        <v>39</v>
      </c>
      <c r="L3335">
        <v>4.2</v>
      </c>
      <c r="M3335" t="s">
        <v>152</v>
      </c>
      <c r="N3335" t="s">
        <v>59</v>
      </c>
      <c r="O3335" t="s">
        <v>28</v>
      </c>
      <c r="P3335" t="s">
        <v>152</v>
      </c>
      <c r="Q3335" t="s">
        <v>152</v>
      </c>
      <c r="R3335">
        <v>3</v>
      </c>
      <c r="S3335" t="s">
        <v>46</v>
      </c>
      <c r="T3335" t="str">
        <f t="shared" si="104"/>
        <v>Month</v>
      </c>
      <c r="U3335">
        <f>VLOOKUP(T3335,[1]tablescore!$B$3:$C$8, 2,FALSE)</f>
        <v>12</v>
      </c>
      <c r="V3335" t="str">
        <f t="shared" si="105"/>
        <v>Moderate</v>
      </c>
      <c r="W3335" t="s">
        <v>88</v>
      </c>
    </row>
    <row r="3336" spans="1:23" x14ac:dyDescent="0.25">
      <c r="A3336">
        <v>3335</v>
      </c>
      <c r="B3336">
        <v>66</v>
      </c>
      <c r="C3336" t="str" cm="1">
        <f t="array" ref="C3336">_xlfn.IFS(
  AND(B3336&gt;=18, B3336&lt;=24), "18-24",
  AND(B3336&gt;=25, B3336&lt;=34), "25-34",
  AND(B3336&gt;=35, B3336&lt;=44), "35-44",
  AND(B3336&gt;=45, B3336&lt;=54), "45-54",
  B3336&gt;=55, "55+"
)</f>
        <v>55+</v>
      </c>
      <c r="D3336" t="s">
        <v>153</v>
      </c>
      <c r="E3336" t="s">
        <v>56</v>
      </c>
      <c r="F3336" t="s">
        <v>21</v>
      </c>
      <c r="G3336">
        <v>23</v>
      </c>
      <c r="H3336" t="s">
        <v>99</v>
      </c>
      <c r="I3336" t="s">
        <v>45</v>
      </c>
      <c r="J3336" t="s">
        <v>118</v>
      </c>
      <c r="K3336" t="s">
        <v>54</v>
      </c>
      <c r="L3336">
        <v>3.4</v>
      </c>
      <c r="M3336" t="s">
        <v>152</v>
      </c>
      <c r="N3336" t="s">
        <v>34</v>
      </c>
      <c r="O3336" t="s">
        <v>40</v>
      </c>
      <c r="P3336" t="s">
        <v>152</v>
      </c>
      <c r="Q3336" t="s">
        <v>152</v>
      </c>
      <c r="R3336">
        <v>21</v>
      </c>
      <c r="S3336" t="s">
        <v>27</v>
      </c>
      <c r="T3336" t="str">
        <f t="shared" si="104"/>
        <v>Annually</v>
      </c>
      <c r="U3336">
        <f>VLOOKUP(T3336,[1]tablescore!$B$3:$C$8, 2,FALSE)</f>
        <v>1</v>
      </c>
      <c r="V3336" t="str">
        <f t="shared" si="105"/>
        <v>Low Loyalty</v>
      </c>
      <c r="W3336" t="s">
        <v>50</v>
      </c>
    </row>
    <row r="3337" spans="1:23" x14ac:dyDescent="0.25">
      <c r="A3337">
        <v>3336</v>
      </c>
      <c r="B3337">
        <v>44</v>
      </c>
      <c r="C3337" t="str" cm="1">
        <f t="array" ref="C3337">_xlfn.IFS(
  AND(B3337&gt;=18, B3337&lt;=24), "18-24",
  AND(B3337&gt;=25, B3337&lt;=34), "25-34",
  AND(B3337&gt;=35, B3337&lt;=44), "35-44",
  AND(B3337&gt;=45, B3337&lt;=54), "45-54",
  B3337&gt;=55, "55+"
)</f>
        <v>35-44</v>
      </c>
      <c r="D3337" t="s">
        <v>153</v>
      </c>
      <c r="E3337" t="s">
        <v>125</v>
      </c>
      <c r="F3337" t="s">
        <v>69</v>
      </c>
      <c r="G3337">
        <v>94</v>
      </c>
      <c r="H3337" t="s">
        <v>105</v>
      </c>
      <c r="I3337" t="s">
        <v>92</v>
      </c>
      <c r="J3337" t="s">
        <v>109</v>
      </c>
      <c r="K3337" t="s">
        <v>25</v>
      </c>
      <c r="L3337">
        <v>3.5</v>
      </c>
      <c r="M3337" t="s">
        <v>152</v>
      </c>
      <c r="N3337" t="s">
        <v>27</v>
      </c>
      <c r="O3337" t="s">
        <v>28</v>
      </c>
      <c r="P3337" t="s">
        <v>152</v>
      </c>
      <c r="Q3337" t="s">
        <v>152</v>
      </c>
      <c r="R3337">
        <v>48</v>
      </c>
      <c r="S3337" t="s">
        <v>34</v>
      </c>
      <c r="T3337" t="str">
        <f t="shared" si="104"/>
        <v>Quarterly</v>
      </c>
      <c r="U3337">
        <f>VLOOKUP(T3337,[1]tablescore!$B$3:$C$8, 2,FALSE)</f>
        <v>4</v>
      </c>
      <c r="V3337" t="str">
        <f t="shared" si="105"/>
        <v>Low Loyalty</v>
      </c>
      <c r="W3337" t="s">
        <v>60</v>
      </c>
    </row>
    <row r="3338" spans="1:23" x14ac:dyDescent="0.25">
      <c r="A3338">
        <v>3337</v>
      </c>
      <c r="B3338">
        <v>39</v>
      </c>
      <c r="C3338" t="str" cm="1">
        <f t="array" ref="C3338">_xlfn.IFS(
  AND(B3338&gt;=18, B3338&lt;=24), "18-24",
  AND(B3338&gt;=25, B3338&lt;=34), "25-34",
  AND(B3338&gt;=35, B3338&lt;=44), "35-44",
  AND(B3338&gt;=45, B3338&lt;=54), "45-54",
  B3338&gt;=55, "55+"
)</f>
        <v>35-44</v>
      </c>
      <c r="D3338" t="s">
        <v>153</v>
      </c>
      <c r="E3338" t="s">
        <v>20</v>
      </c>
      <c r="F3338" t="s">
        <v>21</v>
      </c>
      <c r="G3338">
        <v>45</v>
      </c>
      <c r="H3338" t="s">
        <v>57</v>
      </c>
      <c r="I3338" t="s">
        <v>45</v>
      </c>
      <c r="J3338" t="s">
        <v>110</v>
      </c>
      <c r="K3338" t="s">
        <v>58</v>
      </c>
      <c r="L3338">
        <v>4</v>
      </c>
      <c r="M3338" t="s">
        <v>152</v>
      </c>
      <c r="N3338" t="s">
        <v>29</v>
      </c>
      <c r="O3338" t="s">
        <v>40</v>
      </c>
      <c r="P3338" t="s">
        <v>152</v>
      </c>
      <c r="Q3338" t="s">
        <v>152</v>
      </c>
      <c r="R3338">
        <v>24</v>
      </c>
      <c r="S3338" t="s">
        <v>59</v>
      </c>
      <c r="T3338" t="str">
        <f t="shared" si="104"/>
        <v>Annually</v>
      </c>
      <c r="U3338">
        <f>VLOOKUP(T3338,[1]tablescore!$B$3:$C$8, 2,FALSE)</f>
        <v>1</v>
      </c>
      <c r="V3338" t="str">
        <f t="shared" si="105"/>
        <v>Low Loyalty</v>
      </c>
      <c r="W3338" t="s">
        <v>50</v>
      </c>
    </row>
    <row r="3339" spans="1:23" x14ac:dyDescent="0.25">
      <c r="A3339">
        <v>3338</v>
      </c>
      <c r="B3339">
        <v>23</v>
      </c>
      <c r="C3339" t="str" cm="1">
        <f t="array" ref="C3339">_xlfn.IFS(
  AND(B3339&gt;=18, B3339&lt;=24), "18-24",
  AND(B3339&gt;=25, B3339&lt;=34), "25-34",
  AND(B3339&gt;=35, B3339&lt;=44), "35-44",
  AND(B3339&gt;=45, B3339&lt;=54), "45-54",
  B3339&gt;=55, "55+"
)</f>
        <v>18-24</v>
      </c>
      <c r="D3339" t="s">
        <v>153</v>
      </c>
      <c r="E3339" t="s">
        <v>102</v>
      </c>
      <c r="F3339" t="s">
        <v>65</v>
      </c>
      <c r="G3339">
        <v>23</v>
      </c>
      <c r="H3339" t="s">
        <v>117</v>
      </c>
      <c r="I3339" t="s">
        <v>23</v>
      </c>
      <c r="J3339" t="s">
        <v>138</v>
      </c>
      <c r="K3339" t="s">
        <v>25</v>
      </c>
      <c r="L3339">
        <v>4.4000000000000004</v>
      </c>
      <c r="M3339" t="s">
        <v>152</v>
      </c>
      <c r="N3339" t="s">
        <v>34</v>
      </c>
      <c r="O3339" t="s">
        <v>72</v>
      </c>
      <c r="P3339" t="s">
        <v>152</v>
      </c>
      <c r="Q3339" t="s">
        <v>152</v>
      </c>
      <c r="R3339">
        <v>45</v>
      </c>
      <c r="S3339" t="s">
        <v>34</v>
      </c>
      <c r="T3339" t="str">
        <f t="shared" si="104"/>
        <v>2-week</v>
      </c>
      <c r="U3339">
        <f>VLOOKUP(T3339,[1]tablescore!$B$3:$C$8, 2,FALSE)</f>
        <v>26</v>
      </c>
      <c r="V3339" t="str">
        <f t="shared" si="105"/>
        <v>Loyal</v>
      </c>
      <c r="W3339" t="s">
        <v>77</v>
      </c>
    </row>
    <row r="3340" spans="1:23" x14ac:dyDescent="0.25">
      <c r="A3340">
        <v>3339</v>
      </c>
      <c r="B3340">
        <v>29</v>
      </c>
      <c r="C3340" t="str" cm="1">
        <f t="array" ref="C3340">_xlfn.IFS(
  AND(B3340&gt;=18, B3340&lt;=24), "18-24",
  AND(B3340&gt;=25, B3340&lt;=34), "25-34",
  AND(B3340&gt;=35, B3340&lt;=44), "35-44",
  AND(B3340&gt;=45, B3340&lt;=54), "45-54",
  B3340&gt;=55, "55+"
)</f>
        <v>25-34</v>
      </c>
      <c r="D3340" t="s">
        <v>153</v>
      </c>
      <c r="E3340" t="s">
        <v>87</v>
      </c>
      <c r="F3340" t="s">
        <v>21</v>
      </c>
      <c r="G3340">
        <v>94</v>
      </c>
      <c r="H3340" t="s">
        <v>134</v>
      </c>
      <c r="I3340" t="s">
        <v>23</v>
      </c>
      <c r="J3340" t="s">
        <v>53</v>
      </c>
      <c r="K3340" t="s">
        <v>25</v>
      </c>
      <c r="L3340">
        <v>2.9</v>
      </c>
      <c r="M3340" t="s">
        <v>152</v>
      </c>
      <c r="N3340" t="s">
        <v>29</v>
      </c>
      <c r="O3340" t="s">
        <v>72</v>
      </c>
      <c r="P3340" t="s">
        <v>152</v>
      </c>
      <c r="Q3340" t="s">
        <v>152</v>
      </c>
      <c r="R3340">
        <v>46</v>
      </c>
      <c r="S3340" t="s">
        <v>27</v>
      </c>
      <c r="T3340" t="str">
        <f t="shared" si="104"/>
        <v>Month</v>
      </c>
      <c r="U3340">
        <f>VLOOKUP(T3340,[1]tablescore!$B$3:$C$8, 2,FALSE)</f>
        <v>12</v>
      </c>
      <c r="V3340" t="str">
        <f t="shared" si="105"/>
        <v>Moderate</v>
      </c>
      <c r="W3340" t="s">
        <v>88</v>
      </c>
    </row>
    <row r="3341" spans="1:23" x14ac:dyDescent="0.25">
      <c r="A3341">
        <v>3340</v>
      </c>
      <c r="B3341">
        <v>20</v>
      </c>
      <c r="C3341" t="str" cm="1">
        <f t="array" ref="C3341">_xlfn.IFS(
  AND(B3341&gt;=18, B3341&lt;=24), "18-24",
  AND(B3341&gt;=25, B3341&lt;=34), "25-34",
  AND(B3341&gt;=35, B3341&lt;=44), "35-44",
  AND(B3341&gt;=45, B3341&lt;=54), "45-54",
  B3341&gt;=55, "55+"
)</f>
        <v>18-24</v>
      </c>
      <c r="D3341" t="s">
        <v>153</v>
      </c>
      <c r="E3341" t="s">
        <v>127</v>
      </c>
      <c r="F3341" t="s">
        <v>69</v>
      </c>
      <c r="G3341">
        <v>99</v>
      </c>
      <c r="H3341" t="s">
        <v>143</v>
      </c>
      <c r="I3341" t="s">
        <v>45</v>
      </c>
      <c r="J3341" t="s">
        <v>109</v>
      </c>
      <c r="K3341" t="s">
        <v>58</v>
      </c>
      <c r="L3341">
        <v>3.6</v>
      </c>
      <c r="M3341" t="s">
        <v>152</v>
      </c>
      <c r="N3341" t="s">
        <v>59</v>
      </c>
      <c r="O3341" t="s">
        <v>76</v>
      </c>
      <c r="P3341" t="s">
        <v>152</v>
      </c>
      <c r="Q3341" t="s">
        <v>152</v>
      </c>
      <c r="R3341">
        <v>35</v>
      </c>
      <c r="S3341" t="s">
        <v>35</v>
      </c>
      <c r="T3341" t="str">
        <f t="shared" si="104"/>
        <v>2-week</v>
      </c>
      <c r="U3341">
        <f>VLOOKUP(T3341,[1]tablescore!$B$3:$C$8, 2,FALSE)</f>
        <v>26</v>
      </c>
      <c r="V3341" t="str">
        <f t="shared" si="105"/>
        <v>Loyal</v>
      </c>
      <c r="W3341" t="s">
        <v>30</v>
      </c>
    </row>
    <row r="3342" spans="1:23" x14ac:dyDescent="0.25">
      <c r="A3342">
        <v>3341</v>
      </c>
      <c r="B3342">
        <v>42</v>
      </c>
      <c r="C3342" t="str" cm="1">
        <f t="array" ref="C3342">_xlfn.IFS(
  AND(B3342&gt;=18, B3342&lt;=24), "18-24",
  AND(B3342&gt;=25, B3342&lt;=34), "25-34",
  AND(B3342&gt;=35, B3342&lt;=44), "35-44",
  AND(B3342&gt;=45, B3342&lt;=54), "45-54",
  B3342&gt;=55, "55+"
)</f>
        <v>35-44</v>
      </c>
      <c r="D3342" t="s">
        <v>153</v>
      </c>
      <c r="E3342" t="s">
        <v>113</v>
      </c>
      <c r="F3342" t="s">
        <v>21</v>
      </c>
      <c r="G3342">
        <v>36</v>
      </c>
      <c r="H3342" t="s">
        <v>128</v>
      </c>
      <c r="I3342" t="s">
        <v>92</v>
      </c>
      <c r="J3342" t="s">
        <v>33</v>
      </c>
      <c r="K3342" t="s">
        <v>58</v>
      </c>
      <c r="L3342">
        <v>4.4000000000000004</v>
      </c>
      <c r="M3342" t="s">
        <v>152</v>
      </c>
      <c r="N3342" t="s">
        <v>27</v>
      </c>
      <c r="O3342" t="s">
        <v>40</v>
      </c>
      <c r="P3342" t="s">
        <v>152</v>
      </c>
      <c r="Q3342" t="s">
        <v>152</v>
      </c>
      <c r="R3342">
        <v>47</v>
      </c>
      <c r="S3342" t="s">
        <v>27</v>
      </c>
      <c r="T3342" t="str">
        <f t="shared" si="104"/>
        <v>2-week</v>
      </c>
      <c r="U3342">
        <f>VLOOKUP(T3342,[1]tablescore!$B$3:$C$8, 2,FALSE)</f>
        <v>26</v>
      </c>
      <c r="V3342" t="str">
        <f t="shared" si="105"/>
        <v>Loyal</v>
      </c>
      <c r="W3342" t="s">
        <v>30</v>
      </c>
    </row>
    <row r="3343" spans="1:23" x14ac:dyDescent="0.25">
      <c r="A3343">
        <v>3342</v>
      </c>
      <c r="B3343">
        <v>55</v>
      </c>
      <c r="C3343" t="str" cm="1">
        <f t="array" ref="C3343">_xlfn.IFS(
  AND(B3343&gt;=18, B3343&lt;=24), "18-24",
  AND(B3343&gt;=25, B3343&lt;=34), "25-34",
  AND(B3343&gt;=35, B3343&lt;=44), "35-44",
  AND(B3343&gt;=45, B3343&lt;=54), "45-54",
  B3343&gt;=55, "55+"
)</f>
        <v>55+</v>
      </c>
      <c r="D3343" t="s">
        <v>153</v>
      </c>
      <c r="E3343" t="s">
        <v>102</v>
      </c>
      <c r="F3343" t="s">
        <v>65</v>
      </c>
      <c r="G3343">
        <v>50</v>
      </c>
      <c r="H3343" t="s">
        <v>146</v>
      </c>
      <c r="I3343" t="s">
        <v>92</v>
      </c>
      <c r="J3343" t="s">
        <v>79</v>
      </c>
      <c r="K3343" t="s">
        <v>54</v>
      </c>
      <c r="L3343">
        <v>4.5</v>
      </c>
      <c r="M3343" t="s">
        <v>152</v>
      </c>
      <c r="N3343" t="s">
        <v>29</v>
      </c>
      <c r="O3343" t="s">
        <v>55</v>
      </c>
      <c r="P3343" t="s">
        <v>152</v>
      </c>
      <c r="Q3343" t="s">
        <v>152</v>
      </c>
      <c r="R3343">
        <v>35</v>
      </c>
      <c r="S3343" t="s">
        <v>27</v>
      </c>
      <c r="T3343" t="str">
        <f t="shared" si="104"/>
        <v>Month</v>
      </c>
      <c r="U3343">
        <f>VLOOKUP(T3343,[1]tablescore!$B$3:$C$8, 2,FALSE)</f>
        <v>12</v>
      </c>
      <c r="V3343" t="str">
        <f t="shared" si="105"/>
        <v>Moderate</v>
      </c>
      <c r="W3343" t="s">
        <v>88</v>
      </c>
    </row>
    <row r="3344" spans="1:23" x14ac:dyDescent="0.25">
      <c r="A3344">
        <v>3343</v>
      </c>
      <c r="B3344">
        <v>66</v>
      </c>
      <c r="C3344" t="str" cm="1">
        <f t="array" ref="C3344">_xlfn.IFS(
  AND(B3344&gt;=18, B3344&lt;=24), "18-24",
  AND(B3344&gt;=25, B3344&lt;=34), "25-34",
  AND(B3344&gt;=35, B3344&lt;=44), "35-44",
  AND(B3344&gt;=45, B3344&lt;=54), "45-54",
  B3344&gt;=55, "55+"
)</f>
        <v>55+</v>
      </c>
      <c r="D3344" t="s">
        <v>153</v>
      </c>
      <c r="E3344" t="s">
        <v>102</v>
      </c>
      <c r="F3344" t="s">
        <v>65</v>
      </c>
      <c r="G3344">
        <v>81</v>
      </c>
      <c r="H3344" t="s">
        <v>137</v>
      </c>
      <c r="I3344" t="s">
        <v>45</v>
      </c>
      <c r="J3344" t="s">
        <v>84</v>
      </c>
      <c r="K3344" t="s">
        <v>39</v>
      </c>
      <c r="L3344">
        <v>3.8</v>
      </c>
      <c r="M3344" t="s">
        <v>152</v>
      </c>
      <c r="N3344" t="s">
        <v>27</v>
      </c>
      <c r="O3344" t="s">
        <v>40</v>
      </c>
      <c r="P3344" t="s">
        <v>152</v>
      </c>
      <c r="Q3344" t="s">
        <v>152</v>
      </c>
      <c r="R3344">
        <v>45</v>
      </c>
      <c r="S3344" t="s">
        <v>27</v>
      </c>
      <c r="T3344" t="str">
        <f t="shared" si="104"/>
        <v>Daily</v>
      </c>
      <c r="U3344">
        <f>VLOOKUP(T3344,[1]tablescore!$B$3:$C$8, 2,FALSE)</f>
        <v>30</v>
      </c>
      <c r="V3344" t="str">
        <f t="shared" si="105"/>
        <v>Highly Loyal</v>
      </c>
      <c r="W3344" t="s">
        <v>41</v>
      </c>
    </row>
    <row r="3345" spans="1:23" x14ac:dyDescent="0.25">
      <c r="A3345">
        <v>3344</v>
      </c>
      <c r="B3345">
        <v>24</v>
      </c>
      <c r="C3345" t="str" cm="1">
        <f t="array" ref="C3345">_xlfn.IFS(
  AND(B3345&gt;=18, B3345&lt;=24), "18-24",
  AND(B3345&gt;=25, B3345&lt;=34), "25-34",
  AND(B3345&gt;=35, B3345&lt;=44), "35-44",
  AND(B3345&gt;=45, B3345&lt;=54), "45-54",
  B3345&gt;=55, "55+"
)</f>
        <v>18-24</v>
      </c>
      <c r="D3345" t="s">
        <v>153</v>
      </c>
      <c r="E3345" t="s">
        <v>61</v>
      </c>
      <c r="F3345" t="s">
        <v>21</v>
      </c>
      <c r="G3345">
        <v>31</v>
      </c>
      <c r="H3345" t="s">
        <v>22</v>
      </c>
      <c r="I3345" t="s">
        <v>92</v>
      </c>
      <c r="J3345" t="s">
        <v>96</v>
      </c>
      <c r="K3345" t="s">
        <v>25</v>
      </c>
      <c r="L3345">
        <v>3.6</v>
      </c>
      <c r="M3345" t="s">
        <v>152</v>
      </c>
      <c r="N3345" t="s">
        <v>34</v>
      </c>
      <c r="O3345" t="s">
        <v>72</v>
      </c>
      <c r="P3345" t="s">
        <v>152</v>
      </c>
      <c r="Q3345" t="s">
        <v>152</v>
      </c>
      <c r="R3345">
        <v>6</v>
      </c>
      <c r="S3345" t="s">
        <v>35</v>
      </c>
      <c r="T3345" t="str">
        <f t="shared" si="104"/>
        <v>2-week</v>
      </c>
      <c r="U3345">
        <f>VLOOKUP(T3345,[1]tablescore!$B$3:$C$8, 2,FALSE)</f>
        <v>26</v>
      </c>
      <c r="V3345" t="str">
        <f t="shared" si="105"/>
        <v>Loyal</v>
      </c>
      <c r="W3345" t="s">
        <v>77</v>
      </c>
    </row>
    <row r="3346" spans="1:23" x14ac:dyDescent="0.25">
      <c r="A3346">
        <v>3345</v>
      </c>
      <c r="B3346">
        <v>62</v>
      </c>
      <c r="C3346" t="str" cm="1">
        <f t="array" ref="C3346">_xlfn.IFS(
  AND(B3346&gt;=18, B3346&lt;=24), "18-24",
  AND(B3346&gt;=25, B3346&lt;=34), "25-34",
  AND(B3346&gt;=35, B3346&lt;=44), "35-44",
  AND(B3346&gt;=45, B3346&lt;=54), "45-54",
  B3346&gt;=55, "55+"
)</f>
        <v>55+</v>
      </c>
      <c r="D3346" t="s">
        <v>153</v>
      </c>
      <c r="E3346" t="s">
        <v>125</v>
      </c>
      <c r="F3346" t="s">
        <v>69</v>
      </c>
      <c r="G3346">
        <v>48</v>
      </c>
      <c r="H3346" t="s">
        <v>140</v>
      </c>
      <c r="I3346" t="s">
        <v>92</v>
      </c>
      <c r="J3346" t="s">
        <v>147</v>
      </c>
      <c r="K3346" t="s">
        <v>58</v>
      </c>
      <c r="L3346">
        <v>4.3</v>
      </c>
      <c r="M3346" t="s">
        <v>152</v>
      </c>
      <c r="N3346" t="s">
        <v>59</v>
      </c>
      <c r="O3346" t="s">
        <v>40</v>
      </c>
      <c r="P3346" t="s">
        <v>152</v>
      </c>
      <c r="Q3346" t="s">
        <v>152</v>
      </c>
      <c r="R3346">
        <v>20</v>
      </c>
      <c r="S3346" t="s">
        <v>35</v>
      </c>
      <c r="T3346" t="str">
        <f t="shared" si="104"/>
        <v>Annually</v>
      </c>
      <c r="U3346">
        <f>VLOOKUP(T3346,[1]tablescore!$B$3:$C$8, 2,FALSE)</f>
        <v>1</v>
      </c>
      <c r="V3346" t="str">
        <f t="shared" si="105"/>
        <v>Low Loyalty</v>
      </c>
      <c r="W3346" t="s">
        <v>50</v>
      </c>
    </row>
    <row r="3347" spans="1:23" x14ac:dyDescent="0.25">
      <c r="A3347">
        <v>3346</v>
      </c>
      <c r="B3347">
        <v>28</v>
      </c>
      <c r="C3347" t="str" cm="1">
        <f t="array" ref="C3347">_xlfn.IFS(
  AND(B3347&gt;=18, B3347&lt;=24), "18-24",
  AND(B3347&gt;=25, B3347&lt;=34), "25-34",
  AND(B3347&gt;=35, B3347&lt;=44), "35-44",
  AND(B3347&gt;=45, B3347&lt;=54), "45-54",
  B3347&gt;=55, "55+"
)</f>
        <v>25-34</v>
      </c>
      <c r="D3347" t="s">
        <v>153</v>
      </c>
      <c r="E3347" t="s">
        <v>68</v>
      </c>
      <c r="F3347" t="s">
        <v>69</v>
      </c>
      <c r="G3347">
        <v>91</v>
      </c>
      <c r="H3347" t="s">
        <v>103</v>
      </c>
      <c r="I3347" t="s">
        <v>45</v>
      </c>
      <c r="J3347" t="s">
        <v>49</v>
      </c>
      <c r="K3347" t="s">
        <v>54</v>
      </c>
      <c r="L3347">
        <v>4</v>
      </c>
      <c r="M3347" t="s">
        <v>152</v>
      </c>
      <c r="N3347" t="s">
        <v>35</v>
      </c>
      <c r="O3347" t="s">
        <v>72</v>
      </c>
      <c r="P3347" t="s">
        <v>152</v>
      </c>
      <c r="Q3347" t="s">
        <v>152</v>
      </c>
      <c r="R3347">
        <v>3</v>
      </c>
      <c r="S3347" t="s">
        <v>29</v>
      </c>
      <c r="T3347" t="str">
        <f t="shared" si="104"/>
        <v>2-week</v>
      </c>
      <c r="U3347">
        <f>VLOOKUP(T3347,[1]tablescore!$B$3:$C$8, 2,FALSE)</f>
        <v>26</v>
      </c>
      <c r="V3347" t="str">
        <f t="shared" si="105"/>
        <v>Loyal</v>
      </c>
      <c r="W3347" t="s">
        <v>77</v>
      </c>
    </row>
    <row r="3348" spans="1:23" x14ac:dyDescent="0.25">
      <c r="A3348">
        <v>3347</v>
      </c>
      <c r="B3348">
        <v>30</v>
      </c>
      <c r="C3348" t="str" cm="1">
        <f t="array" ref="C3348">_xlfn.IFS(
  AND(B3348&gt;=18, B3348&lt;=24), "18-24",
  AND(B3348&gt;=25, B3348&lt;=34), "25-34",
  AND(B3348&gt;=35, B3348&lt;=44), "35-44",
  AND(B3348&gt;=45, B3348&lt;=54), "45-54",
  B3348&gt;=55, "55+"
)</f>
        <v>25-34</v>
      </c>
      <c r="D3348" t="s">
        <v>153</v>
      </c>
      <c r="E3348" t="s">
        <v>36</v>
      </c>
      <c r="F3348" t="s">
        <v>21</v>
      </c>
      <c r="G3348">
        <v>99</v>
      </c>
      <c r="H3348" t="s">
        <v>101</v>
      </c>
      <c r="I3348" t="s">
        <v>45</v>
      </c>
      <c r="J3348" t="s">
        <v>94</v>
      </c>
      <c r="K3348" t="s">
        <v>54</v>
      </c>
      <c r="L3348">
        <v>3.4</v>
      </c>
      <c r="M3348" t="s">
        <v>152</v>
      </c>
      <c r="N3348" t="s">
        <v>46</v>
      </c>
      <c r="O3348" t="s">
        <v>28</v>
      </c>
      <c r="P3348" t="s">
        <v>152</v>
      </c>
      <c r="Q3348" t="s">
        <v>152</v>
      </c>
      <c r="R3348">
        <v>30</v>
      </c>
      <c r="S3348" t="s">
        <v>29</v>
      </c>
      <c r="T3348" t="str">
        <f t="shared" si="104"/>
        <v>Quarterly</v>
      </c>
      <c r="U3348">
        <f>VLOOKUP(T3348,[1]tablescore!$B$3:$C$8, 2,FALSE)</f>
        <v>4</v>
      </c>
      <c r="V3348" t="str">
        <f t="shared" si="105"/>
        <v>Low Loyalty</v>
      </c>
      <c r="W3348" t="s">
        <v>60</v>
      </c>
    </row>
    <row r="3349" spans="1:23" x14ac:dyDescent="0.25">
      <c r="A3349">
        <v>3348</v>
      </c>
      <c r="B3349">
        <v>22</v>
      </c>
      <c r="C3349" t="str" cm="1">
        <f t="array" ref="C3349">_xlfn.IFS(
  AND(B3349&gt;=18, B3349&lt;=24), "18-24",
  AND(B3349&gt;=25, B3349&lt;=34), "25-34",
  AND(B3349&gt;=35, B3349&lt;=44), "35-44",
  AND(B3349&gt;=45, B3349&lt;=54), "45-54",
  B3349&gt;=55, "55+"
)</f>
        <v>18-24</v>
      </c>
      <c r="D3349" t="s">
        <v>153</v>
      </c>
      <c r="E3349" t="s">
        <v>73</v>
      </c>
      <c r="F3349" t="s">
        <v>43</v>
      </c>
      <c r="G3349">
        <v>70</v>
      </c>
      <c r="H3349" t="s">
        <v>150</v>
      </c>
      <c r="I3349" t="s">
        <v>92</v>
      </c>
      <c r="J3349" t="s">
        <v>109</v>
      </c>
      <c r="K3349" t="s">
        <v>54</v>
      </c>
      <c r="L3349">
        <v>4.4000000000000004</v>
      </c>
      <c r="M3349" t="s">
        <v>152</v>
      </c>
      <c r="N3349" t="s">
        <v>27</v>
      </c>
      <c r="O3349" t="s">
        <v>55</v>
      </c>
      <c r="P3349" t="s">
        <v>152</v>
      </c>
      <c r="Q3349" t="s">
        <v>152</v>
      </c>
      <c r="R3349">
        <v>28</v>
      </c>
      <c r="S3349" t="s">
        <v>46</v>
      </c>
      <c r="T3349" t="str">
        <f t="shared" si="104"/>
        <v>2-week</v>
      </c>
      <c r="U3349">
        <f>VLOOKUP(T3349,[1]tablescore!$B$3:$C$8, 2,FALSE)</f>
        <v>26</v>
      </c>
      <c r="V3349" t="str">
        <f t="shared" si="105"/>
        <v>Loyal</v>
      </c>
      <c r="W3349" t="s">
        <v>77</v>
      </c>
    </row>
    <row r="3350" spans="1:23" x14ac:dyDescent="0.25">
      <c r="A3350">
        <v>3349</v>
      </c>
      <c r="B3350">
        <v>28</v>
      </c>
      <c r="C3350" t="str" cm="1">
        <f t="array" ref="C3350">_xlfn.IFS(
  AND(B3350&gt;=18, B3350&lt;=24), "18-24",
  AND(B3350&gt;=25, B3350&lt;=34), "25-34",
  AND(B3350&gt;=35, B3350&lt;=44), "35-44",
  AND(B3350&gt;=45, B3350&lt;=54), "45-54",
  B3350&gt;=55, "55+"
)</f>
        <v>25-34</v>
      </c>
      <c r="D3350" t="s">
        <v>153</v>
      </c>
      <c r="E3350" t="s">
        <v>113</v>
      </c>
      <c r="F3350" t="s">
        <v>21</v>
      </c>
      <c r="G3350">
        <v>74</v>
      </c>
      <c r="H3350" t="s">
        <v>83</v>
      </c>
      <c r="I3350" t="s">
        <v>23</v>
      </c>
      <c r="J3350" t="s">
        <v>24</v>
      </c>
      <c r="K3350" t="s">
        <v>25</v>
      </c>
      <c r="L3350">
        <v>2.8</v>
      </c>
      <c r="M3350" t="s">
        <v>152</v>
      </c>
      <c r="N3350" t="s">
        <v>46</v>
      </c>
      <c r="O3350" t="s">
        <v>55</v>
      </c>
      <c r="P3350" t="s">
        <v>152</v>
      </c>
      <c r="Q3350" t="s">
        <v>152</v>
      </c>
      <c r="R3350">
        <v>15</v>
      </c>
      <c r="S3350" t="s">
        <v>35</v>
      </c>
      <c r="T3350" t="str">
        <f t="shared" si="104"/>
        <v>Quarterly</v>
      </c>
      <c r="U3350">
        <f>VLOOKUP(T3350,[1]tablescore!$B$3:$C$8, 2,FALSE)</f>
        <v>4</v>
      </c>
      <c r="V3350" t="str">
        <f t="shared" si="105"/>
        <v>Low Loyalty</v>
      </c>
      <c r="W3350" t="s">
        <v>97</v>
      </c>
    </row>
    <row r="3351" spans="1:23" x14ac:dyDescent="0.25">
      <c r="A3351">
        <v>3350</v>
      </c>
      <c r="B3351">
        <v>35</v>
      </c>
      <c r="C3351" t="str" cm="1">
        <f t="array" ref="C3351">_xlfn.IFS(
  AND(B3351&gt;=18, B3351&lt;=24), "18-24",
  AND(B3351&gt;=25, B3351&lt;=34), "25-34",
  AND(B3351&gt;=35, B3351&lt;=44), "35-44",
  AND(B3351&gt;=45, B3351&lt;=54), "45-54",
  B3351&gt;=55, "55+"
)</f>
        <v>35-44</v>
      </c>
      <c r="D3351" t="s">
        <v>153</v>
      </c>
      <c r="E3351" t="s">
        <v>106</v>
      </c>
      <c r="F3351" t="s">
        <v>69</v>
      </c>
      <c r="G3351">
        <v>79</v>
      </c>
      <c r="H3351" t="s">
        <v>142</v>
      </c>
      <c r="I3351" t="s">
        <v>45</v>
      </c>
      <c r="J3351" t="s">
        <v>108</v>
      </c>
      <c r="K3351" t="s">
        <v>58</v>
      </c>
      <c r="L3351">
        <v>2.8</v>
      </c>
      <c r="M3351" t="s">
        <v>152</v>
      </c>
      <c r="N3351" t="s">
        <v>35</v>
      </c>
      <c r="O3351" t="s">
        <v>76</v>
      </c>
      <c r="P3351" t="s">
        <v>152</v>
      </c>
      <c r="Q3351" t="s">
        <v>152</v>
      </c>
      <c r="R3351">
        <v>29</v>
      </c>
      <c r="S3351" t="s">
        <v>46</v>
      </c>
      <c r="T3351" t="str">
        <f t="shared" si="104"/>
        <v>Quarterly</v>
      </c>
      <c r="U3351">
        <f>VLOOKUP(T3351,[1]tablescore!$B$3:$C$8, 2,FALSE)</f>
        <v>4</v>
      </c>
      <c r="V3351" t="str">
        <f t="shared" si="105"/>
        <v>Low Loyalty</v>
      </c>
      <c r="W3351" t="s">
        <v>60</v>
      </c>
    </row>
    <row r="3352" spans="1:23" x14ac:dyDescent="0.25">
      <c r="A3352">
        <v>3351</v>
      </c>
      <c r="B3352">
        <v>45</v>
      </c>
      <c r="C3352" t="str" cm="1">
        <f t="array" ref="C3352">_xlfn.IFS(
  AND(B3352&gt;=18, B3352&lt;=24), "18-24",
  AND(B3352&gt;=25, B3352&lt;=34), "25-34",
  AND(B3352&gt;=35, B3352&lt;=44), "35-44",
  AND(B3352&gt;=45, B3352&lt;=54), "45-54",
  B3352&gt;=55, "55+"
)</f>
        <v>45-54</v>
      </c>
      <c r="D3352" t="s">
        <v>153</v>
      </c>
      <c r="E3352" t="s">
        <v>68</v>
      </c>
      <c r="F3352" t="s">
        <v>69</v>
      </c>
      <c r="G3352">
        <v>33</v>
      </c>
      <c r="H3352" t="s">
        <v>91</v>
      </c>
      <c r="I3352" t="s">
        <v>38</v>
      </c>
      <c r="J3352" t="s">
        <v>79</v>
      </c>
      <c r="K3352" t="s">
        <v>58</v>
      </c>
      <c r="L3352">
        <v>4.9000000000000004</v>
      </c>
      <c r="M3352" t="s">
        <v>152</v>
      </c>
      <c r="N3352" t="s">
        <v>46</v>
      </c>
      <c r="O3352" t="s">
        <v>72</v>
      </c>
      <c r="P3352" t="s">
        <v>152</v>
      </c>
      <c r="Q3352" t="s">
        <v>152</v>
      </c>
      <c r="R3352">
        <v>15</v>
      </c>
      <c r="S3352" t="s">
        <v>35</v>
      </c>
      <c r="T3352" t="str">
        <f t="shared" si="104"/>
        <v>2-week</v>
      </c>
      <c r="U3352">
        <f>VLOOKUP(T3352,[1]tablescore!$B$3:$C$8, 2,FALSE)</f>
        <v>26</v>
      </c>
      <c r="V3352" t="str">
        <f t="shared" si="105"/>
        <v>Loyal</v>
      </c>
      <c r="W3352" t="s">
        <v>77</v>
      </c>
    </row>
    <row r="3353" spans="1:23" x14ac:dyDescent="0.25">
      <c r="A3353">
        <v>3352</v>
      </c>
      <c r="B3353">
        <v>43</v>
      </c>
      <c r="C3353" t="str" cm="1">
        <f t="array" ref="C3353">_xlfn.IFS(
  AND(B3353&gt;=18, B3353&lt;=24), "18-24",
  AND(B3353&gt;=25, B3353&lt;=34), "25-34",
  AND(B3353&gt;=35, B3353&lt;=44), "35-44",
  AND(B3353&gt;=45, B3353&lt;=54), "45-54",
  B3353&gt;=55, "55+"
)</f>
        <v>35-44</v>
      </c>
      <c r="D3353" t="s">
        <v>153</v>
      </c>
      <c r="E3353" t="s">
        <v>56</v>
      </c>
      <c r="F3353" t="s">
        <v>21</v>
      </c>
      <c r="G3353">
        <v>49</v>
      </c>
      <c r="H3353" t="s">
        <v>83</v>
      </c>
      <c r="I3353" t="s">
        <v>23</v>
      </c>
      <c r="J3353" t="s">
        <v>109</v>
      </c>
      <c r="K3353" t="s">
        <v>39</v>
      </c>
      <c r="L3353">
        <v>4.2</v>
      </c>
      <c r="M3353" t="s">
        <v>152</v>
      </c>
      <c r="N3353" t="s">
        <v>35</v>
      </c>
      <c r="O3353" t="s">
        <v>72</v>
      </c>
      <c r="P3353" t="s">
        <v>152</v>
      </c>
      <c r="Q3353" t="s">
        <v>152</v>
      </c>
      <c r="R3353">
        <v>18</v>
      </c>
      <c r="S3353" t="s">
        <v>34</v>
      </c>
      <c r="T3353" t="str">
        <f t="shared" si="104"/>
        <v>2-week</v>
      </c>
      <c r="U3353">
        <f>VLOOKUP(T3353,[1]tablescore!$B$3:$C$8, 2,FALSE)</f>
        <v>26</v>
      </c>
      <c r="V3353" t="str">
        <f t="shared" si="105"/>
        <v>Loyal</v>
      </c>
      <c r="W3353" t="s">
        <v>30</v>
      </c>
    </row>
    <row r="3354" spans="1:23" x14ac:dyDescent="0.25">
      <c r="A3354">
        <v>3353</v>
      </c>
      <c r="B3354">
        <v>55</v>
      </c>
      <c r="C3354" t="str" cm="1">
        <f t="array" ref="C3354">_xlfn.IFS(
  AND(B3354&gt;=18, B3354&lt;=24), "18-24",
  AND(B3354&gt;=25, B3354&lt;=34), "25-34",
  AND(B3354&gt;=35, B3354&lt;=44), "35-44",
  AND(B3354&gt;=45, B3354&lt;=54), "45-54",
  B3354&gt;=55, "55+"
)</f>
        <v>55+</v>
      </c>
      <c r="D3354" t="s">
        <v>153</v>
      </c>
      <c r="E3354" t="s">
        <v>136</v>
      </c>
      <c r="F3354" t="s">
        <v>69</v>
      </c>
      <c r="G3354">
        <v>96</v>
      </c>
      <c r="H3354" t="s">
        <v>140</v>
      </c>
      <c r="I3354" t="s">
        <v>45</v>
      </c>
      <c r="J3354" t="s">
        <v>86</v>
      </c>
      <c r="K3354" t="s">
        <v>54</v>
      </c>
      <c r="L3354">
        <v>2.9</v>
      </c>
      <c r="M3354" t="s">
        <v>152</v>
      </c>
      <c r="N3354" t="s">
        <v>27</v>
      </c>
      <c r="O3354" t="s">
        <v>47</v>
      </c>
      <c r="P3354" t="s">
        <v>152</v>
      </c>
      <c r="Q3354" t="s">
        <v>152</v>
      </c>
      <c r="R3354">
        <v>7</v>
      </c>
      <c r="S3354" t="s">
        <v>34</v>
      </c>
      <c r="T3354" t="str">
        <f t="shared" si="104"/>
        <v>2-week</v>
      </c>
      <c r="U3354">
        <f>VLOOKUP(T3354,[1]tablescore!$B$3:$C$8, 2,FALSE)</f>
        <v>26</v>
      </c>
      <c r="V3354" t="str">
        <f t="shared" si="105"/>
        <v>Loyal</v>
      </c>
      <c r="W3354" t="s">
        <v>77</v>
      </c>
    </row>
    <row r="3355" spans="1:23" x14ac:dyDescent="0.25">
      <c r="A3355">
        <v>3354</v>
      </c>
      <c r="B3355">
        <v>31</v>
      </c>
      <c r="C3355" t="str" cm="1">
        <f t="array" ref="C3355">_xlfn.IFS(
  AND(B3355&gt;=18, B3355&lt;=24), "18-24",
  AND(B3355&gt;=25, B3355&lt;=34), "25-34",
  AND(B3355&gt;=35, B3355&lt;=44), "35-44",
  AND(B3355&gt;=45, B3355&lt;=54), "45-54",
  B3355&gt;=55, "55+"
)</f>
        <v>25-34</v>
      </c>
      <c r="D3355" t="s">
        <v>153</v>
      </c>
      <c r="E3355" t="s">
        <v>82</v>
      </c>
      <c r="F3355" t="s">
        <v>21</v>
      </c>
      <c r="G3355">
        <v>66</v>
      </c>
      <c r="H3355" t="s">
        <v>124</v>
      </c>
      <c r="I3355" t="s">
        <v>23</v>
      </c>
      <c r="J3355" t="s">
        <v>86</v>
      </c>
      <c r="K3355" t="s">
        <v>58</v>
      </c>
      <c r="L3355">
        <v>4.5999999999999996</v>
      </c>
      <c r="M3355" t="s">
        <v>152</v>
      </c>
      <c r="N3355" t="s">
        <v>59</v>
      </c>
      <c r="O3355" t="s">
        <v>40</v>
      </c>
      <c r="P3355" t="s">
        <v>152</v>
      </c>
      <c r="Q3355" t="s">
        <v>152</v>
      </c>
      <c r="R3355">
        <v>19</v>
      </c>
      <c r="S3355" t="s">
        <v>27</v>
      </c>
      <c r="T3355" t="str">
        <f t="shared" si="104"/>
        <v>Quarterly</v>
      </c>
      <c r="U3355">
        <f>VLOOKUP(T3355,[1]tablescore!$B$3:$C$8, 2,FALSE)</f>
        <v>4</v>
      </c>
      <c r="V3355" t="str">
        <f t="shared" si="105"/>
        <v>Low Loyalty</v>
      </c>
      <c r="W3355" t="s">
        <v>97</v>
      </c>
    </row>
    <row r="3356" spans="1:23" x14ac:dyDescent="0.25">
      <c r="A3356">
        <v>3355</v>
      </c>
      <c r="B3356">
        <v>42</v>
      </c>
      <c r="C3356" t="str" cm="1">
        <f t="array" ref="C3356">_xlfn.IFS(
  AND(B3356&gt;=18, B3356&lt;=24), "18-24",
  AND(B3356&gt;=25, B3356&lt;=34), "25-34",
  AND(B3356&gt;=35, B3356&lt;=44), "35-44",
  AND(B3356&gt;=45, B3356&lt;=54), "45-54",
  B3356&gt;=55, "55+"
)</f>
        <v>35-44</v>
      </c>
      <c r="D3356" t="s">
        <v>153</v>
      </c>
      <c r="E3356" t="s">
        <v>87</v>
      </c>
      <c r="F3356" t="s">
        <v>21</v>
      </c>
      <c r="G3356">
        <v>45</v>
      </c>
      <c r="H3356" t="s">
        <v>135</v>
      </c>
      <c r="I3356" t="s">
        <v>45</v>
      </c>
      <c r="J3356" t="s">
        <v>121</v>
      </c>
      <c r="K3356" t="s">
        <v>58</v>
      </c>
      <c r="L3356">
        <v>2.8</v>
      </c>
      <c r="M3356" t="s">
        <v>152</v>
      </c>
      <c r="N3356" t="s">
        <v>35</v>
      </c>
      <c r="O3356" t="s">
        <v>47</v>
      </c>
      <c r="P3356" t="s">
        <v>152</v>
      </c>
      <c r="Q3356" t="s">
        <v>152</v>
      </c>
      <c r="R3356">
        <v>15</v>
      </c>
      <c r="S3356" t="s">
        <v>46</v>
      </c>
      <c r="T3356" t="str">
        <f t="shared" si="104"/>
        <v>Daily</v>
      </c>
      <c r="U3356">
        <f>VLOOKUP(T3356,[1]tablescore!$B$3:$C$8, 2,FALSE)</f>
        <v>30</v>
      </c>
      <c r="V3356" t="str">
        <f t="shared" si="105"/>
        <v>Highly Loyal</v>
      </c>
      <c r="W3356" t="s">
        <v>41</v>
      </c>
    </row>
    <row r="3357" spans="1:23" x14ac:dyDescent="0.25">
      <c r="A3357">
        <v>3356</v>
      </c>
      <c r="B3357">
        <v>40</v>
      </c>
      <c r="C3357" t="str" cm="1">
        <f t="array" ref="C3357">_xlfn.IFS(
  AND(B3357&gt;=18, B3357&lt;=24), "18-24",
  AND(B3357&gt;=25, B3357&lt;=34), "25-34",
  AND(B3357&gt;=35, B3357&lt;=44), "35-44",
  AND(B3357&gt;=45, B3357&lt;=54), "45-54",
  B3357&gt;=55, "55+"
)</f>
        <v>35-44</v>
      </c>
      <c r="D3357" t="s">
        <v>153</v>
      </c>
      <c r="E3357" t="s">
        <v>20</v>
      </c>
      <c r="F3357" t="s">
        <v>21</v>
      </c>
      <c r="G3357">
        <v>28</v>
      </c>
      <c r="H3357" t="s">
        <v>80</v>
      </c>
      <c r="I3357" t="s">
        <v>45</v>
      </c>
      <c r="J3357" t="s">
        <v>100</v>
      </c>
      <c r="K3357" t="s">
        <v>39</v>
      </c>
      <c r="L3357">
        <v>2.6</v>
      </c>
      <c r="M3357" t="s">
        <v>152</v>
      </c>
      <c r="N3357" t="s">
        <v>59</v>
      </c>
      <c r="O3357" t="s">
        <v>76</v>
      </c>
      <c r="P3357" t="s">
        <v>152</v>
      </c>
      <c r="Q3357" t="s">
        <v>152</v>
      </c>
      <c r="R3357">
        <v>3</v>
      </c>
      <c r="S3357" t="s">
        <v>34</v>
      </c>
      <c r="T3357" t="str">
        <f t="shared" si="104"/>
        <v>2-week</v>
      </c>
      <c r="U3357">
        <f>VLOOKUP(T3357,[1]tablescore!$B$3:$C$8, 2,FALSE)</f>
        <v>26</v>
      </c>
      <c r="V3357" t="str">
        <f t="shared" si="105"/>
        <v>Loyal</v>
      </c>
      <c r="W3357" t="s">
        <v>77</v>
      </c>
    </row>
    <row r="3358" spans="1:23" x14ac:dyDescent="0.25">
      <c r="A3358">
        <v>3357</v>
      </c>
      <c r="B3358">
        <v>39</v>
      </c>
      <c r="C3358" t="str" cm="1">
        <f t="array" ref="C3358">_xlfn.IFS(
  AND(B3358&gt;=18, B3358&lt;=24), "18-24",
  AND(B3358&gt;=25, B3358&lt;=34), "25-34",
  AND(B3358&gt;=35, B3358&lt;=44), "35-44",
  AND(B3358&gt;=45, B3358&lt;=54), "45-54",
  B3358&gt;=55, "55+"
)</f>
        <v>35-44</v>
      </c>
      <c r="D3358" t="s">
        <v>153</v>
      </c>
      <c r="E3358" t="s">
        <v>36</v>
      </c>
      <c r="F3358" t="s">
        <v>21</v>
      </c>
      <c r="G3358">
        <v>48</v>
      </c>
      <c r="H3358" t="s">
        <v>122</v>
      </c>
      <c r="I3358" t="s">
        <v>45</v>
      </c>
      <c r="J3358" t="s">
        <v>67</v>
      </c>
      <c r="K3358" t="s">
        <v>54</v>
      </c>
      <c r="L3358">
        <v>3.5</v>
      </c>
      <c r="M3358" t="s">
        <v>152</v>
      </c>
      <c r="N3358" t="s">
        <v>27</v>
      </c>
      <c r="O3358" t="s">
        <v>76</v>
      </c>
      <c r="P3358" t="s">
        <v>152</v>
      </c>
      <c r="Q3358" t="s">
        <v>152</v>
      </c>
      <c r="R3358">
        <v>13</v>
      </c>
      <c r="S3358" t="s">
        <v>46</v>
      </c>
      <c r="T3358" t="str">
        <f t="shared" si="104"/>
        <v>2-week</v>
      </c>
      <c r="U3358">
        <f>VLOOKUP(T3358,[1]tablescore!$B$3:$C$8, 2,FALSE)</f>
        <v>26</v>
      </c>
      <c r="V3358" t="str">
        <f t="shared" si="105"/>
        <v>Loyal</v>
      </c>
      <c r="W3358" t="s">
        <v>77</v>
      </c>
    </row>
    <row r="3359" spans="1:23" x14ac:dyDescent="0.25">
      <c r="A3359">
        <v>3358</v>
      </c>
      <c r="B3359">
        <v>41</v>
      </c>
      <c r="C3359" t="str" cm="1">
        <f t="array" ref="C3359">_xlfn.IFS(
  AND(B3359&gt;=18, B3359&lt;=24), "18-24",
  AND(B3359&gt;=25, B3359&lt;=34), "25-34",
  AND(B3359&gt;=35, B3359&lt;=44), "35-44",
  AND(B3359&gt;=45, B3359&lt;=54), "45-54",
  B3359&gt;=55, "55+"
)</f>
        <v>35-44</v>
      </c>
      <c r="D3359" t="s">
        <v>153</v>
      </c>
      <c r="E3359" t="s">
        <v>104</v>
      </c>
      <c r="F3359" t="s">
        <v>21</v>
      </c>
      <c r="G3359">
        <v>67</v>
      </c>
      <c r="H3359" t="s">
        <v>74</v>
      </c>
      <c r="I3359" t="s">
        <v>45</v>
      </c>
      <c r="J3359" t="s">
        <v>71</v>
      </c>
      <c r="K3359" t="s">
        <v>25</v>
      </c>
      <c r="L3359">
        <v>3.5</v>
      </c>
      <c r="M3359" t="s">
        <v>152</v>
      </c>
      <c r="N3359" t="s">
        <v>29</v>
      </c>
      <c r="O3359" t="s">
        <v>40</v>
      </c>
      <c r="P3359" t="s">
        <v>152</v>
      </c>
      <c r="Q3359" t="s">
        <v>152</v>
      </c>
      <c r="R3359">
        <v>37</v>
      </c>
      <c r="S3359" t="s">
        <v>27</v>
      </c>
      <c r="T3359" t="str">
        <f t="shared" si="104"/>
        <v>Month</v>
      </c>
      <c r="U3359">
        <f>VLOOKUP(T3359,[1]tablescore!$B$3:$C$8, 2,FALSE)</f>
        <v>12</v>
      </c>
      <c r="V3359" t="str">
        <f t="shared" si="105"/>
        <v>Moderate</v>
      </c>
      <c r="W3359" t="s">
        <v>88</v>
      </c>
    </row>
    <row r="3360" spans="1:23" x14ac:dyDescent="0.25">
      <c r="A3360">
        <v>3359</v>
      </c>
      <c r="B3360">
        <v>56</v>
      </c>
      <c r="C3360" t="str" cm="1">
        <f t="array" ref="C3360">_xlfn.IFS(
  AND(B3360&gt;=18, B3360&lt;=24), "18-24",
  AND(B3360&gt;=25, B3360&lt;=34), "25-34",
  AND(B3360&gt;=35, B3360&lt;=44), "35-44",
  AND(B3360&gt;=45, B3360&lt;=54), "45-54",
  B3360&gt;=55, "55+"
)</f>
        <v>55+</v>
      </c>
      <c r="D3360" t="s">
        <v>153</v>
      </c>
      <c r="E3360" t="s">
        <v>113</v>
      </c>
      <c r="F3360" t="s">
        <v>21</v>
      </c>
      <c r="G3360">
        <v>59</v>
      </c>
      <c r="H3360" t="s">
        <v>122</v>
      </c>
      <c r="I3360" t="s">
        <v>45</v>
      </c>
      <c r="J3360" t="s">
        <v>147</v>
      </c>
      <c r="K3360" t="s">
        <v>58</v>
      </c>
      <c r="L3360">
        <v>3.4</v>
      </c>
      <c r="M3360" t="s">
        <v>152</v>
      </c>
      <c r="N3360" t="s">
        <v>59</v>
      </c>
      <c r="O3360" t="s">
        <v>72</v>
      </c>
      <c r="P3360" t="s">
        <v>152</v>
      </c>
      <c r="Q3360" t="s">
        <v>152</v>
      </c>
      <c r="R3360">
        <v>26</v>
      </c>
      <c r="S3360" t="s">
        <v>35</v>
      </c>
      <c r="T3360" t="str">
        <f t="shared" si="104"/>
        <v>Annually</v>
      </c>
      <c r="U3360">
        <f>VLOOKUP(T3360,[1]tablescore!$B$3:$C$8, 2,FALSE)</f>
        <v>1</v>
      </c>
      <c r="V3360" t="str">
        <f t="shared" si="105"/>
        <v>Low Loyalty</v>
      </c>
      <c r="W3360" t="s">
        <v>50</v>
      </c>
    </row>
    <row r="3361" spans="1:23" x14ac:dyDescent="0.25">
      <c r="A3361">
        <v>3360</v>
      </c>
      <c r="B3361">
        <v>43</v>
      </c>
      <c r="C3361" t="str" cm="1">
        <f t="array" ref="C3361">_xlfn.IFS(
  AND(B3361&gt;=18, B3361&lt;=24), "18-24",
  AND(B3361&gt;=25, B3361&lt;=34), "25-34",
  AND(B3361&gt;=35, B3361&lt;=44), "35-44",
  AND(B3361&gt;=45, B3361&lt;=54), "45-54",
  B3361&gt;=55, "55+"
)</f>
        <v>35-44</v>
      </c>
      <c r="D3361" t="s">
        <v>153</v>
      </c>
      <c r="E3361" t="s">
        <v>89</v>
      </c>
      <c r="F3361" t="s">
        <v>69</v>
      </c>
      <c r="G3361">
        <v>74</v>
      </c>
      <c r="H3361" t="s">
        <v>83</v>
      </c>
      <c r="I3361" t="s">
        <v>23</v>
      </c>
      <c r="J3361" t="s">
        <v>108</v>
      </c>
      <c r="K3361" t="s">
        <v>58</v>
      </c>
      <c r="L3361">
        <v>3.9</v>
      </c>
      <c r="M3361" t="s">
        <v>152</v>
      </c>
      <c r="N3361" t="s">
        <v>27</v>
      </c>
      <c r="O3361" t="s">
        <v>47</v>
      </c>
      <c r="P3361" t="s">
        <v>152</v>
      </c>
      <c r="Q3361" t="s">
        <v>152</v>
      </c>
      <c r="R3361">
        <v>29</v>
      </c>
      <c r="S3361" t="s">
        <v>59</v>
      </c>
      <c r="T3361" t="str">
        <f t="shared" si="104"/>
        <v>Month</v>
      </c>
      <c r="U3361">
        <f>VLOOKUP(T3361,[1]tablescore!$B$3:$C$8, 2,FALSE)</f>
        <v>12</v>
      </c>
      <c r="V3361" t="str">
        <f t="shared" si="105"/>
        <v>Moderate</v>
      </c>
      <c r="W3361" t="s">
        <v>88</v>
      </c>
    </row>
    <row r="3362" spans="1:23" x14ac:dyDescent="0.25">
      <c r="A3362">
        <v>3361</v>
      </c>
      <c r="B3362">
        <v>22</v>
      </c>
      <c r="C3362" t="str" cm="1">
        <f t="array" ref="C3362">_xlfn.IFS(
  AND(B3362&gt;=18, B3362&lt;=24), "18-24",
  AND(B3362&gt;=25, B3362&lt;=34), "25-34",
  AND(B3362&gt;=35, B3362&lt;=44), "35-44",
  AND(B3362&gt;=45, B3362&lt;=54), "45-54",
  B3362&gt;=55, "55+"
)</f>
        <v>18-24</v>
      </c>
      <c r="D3362" t="s">
        <v>153</v>
      </c>
      <c r="E3362" t="s">
        <v>102</v>
      </c>
      <c r="F3362" t="s">
        <v>65</v>
      </c>
      <c r="G3362">
        <v>81</v>
      </c>
      <c r="H3362" t="s">
        <v>134</v>
      </c>
      <c r="I3362" t="s">
        <v>45</v>
      </c>
      <c r="J3362" t="s">
        <v>33</v>
      </c>
      <c r="K3362" t="s">
        <v>39</v>
      </c>
      <c r="L3362">
        <v>3.3</v>
      </c>
      <c r="M3362" t="s">
        <v>152</v>
      </c>
      <c r="N3362" t="s">
        <v>29</v>
      </c>
      <c r="O3362" t="s">
        <v>72</v>
      </c>
      <c r="P3362" t="s">
        <v>152</v>
      </c>
      <c r="Q3362" t="s">
        <v>152</v>
      </c>
      <c r="R3362">
        <v>47</v>
      </c>
      <c r="S3362" t="s">
        <v>35</v>
      </c>
      <c r="T3362" t="str">
        <f t="shared" si="104"/>
        <v>Quarterly</v>
      </c>
      <c r="U3362">
        <f>VLOOKUP(T3362,[1]tablescore!$B$3:$C$8, 2,FALSE)</f>
        <v>4</v>
      </c>
      <c r="V3362" t="str">
        <f t="shared" si="105"/>
        <v>Low Loyalty</v>
      </c>
      <c r="W3362" t="s">
        <v>97</v>
      </c>
    </row>
    <row r="3363" spans="1:23" x14ac:dyDescent="0.25">
      <c r="A3363">
        <v>3362</v>
      </c>
      <c r="B3363">
        <v>47</v>
      </c>
      <c r="C3363" t="str" cm="1">
        <f t="array" ref="C3363">_xlfn.IFS(
  AND(B3363&gt;=18, B3363&lt;=24), "18-24",
  AND(B3363&gt;=25, B3363&lt;=34), "25-34",
  AND(B3363&gt;=35, B3363&lt;=44), "35-44",
  AND(B3363&gt;=45, B3363&lt;=54), "45-54",
  B3363&gt;=55, "55+"
)</f>
        <v>45-54</v>
      </c>
      <c r="D3363" t="s">
        <v>153</v>
      </c>
      <c r="E3363" t="s">
        <v>73</v>
      </c>
      <c r="F3363" t="s">
        <v>43</v>
      </c>
      <c r="G3363">
        <v>26</v>
      </c>
      <c r="H3363" t="s">
        <v>103</v>
      </c>
      <c r="I3363" t="s">
        <v>45</v>
      </c>
      <c r="J3363" t="s">
        <v>67</v>
      </c>
      <c r="K3363" t="s">
        <v>39</v>
      </c>
      <c r="L3363">
        <v>4.0999999999999996</v>
      </c>
      <c r="M3363" t="s">
        <v>152</v>
      </c>
      <c r="N3363" t="s">
        <v>27</v>
      </c>
      <c r="O3363" t="s">
        <v>40</v>
      </c>
      <c r="P3363" t="s">
        <v>152</v>
      </c>
      <c r="Q3363" t="s">
        <v>152</v>
      </c>
      <c r="R3363">
        <v>47</v>
      </c>
      <c r="S3363" t="s">
        <v>27</v>
      </c>
      <c r="T3363" t="str">
        <f t="shared" si="104"/>
        <v>2-week</v>
      </c>
      <c r="U3363">
        <f>VLOOKUP(T3363,[1]tablescore!$B$3:$C$8, 2,FALSE)</f>
        <v>26</v>
      </c>
      <c r="V3363" t="str">
        <f t="shared" si="105"/>
        <v>Loyal</v>
      </c>
      <c r="W3363" t="s">
        <v>77</v>
      </c>
    </row>
    <row r="3364" spans="1:23" x14ac:dyDescent="0.25">
      <c r="A3364">
        <v>3363</v>
      </c>
      <c r="B3364">
        <v>50</v>
      </c>
      <c r="C3364" t="str" cm="1">
        <f t="array" ref="C3364">_xlfn.IFS(
  AND(B3364&gt;=18, B3364&lt;=24), "18-24",
  AND(B3364&gt;=25, B3364&lt;=34), "25-34",
  AND(B3364&gt;=35, B3364&lt;=44), "35-44",
  AND(B3364&gt;=45, B3364&lt;=54), "45-54",
  B3364&gt;=55, "55+"
)</f>
        <v>45-54</v>
      </c>
      <c r="D3364" t="s">
        <v>153</v>
      </c>
      <c r="E3364" t="s">
        <v>68</v>
      </c>
      <c r="F3364" t="s">
        <v>69</v>
      </c>
      <c r="G3364">
        <v>61</v>
      </c>
      <c r="H3364" t="s">
        <v>122</v>
      </c>
      <c r="I3364" t="s">
        <v>45</v>
      </c>
      <c r="J3364" t="s">
        <v>24</v>
      </c>
      <c r="K3364" t="s">
        <v>54</v>
      </c>
      <c r="L3364">
        <v>3</v>
      </c>
      <c r="M3364" t="s">
        <v>152</v>
      </c>
      <c r="N3364" t="s">
        <v>27</v>
      </c>
      <c r="O3364" t="s">
        <v>47</v>
      </c>
      <c r="P3364" t="s">
        <v>152</v>
      </c>
      <c r="Q3364" t="s">
        <v>152</v>
      </c>
      <c r="R3364">
        <v>48</v>
      </c>
      <c r="S3364" t="s">
        <v>29</v>
      </c>
      <c r="T3364" t="str">
        <f t="shared" si="104"/>
        <v>2-week</v>
      </c>
      <c r="U3364">
        <f>VLOOKUP(T3364,[1]tablescore!$B$3:$C$8, 2,FALSE)</f>
        <v>26</v>
      </c>
      <c r="V3364" t="str">
        <f t="shared" si="105"/>
        <v>Loyal</v>
      </c>
      <c r="W3364" t="s">
        <v>30</v>
      </c>
    </row>
    <row r="3365" spans="1:23" x14ac:dyDescent="0.25">
      <c r="A3365">
        <v>3364</v>
      </c>
      <c r="B3365">
        <v>58</v>
      </c>
      <c r="C3365" t="str" cm="1">
        <f t="array" ref="C3365">_xlfn.IFS(
  AND(B3365&gt;=18, B3365&lt;=24), "18-24",
  AND(B3365&gt;=25, B3365&lt;=34), "25-34",
  AND(B3365&gt;=35, B3365&lt;=44), "35-44",
  AND(B3365&gt;=45, B3365&lt;=54), "45-54",
  B3365&gt;=55, "55+"
)</f>
        <v>55+</v>
      </c>
      <c r="D3365" t="s">
        <v>153</v>
      </c>
      <c r="E3365" t="s">
        <v>31</v>
      </c>
      <c r="F3365" t="s">
        <v>21</v>
      </c>
      <c r="G3365">
        <v>23</v>
      </c>
      <c r="H3365" t="s">
        <v>99</v>
      </c>
      <c r="I3365" t="s">
        <v>45</v>
      </c>
      <c r="J3365" t="s">
        <v>49</v>
      </c>
      <c r="K3365" t="s">
        <v>25</v>
      </c>
      <c r="L3365">
        <v>3</v>
      </c>
      <c r="M3365" t="s">
        <v>152</v>
      </c>
      <c r="N3365" t="s">
        <v>46</v>
      </c>
      <c r="O3365" t="s">
        <v>47</v>
      </c>
      <c r="P3365" t="s">
        <v>152</v>
      </c>
      <c r="Q3365" t="s">
        <v>152</v>
      </c>
      <c r="R3365">
        <v>46</v>
      </c>
      <c r="S3365" t="s">
        <v>34</v>
      </c>
      <c r="T3365" t="str">
        <f t="shared" si="104"/>
        <v>2-week</v>
      </c>
      <c r="U3365">
        <f>VLOOKUP(T3365,[1]tablescore!$B$3:$C$8, 2,FALSE)</f>
        <v>26</v>
      </c>
      <c r="V3365" t="str">
        <f t="shared" si="105"/>
        <v>Loyal</v>
      </c>
      <c r="W3365" t="s">
        <v>77</v>
      </c>
    </row>
    <row r="3366" spans="1:23" x14ac:dyDescent="0.25">
      <c r="A3366">
        <v>3365</v>
      </c>
      <c r="B3366">
        <v>50</v>
      </c>
      <c r="C3366" t="str" cm="1">
        <f t="array" ref="C3366">_xlfn.IFS(
  AND(B3366&gt;=18, B3366&lt;=24), "18-24",
  AND(B3366&gt;=25, B3366&lt;=34), "25-34",
  AND(B3366&gt;=35, B3366&lt;=44), "35-44",
  AND(B3366&gt;=45, B3366&lt;=54), "45-54",
  B3366&gt;=55, "55+"
)</f>
        <v>45-54</v>
      </c>
      <c r="D3366" t="s">
        <v>153</v>
      </c>
      <c r="E3366" t="s">
        <v>119</v>
      </c>
      <c r="F3366" t="s">
        <v>69</v>
      </c>
      <c r="G3366">
        <v>33</v>
      </c>
      <c r="H3366" t="s">
        <v>48</v>
      </c>
      <c r="I3366" t="s">
        <v>45</v>
      </c>
      <c r="J3366" t="s">
        <v>100</v>
      </c>
      <c r="K3366" t="s">
        <v>58</v>
      </c>
      <c r="L3366">
        <v>3.2</v>
      </c>
      <c r="M3366" t="s">
        <v>152</v>
      </c>
      <c r="N3366" t="s">
        <v>35</v>
      </c>
      <c r="O3366" t="s">
        <v>55</v>
      </c>
      <c r="P3366" t="s">
        <v>152</v>
      </c>
      <c r="Q3366" t="s">
        <v>152</v>
      </c>
      <c r="R3366">
        <v>7</v>
      </c>
      <c r="S3366" t="s">
        <v>27</v>
      </c>
      <c r="T3366" t="str">
        <f t="shared" si="104"/>
        <v>Month</v>
      </c>
      <c r="U3366">
        <f>VLOOKUP(T3366,[1]tablescore!$B$3:$C$8, 2,FALSE)</f>
        <v>12</v>
      </c>
      <c r="V3366" t="str">
        <f t="shared" si="105"/>
        <v>Moderate</v>
      </c>
      <c r="W3366" t="s">
        <v>88</v>
      </c>
    </row>
    <row r="3367" spans="1:23" x14ac:dyDescent="0.25">
      <c r="A3367">
        <v>3366</v>
      </c>
      <c r="B3367">
        <v>43</v>
      </c>
      <c r="C3367" t="str" cm="1">
        <f t="array" ref="C3367">_xlfn.IFS(
  AND(B3367&gt;=18, B3367&lt;=24), "18-24",
  AND(B3367&gt;=25, B3367&lt;=34), "25-34",
  AND(B3367&gt;=35, B3367&lt;=44), "35-44",
  AND(B3367&gt;=45, B3367&lt;=54), "45-54",
  B3367&gt;=55, "55+"
)</f>
        <v>35-44</v>
      </c>
      <c r="D3367" t="s">
        <v>153</v>
      </c>
      <c r="E3367" t="s">
        <v>87</v>
      </c>
      <c r="F3367" t="s">
        <v>21</v>
      </c>
      <c r="G3367">
        <v>58</v>
      </c>
      <c r="H3367" t="s">
        <v>122</v>
      </c>
      <c r="I3367" t="s">
        <v>23</v>
      </c>
      <c r="J3367" t="s">
        <v>86</v>
      </c>
      <c r="K3367" t="s">
        <v>58</v>
      </c>
      <c r="L3367">
        <v>3.9</v>
      </c>
      <c r="M3367" t="s">
        <v>152</v>
      </c>
      <c r="N3367" t="s">
        <v>34</v>
      </c>
      <c r="O3367" t="s">
        <v>28</v>
      </c>
      <c r="P3367" t="s">
        <v>152</v>
      </c>
      <c r="Q3367" t="s">
        <v>152</v>
      </c>
      <c r="R3367">
        <v>45</v>
      </c>
      <c r="S3367" t="s">
        <v>27</v>
      </c>
      <c r="T3367" t="str">
        <f t="shared" si="104"/>
        <v>Quarterly</v>
      </c>
      <c r="U3367">
        <f>VLOOKUP(T3367,[1]tablescore!$B$3:$C$8, 2,FALSE)</f>
        <v>4</v>
      </c>
      <c r="V3367" t="str">
        <f t="shared" si="105"/>
        <v>Low Loyalty</v>
      </c>
      <c r="W3367" t="s">
        <v>97</v>
      </c>
    </row>
    <row r="3368" spans="1:23" x14ac:dyDescent="0.25">
      <c r="A3368">
        <v>3367</v>
      </c>
      <c r="B3368">
        <v>38</v>
      </c>
      <c r="C3368" t="str" cm="1">
        <f t="array" ref="C3368">_xlfn.IFS(
  AND(B3368&gt;=18, B3368&lt;=24), "18-24",
  AND(B3368&gt;=25, B3368&lt;=34), "25-34",
  AND(B3368&gt;=35, B3368&lt;=44), "35-44",
  AND(B3368&gt;=45, B3368&lt;=54), "45-54",
  B3368&gt;=55, "55+"
)</f>
        <v>35-44</v>
      </c>
      <c r="D3368" t="s">
        <v>153</v>
      </c>
      <c r="E3368" t="s">
        <v>127</v>
      </c>
      <c r="F3368" t="s">
        <v>69</v>
      </c>
      <c r="G3368">
        <v>65</v>
      </c>
      <c r="H3368" t="s">
        <v>98</v>
      </c>
      <c r="I3368" t="s">
        <v>45</v>
      </c>
      <c r="J3368" t="s">
        <v>108</v>
      </c>
      <c r="K3368" t="s">
        <v>39</v>
      </c>
      <c r="L3368">
        <v>3.6</v>
      </c>
      <c r="M3368" t="s">
        <v>152</v>
      </c>
      <c r="N3368" t="s">
        <v>29</v>
      </c>
      <c r="O3368" t="s">
        <v>72</v>
      </c>
      <c r="P3368" t="s">
        <v>152</v>
      </c>
      <c r="Q3368" t="s">
        <v>152</v>
      </c>
      <c r="R3368">
        <v>47</v>
      </c>
      <c r="S3368" t="s">
        <v>59</v>
      </c>
      <c r="T3368" t="str">
        <f t="shared" si="104"/>
        <v>Quarterly</v>
      </c>
      <c r="U3368">
        <f>VLOOKUP(T3368,[1]tablescore!$B$3:$C$8, 2,FALSE)</f>
        <v>4</v>
      </c>
      <c r="V3368" t="str">
        <f t="shared" si="105"/>
        <v>Low Loyalty</v>
      </c>
      <c r="W3368" t="s">
        <v>60</v>
      </c>
    </row>
    <row r="3369" spans="1:23" x14ac:dyDescent="0.25">
      <c r="A3369">
        <v>3368</v>
      </c>
      <c r="B3369">
        <v>44</v>
      </c>
      <c r="C3369" t="str" cm="1">
        <f t="array" ref="C3369">_xlfn.IFS(
  AND(B3369&gt;=18, B3369&lt;=24), "18-24",
  AND(B3369&gt;=25, B3369&lt;=34), "25-34",
  AND(B3369&gt;=35, B3369&lt;=44), "35-44",
  AND(B3369&gt;=45, B3369&lt;=54), "45-54",
  B3369&gt;=55, "55+"
)</f>
        <v>35-44</v>
      </c>
      <c r="D3369" t="s">
        <v>153</v>
      </c>
      <c r="E3369" t="s">
        <v>113</v>
      </c>
      <c r="F3369" t="s">
        <v>21</v>
      </c>
      <c r="G3369">
        <v>48</v>
      </c>
      <c r="H3369" t="s">
        <v>122</v>
      </c>
      <c r="I3369" t="s">
        <v>45</v>
      </c>
      <c r="J3369" t="s">
        <v>138</v>
      </c>
      <c r="K3369" t="s">
        <v>54</v>
      </c>
      <c r="L3369">
        <v>3.1</v>
      </c>
      <c r="M3369" t="s">
        <v>152</v>
      </c>
      <c r="N3369" t="s">
        <v>27</v>
      </c>
      <c r="O3369" t="s">
        <v>76</v>
      </c>
      <c r="P3369" t="s">
        <v>152</v>
      </c>
      <c r="Q3369" t="s">
        <v>152</v>
      </c>
      <c r="R3369">
        <v>6</v>
      </c>
      <c r="S3369" t="s">
        <v>29</v>
      </c>
      <c r="T3369" t="str">
        <f t="shared" si="104"/>
        <v>2-week</v>
      </c>
      <c r="U3369">
        <f>VLOOKUP(T3369,[1]tablescore!$B$3:$C$8, 2,FALSE)</f>
        <v>26</v>
      </c>
      <c r="V3369" t="str">
        <f t="shared" si="105"/>
        <v>Loyal</v>
      </c>
      <c r="W3369" t="s">
        <v>30</v>
      </c>
    </row>
    <row r="3370" spans="1:23" x14ac:dyDescent="0.25">
      <c r="A3370">
        <v>3369</v>
      </c>
      <c r="B3370">
        <v>30</v>
      </c>
      <c r="C3370" t="str" cm="1">
        <f t="array" ref="C3370">_xlfn.IFS(
  AND(B3370&gt;=18, B3370&lt;=24), "18-24",
  AND(B3370&gt;=25, B3370&lt;=34), "25-34",
  AND(B3370&gt;=35, B3370&lt;=44), "35-44",
  AND(B3370&gt;=45, B3370&lt;=54), "45-54",
  B3370&gt;=55, "55+"
)</f>
        <v>25-34</v>
      </c>
      <c r="D3370" t="s">
        <v>153</v>
      </c>
      <c r="E3370" t="s">
        <v>42</v>
      </c>
      <c r="F3370" t="s">
        <v>43</v>
      </c>
      <c r="G3370">
        <v>25</v>
      </c>
      <c r="H3370" t="s">
        <v>143</v>
      </c>
      <c r="I3370" t="s">
        <v>45</v>
      </c>
      <c r="J3370" t="s">
        <v>138</v>
      </c>
      <c r="K3370" t="s">
        <v>39</v>
      </c>
      <c r="L3370">
        <v>4.8</v>
      </c>
      <c r="M3370" t="s">
        <v>152</v>
      </c>
      <c r="N3370" t="s">
        <v>35</v>
      </c>
      <c r="O3370" t="s">
        <v>28</v>
      </c>
      <c r="P3370" t="s">
        <v>152</v>
      </c>
      <c r="Q3370" t="s">
        <v>152</v>
      </c>
      <c r="R3370">
        <v>29</v>
      </c>
      <c r="S3370" t="s">
        <v>34</v>
      </c>
      <c r="T3370" t="str">
        <f t="shared" si="104"/>
        <v>Quarterly</v>
      </c>
      <c r="U3370">
        <f>VLOOKUP(T3370,[1]tablescore!$B$3:$C$8, 2,FALSE)</f>
        <v>4</v>
      </c>
      <c r="V3370" t="str">
        <f t="shared" si="105"/>
        <v>Low Loyalty</v>
      </c>
      <c r="W3370" t="s">
        <v>97</v>
      </c>
    </row>
    <row r="3371" spans="1:23" x14ac:dyDescent="0.25">
      <c r="A3371">
        <v>3370</v>
      </c>
      <c r="B3371">
        <v>47</v>
      </c>
      <c r="C3371" t="str" cm="1">
        <f t="array" ref="C3371">_xlfn.IFS(
  AND(B3371&gt;=18, B3371&lt;=24), "18-24",
  AND(B3371&gt;=25, B3371&lt;=34), "25-34",
  AND(B3371&gt;=35, B3371&lt;=44), "35-44",
  AND(B3371&gt;=45, B3371&lt;=54), "45-54",
  B3371&gt;=55, "55+"
)</f>
        <v>45-54</v>
      </c>
      <c r="D3371" t="s">
        <v>153</v>
      </c>
      <c r="E3371" t="s">
        <v>31</v>
      </c>
      <c r="F3371" t="s">
        <v>21</v>
      </c>
      <c r="G3371">
        <v>51</v>
      </c>
      <c r="H3371" t="s">
        <v>32</v>
      </c>
      <c r="I3371" t="s">
        <v>45</v>
      </c>
      <c r="J3371" t="s">
        <v>129</v>
      </c>
      <c r="K3371" t="s">
        <v>25</v>
      </c>
      <c r="L3371">
        <v>3.8</v>
      </c>
      <c r="M3371" t="s">
        <v>152</v>
      </c>
      <c r="N3371" t="s">
        <v>59</v>
      </c>
      <c r="O3371" t="s">
        <v>72</v>
      </c>
      <c r="P3371" t="s">
        <v>152</v>
      </c>
      <c r="Q3371" t="s">
        <v>152</v>
      </c>
      <c r="R3371">
        <v>42</v>
      </c>
      <c r="S3371" t="s">
        <v>35</v>
      </c>
      <c r="T3371" t="str">
        <f t="shared" si="104"/>
        <v>Month</v>
      </c>
      <c r="U3371">
        <f>VLOOKUP(T3371,[1]tablescore!$B$3:$C$8, 2,FALSE)</f>
        <v>12</v>
      </c>
      <c r="V3371" t="str">
        <f t="shared" si="105"/>
        <v>Moderate</v>
      </c>
      <c r="W3371" t="s">
        <v>88</v>
      </c>
    </row>
    <row r="3372" spans="1:23" x14ac:dyDescent="0.25">
      <c r="A3372">
        <v>3371</v>
      </c>
      <c r="B3372">
        <v>30</v>
      </c>
      <c r="C3372" t="str" cm="1">
        <f t="array" ref="C3372">_xlfn.IFS(
  AND(B3372&gt;=18, B3372&lt;=24), "18-24",
  AND(B3372&gt;=25, B3372&lt;=34), "25-34",
  AND(B3372&gt;=35, B3372&lt;=44), "35-44",
  AND(B3372&gt;=45, B3372&lt;=54), "45-54",
  B3372&gt;=55, "55+"
)</f>
        <v>25-34</v>
      </c>
      <c r="D3372" t="s">
        <v>153</v>
      </c>
      <c r="E3372" t="s">
        <v>136</v>
      </c>
      <c r="F3372" t="s">
        <v>69</v>
      </c>
      <c r="G3372">
        <v>31</v>
      </c>
      <c r="H3372" t="s">
        <v>115</v>
      </c>
      <c r="I3372" t="s">
        <v>45</v>
      </c>
      <c r="J3372" t="s">
        <v>63</v>
      </c>
      <c r="K3372" t="s">
        <v>54</v>
      </c>
      <c r="L3372">
        <v>2.8</v>
      </c>
      <c r="M3372" t="s">
        <v>152</v>
      </c>
      <c r="N3372" t="s">
        <v>29</v>
      </c>
      <c r="O3372" t="s">
        <v>76</v>
      </c>
      <c r="P3372" t="s">
        <v>152</v>
      </c>
      <c r="Q3372" t="s">
        <v>152</v>
      </c>
      <c r="R3372">
        <v>46</v>
      </c>
      <c r="S3372" t="s">
        <v>35</v>
      </c>
      <c r="T3372" t="str">
        <f t="shared" si="104"/>
        <v>2-week</v>
      </c>
      <c r="U3372">
        <f>VLOOKUP(T3372,[1]tablescore!$B$3:$C$8, 2,FALSE)</f>
        <v>26</v>
      </c>
      <c r="V3372" t="str">
        <f t="shared" si="105"/>
        <v>Loyal</v>
      </c>
      <c r="W3372" t="s">
        <v>30</v>
      </c>
    </row>
    <row r="3373" spans="1:23" x14ac:dyDescent="0.25">
      <c r="A3373">
        <v>3372</v>
      </c>
      <c r="B3373">
        <v>49</v>
      </c>
      <c r="C3373" t="str" cm="1">
        <f t="array" ref="C3373">_xlfn.IFS(
  AND(B3373&gt;=18, B3373&lt;=24), "18-24",
  AND(B3373&gt;=25, B3373&lt;=34), "25-34",
  AND(B3373&gt;=35, B3373&lt;=44), "35-44",
  AND(B3373&gt;=45, B3373&lt;=54), "45-54",
  B3373&gt;=55, "55+"
)</f>
        <v>45-54</v>
      </c>
      <c r="D3373" t="s">
        <v>153</v>
      </c>
      <c r="E3373" t="s">
        <v>104</v>
      </c>
      <c r="F3373" t="s">
        <v>21</v>
      </c>
      <c r="G3373">
        <v>99</v>
      </c>
      <c r="H3373" t="s">
        <v>112</v>
      </c>
      <c r="I3373" t="s">
        <v>38</v>
      </c>
      <c r="J3373" t="s">
        <v>49</v>
      </c>
      <c r="K3373" t="s">
        <v>25</v>
      </c>
      <c r="L3373">
        <v>4</v>
      </c>
      <c r="M3373" t="s">
        <v>152</v>
      </c>
      <c r="N3373" t="s">
        <v>46</v>
      </c>
      <c r="O3373" t="s">
        <v>47</v>
      </c>
      <c r="P3373" t="s">
        <v>152</v>
      </c>
      <c r="Q3373" t="s">
        <v>152</v>
      </c>
      <c r="R3373">
        <v>28</v>
      </c>
      <c r="S3373" t="s">
        <v>46</v>
      </c>
      <c r="T3373" t="str">
        <f t="shared" si="104"/>
        <v>Annually</v>
      </c>
      <c r="U3373">
        <f>VLOOKUP(T3373,[1]tablescore!$B$3:$C$8, 2,FALSE)</f>
        <v>1</v>
      </c>
      <c r="V3373" t="str">
        <f t="shared" si="105"/>
        <v>Low Loyalty</v>
      </c>
      <c r="W3373" t="s">
        <v>50</v>
      </c>
    </row>
    <row r="3374" spans="1:23" x14ac:dyDescent="0.25">
      <c r="A3374">
        <v>3373</v>
      </c>
      <c r="B3374">
        <v>56</v>
      </c>
      <c r="C3374" t="str" cm="1">
        <f t="array" ref="C3374">_xlfn.IFS(
  AND(B3374&gt;=18, B3374&lt;=24), "18-24",
  AND(B3374&gt;=25, B3374&lt;=34), "25-34",
  AND(B3374&gt;=35, B3374&lt;=44), "35-44",
  AND(B3374&gt;=45, B3374&lt;=54), "45-54",
  B3374&gt;=55, "55+"
)</f>
        <v>55+</v>
      </c>
      <c r="D3374" t="s">
        <v>153</v>
      </c>
      <c r="E3374" t="s">
        <v>131</v>
      </c>
      <c r="F3374" t="s">
        <v>21</v>
      </c>
      <c r="G3374">
        <v>25</v>
      </c>
      <c r="H3374" t="s">
        <v>141</v>
      </c>
      <c r="I3374" t="s">
        <v>45</v>
      </c>
      <c r="J3374" t="s">
        <v>33</v>
      </c>
      <c r="K3374" t="s">
        <v>25</v>
      </c>
      <c r="L3374">
        <v>4.5999999999999996</v>
      </c>
      <c r="M3374" t="s">
        <v>152</v>
      </c>
      <c r="N3374" t="s">
        <v>27</v>
      </c>
      <c r="O3374" t="s">
        <v>40</v>
      </c>
      <c r="P3374" t="s">
        <v>152</v>
      </c>
      <c r="Q3374" t="s">
        <v>152</v>
      </c>
      <c r="R3374">
        <v>14</v>
      </c>
      <c r="S3374" t="s">
        <v>27</v>
      </c>
      <c r="T3374" t="str">
        <f t="shared" si="104"/>
        <v>Quarterly</v>
      </c>
      <c r="U3374">
        <f>VLOOKUP(T3374,[1]tablescore!$B$3:$C$8, 2,FALSE)</f>
        <v>4</v>
      </c>
      <c r="V3374" t="str">
        <f t="shared" si="105"/>
        <v>Low Loyalty</v>
      </c>
      <c r="W3374" t="s">
        <v>97</v>
      </c>
    </row>
    <row r="3375" spans="1:23" x14ac:dyDescent="0.25">
      <c r="A3375">
        <v>3374</v>
      </c>
      <c r="B3375">
        <v>70</v>
      </c>
      <c r="C3375" t="str" cm="1">
        <f t="array" ref="C3375">_xlfn.IFS(
  AND(B3375&gt;=18, B3375&lt;=24), "18-24",
  AND(B3375&gt;=25, B3375&lt;=34), "25-34",
  AND(B3375&gt;=35, B3375&lt;=44), "35-44",
  AND(B3375&gt;=45, B3375&lt;=54), "45-54",
  B3375&gt;=55, "55+"
)</f>
        <v>55+</v>
      </c>
      <c r="D3375" t="s">
        <v>153</v>
      </c>
      <c r="E3375" t="s">
        <v>42</v>
      </c>
      <c r="F3375" t="s">
        <v>43</v>
      </c>
      <c r="G3375">
        <v>52</v>
      </c>
      <c r="H3375" t="s">
        <v>134</v>
      </c>
      <c r="I3375" t="s">
        <v>45</v>
      </c>
      <c r="J3375" t="s">
        <v>75</v>
      </c>
      <c r="K3375" t="s">
        <v>39</v>
      </c>
      <c r="L3375">
        <v>3.5</v>
      </c>
      <c r="M3375" t="s">
        <v>152</v>
      </c>
      <c r="N3375" t="s">
        <v>59</v>
      </c>
      <c r="O3375" t="s">
        <v>76</v>
      </c>
      <c r="P3375" t="s">
        <v>152</v>
      </c>
      <c r="Q3375" t="s">
        <v>152</v>
      </c>
      <c r="R3375">
        <v>12</v>
      </c>
      <c r="S3375" t="s">
        <v>59</v>
      </c>
      <c r="T3375" t="str">
        <f t="shared" si="104"/>
        <v>Quarterly</v>
      </c>
      <c r="U3375">
        <f>VLOOKUP(T3375,[1]tablescore!$B$3:$C$8, 2,FALSE)</f>
        <v>4</v>
      </c>
      <c r="V3375" t="str">
        <f t="shared" si="105"/>
        <v>Low Loyalty</v>
      </c>
      <c r="W3375" t="s">
        <v>97</v>
      </c>
    </row>
    <row r="3376" spans="1:23" x14ac:dyDescent="0.25">
      <c r="A3376">
        <v>3375</v>
      </c>
      <c r="B3376">
        <v>22</v>
      </c>
      <c r="C3376" t="str" cm="1">
        <f t="array" ref="C3376">_xlfn.IFS(
  AND(B3376&gt;=18, B3376&lt;=24), "18-24",
  AND(B3376&gt;=25, B3376&lt;=34), "25-34",
  AND(B3376&gt;=35, B3376&lt;=44), "35-44",
  AND(B3376&gt;=45, B3376&lt;=54), "45-54",
  B3376&gt;=55, "55+"
)</f>
        <v>18-24</v>
      </c>
      <c r="D3376" t="s">
        <v>153</v>
      </c>
      <c r="E3376" t="s">
        <v>20</v>
      </c>
      <c r="F3376" t="s">
        <v>21</v>
      </c>
      <c r="G3376">
        <v>47</v>
      </c>
      <c r="H3376" t="s">
        <v>107</v>
      </c>
      <c r="I3376" t="s">
        <v>38</v>
      </c>
      <c r="J3376" t="s">
        <v>93</v>
      </c>
      <c r="K3376" t="s">
        <v>39</v>
      </c>
      <c r="L3376">
        <v>3.7</v>
      </c>
      <c r="M3376" t="s">
        <v>152</v>
      </c>
      <c r="N3376" t="s">
        <v>59</v>
      </c>
      <c r="O3376" t="s">
        <v>72</v>
      </c>
      <c r="P3376" t="s">
        <v>152</v>
      </c>
      <c r="Q3376" t="s">
        <v>152</v>
      </c>
      <c r="R3376">
        <v>41</v>
      </c>
      <c r="S3376" t="s">
        <v>59</v>
      </c>
      <c r="T3376" t="str">
        <f t="shared" si="104"/>
        <v>Annually</v>
      </c>
      <c r="U3376">
        <f>VLOOKUP(T3376,[1]tablescore!$B$3:$C$8, 2,FALSE)</f>
        <v>1</v>
      </c>
      <c r="V3376" t="str">
        <f t="shared" si="105"/>
        <v>Low Loyalty</v>
      </c>
      <c r="W3376" t="s">
        <v>50</v>
      </c>
    </row>
    <row r="3377" spans="1:23" x14ac:dyDescent="0.25">
      <c r="A3377">
        <v>3376</v>
      </c>
      <c r="B3377">
        <v>51</v>
      </c>
      <c r="C3377" t="str" cm="1">
        <f t="array" ref="C3377">_xlfn.IFS(
  AND(B3377&gt;=18, B3377&lt;=24), "18-24",
  AND(B3377&gt;=25, B3377&lt;=34), "25-34",
  AND(B3377&gt;=35, B3377&lt;=44), "35-44",
  AND(B3377&gt;=45, B3377&lt;=54), "45-54",
  B3377&gt;=55, "55+"
)</f>
        <v>45-54</v>
      </c>
      <c r="D3377" t="s">
        <v>153</v>
      </c>
      <c r="E3377" t="s">
        <v>132</v>
      </c>
      <c r="F3377" t="s">
        <v>43</v>
      </c>
      <c r="G3377">
        <v>98</v>
      </c>
      <c r="H3377" t="s">
        <v>146</v>
      </c>
      <c r="I3377" t="s">
        <v>92</v>
      </c>
      <c r="J3377" t="s">
        <v>139</v>
      </c>
      <c r="K3377" t="s">
        <v>58</v>
      </c>
      <c r="L3377">
        <v>4.9000000000000004</v>
      </c>
      <c r="M3377" t="s">
        <v>152</v>
      </c>
      <c r="N3377" t="s">
        <v>59</v>
      </c>
      <c r="O3377" t="s">
        <v>28</v>
      </c>
      <c r="P3377" t="s">
        <v>152</v>
      </c>
      <c r="Q3377" t="s">
        <v>152</v>
      </c>
      <c r="R3377">
        <v>8</v>
      </c>
      <c r="S3377" t="s">
        <v>27</v>
      </c>
      <c r="T3377" t="str">
        <f t="shared" si="104"/>
        <v>Annually</v>
      </c>
      <c r="U3377">
        <f>VLOOKUP(T3377,[1]tablescore!$B$3:$C$8, 2,FALSE)</f>
        <v>1</v>
      </c>
      <c r="V3377" t="str">
        <f t="shared" si="105"/>
        <v>Low Loyalty</v>
      </c>
      <c r="W3377" t="s">
        <v>50</v>
      </c>
    </row>
    <row r="3378" spans="1:23" x14ac:dyDescent="0.25">
      <c r="A3378">
        <v>3377</v>
      </c>
      <c r="B3378">
        <v>22</v>
      </c>
      <c r="C3378" t="str" cm="1">
        <f t="array" ref="C3378">_xlfn.IFS(
  AND(B3378&gt;=18, B3378&lt;=24), "18-24",
  AND(B3378&gt;=25, B3378&lt;=34), "25-34",
  AND(B3378&gt;=35, B3378&lt;=44), "35-44",
  AND(B3378&gt;=45, B3378&lt;=54), "45-54",
  B3378&gt;=55, "55+"
)</f>
        <v>18-24</v>
      </c>
      <c r="D3378" t="s">
        <v>153</v>
      </c>
      <c r="E3378" t="s">
        <v>125</v>
      </c>
      <c r="F3378" t="s">
        <v>69</v>
      </c>
      <c r="G3378">
        <v>46</v>
      </c>
      <c r="H3378" t="s">
        <v>124</v>
      </c>
      <c r="I3378" t="s">
        <v>45</v>
      </c>
      <c r="J3378" t="s">
        <v>96</v>
      </c>
      <c r="K3378" t="s">
        <v>25</v>
      </c>
      <c r="L3378">
        <v>4.0999999999999996</v>
      </c>
      <c r="M3378" t="s">
        <v>152</v>
      </c>
      <c r="N3378" t="s">
        <v>27</v>
      </c>
      <c r="O3378" t="s">
        <v>76</v>
      </c>
      <c r="P3378" t="s">
        <v>152</v>
      </c>
      <c r="Q3378" t="s">
        <v>152</v>
      </c>
      <c r="R3378">
        <v>24</v>
      </c>
      <c r="S3378" t="s">
        <v>35</v>
      </c>
      <c r="T3378" t="str">
        <f t="shared" si="104"/>
        <v>Quarterly</v>
      </c>
      <c r="U3378">
        <f>VLOOKUP(T3378,[1]tablescore!$B$3:$C$8, 2,FALSE)</f>
        <v>4</v>
      </c>
      <c r="V3378" t="str">
        <f t="shared" si="105"/>
        <v>Low Loyalty</v>
      </c>
      <c r="W3378" t="s">
        <v>60</v>
      </c>
    </row>
    <row r="3379" spans="1:23" x14ac:dyDescent="0.25">
      <c r="A3379">
        <v>3378</v>
      </c>
      <c r="B3379">
        <v>37</v>
      </c>
      <c r="C3379" t="str" cm="1">
        <f t="array" ref="C3379">_xlfn.IFS(
  AND(B3379&gt;=18, B3379&lt;=24), "18-24",
  AND(B3379&gt;=25, B3379&lt;=34), "25-34",
  AND(B3379&gt;=35, B3379&lt;=44), "35-44",
  AND(B3379&gt;=45, B3379&lt;=54), "45-54",
  B3379&gt;=55, "55+"
)</f>
        <v>35-44</v>
      </c>
      <c r="D3379" t="s">
        <v>153</v>
      </c>
      <c r="E3379" t="s">
        <v>56</v>
      </c>
      <c r="F3379" t="s">
        <v>21</v>
      </c>
      <c r="G3379">
        <v>32</v>
      </c>
      <c r="H3379" t="s">
        <v>22</v>
      </c>
      <c r="I3379" t="s">
        <v>45</v>
      </c>
      <c r="J3379" t="s">
        <v>139</v>
      </c>
      <c r="K3379" t="s">
        <v>25</v>
      </c>
      <c r="L3379">
        <v>4.5999999999999996</v>
      </c>
      <c r="M3379" t="s">
        <v>152</v>
      </c>
      <c r="N3379" t="s">
        <v>34</v>
      </c>
      <c r="O3379" t="s">
        <v>47</v>
      </c>
      <c r="P3379" t="s">
        <v>152</v>
      </c>
      <c r="Q3379" t="s">
        <v>152</v>
      </c>
      <c r="R3379">
        <v>18</v>
      </c>
      <c r="S3379" t="s">
        <v>46</v>
      </c>
      <c r="T3379" t="str">
        <f t="shared" si="104"/>
        <v>2-week</v>
      </c>
      <c r="U3379">
        <f>VLOOKUP(T3379,[1]tablescore!$B$3:$C$8, 2,FALSE)</f>
        <v>26</v>
      </c>
      <c r="V3379" t="str">
        <f t="shared" si="105"/>
        <v>Loyal</v>
      </c>
      <c r="W3379" t="s">
        <v>30</v>
      </c>
    </row>
    <row r="3380" spans="1:23" x14ac:dyDescent="0.25">
      <c r="A3380">
        <v>3379</v>
      </c>
      <c r="B3380">
        <v>49</v>
      </c>
      <c r="C3380" t="str" cm="1">
        <f t="array" ref="C3380">_xlfn.IFS(
  AND(B3380&gt;=18, B3380&lt;=24), "18-24",
  AND(B3380&gt;=25, B3380&lt;=34), "25-34",
  AND(B3380&gt;=35, B3380&lt;=44), "35-44",
  AND(B3380&gt;=45, B3380&lt;=54), "45-54",
  B3380&gt;=55, "55+"
)</f>
        <v>45-54</v>
      </c>
      <c r="D3380" t="s">
        <v>153</v>
      </c>
      <c r="E3380" t="s">
        <v>61</v>
      </c>
      <c r="F3380" t="s">
        <v>21</v>
      </c>
      <c r="G3380">
        <v>75</v>
      </c>
      <c r="H3380" t="s">
        <v>134</v>
      </c>
      <c r="I3380" t="s">
        <v>23</v>
      </c>
      <c r="J3380" t="s">
        <v>81</v>
      </c>
      <c r="K3380" t="s">
        <v>58</v>
      </c>
      <c r="L3380">
        <v>4.5</v>
      </c>
      <c r="M3380" t="s">
        <v>152</v>
      </c>
      <c r="N3380" t="s">
        <v>46</v>
      </c>
      <c r="O3380" t="s">
        <v>47</v>
      </c>
      <c r="P3380" t="s">
        <v>152</v>
      </c>
      <c r="Q3380" t="s">
        <v>152</v>
      </c>
      <c r="R3380">
        <v>6</v>
      </c>
      <c r="S3380" t="s">
        <v>35</v>
      </c>
      <c r="T3380" t="str">
        <f t="shared" si="104"/>
        <v>Quarterly</v>
      </c>
      <c r="U3380">
        <f>VLOOKUP(T3380,[1]tablescore!$B$3:$C$8, 2,FALSE)</f>
        <v>4</v>
      </c>
      <c r="V3380" t="str">
        <f t="shared" si="105"/>
        <v>Low Loyalty</v>
      </c>
      <c r="W3380" t="s">
        <v>60</v>
      </c>
    </row>
    <row r="3381" spans="1:23" x14ac:dyDescent="0.25">
      <c r="A3381">
        <v>3380</v>
      </c>
      <c r="B3381">
        <v>61</v>
      </c>
      <c r="C3381" t="str" cm="1">
        <f t="array" ref="C3381">_xlfn.IFS(
  AND(B3381&gt;=18, B3381&lt;=24), "18-24",
  AND(B3381&gt;=25, B3381&lt;=34), "25-34",
  AND(B3381&gt;=35, B3381&lt;=44), "35-44",
  AND(B3381&gt;=45, B3381&lt;=54), "45-54",
  B3381&gt;=55, "55+"
)</f>
        <v>55+</v>
      </c>
      <c r="D3381" t="s">
        <v>153</v>
      </c>
      <c r="E3381" t="s">
        <v>68</v>
      </c>
      <c r="F3381" t="s">
        <v>69</v>
      </c>
      <c r="G3381">
        <v>51</v>
      </c>
      <c r="H3381" t="s">
        <v>122</v>
      </c>
      <c r="I3381" t="s">
        <v>23</v>
      </c>
      <c r="J3381" t="s">
        <v>49</v>
      </c>
      <c r="K3381" t="s">
        <v>54</v>
      </c>
      <c r="L3381">
        <v>5</v>
      </c>
      <c r="M3381" t="s">
        <v>152</v>
      </c>
      <c r="N3381" t="s">
        <v>59</v>
      </c>
      <c r="O3381" t="s">
        <v>76</v>
      </c>
      <c r="P3381" t="s">
        <v>152</v>
      </c>
      <c r="Q3381" t="s">
        <v>152</v>
      </c>
      <c r="R3381">
        <v>40</v>
      </c>
      <c r="S3381" t="s">
        <v>35</v>
      </c>
      <c r="T3381" t="str">
        <f t="shared" si="104"/>
        <v>Daily</v>
      </c>
      <c r="U3381">
        <f>VLOOKUP(T3381,[1]tablescore!$B$3:$C$8, 2,FALSE)</f>
        <v>30</v>
      </c>
      <c r="V3381" t="str">
        <f t="shared" si="105"/>
        <v>Highly Loyal</v>
      </c>
      <c r="W3381" t="s">
        <v>41</v>
      </c>
    </row>
    <row r="3382" spans="1:23" x14ac:dyDescent="0.25">
      <c r="A3382">
        <v>3381</v>
      </c>
      <c r="B3382">
        <v>41</v>
      </c>
      <c r="C3382" t="str" cm="1">
        <f t="array" ref="C3382">_xlfn.IFS(
  AND(B3382&gt;=18, B3382&lt;=24), "18-24",
  AND(B3382&gt;=25, B3382&lt;=34), "25-34",
  AND(B3382&gt;=35, B3382&lt;=44), "35-44",
  AND(B3382&gt;=45, B3382&lt;=54), "45-54",
  B3382&gt;=55, "55+"
)</f>
        <v>35-44</v>
      </c>
      <c r="D3382" t="s">
        <v>153</v>
      </c>
      <c r="E3382" t="s">
        <v>82</v>
      </c>
      <c r="F3382" t="s">
        <v>21</v>
      </c>
      <c r="G3382">
        <v>52</v>
      </c>
      <c r="H3382" t="s">
        <v>114</v>
      </c>
      <c r="I3382" t="s">
        <v>23</v>
      </c>
      <c r="J3382" t="s">
        <v>138</v>
      </c>
      <c r="K3382" t="s">
        <v>54</v>
      </c>
      <c r="L3382">
        <v>3.8</v>
      </c>
      <c r="M3382" t="s">
        <v>152</v>
      </c>
      <c r="N3382" t="s">
        <v>46</v>
      </c>
      <c r="O3382" t="s">
        <v>55</v>
      </c>
      <c r="P3382" t="s">
        <v>152</v>
      </c>
      <c r="Q3382" t="s">
        <v>152</v>
      </c>
      <c r="R3382">
        <v>6</v>
      </c>
      <c r="S3382" t="s">
        <v>46</v>
      </c>
      <c r="T3382" t="str">
        <f t="shared" si="104"/>
        <v>Quarterly</v>
      </c>
      <c r="U3382">
        <f>VLOOKUP(T3382,[1]tablescore!$B$3:$C$8, 2,FALSE)</f>
        <v>4</v>
      </c>
      <c r="V3382" t="str">
        <f t="shared" si="105"/>
        <v>Low Loyalty</v>
      </c>
      <c r="W3382" t="s">
        <v>97</v>
      </c>
    </row>
    <row r="3383" spans="1:23" x14ac:dyDescent="0.25">
      <c r="A3383">
        <v>3382</v>
      </c>
      <c r="B3383">
        <v>57</v>
      </c>
      <c r="C3383" t="str" cm="1">
        <f t="array" ref="C3383">_xlfn.IFS(
  AND(B3383&gt;=18, B3383&lt;=24), "18-24",
  AND(B3383&gt;=25, B3383&lt;=34), "25-34",
  AND(B3383&gt;=35, B3383&lt;=44), "35-44",
  AND(B3383&gt;=45, B3383&lt;=54), "45-54",
  B3383&gt;=55, "55+"
)</f>
        <v>55+</v>
      </c>
      <c r="D3383" t="s">
        <v>153</v>
      </c>
      <c r="E3383" t="s">
        <v>125</v>
      </c>
      <c r="F3383" t="s">
        <v>69</v>
      </c>
      <c r="G3383">
        <v>66</v>
      </c>
      <c r="H3383" t="s">
        <v>134</v>
      </c>
      <c r="I3383" t="s">
        <v>23</v>
      </c>
      <c r="J3383" t="s">
        <v>49</v>
      </c>
      <c r="K3383" t="s">
        <v>25</v>
      </c>
      <c r="L3383">
        <v>4.7</v>
      </c>
      <c r="M3383" t="s">
        <v>152</v>
      </c>
      <c r="N3383" t="s">
        <v>34</v>
      </c>
      <c r="O3383" t="s">
        <v>55</v>
      </c>
      <c r="P3383" t="s">
        <v>152</v>
      </c>
      <c r="Q3383" t="s">
        <v>152</v>
      </c>
      <c r="R3383">
        <v>27</v>
      </c>
      <c r="S3383" t="s">
        <v>27</v>
      </c>
      <c r="T3383" t="str">
        <f t="shared" si="104"/>
        <v>Quarterly</v>
      </c>
      <c r="U3383">
        <f>VLOOKUP(T3383,[1]tablescore!$B$3:$C$8, 2,FALSE)</f>
        <v>4</v>
      </c>
      <c r="V3383" t="str">
        <f t="shared" si="105"/>
        <v>Low Loyalty</v>
      </c>
      <c r="W3383" t="s">
        <v>60</v>
      </c>
    </row>
    <row r="3384" spans="1:23" x14ac:dyDescent="0.25">
      <c r="A3384">
        <v>3383</v>
      </c>
      <c r="B3384">
        <v>34</v>
      </c>
      <c r="C3384" t="str" cm="1">
        <f t="array" ref="C3384">_xlfn.IFS(
  AND(B3384&gt;=18, B3384&lt;=24), "18-24",
  AND(B3384&gt;=25, B3384&lt;=34), "25-34",
  AND(B3384&gt;=35, B3384&lt;=44), "35-44",
  AND(B3384&gt;=45, B3384&lt;=54), "45-54",
  B3384&gt;=55, "55+"
)</f>
        <v>25-34</v>
      </c>
      <c r="D3384" t="s">
        <v>153</v>
      </c>
      <c r="E3384" t="s">
        <v>31</v>
      </c>
      <c r="F3384" t="s">
        <v>21</v>
      </c>
      <c r="G3384">
        <v>35</v>
      </c>
      <c r="H3384" t="s">
        <v>143</v>
      </c>
      <c r="I3384" t="s">
        <v>45</v>
      </c>
      <c r="J3384" t="s">
        <v>33</v>
      </c>
      <c r="K3384" t="s">
        <v>39</v>
      </c>
      <c r="L3384">
        <v>2.8</v>
      </c>
      <c r="M3384" t="s">
        <v>152</v>
      </c>
      <c r="N3384" t="s">
        <v>34</v>
      </c>
      <c r="O3384" t="s">
        <v>28</v>
      </c>
      <c r="P3384" t="s">
        <v>152</v>
      </c>
      <c r="Q3384" t="s">
        <v>152</v>
      </c>
      <c r="R3384">
        <v>2</v>
      </c>
      <c r="S3384" t="s">
        <v>34</v>
      </c>
      <c r="T3384" t="str">
        <f t="shared" si="104"/>
        <v>Daily</v>
      </c>
      <c r="U3384">
        <f>VLOOKUP(T3384,[1]tablescore!$B$3:$C$8, 2,FALSE)</f>
        <v>30</v>
      </c>
      <c r="V3384" t="str">
        <f t="shared" si="105"/>
        <v>Highly Loyal</v>
      </c>
      <c r="W3384" t="s">
        <v>41</v>
      </c>
    </row>
    <row r="3385" spans="1:23" x14ac:dyDescent="0.25">
      <c r="A3385">
        <v>3384</v>
      </c>
      <c r="B3385">
        <v>27</v>
      </c>
      <c r="C3385" t="str" cm="1">
        <f t="array" ref="C3385">_xlfn.IFS(
  AND(B3385&gt;=18, B3385&lt;=24), "18-24",
  AND(B3385&gt;=25, B3385&lt;=34), "25-34",
  AND(B3385&gt;=35, B3385&lt;=44), "35-44",
  AND(B3385&gt;=45, B3385&lt;=54), "45-54",
  B3385&gt;=55, "55+"
)</f>
        <v>25-34</v>
      </c>
      <c r="D3385" t="s">
        <v>153</v>
      </c>
      <c r="E3385" t="s">
        <v>64</v>
      </c>
      <c r="F3385" t="s">
        <v>65</v>
      </c>
      <c r="G3385">
        <v>43</v>
      </c>
      <c r="H3385" t="s">
        <v>80</v>
      </c>
      <c r="I3385" t="s">
        <v>45</v>
      </c>
      <c r="J3385" t="s">
        <v>71</v>
      </c>
      <c r="K3385" t="s">
        <v>58</v>
      </c>
      <c r="L3385">
        <v>2.6</v>
      </c>
      <c r="M3385" t="s">
        <v>152</v>
      </c>
      <c r="N3385" t="s">
        <v>27</v>
      </c>
      <c r="O3385" t="s">
        <v>47</v>
      </c>
      <c r="P3385" t="s">
        <v>152</v>
      </c>
      <c r="Q3385" t="s">
        <v>152</v>
      </c>
      <c r="R3385">
        <v>39</v>
      </c>
      <c r="S3385" t="s">
        <v>29</v>
      </c>
      <c r="T3385" t="str">
        <f t="shared" si="104"/>
        <v>2-week</v>
      </c>
      <c r="U3385">
        <f>VLOOKUP(T3385,[1]tablescore!$B$3:$C$8, 2,FALSE)</f>
        <v>26</v>
      </c>
      <c r="V3385" t="str">
        <f t="shared" si="105"/>
        <v>Loyal</v>
      </c>
      <c r="W3385" t="s">
        <v>77</v>
      </c>
    </row>
    <row r="3386" spans="1:23" x14ac:dyDescent="0.25">
      <c r="A3386">
        <v>3385</v>
      </c>
      <c r="B3386">
        <v>39</v>
      </c>
      <c r="C3386" t="str" cm="1">
        <f t="array" ref="C3386">_xlfn.IFS(
  AND(B3386&gt;=18, B3386&lt;=24), "18-24",
  AND(B3386&gt;=25, B3386&lt;=34), "25-34",
  AND(B3386&gt;=35, B3386&lt;=44), "35-44",
  AND(B3386&gt;=45, B3386&lt;=54), "45-54",
  B3386&gt;=55, "55+"
)</f>
        <v>35-44</v>
      </c>
      <c r="D3386" t="s">
        <v>153</v>
      </c>
      <c r="E3386" t="s">
        <v>104</v>
      </c>
      <c r="F3386" t="s">
        <v>21</v>
      </c>
      <c r="G3386">
        <v>24</v>
      </c>
      <c r="H3386" t="s">
        <v>134</v>
      </c>
      <c r="I3386" t="s">
        <v>23</v>
      </c>
      <c r="J3386" t="s">
        <v>33</v>
      </c>
      <c r="K3386" t="s">
        <v>54</v>
      </c>
      <c r="L3386">
        <v>3.8</v>
      </c>
      <c r="M3386" t="s">
        <v>152</v>
      </c>
      <c r="N3386" t="s">
        <v>27</v>
      </c>
      <c r="O3386" t="s">
        <v>40</v>
      </c>
      <c r="P3386" t="s">
        <v>152</v>
      </c>
      <c r="Q3386" t="s">
        <v>152</v>
      </c>
      <c r="R3386">
        <v>9</v>
      </c>
      <c r="S3386" t="s">
        <v>29</v>
      </c>
      <c r="T3386" t="str">
        <f t="shared" si="104"/>
        <v>Quarterly</v>
      </c>
      <c r="U3386">
        <f>VLOOKUP(T3386,[1]tablescore!$B$3:$C$8, 2,FALSE)</f>
        <v>4</v>
      </c>
      <c r="V3386" t="str">
        <f t="shared" si="105"/>
        <v>Low Loyalty</v>
      </c>
      <c r="W3386" t="s">
        <v>60</v>
      </c>
    </row>
    <row r="3387" spans="1:23" x14ac:dyDescent="0.25">
      <c r="A3387">
        <v>3386</v>
      </c>
      <c r="B3387">
        <v>62</v>
      </c>
      <c r="C3387" t="str" cm="1">
        <f t="array" ref="C3387">_xlfn.IFS(
  AND(B3387&gt;=18, B3387&lt;=24), "18-24",
  AND(B3387&gt;=25, B3387&lt;=34), "25-34",
  AND(B3387&gt;=35, B3387&lt;=44), "35-44",
  AND(B3387&gt;=45, B3387&lt;=54), "45-54",
  B3387&gt;=55, "55+"
)</f>
        <v>55+</v>
      </c>
      <c r="D3387" t="s">
        <v>153</v>
      </c>
      <c r="E3387" t="s">
        <v>106</v>
      </c>
      <c r="F3387" t="s">
        <v>69</v>
      </c>
      <c r="G3387">
        <v>83</v>
      </c>
      <c r="H3387" t="s">
        <v>44</v>
      </c>
      <c r="I3387" t="s">
        <v>45</v>
      </c>
      <c r="J3387" t="s">
        <v>79</v>
      </c>
      <c r="K3387" t="s">
        <v>25</v>
      </c>
      <c r="L3387">
        <v>2.8</v>
      </c>
      <c r="M3387" t="s">
        <v>152</v>
      </c>
      <c r="N3387" t="s">
        <v>46</v>
      </c>
      <c r="O3387" t="s">
        <v>55</v>
      </c>
      <c r="P3387" t="s">
        <v>152</v>
      </c>
      <c r="Q3387" t="s">
        <v>152</v>
      </c>
      <c r="R3387">
        <v>16</v>
      </c>
      <c r="S3387" t="s">
        <v>27</v>
      </c>
      <c r="T3387" t="str">
        <f t="shared" si="104"/>
        <v>Quarterly</v>
      </c>
      <c r="U3387">
        <f>VLOOKUP(T3387,[1]tablescore!$B$3:$C$8, 2,FALSE)</f>
        <v>4</v>
      </c>
      <c r="V3387" t="str">
        <f t="shared" si="105"/>
        <v>Low Loyalty</v>
      </c>
      <c r="W3387" t="s">
        <v>97</v>
      </c>
    </row>
    <row r="3388" spans="1:23" x14ac:dyDescent="0.25">
      <c r="A3388">
        <v>3387</v>
      </c>
      <c r="B3388">
        <v>34</v>
      </c>
      <c r="C3388" t="str" cm="1">
        <f t="array" ref="C3388">_xlfn.IFS(
  AND(B3388&gt;=18, B3388&lt;=24), "18-24",
  AND(B3388&gt;=25, B3388&lt;=34), "25-34",
  AND(B3388&gt;=35, B3388&lt;=44), "35-44",
  AND(B3388&gt;=45, B3388&lt;=54), "45-54",
  B3388&gt;=55, "55+"
)</f>
        <v>25-34</v>
      </c>
      <c r="D3388" t="s">
        <v>153</v>
      </c>
      <c r="E3388" t="s">
        <v>113</v>
      </c>
      <c r="F3388" t="s">
        <v>21</v>
      </c>
      <c r="G3388">
        <v>62</v>
      </c>
      <c r="H3388" t="s">
        <v>151</v>
      </c>
      <c r="I3388" t="s">
        <v>45</v>
      </c>
      <c r="J3388" t="s">
        <v>93</v>
      </c>
      <c r="K3388" t="s">
        <v>58</v>
      </c>
      <c r="L3388">
        <v>2.6</v>
      </c>
      <c r="M3388" t="s">
        <v>152</v>
      </c>
      <c r="N3388" t="s">
        <v>59</v>
      </c>
      <c r="O3388" t="s">
        <v>72</v>
      </c>
      <c r="P3388" t="s">
        <v>152</v>
      </c>
      <c r="Q3388" t="s">
        <v>152</v>
      </c>
      <c r="R3388">
        <v>36</v>
      </c>
      <c r="S3388" t="s">
        <v>35</v>
      </c>
      <c r="T3388" t="str">
        <f t="shared" si="104"/>
        <v>Quarterly</v>
      </c>
      <c r="U3388">
        <f>VLOOKUP(T3388,[1]tablescore!$B$3:$C$8, 2,FALSE)</f>
        <v>4</v>
      </c>
      <c r="V3388" t="str">
        <f t="shared" si="105"/>
        <v>Low Loyalty</v>
      </c>
      <c r="W3388" t="s">
        <v>60</v>
      </c>
    </row>
    <row r="3389" spans="1:23" x14ac:dyDescent="0.25">
      <c r="A3389">
        <v>3388</v>
      </c>
      <c r="B3389">
        <v>53</v>
      </c>
      <c r="C3389" t="str" cm="1">
        <f t="array" ref="C3389">_xlfn.IFS(
  AND(B3389&gt;=18, B3389&lt;=24), "18-24",
  AND(B3389&gt;=25, B3389&lt;=34), "25-34",
  AND(B3389&gt;=35, B3389&lt;=44), "35-44",
  AND(B3389&gt;=45, B3389&lt;=54), "45-54",
  B3389&gt;=55, "55+"
)</f>
        <v>45-54</v>
      </c>
      <c r="D3389" t="s">
        <v>153</v>
      </c>
      <c r="E3389" t="s">
        <v>95</v>
      </c>
      <c r="F3389" t="s">
        <v>21</v>
      </c>
      <c r="G3389">
        <v>78</v>
      </c>
      <c r="H3389" t="s">
        <v>137</v>
      </c>
      <c r="I3389" t="s">
        <v>38</v>
      </c>
      <c r="J3389" t="s">
        <v>71</v>
      </c>
      <c r="K3389" t="s">
        <v>39</v>
      </c>
      <c r="L3389">
        <v>3.4</v>
      </c>
      <c r="M3389" t="s">
        <v>152</v>
      </c>
      <c r="N3389" t="s">
        <v>29</v>
      </c>
      <c r="O3389" t="s">
        <v>72</v>
      </c>
      <c r="P3389" t="s">
        <v>152</v>
      </c>
      <c r="Q3389" t="s">
        <v>152</v>
      </c>
      <c r="R3389">
        <v>2</v>
      </c>
      <c r="S3389" t="s">
        <v>27</v>
      </c>
      <c r="T3389" t="str">
        <f t="shared" si="104"/>
        <v>2-week</v>
      </c>
      <c r="U3389">
        <f>VLOOKUP(T3389,[1]tablescore!$B$3:$C$8, 2,FALSE)</f>
        <v>26</v>
      </c>
      <c r="V3389" t="str">
        <f t="shared" si="105"/>
        <v>Loyal</v>
      </c>
      <c r="W3389" t="s">
        <v>77</v>
      </c>
    </row>
    <row r="3390" spans="1:23" x14ac:dyDescent="0.25">
      <c r="A3390">
        <v>3389</v>
      </c>
      <c r="B3390">
        <v>35</v>
      </c>
      <c r="C3390" t="str" cm="1">
        <f t="array" ref="C3390">_xlfn.IFS(
  AND(B3390&gt;=18, B3390&lt;=24), "18-24",
  AND(B3390&gt;=25, B3390&lt;=34), "25-34",
  AND(B3390&gt;=35, B3390&lt;=44), "35-44",
  AND(B3390&gt;=45, B3390&lt;=54), "45-54",
  B3390&gt;=55, "55+"
)</f>
        <v>35-44</v>
      </c>
      <c r="D3390" t="s">
        <v>153</v>
      </c>
      <c r="E3390" t="s">
        <v>31</v>
      </c>
      <c r="F3390" t="s">
        <v>21</v>
      </c>
      <c r="G3390">
        <v>61</v>
      </c>
      <c r="H3390" t="s">
        <v>130</v>
      </c>
      <c r="I3390" t="s">
        <v>45</v>
      </c>
      <c r="J3390" t="s">
        <v>109</v>
      </c>
      <c r="K3390" t="s">
        <v>39</v>
      </c>
      <c r="L3390">
        <v>4.5</v>
      </c>
      <c r="M3390" t="s">
        <v>152</v>
      </c>
      <c r="N3390" t="s">
        <v>29</v>
      </c>
      <c r="O3390" t="s">
        <v>76</v>
      </c>
      <c r="P3390" t="s">
        <v>152</v>
      </c>
      <c r="Q3390" t="s">
        <v>152</v>
      </c>
      <c r="R3390">
        <v>21</v>
      </c>
      <c r="S3390" t="s">
        <v>27</v>
      </c>
      <c r="T3390" t="str">
        <f t="shared" si="104"/>
        <v>Daily</v>
      </c>
      <c r="U3390">
        <f>VLOOKUP(T3390,[1]tablescore!$B$3:$C$8, 2,FALSE)</f>
        <v>30</v>
      </c>
      <c r="V3390" t="str">
        <f t="shared" si="105"/>
        <v>Highly Loyal</v>
      </c>
      <c r="W3390" t="s">
        <v>41</v>
      </c>
    </row>
    <row r="3391" spans="1:23" x14ac:dyDescent="0.25">
      <c r="A3391">
        <v>3390</v>
      </c>
      <c r="B3391">
        <v>38</v>
      </c>
      <c r="C3391" t="str" cm="1">
        <f t="array" ref="C3391">_xlfn.IFS(
  AND(B3391&gt;=18, B3391&lt;=24), "18-24",
  AND(B3391&gt;=25, B3391&lt;=34), "25-34",
  AND(B3391&gt;=35, B3391&lt;=44), "35-44",
  AND(B3391&gt;=45, B3391&lt;=54), "45-54",
  B3391&gt;=55, "55+"
)</f>
        <v>35-44</v>
      </c>
      <c r="D3391" t="s">
        <v>153</v>
      </c>
      <c r="E3391" t="s">
        <v>95</v>
      </c>
      <c r="F3391" t="s">
        <v>21</v>
      </c>
      <c r="G3391">
        <v>57</v>
      </c>
      <c r="H3391" t="s">
        <v>98</v>
      </c>
      <c r="I3391" t="s">
        <v>23</v>
      </c>
      <c r="J3391" t="s">
        <v>33</v>
      </c>
      <c r="K3391" t="s">
        <v>58</v>
      </c>
      <c r="L3391">
        <v>3.8</v>
      </c>
      <c r="M3391" t="s">
        <v>152</v>
      </c>
      <c r="N3391" t="s">
        <v>27</v>
      </c>
      <c r="O3391" t="s">
        <v>40</v>
      </c>
      <c r="P3391" t="s">
        <v>152</v>
      </c>
      <c r="Q3391" t="s">
        <v>152</v>
      </c>
      <c r="R3391">
        <v>39</v>
      </c>
      <c r="S3391" t="s">
        <v>29</v>
      </c>
      <c r="T3391" t="str">
        <f t="shared" si="104"/>
        <v>Annually</v>
      </c>
      <c r="U3391">
        <f>VLOOKUP(T3391,[1]tablescore!$B$3:$C$8, 2,FALSE)</f>
        <v>1</v>
      </c>
      <c r="V3391" t="str">
        <f t="shared" si="105"/>
        <v>Low Loyalty</v>
      </c>
      <c r="W3391" t="s">
        <v>50</v>
      </c>
    </row>
    <row r="3392" spans="1:23" x14ac:dyDescent="0.25">
      <c r="A3392">
        <v>3391</v>
      </c>
      <c r="B3392">
        <v>32</v>
      </c>
      <c r="C3392" t="str" cm="1">
        <f t="array" ref="C3392">_xlfn.IFS(
  AND(B3392&gt;=18, B3392&lt;=24), "18-24",
  AND(B3392&gt;=25, B3392&lt;=34), "25-34",
  AND(B3392&gt;=35, B3392&lt;=44), "35-44",
  AND(B3392&gt;=45, B3392&lt;=54), "45-54",
  B3392&gt;=55, "55+"
)</f>
        <v>25-34</v>
      </c>
      <c r="D3392" t="s">
        <v>153</v>
      </c>
      <c r="E3392" t="s">
        <v>131</v>
      </c>
      <c r="F3392" t="s">
        <v>21</v>
      </c>
      <c r="G3392">
        <v>70</v>
      </c>
      <c r="H3392" t="s">
        <v>48</v>
      </c>
      <c r="I3392" t="s">
        <v>38</v>
      </c>
      <c r="J3392" t="s">
        <v>108</v>
      </c>
      <c r="K3392" t="s">
        <v>54</v>
      </c>
      <c r="L3392">
        <v>3</v>
      </c>
      <c r="M3392" t="s">
        <v>152</v>
      </c>
      <c r="N3392" t="s">
        <v>27</v>
      </c>
      <c r="O3392" t="s">
        <v>47</v>
      </c>
      <c r="P3392" t="s">
        <v>152</v>
      </c>
      <c r="Q3392" t="s">
        <v>152</v>
      </c>
      <c r="R3392">
        <v>38</v>
      </c>
      <c r="S3392" t="s">
        <v>46</v>
      </c>
      <c r="T3392" t="str">
        <f t="shared" si="104"/>
        <v>Annually</v>
      </c>
      <c r="U3392">
        <f>VLOOKUP(T3392,[1]tablescore!$B$3:$C$8, 2,FALSE)</f>
        <v>1</v>
      </c>
      <c r="V3392" t="str">
        <f t="shared" si="105"/>
        <v>Low Loyalty</v>
      </c>
      <c r="W3392" t="s">
        <v>50</v>
      </c>
    </row>
    <row r="3393" spans="1:23" x14ac:dyDescent="0.25">
      <c r="A3393">
        <v>3392</v>
      </c>
      <c r="B3393">
        <v>47</v>
      </c>
      <c r="C3393" t="str" cm="1">
        <f t="array" ref="C3393">_xlfn.IFS(
  AND(B3393&gt;=18, B3393&lt;=24), "18-24",
  AND(B3393&gt;=25, B3393&lt;=34), "25-34",
  AND(B3393&gt;=35, B3393&lt;=44), "35-44",
  AND(B3393&gt;=45, B3393&lt;=54), "45-54",
  B3393&gt;=55, "55+"
)</f>
        <v>45-54</v>
      </c>
      <c r="D3393" t="s">
        <v>153</v>
      </c>
      <c r="E3393" t="s">
        <v>104</v>
      </c>
      <c r="F3393" t="s">
        <v>21</v>
      </c>
      <c r="G3393">
        <v>57</v>
      </c>
      <c r="H3393" t="s">
        <v>57</v>
      </c>
      <c r="I3393" t="s">
        <v>45</v>
      </c>
      <c r="J3393" t="s">
        <v>67</v>
      </c>
      <c r="K3393" t="s">
        <v>58</v>
      </c>
      <c r="L3393">
        <v>3.7</v>
      </c>
      <c r="M3393" t="s">
        <v>152</v>
      </c>
      <c r="N3393" t="s">
        <v>35</v>
      </c>
      <c r="O3393" t="s">
        <v>72</v>
      </c>
      <c r="P3393" t="s">
        <v>152</v>
      </c>
      <c r="Q3393" t="s">
        <v>152</v>
      </c>
      <c r="R3393">
        <v>6</v>
      </c>
      <c r="S3393" t="s">
        <v>59</v>
      </c>
      <c r="T3393" t="str">
        <f t="shared" si="104"/>
        <v>Quarterly</v>
      </c>
      <c r="U3393">
        <f>VLOOKUP(T3393,[1]tablescore!$B$3:$C$8, 2,FALSE)</f>
        <v>4</v>
      </c>
      <c r="V3393" t="str">
        <f t="shared" si="105"/>
        <v>Low Loyalty</v>
      </c>
      <c r="W3393" t="s">
        <v>97</v>
      </c>
    </row>
    <row r="3394" spans="1:23" x14ac:dyDescent="0.25">
      <c r="A3394">
        <v>3393</v>
      </c>
      <c r="B3394">
        <v>53</v>
      </c>
      <c r="C3394" t="str" cm="1">
        <f t="array" ref="C3394">_xlfn.IFS(
  AND(B3394&gt;=18, B3394&lt;=24), "18-24",
  AND(B3394&gt;=25, B3394&lt;=34), "25-34",
  AND(B3394&gt;=35, B3394&lt;=44), "35-44",
  AND(B3394&gt;=45, B3394&lt;=54), "45-54",
  B3394&gt;=55, "55+"
)</f>
        <v>45-54</v>
      </c>
      <c r="D3394" t="s">
        <v>153</v>
      </c>
      <c r="E3394" t="s">
        <v>119</v>
      </c>
      <c r="F3394" t="s">
        <v>69</v>
      </c>
      <c r="G3394">
        <v>74</v>
      </c>
      <c r="H3394" t="s">
        <v>137</v>
      </c>
      <c r="I3394" t="s">
        <v>92</v>
      </c>
      <c r="J3394" t="s">
        <v>138</v>
      </c>
      <c r="K3394" t="s">
        <v>25</v>
      </c>
      <c r="L3394">
        <v>4.4000000000000004</v>
      </c>
      <c r="M3394" t="s">
        <v>152</v>
      </c>
      <c r="N3394" t="s">
        <v>27</v>
      </c>
      <c r="O3394" t="s">
        <v>40</v>
      </c>
      <c r="P3394" t="s">
        <v>152</v>
      </c>
      <c r="Q3394" t="s">
        <v>152</v>
      </c>
      <c r="R3394">
        <v>6</v>
      </c>
      <c r="S3394" t="s">
        <v>29</v>
      </c>
      <c r="T3394" t="str">
        <f t="shared" si="104"/>
        <v>2-week</v>
      </c>
      <c r="U3394">
        <f>VLOOKUP(T3394,[1]tablescore!$B$3:$C$8, 2,FALSE)</f>
        <v>26</v>
      </c>
      <c r="V3394" t="str">
        <f t="shared" si="105"/>
        <v>Loyal</v>
      </c>
      <c r="W3394" t="s">
        <v>77</v>
      </c>
    </row>
    <row r="3395" spans="1:23" x14ac:dyDescent="0.25">
      <c r="A3395">
        <v>3394</v>
      </c>
      <c r="B3395">
        <v>60</v>
      </c>
      <c r="C3395" t="str" cm="1">
        <f t="array" ref="C3395">_xlfn.IFS(
  AND(B3395&gt;=18, B3395&lt;=24), "18-24",
  AND(B3395&gt;=25, B3395&lt;=34), "25-34",
  AND(B3395&gt;=35, B3395&lt;=44), "35-44",
  AND(B3395&gt;=45, B3395&lt;=54), "45-54",
  B3395&gt;=55, "55+"
)</f>
        <v>55+</v>
      </c>
      <c r="D3395" t="s">
        <v>153</v>
      </c>
      <c r="E3395" t="s">
        <v>82</v>
      </c>
      <c r="F3395" t="s">
        <v>21</v>
      </c>
      <c r="G3395">
        <v>90</v>
      </c>
      <c r="H3395" t="s">
        <v>117</v>
      </c>
      <c r="I3395" t="s">
        <v>45</v>
      </c>
      <c r="J3395" t="s">
        <v>81</v>
      </c>
      <c r="K3395" t="s">
        <v>58</v>
      </c>
      <c r="L3395">
        <v>3.1</v>
      </c>
      <c r="M3395" t="s">
        <v>152</v>
      </c>
      <c r="N3395" t="s">
        <v>46</v>
      </c>
      <c r="O3395" t="s">
        <v>47</v>
      </c>
      <c r="P3395" t="s">
        <v>152</v>
      </c>
      <c r="Q3395" t="s">
        <v>152</v>
      </c>
      <c r="R3395">
        <v>50</v>
      </c>
      <c r="S3395" t="s">
        <v>59</v>
      </c>
      <c r="T3395" t="str">
        <f t="shared" ref="T3395:T3458" si="106">IF(TRIM(W3395)="Every 3 months","Quarterly",IF(TRIM(W3395)="Fortnightly","2-week",IF(TRIM(W3395)="Bi-Weekly","2-week",IF(TRIM(W3395)="Weekly","Daily",IF(TRIM(W3395)="Monthly","Month",TRIM(W3395))))))</f>
        <v>Month</v>
      </c>
      <c r="U3395">
        <f>VLOOKUP(T3395,[1]tablescore!$B$3:$C$8, 2,FALSE)</f>
        <v>12</v>
      </c>
      <c r="V3395" t="str">
        <f t="shared" ref="V3395:V3458" si="107">_xlfn.IFS(U3395&gt;=30, "Highly Loyal", U3395&gt;=26, "Loyal", U3395&gt;=12, "Moderate", U3395&lt;5, "Low Loyalty")</f>
        <v>Moderate</v>
      </c>
      <c r="W3395" t="s">
        <v>88</v>
      </c>
    </row>
    <row r="3396" spans="1:23" x14ac:dyDescent="0.25">
      <c r="A3396">
        <v>3395</v>
      </c>
      <c r="B3396">
        <v>31</v>
      </c>
      <c r="C3396" t="str" cm="1">
        <f t="array" ref="C3396">_xlfn.IFS(
  AND(B3396&gt;=18, B3396&lt;=24), "18-24",
  AND(B3396&gt;=25, B3396&lt;=34), "25-34",
  AND(B3396&gt;=35, B3396&lt;=44), "35-44",
  AND(B3396&gt;=45, B3396&lt;=54), "45-54",
  B3396&gt;=55, "55+"
)</f>
        <v>25-34</v>
      </c>
      <c r="D3396" t="s">
        <v>153</v>
      </c>
      <c r="E3396" t="s">
        <v>42</v>
      </c>
      <c r="F3396" t="s">
        <v>43</v>
      </c>
      <c r="G3396">
        <v>98</v>
      </c>
      <c r="H3396" t="s">
        <v>145</v>
      </c>
      <c r="I3396" t="s">
        <v>38</v>
      </c>
      <c r="J3396" t="s">
        <v>139</v>
      </c>
      <c r="K3396" t="s">
        <v>39</v>
      </c>
      <c r="L3396">
        <v>4.2</v>
      </c>
      <c r="M3396" t="s">
        <v>152</v>
      </c>
      <c r="N3396" t="s">
        <v>35</v>
      </c>
      <c r="O3396" t="s">
        <v>76</v>
      </c>
      <c r="P3396" t="s">
        <v>152</v>
      </c>
      <c r="Q3396" t="s">
        <v>152</v>
      </c>
      <c r="R3396">
        <v>9</v>
      </c>
      <c r="S3396" t="s">
        <v>46</v>
      </c>
      <c r="T3396" t="str">
        <f t="shared" si="106"/>
        <v>Annually</v>
      </c>
      <c r="U3396">
        <f>VLOOKUP(T3396,[1]tablescore!$B$3:$C$8, 2,FALSE)</f>
        <v>1</v>
      </c>
      <c r="V3396" t="str">
        <f t="shared" si="107"/>
        <v>Low Loyalty</v>
      </c>
      <c r="W3396" t="s">
        <v>50</v>
      </c>
    </row>
    <row r="3397" spans="1:23" x14ac:dyDescent="0.25">
      <c r="A3397">
        <v>3396</v>
      </c>
      <c r="B3397">
        <v>44</v>
      </c>
      <c r="C3397" t="str" cm="1">
        <f t="array" ref="C3397">_xlfn.IFS(
  AND(B3397&gt;=18, B3397&lt;=24), "18-24",
  AND(B3397&gt;=25, B3397&lt;=34), "25-34",
  AND(B3397&gt;=35, B3397&lt;=44), "35-44",
  AND(B3397&gt;=45, B3397&lt;=54), "45-54",
  B3397&gt;=55, "55+"
)</f>
        <v>35-44</v>
      </c>
      <c r="D3397" t="s">
        <v>153</v>
      </c>
      <c r="E3397" t="s">
        <v>82</v>
      </c>
      <c r="F3397" t="s">
        <v>21</v>
      </c>
      <c r="G3397">
        <v>43</v>
      </c>
      <c r="H3397" t="s">
        <v>112</v>
      </c>
      <c r="I3397" t="s">
        <v>45</v>
      </c>
      <c r="J3397" t="s">
        <v>67</v>
      </c>
      <c r="K3397" t="s">
        <v>25</v>
      </c>
      <c r="L3397">
        <v>3.1</v>
      </c>
      <c r="M3397" t="s">
        <v>152</v>
      </c>
      <c r="N3397" t="s">
        <v>59</v>
      </c>
      <c r="O3397" t="s">
        <v>40</v>
      </c>
      <c r="P3397" t="s">
        <v>152</v>
      </c>
      <c r="Q3397" t="s">
        <v>152</v>
      </c>
      <c r="R3397">
        <v>15</v>
      </c>
      <c r="S3397" t="s">
        <v>59</v>
      </c>
      <c r="T3397" t="str">
        <f t="shared" si="106"/>
        <v>Quarterly</v>
      </c>
      <c r="U3397">
        <f>VLOOKUP(T3397,[1]tablescore!$B$3:$C$8, 2,FALSE)</f>
        <v>4</v>
      </c>
      <c r="V3397" t="str">
        <f t="shared" si="107"/>
        <v>Low Loyalty</v>
      </c>
      <c r="W3397" t="s">
        <v>97</v>
      </c>
    </row>
    <row r="3398" spans="1:23" x14ac:dyDescent="0.25">
      <c r="A3398">
        <v>3397</v>
      </c>
      <c r="B3398">
        <v>29</v>
      </c>
      <c r="C3398" t="str" cm="1">
        <f t="array" ref="C3398">_xlfn.IFS(
  AND(B3398&gt;=18, B3398&lt;=24), "18-24",
  AND(B3398&gt;=25, B3398&lt;=34), "25-34",
  AND(B3398&gt;=35, B3398&lt;=44), "35-44",
  AND(B3398&gt;=45, B3398&lt;=54), "45-54",
  B3398&gt;=55, "55+"
)</f>
        <v>25-34</v>
      </c>
      <c r="D3398" t="s">
        <v>153</v>
      </c>
      <c r="E3398" t="s">
        <v>95</v>
      </c>
      <c r="F3398" t="s">
        <v>21</v>
      </c>
      <c r="G3398">
        <v>37</v>
      </c>
      <c r="H3398" t="s">
        <v>122</v>
      </c>
      <c r="I3398" t="s">
        <v>92</v>
      </c>
      <c r="J3398" t="s">
        <v>94</v>
      </c>
      <c r="K3398" t="s">
        <v>25</v>
      </c>
      <c r="L3398">
        <v>5</v>
      </c>
      <c r="M3398" t="s">
        <v>152</v>
      </c>
      <c r="N3398" t="s">
        <v>46</v>
      </c>
      <c r="O3398" t="s">
        <v>47</v>
      </c>
      <c r="P3398" t="s">
        <v>152</v>
      </c>
      <c r="Q3398" t="s">
        <v>152</v>
      </c>
      <c r="R3398">
        <v>5</v>
      </c>
      <c r="S3398" t="s">
        <v>46</v>
      </c>
      <c r="T3398" t="str">
        <f t="shared" si="106"/>
        <v>Quarterly</v>
      </c>
      <c r="U3398">
        <f>VLOOKUP(T3398,[1]tablescore!$B$3:$C$8, 2,FALSE)</f>
        <v>4</v>
      </c>
      <c r="V3398" t="str">
        <f t="shared" si="107"/>
        <v>Low Loyalty</v>
      </c>
      <c r="W3398" t="s">
        <v>60</v>
      </c>
    </row>
    <row r="3399" spans="1:23" x14ac:dyDescent="0.25">
      <c r="A3399">
        <v>3398</v>
      </c>
      <c r="B3399">
        <v>19</v>
      </c>
      <c r="C3399" t="str" cm="1">
        <f t="array" ref="C3399">_xlfn.IFS(
  AND(B3399&gt;=18, B3399&lt;=24), "18-24",
  AND(B3399&gt;=25, B3399&lt;=34), "25-34",
  AND(B3399&gt;=35, B3399&lt;=44), "35-44",
  AND(B3399&gt;=45, B3399&lt;=54), "45-54",
  B3399&gt;=55, "55+"
)</f>
        <v>18-24</v>
      </c>
      <c r="D3399" t="s">
        <v>153</v>
      </c>
      <c r="E3399" t="s">
        <v>20</v>
      </c>
      <c r="F3399" t="s">
        <v>21</v>
      </c>
      <c r="G3399">
        <v>38</v>
      </c>
      <c r="H3399" t="s">
        <v>137</v>
      </c>
      <c r="I3399" t="s">
        <v>23</v>
      </c>
      <c r="J3399" t="s">
        <v>139</v>
      </c>
      <c r="K3399" t="s">
        <v>54</v>
      </c>
      <c r="L3399">
        <v>2.7</v>
      </c>
      <c r="M3399" t="s">
        <v>152</v>
      </c>
      <c r="N3399" t="s">
        <v>34</v>
      </c>
      <c r="O3399" t="s">
        <v>55</v>
      </c>
      <c r="P3399" t="s">
        <v>152</v>
      </c>
      <c r="Q3399" t="s">
        <v>152</v>
      </c>
      <c r="R3399">
        <v>13</v>
      </c>
      <c r="S3399" t="s">
        <v>34</v>
      </c>
      <c r="T3399" t="str">
        <f t="shared" si="106"/>
        <v>2-week</v>
      </c>
      <c r="U3399">
        <f>VLOOKUP(T3399,[1]tablescore!$B$3:$C$8, 2,FALSE)</f>
        <v>26</v>
      </c>
      <c r="V3399" t="str">
        <f t="shared" si="107"/>
        <v>Loyal</v>
      </c>
      <c r="W3399" t="s">
        <v>77</v>
      </c>
    </row>
    <row r="3400" spans="1:23" x14ac:dyDescent="0.25">
      <c r="A3400">
        <v>3399</v>
      </c>
      <c r="B3400">
        <v>54</v>
      </c>
      <c r="C3400" t="str" cm="1">
        <f t="array" ref="C3400">_xlfn.IFS(
  AND(B3400&gt;=18, B3400&lt;=24), "18-24",
  AND(B3400&gt;=25, B3400&lt;=34), "25-34",
  AND(B3400&gt;=35, B3400&lt;=44), "35-44",
  AND(B3400&gt;=45, B3400&lt;=54), "45-54",
  B3400&gt;=55, "55+"
)</f>
        <v>45-54</v>
      </c>
      <c r="D3400" t="s">
        <v>153</v>
      </c>
      <c r="E3400" t="s">
        <v>36</v>
      </c>
      <c r="F3400" t="s">
        <v>21</v>
      </c>
      <c r="G3400">
        <v>60</v>
      </c>
      <c r="H3400" t="s">
        <v>57</v>
      </c>
      <c r="I3400" t="s">
        <v>23</v>
      </c>
      <c r="J3400" t="s">
        <v>71</v>
      </c>
      <c r="K3400" t="s">
        <v>25</v>
      </c>
      <c r="L3400">
        <v>3.8</v>
      </c>
      <c r="M3400" t="s">
        <v>152</v>
      </c>
      <c r="N3400" t="s">
        <v>35</v>
      </c>
      <c r="O3400" t="s">
        <v>55</v>
      </c>
      <c r="P3400" t="s">
        <v>152</v>
      </c>
      <c r="Q3400" t="s">
        <v>152</v>
      </c>
      <c r="R3400">
        <v>44</v>
      </c>
      <c r="S3400" t="s">
        <v>35</v>
      </c>
      <c r="T3400" t="str">
        <f t="shared" si="106"/>
        <v>2-week</v>
      </c>
      <c r="U3400">
        <f>VLOOKUP(T3400,[1]tablescore!$B$3:$C$8, 2,FALSE)</f>
        <v>26</v>
      </c>
      <c r="V3400" t="str">
        <f t="shared" si="107"/>
        <v>Loyal</v>
      </c>
      <c r="W3400" t="s">
        <v>30</v>
      </c>
    </row>
    <row r="3401" spans="1:23" x14ac:dyDescent="0.25">
      <c r="A3401">
        <v>3400</v>
      </c>
      <c r="B3401">
        <v>40</v>
      </c>
      <c r="C3401" t="str" cm="1">
        <f t="array" ref="C3401">_xlfn.IFS(
  AND(B3401&gt;=18, B3401&lt;=24), "18-24",
  AND(B3401&gt;=25, B3401&lt;=34), "25-34",
  AND(B3401&gt;=35, B3401&lt;=44), "35-44",
  AND(B3401&gt;=45, B3401&lt;=54), "45-54",
  B3401&gt;=55, "55+"
)</f>
        <v>35-44</v>
      </c>
      <c r="D3401" t="s">
        <v>153</v>
      </c>
      <c r="E3401" t="s">
        <v>95</v>
      </c>
      <c r="F3401" t="s">
        <v>21</v>
      </c>
      <c r="G3401">
        <v>55</v>
      </c>
      <c r="H3401" t="s">
        <v>57</v>
      </c>
      <c r="I3401" t="s">
        <v>92</v>
      </c>
      <c r="J3401" t="s">
        <v>139</v>
      </c>
      <c r="K3401" t="s">
        <v>25</v>
      </c>
      <c r="L3401">
        <v>3.3</v>
      </c>
      <c r="M3401" t="s">
        <v>152</v>
      </c>
      <c r="N3401" t="s">
        <v>59</v>
      </c>
      <c r="O3401" t="s">
        <v>55</v>
      </c>
      <c r="P3401" t="s">
        <v>152</v>
      </c>
      <c r="Q3401" t="s">
        <v>152</v>
      </c>
      <c r="R3401">
        <v>36</v>
      </c>
      <c r="S3401" t="s">
        <v>59</v>
      </c>
      <c r="T3401" t="str">
        <f t="shared" si="106"/>
        <v>Annually</v>
      </c>
      <c r="U3401">
        <f>VLOOKUP(T3401,[1]tablescore!$B$3:$C$8, 2,FALSE)</f>
        <v>1</v>
      </c>
      <c r="V3401" t="str">
        <f t="shared" si="107"/>
        <v>Low Loyalty</v>
      </c>
      <c r="W3401" t="s">
        <v>50</v>
      </c>
    </row>
    <row r="3402" spans="1:23" x14ac:dyDescent="0.25">
      <c r="A3402">
        <v>3401</v>
      </c>
      <c r="B3402">
        <v>39</v>
      </c>
      <c r="C3402" t="str" cm="1">
        <f t="array" ref="C3402">_xlfn.IFS(
  AND(B3402&gt;=18, B3402&lt;=24), "18-24",
  AND(B3402&gt;=25, B3402&lt;=34), "25-34",
  AND(B3402&gt;=35, B3402&lt;=44), "35-44",
  AND(B3402&gt;=45, B3402&lt;=54), "45-54",
  B3402&gt;=55, "55+"
)</f>
        <v>35-44</v>
      </c>
      <c r="D3402" t="s">
        <v>153</v>
      </c>
      <c r="E3402" t="s">
        <v>89</v>
      </c>
      <c r="F3402" t="s">
        <v>69</v>
      </c>
      <c r="G3402">
        <v>51</v>
      </c>
      <c r="H3402" t="s">
        <v>107</v>
      </c>
      <c r="I3402" t="s">
        <v>45</v>
      </c>
      <c r="J3402" t="s">
        <v>93</v>
      </c>
      <c r="K3402" t="s">
        <v>58</v>
      </c>
      <c r="L3402">
        <v>4.8</v>
      </c>
      <c r="M3402" t="s">
        <v>152</v>
      </c>
      <c r="N3402" t="s">
        <v>59</v>
      </c>
      <c r="O3402" t="s">
        <v>40</v>
      </c>
      <c r="P3402" t="s">
        <v>152</v>
      </c>
      <c r="Q3402" t="s">
        <v>152</v>
      </c>
      <c r="R3402">
        <v>18</v>
      </c>
      <c r="S3402" t="s">
        <v>29</v>
      </c>
      <c r="T3402" t="str">
        <f t="shared" si="106"/>
        <v>2-week</v>
      </c>
      <c r="U3402">
        <f>VLOOKUP(T3402,[1]tablescore!$B$3:$C$8, 2,FALSE)</f>
        <v>26</v>
      </c>
      <c r="V3402" t="str">
        <f t="shared" si="107"/>
        <v>Loyal</v>
      </c>
      <c r="W3402" t="s">
        <v>30</v>
      </c>
    </row>
    <row r="3403" spans="1:23" x14ac:dyDescent="0.25">
      <c r="A3403">
        <v>3402</v>
      </c>
      <c r="B3403">
        <v>44</v>
      </c>
      <c r="C3403" t="str" cm="1">
        <f t="array" ref="C3403">_xlfn.IFS(
  AND(B3403&gt;=18, B3403&lt;=24), "18-24",
  AND(B3403&gt;=25, B3403&lt;=34), "25-34",
  AND(B3403&gt;=35, B3403&lt;=44), "35-44",
  AND(B3403&gt;=45, B3403&lt;=54), "45-54",
  B3403&gt;=55, "55+"
)</f>
        <v>35-44</v>
      </c>
      <c r="D3403" t="s">
        <v>153</v>
      </c>
      <c r="E3403" t="s">
        <v>133</v>
      </c>
      <c r="F3403" t="s">
        <v>69</v>
      </c>
      <c r="G3403">
        <v>71</v>
      </c>
      <c r="H3403" t="s">
        <v>107</v>
      </c>
      <c r="I3403" t="s">
        <v>23</v>
      </c>
      <c r="J3403" t="s">
        <v>100</v>
      </c>
      <c r="K3403" t="s">
        <v>25</v>
      </c>
      <c r="L3403">
        <v>3.4</v>
      </c>
      <c r="M3403" t="s">
        <v>152</v>
      </c>
      <c r="N3403" t="s">
        <v>29</v>
      </c>
      <c r="O3403" t="s">
        <v>55</v>
      </c>
      <c r="P3403" t="s">
        <v>152</v>
      </c>
      <c r="Q3403" t="s">
        <v>152</v>
      </c>
      <c r="R3403">
        <v>39</v>
      </c>
      <c r="S3403" t="s">
        <v>27</v>
      </c>
      <c r="T3403" t="str">
        <f t="shared" si="106"/>
        <v>Daily</v>
      </c>
      <c r="U3403">
        <f>VLOOKUP(T3403,[1]tablescore!$B$3:$C$8, 2,FALSE)</f>
        <v>30</v>
      </c>
      <c r="V3403" t="str">
        <f t="shared" si="107"/>
        <v>Highly Loyal</v>
      </c>
      <c r="W3403" t="s">
        <v>41</v>
      </c>
    </row>
    <row r="3404" spans="1:23" x14ac:dyDescent="0.25">
      <c r="A3404">
        <v>3403</v>
      </c>
      <c r="B3404">
        <v>22</v>
      </c>
      <c r="C3404" t="str" cm="1">
        <f t="array" ref="C3404">_xlfn.IFS(
  AND(B3404&gt;=18, B3404&lt;=24), "18-24",
  AND(B3404&gt;=25, B3404&lt;=34), "25-34",
  AND(B3404&gt;=35, B3404&lt;=44), "35-44",
  AND(B3404&gt;=45, B3404&lt;=54), "45-54",
  B3404&gt;=55, "55+"
)</f>
        <v>18-24</v>
      </c>
      <c r="D3404" t="s">
        <v>153</v>
      </c>
      <c r="E3404" t="s">
        <v>104</v>
      </c>
      <c r="F3404" t="s">
        <v>21</v>
      </c>
      <c r="G3404">
        <v>61</v>
      </c>
      <c r="H3404" t="s">
        <v>62</v>
      </c>
      <c r="I3404" t="s">
        <v>45</v>
      </c>
      <c r="J3404" t="s">
        <v>94</v>
      </c>
      <c r="K3404" t="s">
        <v>39</v>
      </c>
      <c r="L3404">
        <v>4.4000000000000004</v>
      </c>
      <c r="M3404" t="s">
        <v>152</v>
      </c>
      <c r="N3404" t="s">
        <v>29</v>
      </c>
      <c r="O3404" t="s">
        <v>72</v>
      </c>
      <c r="P3404" t="s">
        <v>152</v>
      </c>
      <c r="Q3404" t="s">
        <v>152</v>
      </c>
      <c r="R3404">
        <v>11</v>
      </c>
      <c r="S3404" t="s">
        <v>46</v>
      </c>
      <c r="T3404" t="str">
        <f t="shared" si="106"/>
        <v>Quarterly</v>
      </c>
      <c r="U3404">
        <f>VLOOKUP(T3404,[1]tablescore!$B$3:$C$8, 2,FALSE)</f>
        <v>4</v>
      </c>
      <c r="V3404" t="str">
        <f t="shared" si="107"/>
        <v>Low Loyalty</v>
      </c>
      <c r="W3404" t="s">
        <v>97</v>
      </c>
    </row>
    <row r="3405" spans="1:23" x14ac:dyDescent="0.25">
      <c r="A3405">
        <v>3404</v>
      </c>
      <c r="B3405">
        <v>30</v>
      </c>
      <c r="C3405" t="str" cm="1">
        <f t="array" ref="C3405">_xlfn.IFS(
  AND(B3405&gt;=18, B3405&lt;=24), "18-24",
  AND(B3405&gt;=25, B3405&lt;=34), "25-34",
  AND(B3405&gt;=35, B3405&lt;=44), "35-44",
  AND(B3405&gt;=45, B3405&lt;=54), "45-54",
  B3405&gt;=55, "55+"
)</f>
        <v>25-34</v>
      </c>
      <c r="D3405" t="s">
        <v>153</v>
      </c>
      <c r="E3405" t="s">
        <v>132</v>
      </c>
      <c r="F3405" t="s">
        <v>43</v>
      </c>
      <c r="G3405">
        <v>65</v>
      </c>
      <c r="H3405" t="s">
        <v>115</v>
      </c>
      <c r="I3405" t="s">
        <v>45</v>
      </c>
      <c r="J3405" t="s">
        <v>79</v>
      </c>
      <c r="K3405" t="s">
        <v>54</v>
      </c>
      <c r="L3405">
        <v>3.9</v>
      </c>
      <c r="M3405" t="s">
        <v>152</v>
      </c>
      <c r="N3405" t="s">
        <v>27</v>
      </c>
      <c r="O3405" t="s">
        <v>55</v>
      </c>
      <c r="P3405" t="s">
        <v>152</v>
      </c>
      <c r="Q3405" t="s">
        <v>152</v>
      </c>
      <c r="R3405">
        <v>1</v>
      </c>
      <c r="S3405" t="s">
        <v>35</v>
      </c>
      <c r="T3405" t="str">
        <f t="shared" si="106"/>
        <v>2-week</v>
      </c>
      <c r="U3405">
        <f>VLOOKUP(T3405,[1]tablescore!$B$3:$C$8, 2,FALSE)</f>
        <v>26</v>
      </c>
      <c r="V3405" t="str">
        <f t="shared" si="107"/>
        <v>Loyal</v>
      </c>
      <c r="W3405" t="s">
        <v>77</v>
      </c>
    </row>
    <row r="3406" spans="1:23" x14ac:dyDescent="0.25">
      <c r="A3406">
        <v>3405</v>
      </c>
      <c r="B3406">
        <v>69</v>
      </c>
      <c r="C3406" t="str" cm="1">
        <f t="array" ref="C3406">_xlfn.IFS(
  AND(B3406&gt;=18, B3406&lt;=24), "18-24",
  AND(B3406&gt;=25, B3406&lt;=34), "25-34",
  AND(B3406&gt;=35, B3406&lt;=44), "35-44",
  AND(B3406&gt;=45, B3406&lt;=54), "45-54",
  B3406&gt;=55, "55+"
)</f>
        <v>55+</v>
      </c>
      <c r="D3406" t="s">
        <v>153</v>
      </c>
      <c r="E3406" t="s">
        <v>127</v>
      </c>
      <c r="F3406" t="s">
        <v>69</v>
      </c>
      <c r="G3406">
        <v>34</v>
      </c>
      <c r="H3406" t="s">
        <v>126</v>
      </c>
      <c r="I3406" t="s">
        <v>23</v>
      </c>
      <c r="J3406" t="s">
        <v>79</v>
      </c>
      <c r="K3406" t="s">
        <v>58</v>
      </c>
      <c r="L3406">
        <v>3.9</v>
      </c>
      <c r="M3406" t="s">
        <v>152</v>
      </c>
      <c r="N3406" t="s">
        <v>35</v>
      </c>
      <c r="O3406" t="s">
        <v>72</v>
      </c>
      <c r="P3406" t="s">
        <v>152</v>
      </c>
      <c r="Q3406" t="s">
        <v>152</v>
      </c>
      <c r="R3406">
        <v>34</v>
      </c>
      <c r="S3406" t="s">
        <v>27</v>
      </c>
      <c r="T3406" t="str">
        <f t="shared" si="106"/>
        <v>Annually</v>
      </c>
      <c r="U3406">
        <f>VLOOKUP(T3406,[1]tablescore!$B$3:$C$8, 2,FALSE)</f>
        <v>1</v>
      </c>
      <c r="V3406" t="str">
        <f t="shared" si="107"/>
        <v>Low Loyalty</v>
      </c>
      <c r="W3406" t="s">
        <v>50</v>
      </c>
    </row>
    <row r="3407" spans="1:23" x14ac:dyDescent="0.25">
      <c r="A3407">
        <v>3406</v>
      </c>
      <c r="B3407">
        <v>28</v>
      </c>
      <c r="C3407" t="str" cm="1">
        <f t="array" ref="C3407">_xlfn.IFS(
  AND(B3407&gt;=18, B3407&lt;=24), "18-24",
  AND(B3407&gt;=25, B3407&lt;=34), "25-34",
  AND(B3407&gt;=35, B3407&lt;=44), "35-44",
  AND(B3407&gt;=45, B3407&lt;=54), "45-54",
  B3407&gt;=55, "55+"
)</f>
        <v>25-34</v>
      </c>
      <c r="D3407" t="s">
        <v>153</v>
      </c>
      <c r="E3407" t="s">
        <v>20</v>
      </c>
      <c r="F3407" t="s">
        <v>21</v>
      </c>
      <c r="G3407">
        <v>87</v>
      </c>
      <c r="H3407" t="s">
        <v>140</v>
      </c>
      <c r="I3407" t="s">
        <v>45</v>
      </c>
      <c r="J3407" t="s">
        <v>53</v>
      </c>
      <c r="K3407" t="s">
        <v>54</v>
      </c>
      <c r="L3407">
        <v>4.2</v>
      </c>
      <c r="M3407" t="s">
        <v>152</v>
      </c>
      <c r="N3407" t="s">
        <v>29</v>
      </c>
      <c r="O3407" t="s">
        <v>76</v>
      </c>
      <c r="P3407" t="s">
        <v>152</v>
      </c>
      <c r="Q3407" t="s">
        <v>152</v>
      </c>
      <c r="R3407">
        <v>47</v>
      </c>
      <c r="S3407" t="s">
        <v>34</v>
      </c>
      <c r="T3407" t="str">
        <f t="shared" si="106"/>
        <v>2-week</v>
      </c>
      <c r="U3407">
        <f>VLOOKUP(T3407,[1]tablescore!$B$3:$C$8, 2,FALSE)</f>
        <v>26</v>
      </c>
      <c r="V3407" t="str">
        <f t="shared" si="107"/>
        <v>Loyal</v>
      </c>
      <c r="W3407" t="s">
        <v>77</v>
      </c>
    </row>
    <row r="3408" spans="1:23" x14ac:dyDescent="0.25">
      <c r="A3408">
        <v>3407</v>
      </c>
      <c r="B3408">
        <v>57</v>
      </c>
      <c r="C3408" t="str" cm="1">
        <f t="array" ref="C3408">_xlfn.IFS(
  AND(B3408&gt;=18, B3408&lt;=24), "18-24",
  AND(B3408&gt;=25, B3408&lt;=34), "25-34",
  AND(B3408&gt;=35, B3408&lt;=44), "35-44",
  AND(B3408&gt;=45, B3408&lt;=54), "45-54",
  B3408&gt;=55, "55+"
)</f>
        <v>55+</v>
      </c>
      <c r="D3408" t="s">
        <v>153</v>
      </c>
      <c r="E3408" t="s">
        <v>31</v>
      </c>
      <c r="F3408" t="s">
        <v>21</v>
      </c>
      <c r="G3408">
        <v>79</v>
      </c>
      <c r="H3408" t="s">
        <v>143</v>
      </c>
      <c r="I3408" t="s">
        <v>45</v>
      </c>
      <c r="J3408" t="s">
        <v>108</v>
      </c>
      <c r="K3408" t="s">
        <v>39</v>
      </c>
      <c r="L3408">
        <v>4</v>
      </c>
      <c r="M3408" t="s">
        <v>152</v>
      </c>
      <c r="N3408" t="s">
        <v>29</v>
      </c>
      <c r="O3408" t="s">
        <v>76</v>
      </c>
      <c r="P3408" t="s">
        <v>152</v>
      </c>
      <c r="Q3408" t="s">
        <v>152</v>
      </c>
      <c r="R3408">
        <v>24</v>
      </c>
      <c r="S3408" t="s">
        <v>29</v>
      </c>
      <c r="T3408" t="str">
        <f t="shared" si="106"/>
        <v>Quarterly</v>
      </c>
      <c r="U3408">
        <f>VLOOKUP(T3408,[1]tablescore!$B$3:$C$8, 2,FALSE)</f>
        <v>4</v>
      </c>
      <c r="V3408" t="str">
        <f t="shared" si="107"/>
        <v>Low Loyalty</v>
      </c>
      <c r="W3408" t="s">
        <v>60</v>
      </c>
    </row>
    <row r="3409" spans="1:23" x14ac:dyDescent="0.25">
      <c r="A3409">
        <v>3408</v>
      </c>
      <c r="B3409">
        <v>46</v>
      </c>
      <c r="C3409" t="str" cm="1">
        <f t="array" ref="C3409">_xlfn.IFS(
  AND(B3409&gt;=18, B3409&lt;=24), "18-24",
  AND(B3409&gt;=25, B3409&lt;=34), "25-34",
  AND(B3409&gt;=35, B3409&lt;=44), "35-44",
  AND(B3409&gt;=45, B3409&lt;=54), "45-54",
  B3409&gt;=55, "55+"
)</f>
        <v>45-54</v>
      </c>
      <c r="D3409" t="s">
        <v>153</v>
      </c>
      <c r="E3409" t="s">
        <v>82</v>
      </c>
      <c r="F3409" t="s">
        <v>21</v>
      </c>
      <c r="G3409">
        <v>46</v>
      </c>
      <c r="H3409" t="s">
        <v>90</v>
      </c>
      <c r="I3409" t="s">
        <v>38</v>
      </c>
      <c r="J3409" t="s">
        <v>75</v>
      </c>
      <c r="K3409" t="s">
        <v>39</v>
      </c>
      <c r="L3409">
        <v>2.6</v>
      </c>
      <c r="M3409" t="s">
        <v>152</v>
      </c>
      <c r="N3409" t="s">
        <v>34</v>
      </c>
      <c r="O3409" t="s">
        <v>76</v>
      </c>
      <c r="P3409" t="s">
        <v>152</v>
      </c>
      <c r="Q3409" t="s">
        <v>152</v>
      </c>
      <c r="R3409">
        <v>20</v>
      </c>
      <c r="S3409" t="s">
        <v>35</v>
      </c>
      <c r="T3409" t="str">
        <f t="shared" si="106"/>
        <v>Quarterly</v>
      </c>
      <c r="U3409">
        <f>VLOOKUP(T3409,[1]tablescore!$B$3:$C$8, 2,FALSE)</f>
        <v>4</v>
      </c>
      <c r="V3409" t="str">
        <f t="shared" si="107"/>
        <v>Low Loyalty</v>
      </c>
      <c r="W3409" t="s">
        <v>60</v>
      </c>
    </row>
    <row r="3410" spans="1:23" x14ac:dyDescent="0.25">
      <c r="A3410">
        <v>3409</v>
      </c>
      <c r="B3410">
        <v>48</v>
      </c>
      <c r="C3410" t="str" cm="1">
        <f t="array" ref="C3410">_xlfn.IFS(
  AND(B3410&gt;=18, B3410&lt;=24), "18-24",
  AND(B3410&gt;=25, B3410&lt;=34), "25-34",
  AND(B3410&gt;=35, B3410&lt;=44), "35-44",
  AND(B3410&gt;=45, B3410&lt;=54), "45-54",
  B3410&gt;=55, "55+"
)</f>
        <v>45-54</v>
      </c>
      <c r="D3410" t="s">
        <v>153</v>
      </c>
      <c r="E3410" t="s">
        <v>131</v>
      </c>
      <c r="F3410" t="s">
        <v>21</v>
      </c>
      <c r="G3410">
        <v>72</v>
      </c>
      <c r="H3410" t="s">
        <v>57</v>
      </c>
      <c r="I3410" t="s">
        <v>23</v>
      </c>
      <c r="J3410" t="s">
        <v>75</v>
      </c>
      <c r="K3410" t="s">
        <v>54</v>
      </c>
      <c r="L3410">
        <v>4.4000000000000004</v>
      </c>
      <c r="M3410" t="s">
        <v>152</v>
      </c>
      <c r="N3410" t="s">
        <v>46</v>
      </c>
      <c r="O3410" t="s">
        <v>55</v>
      </c>
      <c r="P3410" t="s">
        <v>152</v>
      </c>
      <c r="Q3410" t="s">
        <v>152</v>
      </c>
      <c r="R3410">
        <v>11</v>
      </c>
      <c r="S3410" t="s">
        <v>34</v>
      </c>
      <c r="T3410" t="str">
        <f t="shared" si="106"/>
        <v>Annually</v>
      </c>
      <c r="U3410">
        <f>VLOOKUP(T3410,[1]tablescore!$B$3:$C$8, 2,FALSE)</f>
        <v>1</v>
      </c>
      <c r="V3410" t="str">
        <f t="shared" si="107"/>
        <v>Low Loyalty</v>
      </c>
      <c r="W3410" t="s">
        <v>50</v>
      </c>
    </row>
    <row r="3411" spans="1:23" x14ac:dyDescent="0.25">
      <c r="A3411">
        <v>3410</v>
      </c>
      <c r="B3411">
        <v>24</v>
      </c>
      <c r="C3411" t="str" cm="1">
        <f t="array" ref="C3411">_xlfn.IFS(
  AND(B3411&gt;=18, B3411&lt;=24), "18-24",
  AND(B3411&gt;=25, B3411&lt;=34), "25-34",
  AND(B3411&gt;=35, B3411&lt;=44), "35-44",
  AND(B3411&gt;=45, B3411&lt;=54), "45-54",
  B3411&gt;=55, "55+"
)</f>
        <v>18-24</v>
      </c>
      <c r="D3411" t="s">
        <v>153</v>
      </c>
      <c r="E3411" t="s">
        <v>56</v>
      </c>
      <c r="F3411" t="s">
        <v>21</v>
      </c>
      <c r="G3411">
        <v>93</v>
      </c>
      <c r="H3411" t="s">
        <v>134</v>
      </c>
      <c r="I3411" t="s">
        <v>45</v>
      </c>
      <c r="J3411" t="s">
        <v>86</v>
      </c>
      <c r="K3411" t="s">
        <v>54</v>
      </c>
      <c r="L3411">
        <v>3.2</v>
      </c>
      <c r="M3411" t="s">
        <v>152</v>
      </c>
      <c r="N3411" t="s">
        <v>46</v>
      </c>
      <c r="O3411" t="s">
        <v>47</v>
      </c>
      <c r="P3411" t="s">
        <v>152</v>
      </c>
      <c r="Q3411" t="s">
        <v>152</v>
      </c>
      <c r="R3411">
        <v>3</v>
      </c>
      <c r="S3411" t="s">
        <v>27</v>
      </c>
      <c r="T3411" t="str">
        <f t="shared" si="106"/>
        <v>Quarterly</v>
      </c>
      <c r="U3411">
        <f>VLOOKUP(T3411,[1]tablescore!$B$3:$C$8, 2,FALSE)</f>
        <v>4</v>
      </c>
      <c r="V3411" t="str">
        <f t="shared" si="107"/>
        <v>Low Loyalty</v>
      </c>
      <c r="W3411" t="s">
        <v>97</v>
      </c>
    </row>
    <row r="3412" spans="1:23" x14ac:dyDescent="0.25">
      <c r="A3412">
        <v>3411</v>
      </c>
      <c r="B3412">
        <v>50</v>
      </c>
      <c r="C3412" t="str" cm="1">
        <f t="array" ref="C3412">_xlfn.IFS(
  AND(B3412&gt;=18, B3412&lt;=24), "18-24",
  AND(B3412&gt;=25, B3412&lt;=34), "25-34",
  AND(B3412&gt;=35, B3412&lt;=44), "35-44",
  AND(B3412&gt;=45, B3412&lt;=54), "45-54",
  B3412&gt;=55, "55+"
)</f>
        <v>45-54</v>
      </c>
      <c r="D3412" t="s">
        <v>153</v>
      </c>
      <c r="E3412" t="s">
        <v>42</v>
      </c>
      <c r="F3412" t="s">
        <v>43</v>
      </c>
      <c r="G3412">
        <v>76</v>
      </c>
      <c r="H3412" t="s">
        <v>124</v>
      </c>
      <c r="I3412" t="s">
        <v>23</v>
      </c>
      <c r="J3412" t="s">
        <v>86</v>
      </c>
      <c r="K3412" t="s">
        <v>54</v>
      </c>
      <c r="L3412">
        <v>4.3</v>
      </c>
      <c r="M3412" t="s">
        <v>152</v>
      </c>
      <c r="N3412" t="s">
        <v>46</v>
      </c>
      <c r="O3412" t="s">
        <v>40</v>
      </c>
      <c r="P3412" t="s">
        <v>152</v>
      </c>
      <c r="Q3412" t="s">
        <v>152</v>
      </c>
      <c r="R3412">
        <v>38</v>
      </c>
      <c r="S3412" t="s">
        <v>34</v>
      </c>
      <c r="T3412" t="str">
        <f t="shared" si="106"/>
        <v>2-week</v>
      </c>
      <c r="U3412">
        <f>VLOOKUP(T3412,[1]tablescore!$B$3:$C$8, 2,FALSE)</f>
        <v>26</v>
      </c>
      <c r="V3412" t="str">
        <f t="shared" si="107"/>
        <v>Loyal</v>
      </c>
      <c r="W3412" t="s">
        <v>77</v>
      </c>
    </row>
    <row r="3413" spans="1:23" x14ac:dyDescent="0.25">
      <c r="A3413">
        <v>3412</v>
      </c>
      <c r="B3413">
        <v>29</v>
      </c>
      <c r="C3413" t="str" cm="1">
        <f t="array" ref="C3413">_xlfn.IFS(
  AND(B3413&gt;=18, B3413&lt;=24), "18-24",
  AND(B3413&gt;=25, B3413&lt;=34), "25-34",
  AND(B3413&gt;=35, B3413&lt;=44), "35-44",
  AND(B3413&gt;=45, B3413&lt;=54), "45-54",
  B3413&gt;=55, "55+"
)</f>
        <v>25-34</v>
      </c>
      <c r="D3413" t="s">
        <v>153</v>
      </c>
      <c r="E3413" t="s">
        <v>73</v>
      </c>
      <c r="F3413" t="s">
        <v>43</v>
      </c>
      <c r="G3413">
        <v>56</v>
      </c>
      <c r="H3413" t="s">
        <v>85</v>
      </c>
      <c r="I3413" t="s">
        <v>23</v>
      </c>
      <c r="J3413" t="s">
        <v>24</v>
      </c>
      <c r="K3413" t="s">
        <v>25</v>
      </c>
      <c r="L3413">
        <v>4.9000000000000004</v>
      </c>
      <c r="M3413" t="s">
        <v>152</v>
      </c>
      <c r="N3413" t="s">
        <v>29</v>
      </c>
      <c r="O3413" t="s">
        <v>72</v>
      </c>
      <c r="P3413" t="s">
        <v>152</v>
      </c>
      <c r="Q3413" t="s">
        <v>152</v>
      </c>
      <c r="R3413">
        <v>45</v>
      </c>
      <c r="S3413" t="s">
        <v>35</v>
      </c>
      <c r="T3413" t="str">
        <f t="shared" si="106"/>
        <v>Daily</v>
      </c>
      <c r="U3413">
        <f>VLOOKUP(T3413,[1]tablescore!$B$3:$C$8, 2,FALSE)</f>
        <v>30</v>
      </c>
      <c r="V3413" t="str">
        <f t="shared" si="107"/>
        <v>Highly Loyal</v>
      </c>
      <c r="W3413" t="s">
        <v>41</v>
      </c>
    </row>
    <row r="3414" spans="1:23" x14ac:dyDescent="0.25">
      <c r="A3414">
        <v>3413</v>
      </c>
      <c r="B3414">
        <v>61</v>
      </c>
      <c r="C3414" t="str" cm="1">
        <f t="array" ref="C3414">_xlfn.IFS(
  AND(B3414&gt;=18, B3414&lt;=24), "18-24",
  AND(B3414&gt;=25, B3414&lt;=34), "25-34",
  AND(B3414&gt;=35, B3414&lt;=44), "35-44",
  AND(B3414&gt;=45, B3414&lt;=54), "45-54",
  B3414&gt;=55, "55+"
)</f>
        <v>55+</v>
      </c>
      <c r="D3414" t="s">
        <v>153</v>
      </c>
      <c r="E3414" t="s">
        <v>42</v>
      </c>
      <c r="F3414" t="s">
        <v>43</v>
      </c>
      <c r="G3414">
        <v>83</v>
      </c>
      <c r="H3414" t="s">
        <v>116</v>
      </c>
      <c r="I3414" t="s">
        <v>45</v>
      </c>
      <c r="J3414" t="s">
        <v>147</v>
      </c>
      <c r="K3414" t="s">
        <v>58</v>
      </c>
      <c r="L3414">
        <v>3.8</v>
      </c>
      <c r="M3414" t="s">
        <v>152</v>
      </c>
      <c r="N3414" t="s">
        <v>27</v>
      </c>
      <c r="O3414" t="s">
        <v>76</v>
      </c>
      <c r="P3414" t="s">
        <v>152</v>
      </c>
      <c r="Q3414" t="s">
        <v>152</v>
      </c>
      <c r="R3414">
        <v>31</v>
      </c>
      <c r="S3414" t="s">
        <v>29</v>
      </c>
      <c r="T3414" t="str">
        <f t="shared" si="106"/>
        <v>Quarterly</v>
      </c>
      <c r="U3414">
        <f>VLOOKUP(T3414,[1]tablescore!$B$3:$C$8, 2,FALSE)</f>
        <v>4</v>
      </c>
      <c r="V3414" t="str">
        <f t="shared" si="107"/>
        <v>Low Loyalty</v>
      </c>
      <c r="W3414" t="s">
        <v>60</v>
      </c>
    </row>
    <row r="3415" spans="1:23" x14ac:dyDescent="0.25">
      <c r="A3415">
        <v>3414</v>
      </c>
      <c r="B3415">
        <v>34</v>
      </c>
      <c r="C3415" t="str" cm="1">
        <f t="array" ref="C3415">_xlfn.IFS(
  AND(B3415&gt;=18, B3415&lt;=24), "18-24",
  AND(B3415&gt;=25, B3415&lt;=34), "25-34",
  AND(B3415&gt;=35, B3415&lt;=44), "35-44",
  AND(B3415&gt;=45, B3415&lt;=54), "45-54",
  B3415&gt;=55, "55+"
)</f>
        <v>25-34</v>
      </c>
      <c r="D3415" t="s">
        <v>153</v>
      </c>
      <c r="E3415" t="s">
        <v>127</v>
      </c>
      <c r="F3415" t="s">
        <v>69</v>
      </c>
      <c r="G3415">
        <v>90</v>
      </c>
      <c r="H3415" t="s">
        <v>80</v>
      </c>
      <c r="I3415" t="s">
        <v>92</v>
      </c>
      <c r="J3415" t="s">
        <v>94</v>
      </c>
      <c r="K3415" t="s">
        <v>25</v>
      </c>
      <c r="L3415">
        <v>2.5</v>
      </c>
      <c r="M3415" t="s">
        <v>152</v>
      </c>
      <c r="N3415" t="s">
        <v>35</v>
      </c>
      <c r="O3415" t="s">
        <v>28</v>
      </c>
      <c r="P3415" t="s">
        <v>152</v>
      </c>
      <c r="Q3415" t="s">
        <v>152</v>
      </c>
      <c r="R3415">
        <v>16</v>
      </c>
      <c r="S3415" t="s">
        <v>46</v>
      </c>
      <c r="T3415" t="str">
        <f t="shared" si="106"/>
        <v>2-week</v>
      </c>
      <c r="U3415">
        <f>VLOOKUP(T3415,[1]tablescore!$B$3:$C$8, 2,FALSE)</f>
        <v>26</v>
      </c>
      <c r="V3415" t="str">
        <f t="shared" si="107"/>
        <v>Loyal</v>
      </c>
      <c r="W3415" t="s">
        <v>77</v>
      </c>
    </row>
    <row r="3416" spans="1:23" x14ac:dyDescent="0.25">
      <c r="A3416">
        <v>3415</v>
      </c>
      <c r="B3416">
        <v>27</v>
      </c>
      <c r="C3416" t="str" cm="1">
        <f t="array" ref="C3416">_xlfn.IFS(
  AND(B3416&gt;=18, B3416&lt;=24), "18-24",
  AND(B3416&gt;=25, B3416&lt;=34), "25-34",
  AND(B3416&gt;=35, B3416&lt;=44), "35-44",
  AND(B3416&gt;=45, B3416&lt;=54), "45-54",
  B3416&gt;=55, "55+"
)</f>
        <v>25-34</v>
      </c>
      <c r="D3416" t="s">
        <v>153</v>
      </c>
      <c r="E3416" t="s">
        <v>132</v>
      </c>
      <c r="F3416" t="s">
        <v>43</v>
      </c>
      <c r="G3416">
        <v>94</v>
      </c>
      <c r="H3416" t="s">
        <v>146</v>
      </c>
      <c r="I3416" t="s">
        <v>45</v>
      </c>
      <c r="J3416" t="s">
        <v>33</v>
      </c>
      <c r="K3416" t="s">
        <v>39</v>
      </c>
      <c r="L3416">
        <v>4.9000000000000004</v>
      </c>
      <c r="M3416" t="s">
        <v>152</v>
      </c>
      <c r="N3416" t="s">
        <v>29</v>
      </c>
      <c r="O3416" t="s">
        <v>47</v>
      </c>
      <c r="P3416" t="s">
        <v>152</v>
      </c>
      <c r="Q3416" t="s">
        <v>152</v>
      </c>
      <c r="R3416">
        <v>3</v>
      </c>
      <c r="S3416" t="s">
        <v>34</v>
      </c>
      <c r="T3416" t="str">
        <f t="shared" si="106"/>
        <v>Quarterly</v>
      </c>
      <c r="U3416">
        <f>VLOOKUP(T3416,[1]tablescore!$B$3:$C$8, 2,FALSE)</f>
        <v>4</v>
      </c>
      <c r="V3416" t="str">
        <f t="shared" si="107"/>
        <v>Low Loyalty</v>
      </c>
      <c r="W3416" t="s">
        <v>60</v>
      </c>
    </row>
    <row r="3417" spans="1:23" x14ac:dyDescent="0.25">
      <c r="A3417">
        <v>3416</v>
      </c>
      <c r="B3417">
        <v>38</v>
      </c>
      <c r="C3417" t="str" cm="1">
        <f t="array" ref="C3417">_xlfn.IFS(
  AND(B3417&gt;=18, B3417&lt;=24), "18-24",
  AND(B3417&gt;=25, B3417&lt;=34), "25-34",
  AND(B3417&gt;=35, B3417&lt;=44), "35-44",
  AND(B3417&gt;=45, B3417&lt;=54), "45-54",
  B3417&gt;=55, "55+"
)</f>
        <v>35-44</v>
      </c>
      <c r="D3417" t="s">
        <v>153</v>
      </c>
      <c r="E3417" t="s">
        <v>20</v>
      </c>
      <c r="F3417" t="s">
        <v>21</v>
      </c>
      <c r="G3417">
        <v>68</v>
      </c>
      <c r="H3417" t="s">
        <v>85</v>
      </c>
      <c r="I3417" t="s">
        <v>45</v>
      </c>
      <c r="J3417" t="s">
        <v>81</v>
      </c>
      <c r="K3417" t="s">
        <v>58</v>
      </c>
      <c r="L3417">
        <v>3</v>
      </c>
      <c r="M3417" t="s">
        <v>152</v>
      </c>
      <c r="N3417" t="s">
        <v>27</v>
      </c>
      <c r="O3417" t="s">
        <v>72</v>
      </c>
      <c r="P3417" t="s">
        <v>152</v>
      </c>
      <c r="Q3417" t="s">
        <v>152</v>
      </c>
      <c r="R3417">
        <v>15</v>
      </c>
      <c r="S3417" t="s">
        <v>34</v>
      </c>
      <c r="T3417" t="str">
        <f t="shared" si="106"/>
        <v>Annually</v>
      </c>
      <c r="U3417">
        <f>VLOOKUP(T3417,[1]tablescore!$B$3:$C$8, 2,FALSE)</f>
        <v>1</v>
      </c>
      <c r="V3417" t="str">
        <f t="shared" si="107"/>
        <v>Low Loyalty</v>
      </c>
      <c r="W3417" t="s">
        <v>50</v>
      </c>
    </row>
    <row r="3418" spans="1:23" x14ac:dyDescent="0.25">
      <c r="A3418">
        <v>3417</v>
      </c>
      <c r="B3418">
        <v>25</v>
      </c>
      <c r="C3418" t="str" cm="1">
        <f t="array" ref="C3418">_xlfn.IFS(
  AND(B3418&gt;=18, B3418&lt;=24), "18-24",
  AND(B3418&gt;=25, B3418&lt;=34), "25-34",
  AND(B3418&gt;=35, B3418&lt;=44), "35-44",
  AND(B3418&gt;=45, B3418&lt;=54), "45-54",
  B3418&gt;=55, "55+"
)</f>
        <v>25-34</v>
      </c>
      <c r="D3418" t="s">
        <v>153</v>
      </c>
      <c r="E3418" t="s">
        <v>42</v>
      </c>
      <c r="F3418" t="s">
        <v>43</v>
      </c>
      <c r="G3418">
        <v>53</v>
      </c>
      <c r="H3418" t="s">
        <v>90</v>
      </c>
      <c r="I3418" t="s">
        <v>45</v>
      </c>
      <c r="J3418" t="s">
        <v>75</v>
      </c>
      <c r="K3418" t="s">
        <v>39</v>
      </c>
      <c r="L3418">
        <v>3.2</v>
      </c>
      <c r="M3418" t="s">
        <v>152</v>
      </c>
      <c r="N3418" t="s">
        <v>46</v>
      </c>
      <c r="O3418" t="s">
        <v>76</v>
      </c>
      <c r="P3418" t="s">
        <v>152</v>
      </c>
      <c r="Q3418" t="s">
        <v>152</v>
      </c>
      <c r="R3418">
        <v>11</v>
      </c>
      <c r="S3418" t="s">
        <v>34</v>
      </c>
      <c r="T3418" t="str">
        <f t="shared" si="106"/>
        <v>Quarterly</v>
      </c>
      <c r="U3418">
        <f>VLOOKUP(T3418,[1]tablescore!$B$3:$C$8, 2,FALSE)</f>
        <v>4</v>
      </c>
      <c r="V3418" t="str">
        <f t="shared" si="107"/>
        <v>Low Loyalty</v>
      </c>
      <c r="W3418" t="s">
        <v>97</v>
      </c>
    </row>
    <row r="3419" spans="1:23" x14ac:dyDescent="0.25">
      <c r="A3419">
        <v>3418</v>
      </c>
      <c r="B3419">
        <v>54</v>
      </c>
      <c r="C3419" t="str" cm="1">
        <f t="array" ref="C3419">_xlfn.IFS(
  AND(B3419&gt;=18, B3419&lt;=24), "18-24",
  AND(B3419&gt;=25, B3419&lt;=34), "25-34",
  AND(B3419&gt;=35, B3419&lt;=44), "35-44",
  AND(B3419&gt;=45, B3419&lt;=54), "45-54",
  B3419&gt;=55, "55+"
)</f>
        <v>45-54</v>
      </c>
      <c r="D3419" t="s">
        <v>153</v>
      </c>
      <c r="E3419" t="s">
        <v>64</v>
      </c>
      <c r="F3419" t="s">
        <v>65</v>
      </c>
      <c r="G3419">
        <v>35</v>
      </c>
      <c r="H3419" t="s">
        <v>37</v>
      </c>
      <c r="I3419" t="s">
        <v>45</v>
      </c>
      <c r="J3419" t="s">
        <v>138</v>
      </c>
      <c r="K3419" t="s">
        <v>54</v>
      </c>
      <c r="L3419">
        <v>2.9</v>
      </c>
      <c r="M3419" t="s">
        <v>152</v>
      </c>
      <c r="N3419" t="s">
        <v>46</v>
      </c>
      <c r="O3419" t="s">
        <v>72</v>
      </c>
      <c r="P3419" t="s">
        <v>152</v>
      </c>
      <c r="Q3419" t="s">
        <v>152</v>
      </c>
      <c r="R3419">
        <v>22</v>
      </c>
      <c r="S3419" t="s">
        <v>59</v>
      </c>
      <c r="T3419" t="str">
        <f t="shared" si="106"/>
        <v>2-week</v>
      </c>
      <c r="U3419">
        <f>VLOOKUP(T3419,[1]tablescore!$B$3:$C$8, 2,FALSE)</f>
        <v>26</v>
      </c>
      <c r="V3419" t="str">
        <f t="shared" si="107"/>
        <v>Loyal</v>
      </c>
      <c r="W3419" t="s">
        <v>30</v>
      </c>
    </row>
    <row r="3420" spans="1:23" x14ac:dyDescent="0.25">
      <c r="A3420">
        <v>3419</v>
      </c>
      <c r="B3420">
        <v>53</v>
      </c>
      <c r="C3420" t="str" cm="1">
        <f t="array" ref="C3420">_xlfn.IFS(
  AND(B3420&gt;=18, B3420&lt;=24), "18-24",
  AND(B3420&gt;=25, B3420&lt;=34), "25-34",
  AND(B3420&gt;=35, B3420&lt;=44), "35-44",
  AND(B3420&gt;=45, B3420&lt;=54), "45-54",
  B3420&gt;=55, "55+"
)</f>
        <v>45-54</v>
      </c>
      <c r="D3420" t="s">
        <v>153</v>
      </c>
      <c r="E3420" t="s">
        <v>102</v>
      </c>
      <c r="F3420" t="s">
        <v>65</v>
      </c>
      <c r="G3420">
        <v>30</v>
      </c>
      <c r="H3420" t="s">
        <v>126</v>
      </c>
      <c r="I3420" t="s">
        <v>45</v>
      </c>
      <c r="J3420" t="s">
        <v>118</v>
      </c>
      <c r="K3420" t="s">
        <v>54</v>
      </c>
      <c r="L3420">
        <v>2.8</v>
      </c>
      <c r="M3420" t="s">
        <v>152</v>
      </c>
      <c r="N3420" t="s">
        <v>35</v>
      </c>
      <c r="O3420" t="s">
        <v>40</v>
      </c>
      <c r="P3420" t="s">
        <v>152</v>
      </c>
      <c r="Q3420" t="s">
        <v>152</v>
      </c>
      <c r="R3420">
        <v>35</v>
      </c>
      <c r="S3420" t="s">
        <v>59</v>
      </c>
      <c r="T3420" t="str">
        <f t="shared" si="106"/>
        <v>Annually</v>
      </c>
      <c r="U3420">
        <f>VLOOKUP(T3420,[1]tablescore!$B$3:$C$8, 2,FALSE)</f>
        <v>1</v>
      </c>
      <c r="V3420" t="str">
        <f t="shared" si="107"/>
        <v>Low Loyalty</v>
      </c>
      <c r="W3420" t="s">
        <v>50</v>
      </c>
    </row>
    <row r="3421" spans="1:23" x14ac:dyDescent="0.25">
      <c r="A3421">
        <v>3420</v>
      </c>
      <c r="B3421">
        <v>23</v>
      </c>
      <c r="C3421" t="str" cm="1">
        <f t="array" ref="C3421">_xlfn.IFS(
  AND(B3421&gt;=18, B3421&lt;=24), "18-24",
  AND(B3421&gt;=25, B3421&lt;=34), "25-34",
  AND(B3421&gt;=35, B3421&lt;=44), "35-44",
  AND(B3421&gt;=45, B3421&lt;=54), "45-54",
  B3421&gt;=55, "55+"
)</f>
        <v>18-24</v>
      </c>
      <c r="D3421" t="s">
        <v>153</v>
      </c>
      <c r="E3421" t="s">
        <v>106</v>
      </c>
      <c r="F3421" t="s">
        <v>69</v>
      </c>
      <c r="G3421">
        <v>26</v>
      </c>
      <c r="H3421" t="s">
        <v>66</v>
      </c>
      <c r="I3421" t="s">
        <v>23</v>
      </c>
      <c r="J3421" t="s">
        <v>129</v>
      </c>
      <c r="K3421" t="s">
        <v>25</v>
      </c>
      <c r="L3421">
        <v>3.1</v>
      </c>
      <c r="M3421" t="s">
        <v>152</v>
      </c>
      <c r="N3421" t="s">
        <v>29</v>
      </c>
      <c r="O3421" t="s">
        <v>76</v>
      </c>
      <c r="P3421" t="s">
        <v>152</v>
      </c>
      <c r="Q3421" t="s">
        <v>152</v>
      </c>
      <c r="R3421">
        <v>5</v>
      </c>
      <c r="S3421" t="s">
        <v>29</v>
      </c>
      <c r="T3421" t="str">
        <f t="shared" si="106"/>
        <v>2-week</v>
      </c>
      <c r="U3421">
        <f>VLOOKUP(T3421,[1]tablescore!$B$3:$C$8, 2,FALSE)</f>
        <v>26</v>
      </c>
      <c r="V3421" t="str">
        <f t="shared" si="107"/>
        <v>Loyal</v>
      </c>
      <c r="W3421" t="s">
        <v>77</v>
      </c>
    </row>
    <row r="3422" spans="1:23" x14ac:dyDescent="0.25">
      <c r="A3422">
        <v>3421</v>
      </c>
      <c r="B3422">
        <v>19</v>
      </c>
      <c r="C3422" t="str" cm="1">
        <f t="array" ref="C3422">_xlfn.IFS(
  AND(B3422&gt;=18, B3422&lt;=24), "18-24",
  AND(B3422&gt;=25, B3422&lt;=34), "25-34",
  AND(B3422&gt;=35, B3422&lt;=44), "35-44",
  AND(B3422&gt;=45, B3422&lt;=54), "45-54",
  B3422&gt;=55, "55+"
)</f>
        <v>18-24</v>
      </c>
      <c r="D3422" t="s">
        <v>153</v>
      </c>
      <c r="E3422" t="s">
        <v>125</v>
      </c>
      <c r="F3422" t="s">
        <v>69</v>
      </c>
      <c r="G3422">
        <v>60</v>
      </c>
      <c r="H3422" t="s">
        <v>22</v>
      </c>
      <c r="I3422" t="s">
        <v>45</v>
      </c>
      <c r="J3422" t="s">
        <v>75</v>
      </c>
      <c r="K3422" t="s">
        <v>25</v>
      </c>
      <c r="L3422">
        <v>3.4</v>
      </c>
      <c r="M3422" t="s">
        <v>152</v>
      </c>
      <c r="N3422" t="s">
        <v>59</v>
      </c>
      <c r="O3422" t="s">
        <v>28</v>
      </c>
      <c r="P3422" t="s">
        <v>152</v>
      </c>
      <c r="Q3422" t="s">
        <v>152</v>
      </c>
      <c r="R3422">
        <v>35</v>
      </c>
      <c r="S3422" t="s">
        <v>46</v>
      </c>
      <c r="T3422" t="str">
        <f t="shared" si="106"/>
        <v>2-week</v>
      </c>
      <c r="U3422">
        <f>VLOOKUP(T3422,[1]tablescore!$B$3:$C$8, 2,FALSE)</f>
        <v>26</v>
      </c>
      <c r="V3422" t="str">
        <f t="shared" si="107"/>
        <v>Loyal</v>
      </c>
      <c r="W3422" t="s">
        <v>77</v>
      </c>
    </row>
    <row r="3423" spans="1:23" x14ac:dyDescent="0.25">
      <c r="A3423">
        <v>3422</v>
      </c>
      <c r="B3423">
        <v>57</v>
      </c>
      <c r="C3423" t="str" cm="1">
        <f t="array" ref="C3423">_xlfn.IFS(
  AND(B3423&gt;=18, B3423&lt;=24), "18-24",
  AND(B3423&gt;=25, B3423&lt;=34), "25-34",
  AND(B3423&gt;=35, B3423&lt;=44), "35-44",
  AND(B3423&gt;=45, B3423&lt;=54), "45-54",
  B3423&gt;=55, "55+"
)</f>
        <v>55+</v>
      </c>
      <c r="D3423" t="s">
        <v>153</v>
      </c>
      <c r="E3423" t="s">
        <v>73</v>
      </c>
      <c r="F3423" t="s">
        <v>43</v>
      </c>
      <c r="G3423">
        <v>30</v>
      </c>
      <c r="H3423" t="s">
        <v>137</v>
      </c>
      <c r="I3423" t="s">
        <v>45</v>
      </c>
      <c r="J3423" t="s">
        <v>33</v>
      </c>
      <c r="K3423" t="s">
        <v>54</v>
      </c>
      <c r="L3423">
        <v>2.9</v>
      </c>
      <c r="M3423" t="s">
        <v>152</v>
      </c>
      <c r="N3423" t="s">
        <v>46</v>
      </c>
      <c r="O3423" t="s">
        <v>40</v>
      </c>
      <c r="P3423" t="s">
        <v>152</v>
      </c>
      <c r="Q3423" t="s">
        <v>152</v>
      </c>
      <c r="R3423">
        <v>27</v>
      </c>
      <c r="S3423" t="s">
        <v>46</v>
      </c>
      <c r="T3423" t="str">
        <f t="shared" si="106"/>
        <v>Daily</v>
      </c>
      <c r="U3423">
        <f>VLOOKUP(T3423,[1]tablescore!$B$3:$C$8, 2,FALSE)</f>
        <v>30</v>
      </c>
      <c r="V3423" t="str">
        <f t="shared" si="107"/>
        <v>Highly Loyal</v>
      </c>
      <c r="W3423" t="s">
        <v>41</v>
      </c>
    </row>
    <row r="3424" spans="1:23" x14ac:dyDescent="0.25">
      <c r="A3424">
        <v>3423</v>
      </c>
      <c r="B3424">
        <v>19</v>
      </c>
      <c r="C3424" t="str" cm="1">
        <f t="array" ref="C3424">_xlfn.IFS(
  AND(B3424&gt;=18, B3424&lt;=24), "18-24",
  AND(B3424&gt;=25, B3424&lt;=34), "25-34",
  AND(B3424&gt;=35, B3424&lt;=44), "35-44",
  AND(B3424&gt;=45, B3424&lt;=54), "45-54",
  B3424&gt;=55, "55+"
)</f>
        <v>18-24</v>
      </c>
      <c r="D3424" t="s">
        <v>153</v>
      </c>
      <c r="E3424" t="s">
        <v>64</v>
      </c>
      <c r="F3424" t="s">
        <v>65</v>
      </c>
      <c r="G3424">
        <v>91</v>
      </c>
      <c r="H3424" t="s">
        <v>85</v>
      </c>
      <c r="I3424" t="s">
        <v>23</v>
      </c>
      <c r="J3424" t="s">
        <v>118</v>
      </c>
      <c r="K3424" t="s">
        <v>25</v>
      </c>
      <c r="L3424">
        <v>3.2</v>
      </c>
      <c r="M3424" t="s">
        <v>152</v>
      </c>
      <c r="N3424" t="s">
        <v>27</v>
      </c>
      <c r="O3424" t="s">
        <v>47</v>
      </c>
      <c r="P3424" t="s">
        <v>152</v>
      </c>
      <c r="Q3424" t="s">
        <v>152</v>
      </c>
      <c r="R3424">
        <v>9</v>
      </c>
      <c r="S3424" t="s">
        <v>29</v>
      </c>
      <c r="T3424" t="str">
        <f t="shared" si="106"/>
        <v>Month</v>
      </c>
      <c r="U3424">
        <f>VLOOKUP(T3424,[1]tablescore!$B$3:$C$8, 2,FALSE)</f>
        <v>12</v>
      </c>
      <c r="V3424" t="str">
        <f t="shared" si="107"/>
        <v>Moderate</v>
      </c>
      <c r="W3424" t="s">
        <v>88</v>
      </c>
    </row>
    <row r="3425" spans="1:23" x14ac:dyDescent="0.25">
      <c r="A3425">
        <v>3424</v>
      </c>
      <c r="B3425">
        <v>33</v>
      </c>
      <c r="C3425" t="str" cm="1">
        <f t="array" ref="C3425">_xlfn.IFS(
  AND(B3425&gt;=18, B3425&lt;=24), "18-24",
  AND(B3425&gt;=25, B3425&lt;=34), "25-34",
  AND(B3425&gt;=35, B3425&lt;=44), "35-44",
  AND(B3425&gt;=45, B3425&lt;=54), "45-54",
  B3425&gt;=55, "55+"
)</f>
        <v>25-34</v>
      </c>
      <c r="D3425" t="s">
        <v>153</v>
      </c>
      <c r="E3425" t="s">
        <v>132</v>
      </c>
      <c r="F3425" t="s">
        <v>43</v>
      </c>
      <c r="G3425">
        <v>71</v>
      </c>
      <c r="H3425" t="s">
        <v>37</v>
      </c>
      <c r="I3425" t="s">
        <v>45</v>
      </c>
      <c r="J3425" t="s">
        <v>110</v>
      </c>
      <c r="K3425" t="s">
        <v>39</v>
      </c>
      <c r="L3425">
        <v>3.8</v>
      </c>
      <c r="M3425" t="s">
        <v>152</v>
      </c>
      <c r="N3425" t="s">
        <v>29</v>
      </c>
      <c r="O3425" t="s">
        <v>47</v>
      </c>
      <c r="P3425" t="s">
        <v>152</v>
      </c>
      <c r="Q3425" t="s">
        <v>152</v>
      </c>
      <c r="R3425">
        <v>21</v>
      </c>
      <c r="S3425" t="s">
        <v>46</v>
      </c>
      <c r="T3425" t="str">
        <f t="shared" si="106"/>
        <v>2-week</v>
      </c>
      <c r="U3425">
        <f>VLOOKUP(T3425,[1]tablescore!$B$3:$C$8, 2,FALSE)</f>
        <v>26</v>
      </c>
      <c r="V3425" t="str">
        <f t="shared" si="107"/>
        <v>Loyal</v>
      </c>
      <c r="W3425" t="s">
        <v>77</v>
      </c>
    </row>
    <row r="3426" spans="1:23" x14ac:dyDescent="0.25">
      <c r="A3426">
        <v>3425</v>
      </c>
      <c r="B3426">
        <v>33</v>
      </c>
      <c r="C3426" t="str" cm="1">
        <f t="array" ref="C3426">_xlfn.IFS(
  AND(B3426&gt;=18, B3426&lt;=24), "18-24",
  AND(B3426&gt;=25, B3426&lt;=34), "25-34",
  AND(B3426&gt;=35, B3426&lt;=44), "35-44",
  AND(B3426&gt;=45, B3426&lt;=54), "45-54",
  B3426&gt;=55, "55+"
)</f>
        <v>25-34</v>
      </c>
      <c r="D3426" t="s">
        <v>153</v>
      </c>
      <c r="E3426" t="s">
        <v>119</v>
      </c>
      <c r="F3426" t="s">
        <v>69</v>
      </c>
      <c r="G3426">
        <v>64</v>
      </c>
      <c r="H3426" t="s">
        <v>103</v>
      </c>
      <c r="I3426" t="s">
        <v>23</v>
      </c>
      <c r="J3426" t="s">
        <v>96</v>
      </c>
      <c r="K3426" t="s">
        <v>54</v>
      </c>
      <c r="L3426">
        <v>3.6</v>
      </c>
      <c r="M3426" t="s">
        <v>152</v>
      </c>
      <c r="N3426" t="s">
        <v>29</v>
      </c>
      <c r="O3426" t="s">
        <v>72</v>
      </c>
      <c r="P3426" t="s">
        <v>152</v>
      </c>
      <c r="Q3426" t="s">
        <v>152</v>
      </c>
      <c r="R3426">
        <v>23</v>
      </c>
      <c r="S3426" t="s">
        <v>27</v>
      </c>
      <c r="T3426" t="str">
        <f t="shared" si="106"/>
        <v>Month</v>
      </c>
      <c r="U3426">
        <f>VLOOKUP(T3426,[1]tablescore!$B$3:$C$8, 2,FALSE)</f>
        <v>12</v>
      </c>
      <c r="V3426" t="str">
        <f t="shared" si="107"/>
        <v>Moderate</v>
      </c>
      <c r="W3426" t="s">
        <v>88</v>
      </c>
    </row>
    <row r="3427" spans="1:23" x14ac:dyDescent="0.25">
      <c r="A3427">
        <v>3426</v>
      </c>
      <c r="B3427">
        <v>38</v>
      </c>
      <c r="C3427" t="str" cm="1">
        <f t="array" ref="C3427">_xlfn.IFS(
  AND(B3427&gt;=18, B3427&lt;=24), "18-24",
  AND(B3427&gt;=25, B3427&lt;=34), "25-34",
  AND(B3427&gt;=35, B3427&lt;=44), "35-44",
  AND(B3427&gt;=45, B3427&lt;=54), "45-54",
  B3427&gt;=55, "55+"
)</f>
        <v>35-44</v>
      </c>
      <c r="D3427" t="s">
        <v>153</v>
      </c>
      <c r="E3427" t="s">
        <v>125</v>
      </c>
      <c r="F3427" t="s">
        <v>69</v>
      </c>
      <c r="G3427">
        <v>54</v>
      </c>
      <c r="H3427" t="s">
        <v>151</v>
      </c>
      <c r="I3427" t="s">
        <v>45</v>
      </c>
      <c r="J3427" t="s">
        <v>138</v>
      </c>
      <c r="K3427" t="s">
        <v>54</v>
      </c>
      <c r="L3427">
        <v>4.3</v>
      </c>
      <c r="M3427" t="s">
        <v>152</v>
      </c>
      <c r="N3427" t="s">
        <v>34</v>
      </c>
      <c r="O3427" t="s">
        <v>47</v>
      </c>
      <c r="P3427" t="s">
        <v>152</v>
      </c>
      <c r="Q3427" t="s">
        <v>152</v>
      </c>
      <c r="R3427">
        <v>3</v>
      </c>
      <c r="S3427" t="s">
        <v>59</v>
      </c>
      <c r="T3427" t="str">
        <f t="shared" si="106"/>
        <v>2-week</v>
      </c>
      <c r="U3427">
        <f>VLOOKUP(T3427,[1]tablescore!$B$3:$C$8, 2,FALSE)</f>
        <v>26</v>
      </c>
      <c r="V3427" t="str">
        <f t="shared" si="107"/>
        <v>Loyal</v>
      </c>
      <c r="W3427" t="s">
        <v>77</v>
      </c>
    </row>
    <row r="3428" spans="1:23" x14ac:dyDescent="0.25">
      <c r="A3428">
        <v>3427</v>
      </c>
      <c r="B3428">
        <v>47</v>
      </c>
      <c r="C3428" t="str" cm="1">
        <f t="array" ref="C3428">_xlfn.IFS(
  AND(B3428&gt;=18, B3428&lt;=24), "18-24",
  AND(B3428&gt;=25, B3428&lt;=34), "25-34",
  AND(B3428&gt;=35, B3428&lt;=44), "35-44",
  AND(B3428&gt;=45, B3428&lt;=54), "45-54",
  B3428&gt;=55, "55+"
)</f>
        <v>45-54</v>
      </c>
      <c r="D3428" t="s">
        <v>153</v>
      </c>
      <c r="E3428" t="s">
        <v>131</v>
      </c>
      <c r="F3428" t="s">
        <v>21</v>
      </c>
      <c r="G3428">
        <v>35</v>
      </c>
      <c r="H3428" t="s">
        <v>48</v>
      </c>
      <c r="I3428" t="s">
        <v>92</v>
      </c>
      <c r="J3428" t="s">
        <v>147</v>
      </c>
      <c r="K3428" t="s">
        <v>58</v>
      </c>
      <c r="L3428">
        <v>4.8</v>
      </c>
      <c r="M3428" t="s">
        <v>152</v>
      </c>
      <c r="N3428" t="s">
        <v>46</v>
      </c>
      <c r="O3428" t="s">
        <v>72</v>
      </c>
      <c r="P3428" t="s">
        <v>152</v>
      </c>
      <c r="Q3428" t="s">
        <v>152</v>
      </c>
      <c r="R3428">
        <v>31</v>
      </c>
      <c r="S3428" t="s">
        <v>27</v>
      </c>
      <c r="T3428" t="str">
        <f t="shared" si="106"/>
        <v>Annually</v>
      </c>
      <c r="U3428">
        <f>VLOOKUP(T3428,[1]tablescore!$B$3:$C$8, 2,FALSE)</f>
        <v>1</v>
      </c>
      <c r="V3428" t="str">
        <f t="shared" si="107"/>
        <v>Low Loyalty</v>
      </c>
      <c r="W3428" t="s">
        <v>50</v>
      </c>
    </row>
    <row r="3429" spans="1:23" x14ac:dyDescent="0.25">
      <c r="A3429">
        <v>3428</v>
      </c>
      <c r="B3429">
        <v>39</v>
      </c>
      <c r="C3429" t="str" cm="1">
        <f t="array" ref="C3429">_xlfn.IFS(
  AND(B3429&gt;=18, B3429&lt;=24), "18-24",
  AND(B3429&gt;=25, B3429&lt;=34), "25-34",
  AND(B3429&gt;=35, B3429&lt;=44), "35-44",
  AND(B3429&gt;=45, B3429&lt;=54), "45-54",
  B3429&gt;=55, "55+"
)</f>
        <v>35-44</v>
      </c>
      <c r="D3429" t="s">
        <v>153</v>
      </c>
      <c r="E3429" t="s">
        <v>113</v>
      </c>
      <c r="F3429" t="s">
        <v>21</v>
      </c>
      <c r="G3429">
        <v>38</v>
      </c>
      <c r="H3429" t="s">
        <v>151</v>
      </c>
      <c r="I3429" t="s">
        <v>92</v>
      </c>
      <c r="J3429" t="s">
        <v>49</v>
      </c>
      <c r="K3429" t="s">
        <v>25</v>
      </c>
      <c r="L3429">
        <v>2.5</v>
      </c>
      <c r="M3429" t="s">
        <v>152</v>
      </c>
      <c r="N3429" t="s">
        <v>34</v>
      </c>
      <c r="O3429" t="s">
        <v>76</v>
      </c>
      <c r="P3429" t="s">
        <v>152</v>
      </c>
      <c r="Q3429" t="s">
        <v>152</v>
      </c>
      <c r="R3429">
        <v>44</v>
      </c>
      <c r="S3429" t="s">
        <v>35</v>
      </c>
      <c r="T3429" t="str">
        <f t="shared" si="106"/>
        <v>Annually</v>
      </c>
      <c r="U3429">
        <f>VLOOKUP(T3429,[1]tablescore!$B$3:$C$8, 2,FALSE)</f>
        <v>1</v>
      </c>
      <c r="V3429" t="str">
        <f t="shared" si="107"/>
        <v>Low Loyalty</v>
      </c>
      <c r="W3429" t="s">
        <v>50</v>
      </c>
    </row>
    <row r="3430" spans="1:23" x14ac:dyDescent="0.25">
      <c r="A3430">
        <v>3429</v>
      </c>
      <c r="B3430">
        <v>32</v>
      </c>
      <c r="C3430" t="str" cm="1">
        <f t="array" ref="C3430">_xlfn.IFS(
  AND(B3430&gt;=18, B3430&lt;=24), "18-24",
  AND(B3430&gt;=25, B3430&lt;=34), "25-34",
  AND(B3430&gt;=35, B3430&lt;=44), "35-44",
  AND(B3430&gt;=45, B3430&lt;=54), "45-54",
  B3430&gt;=55, "55+"
)</f>
        <v>25-34</v>
      </c>
      <c r="D3430" t="s">
        <v>153</v>
      </c>
      <c r="E3430" t="s">
        <v>106</v>
      </c>
      <c r="F3430" t="s">
        <v>69</v>
      </c>
      <c r="G3430">
        <v>69</v>
      </c>
      <c r="H3430" t="s">
        <v>140</v>
      </c>
      <c r="I3430" t="s">
        <v>45</v>
      </c>
      <c r="J3430" t="s">
        <v>24</v>
      </c>
      <c r="K3430" t="s">
        <v>58</v>
      </c>
      <c r="L3430">
        <v>2.5</v>
      </c>
      <c r="M3430" t="s">
        <v>152</v>
      </c>
      <c r="N3430" t="s">
        <v>59</v>
      </c>
      <c r="O3430" t="s">
        <v>47</v>
      </c>
      <c r="P3430" t="s">
        <v>152</v>
      </c>
      <c r="Q3430" t="s">
        <v>152</v>
      </c>
      <c r="R3430">
        <v>20</v>
      </c>
      <c r="S3430" t="s">
        <v>29</v>
      </c>
      <c r="T3430" t="str">
        <f t="shared" si="106"/>
        <v>Month</v>
      </c>
      <c r="U3430">
        <f>VLOOKUP(T3430,[1]tablescore!$B$3:$C$8, 2,FALSE)</f>
        <v>12</v>
      </c>
      <c r="V3430" t="str">
        <f t="shared" si="107"/>
        <v>Moderate</v>
      </c>
      <c r="W3430" t="s">
        <v>88</v>
      </c>
    </row>
    <row r="3431" spans="1:23" x14ac:dyDescent="0.25">
      <c r="A3431">
        <v>3430</v>
      </c>
      <c r="B3431">
        <v>27</v>
      </c>
      <c r="C3431" t="str" cm="1">
        <f t="array" ref="C3431">_xlfn.IFS(
  AND(B3431&gt;=18, B3431&lt;=24), "18-24",
  AND(B3431&gt;=25, B3431&lt;=34), "25-34",
  AND(B3431&gt;=35, B3431&lt;=44), "35-44",
  AND(B3431&gt;=45, B3431&lt;=54), "45-54",
  B3431&gt;=55, "55+"
)</f>
        <v>25-34</v>
      </c>
      <c r="D3431" t="s">
        <v>153</v>
      </c>
      <c r="E3431" t="s">
        <v>87</v>
      </c>
      <c r="F3431" t="s">
        <v>21</v>
      </c>
      <c r="G3431">
        <v>96</v>
      </c>
      <c r="H3431" t="s">
        <v>120</v>
      </c>
      <c r="I3431" t="s">
        <v>38</v>
      </c>
      <c r="J3431" t="s">
        <v>75</v>
      </c>
      <c r="K3431" t="s">
        <v>25</v>
      </c>
      <c r="L3431">
        <v>4.5999999999999996</v>
      </c>
      <c r="M3431" t="s">
        <v>152</v>
      </c>
      <c r="N3431" t="s">
        <v>59</v>
      </c>
      <c r="O3431" t="s">
        <v>28</v>
      </c>
      <c r="P3431" t="s">
        <v>152</v>
      </c>
      <c r="Q3431" t="s">
        <v>152</v>
      </c>
      <c r="R3431">
        <v>34</v>
      </c>
      <c r="S3431" t="s">
        <v>59</v>
      </c>
      <c r="T3431" t="str">
        <f t="shared" si="106"/>
        <v>Daily</v>
      </c>
      <c r="U3431">
        <f>VLOOKUP(T3431,[1]tablescore!$B$3:$C$8, 2,FALSE)</f>
        <v>30</v>
      </c>
      <c r="V3431" t="str">
        <f t="shared" si="107"/>
        <v>Highly Loyal</v>
      </c>
      <c r="W3431" t="s">
        <v>41</v>
      </c>
    </row>
    <row r="3432" spans="1:23" x14ac:dyDescent="0.25">
      <c r="A3432">
        <v>3431</v>
      </c>
      <c r="B3432">
        <v>67</v>
      </c>
      <c r="C3432" t="str" cm="1">
        <f t="array" ref="C3432">_xlfn.IFS(
  AND(B3432&gt;=18, B3432&lt;=24), "18-24",
  AND(B3432&gt;=25, B3432&lt;=34), "25-34",
  AND(B3432&gt;=35, B3432&lt;=44), "35-44",
  AND(B3432&gt;=45, B3432&lt;=54), "45-54",
  B3432&gt;=55, "55+"
)</f>
        <v>55+</v>
      </c>
      <c r="D3432" t="s">
        <v>153</v>
      </c>
      <c r="E3432" t="s">
        <v>131</v>
      </c>
      <c r="F3432" t="s">
        <v>21</v>
      </c>
      <c r="G3432">
        <v>73</v>
      </c>
      <c r="H3432" t="s">
        <v>57</v>
      </c>
      <c r="I3432" t="s">
        <v>45</v>
      </c>
      <c r="J3432" t="s">
        <v>93</v>
      </c>
      <c r="K3432" t="s">
        <v>25</v>
      </c>
      <c r="L3432">
        <v>4.2</v>
      </c>
      <c r="M3432" t="s">
        <v>152</v>
      </c>
      <c r="N3432" t="s">
        <v>27</v>
      </c>
      <c r="O3432" t="s">
        <v>47</v>
      </c>
      <c r="P3432" t="s">
        <v>152</v>
      </c>
      <c r="Q3432" t="s">
        <v>152</v>
      </c>
      <c r="R3432">
        <v>17</v>
      </c>
      <c r="S3432" t="s">
        <v>34</v>
      </c>
      <c r="T3432" t="str">
        <f t="shared" si="106"/>
        <v>Quarterly</v>
      </c>
      <c r="U3432">
        <f>VLOOKUP(T3432,[1]tablescore!$B$3:$C$8, 2,FALSE)</f>
        <v>4</v>
      </c>
      <c r="V3432" t="str">
        <f t="shared" si="107"/>
        <v>Low Loyalty</v>
      </c>
      <c r="W3432" t="s">
        <v>97</v>
      </c>
    </row>
    <row r="3433" spans="1:23" x14ac:dyDescent="0.25">
      <c r="A3433">
        <v>3432</v>
      </c>
      <c r="B3433">
        <v>46</v>
      </c>
      <c r="C3433" t="str" cm="1">
        <f t="array" ref="C3433">_xlfn.IFS(
  AND(B3433&gt;=18, B3433&lt;=24), "18-24",
  AND(B3433&gt;=25, B3433&lt;=34), "25-34",
  AND(B3433&gt;=35, B3433&lt;=44), "35-44",
  AND(B3433&gt;=45, B3433&lt;=54), "45-54",
  B3433&gt;=55, "55+"
)</f>
        <v>45-54</v>
      </c>
      <c r="D3433" t="s">
        <v>153</v>
      </c>
      <c r="E3433" t="s">
        <v>136</v>
      </c>
      <c r="F3433" t="s">
        <v>69</v>
      </c>
      <c r="G3433">
        <v>49</v>
      </c>
      <c r="H3433" t="s">
        <v>123</v>
      </c>
      <c r="I3433" t="s">
        <v>38</v>
      </c>
      <c r="J3433" t="s">
        <v>96</v>
      </c>
      <c r="K3433" t="s">
        <v>54</v>
      </c>
      <c r="L3433">
        <v>4.2</v>
      </c>
      <c r="M3433" t="s">
        <v>152</v>
      </c>
      <c r="N3433" t="s">
        <v>35</v>
      </c>
      <c r="O3433" t="s">
        <v>28</v>
      </c>
      <c r="P3433" t="s">
        <v>152</v>
      </c>
      <c r="Q3433" t="s">
        <v>152</v>
      </c>
      <c r="R3433">
        <v>20</v>
      </c>
      <c r="S3433" t="s">
        <v>29</v>
      </c>
      <c r="T3433" t="str">
        <f t="shared" si="106"/>
        <v>Annually</v>
      </c>
      <c r="U3433">
        <f>VLOOKUP(T3433,[1]tablescore!$B$3:$C$8, 2,FALSE)</f>
        <v>1</v>
      </c>
      <c r="V3433" t="str">
        <f t="shared" si="107"/>
        <v>Low Loyalty</v>
      </c>
      <c r="W3433" t="s">
        <v>50</v>
      </c>
    </row>
    <row r="3434" spans="1:23" x14ac:dyDescent="0.25">
      <c r="A3434">
        <v>3433</v>
      </c>
      <c r="B3434">
        <v>36</v>
      </c>
      <c r="C3434" t="str" cm="1">
        <f t="array" ref="C3434">_xlfn.IFS(
  AND(B3434&gt;=18, B3434&lt;=24), "18-24",
  AND(B3434&gt;=25, B3434&lt;=34), "25-34",
  AND(B3434&gt;=35, B3434&lt;=44), "35-44",
  AND(B3434&gt;=45, B3434&lt;=54), "45-54",
  B3434&gt;=55, "55+"
)</f>
        <v>35-44</v>
      </c>
      <c r="D3434" t="s">
        <v>153</v>
      </c>
      <c r="E3434" t="s">
        <v>132</v>
      </c>
      <c r="F3434" t="s">
        <v>43</v>
      </c>
      <c r="G3434">
        <v>44</v>
      </c>
      <c r="H3434" t="s">
        <v>146</v>
      </c>
      <c r="I3434" t="s">
        <v>45</v>
      </c>
      <c r="J3434" t="s">
        <v>24</v>
      </c>
      <c r="K3434" t="s">
        <v>54</v>
      </c>
      <c r="L3434">
        <v>4.8</v>
      </c>
      <c r="M3434" t="s">
        <v>152</v>
      </c>
      <c r="N3434" t="s">
        <v>27</v>
      </c>
      <c r="O3434" t="s">
        <v>72</v>
      </c>
      <c r="P3434" t="s">
        <v>152</v>
      </c>
      <c r="Q3434" t="s">
        <v>152</v>
      </c>
      <c r="R3434">
        <v>46</v>
      </c>
      <c r="S3434" t="s">
        <v>46</v>
      </c>
      <c r="T3434" t="str">
        <f t="shared" si="106"/>
        <v>Quarterly</v>
      </c>
      <c r="U3434">
        <f>VLOOKUP(T3434,[1]tablescore!$B$3:$C$8, 2,FALSE)</f>
        <v>4</v>
      </c>
      <c r="V3434" t="str">
        <f t="shared" si="107"/>
        <v>Low Loyalty</v>
      </c>
      <c r="W3434" t="s">
        <v>97</v>
      </c>
    </row>
    <row r="3435" spans="1:23" x14ac:dyDescent="0.25">
      <c r="A3435">
        <v>3434</v>
      </c>
      <c r="B3435">
        <v>62</v>
      </c>
      <c r="C3435" t="str" cm="1">
        <f t="array" ref="C3435">_xlfn.IFS(
  AND(B3435&gt;=18, B3435&lt;=24), "18-24",
  AND(B3435&gt;=25, B3435&lt;=34), "25-34",
  AND(B3435&gt;=35, B3435&lt;=44), "35-44",
  AND(B3435&gt;=45, B3435&lt;=54), "45-54",
  B3435&gt;=55, "55+"
)</f>
        <v>55+</v>
      </c>
      <c r="D3435" t="s">
        <v>153</v>
      </c>
      <c r="E3435" t="s">
        <v>131</v>
      </c>
      <c r="F3435" t="s">
        <v>21</v>
      </c>
      <c r="G3435">
        <v>93</v>
      </c>
      <c r="H3435" t="s">
        <v>120</v>
      </c>
      <c r="I3435" t="s">
        <v>45</v>
      </c>
      <c r="J3435" t="s">
        <v>139</v>
      </c>
      <c r="K3435" t="s">
        <v>39</v>
      </c>
      <c r="L3435">
        <v>4.5</v>
      </c>
      <c r="M3435" t="s">
        <v>152</v>
      </c>
      <c r="N3435" t="s">
        <v>35</v>
      </c>
      <c r="O3435" t="s">
        <v>40</v>
      </c>
      <c r="P3435" t="s">
        <v>152</v>
      </c>
      <c r="Q3435" t="s">
        <v>152</v>
      </c>
      <c r="R3435">
        <v>28</v>
      </c>
      <c r="S3435" t="s">
        <v>46</v>
      </c>
      <c r="T3435" t="str">
        <f t="shared" si="106"/>
        <v>Annually</v>
      </c>
      <c r="U3435">
        <f>VLOOKUP(T3435,[1]tablescore!$B$3:$C$8, 2,FALSE)</f>
        <v>1</v>
      </c>
      <c r="V3435" t="str">
        <f t="shared" si="107"/>
        <v>Low Loyalty</v>
      </c>
      <c r="W3435" t="s">
        <v>50</v>
      </c>
    </row>
    <row r="3436" spans="1:23" x14ac:dyDescent="0.25">
      <c r="A3436">
        <v>3435</v>
      </c>
      <c r="B3436">
        <v>31</v>
      </c>
      <c r="C3436" t="str" cm="1">
        <f t="array" ref="C3436">_xlfn.IFS(
  AND(B3436&gt;=18, B3436&lt;=24), "18-24",
  AND(B3436&gt;=25, B3436&lt;=34), "25-34",
  AND(B3436&gt;=35, B3436&lt;=44), "35-44",
  AND(B3436&gt;=45, B3436&lt;=54), "45-54",
  B3436&gt;=55, "55+"
)</f>
        <v>25-34</v>
      </c>
      <c r="D3436" t="s">
        <v>153</v>
      </c>
      <c r="E3436" t="s">
        <v>95</v>
      </c>
      <c r="F3436" t="s">
        <v>21</v>
      </c>
      <c r="G3436">
        <v>72</v>
      </c>
      <c r="H3436" t="s">
        <v>124</v>
      </c>
      <c r="I3436" t="s">
        <v>38</v>
      </c>
      <c r="J3436" t="s">
        <v>121</v>
      </c>
      <c r="K3436" t="s">
        <v>54</v>
      </c>
      <c r="L3436">
        <v>3.3</v>
      </c>
      <c r="M3436" t="s">
        <v>152</v>
      </c>
      <c r="N3436" t="s">
        <v>46</v>
      </c>
      <c r="O3436" t="s">
        <v>72</v>
      </c>
      <c r="P3436" t="s">
        <v>152</v>
      </c>
      <c r="Q3436" t="s">
        <v>152</v>
      </c>
      <c r="R3436">
        <v>6</v>
      </c>
      <c r="S3436" t="s">
        <v>29</v>
      </c>
      <c r="T3436" t="str">
        <f t="shared" si="106"/>
        <v>2-week</v>
      </c>
      <c r="U3436">
        <f>VLOOKUP(T3436,[1]tablescore!$B$3:$C$8, 2,FALSE)</f>
        <v>26</v>
      </c>
      <c r="V3436" t="str">
        <f t="shared" si="107"/>
        <v>Loyal</v>
      </c>
      <c r="W3436" t="s">
        <v>30</v>
      </c>
    </row>
    <row r="3437" spans="1:23" x14ac:dyDescent="0.25">
      <c r="A3437">
        <v>3436</v>
      </c>
      <c r="B3437">
        <v>68</v>
      </c>
      <c r="C3437" t="str" cm="1">
        <f t="array" ref="C3437">_xlfn.IFS(
  AND(B3437&gt;=18, B3437&lt;=24), "18-24",
  AND(B3437&gt;=25, B3437&lt;=34), "25-34",
  AND(B3437&gt;=35, B3437&lt;=44), "35-44",
  AND(B3437&gt;=45, B3437&lt;=54), "45-54",
  B3437&gt;=55, "55+"
)</f>
        <v>55+</v>
      </c>
      <c r="D3437" t="s">
        <v>153</v>
      </c>
      <c r="E3437" t="s">
        <v>131</v>
      </c>
      <c r="F3437" t="s">
        <v>21</v>
      </c>
      <c r="G3437">
        <v>91</v>
      </c>
      <c r="H3437" t="s">
        <v>57</v>
      </c>
      <c r="I3437" t="s">
        <v>45</v>
      </c>
      <c r="J3437" t="s">
        <v>118</v>
      </c>
      <c r="K3437" t="s">
        <v>54</v>
      </c>
      <c r="L3437">
        <v>2.7</v>
      </c>
      <c r="M3437" t="s">
        <v>152</v>
      </c>
      <c r="N3437" t="s">
        <v>59</v>
      </c>
      <c r="O3437" t="s">
        <v>72</v>
      </c>
      <c r="P3437" t="s">
        <v>152</v>
      </c>
      <c r="Q3437" t="s">
        <v>152</v>
      </c>
      <c r="R3437">
        <v>50</v>
      </c>
      <c r="S3437" t="s">
        <v>59</v>
      </c>
      <c r="T3437" t="str">
        <f t="shared" si="106"/>
        <v>2-week</v>
      </c>
      <c r="U3437">
        <f>VLOOKUP(T3437,[1]tablescore!$B$3:$C$8, 2,FALSE)</f>
        <v>26</v>
      </c>
      <c r="V3437" t="str">
        <f t="shared" si="107"/>
        <v>Loyal</v>
      </c>
      <c r="W3437" t="s">
        <v>77</v>
      </c>
    </row>
    <row r="3438" spans="1:23" x14ac:dyDescent="0.25">
      <c r="A3438">
        <v>3437</v>
      </c>
      <c r="B3438">
        <v>57</v>
      </c>
      <c r="C3438" t="str" cm="1">
        <f t="array" ref="C3438">_xlfn.IFS(
  AND(B3438&gt;=18, B3438&lt;=24), "18-24",
  AND(B3438&gt;=25, B3438&lt;=34), "25-34",
  AND(B3438&gt;=35, B3438&lt;=44), "35-44",
  AND(B3438&gt;=45, B3438&lt;=54), "45-54",
  B3438&gt;=55, "55+"
)</f>
        <v>55+</v>
      </c>
      <c r="D3438" t="s">
        <v>153</v>
      </c>
      <c r="E3438" t="s">
        <v>136</v>
      </c>
      <c r="F3438" t="s">
        <v>69</v>
      </c>
      <c r="G3438">
        <v>83</v>
      </c>
      <c r="H3438" t="s">
        <v>143</v>
      </c>
      <c r="I3438" t="s">
        <v>23</v>
      </c>
      <c r="J3438" t="s">
        <v>100</v>
      </c>
      <c r="K3438" t="s">
        <v>25</v>
      </c>
      <c r="L3438">
        <v>2.8</v>
      </c>
      <c r="M3438" t="s">
        <v>152</v>
      </c>
      <c r="N3438" t="s">
        <v>29</v>
      </c>
      <c r="O3438" t="s">
        <v>72</v>
      </c>
      <c r="P3438" t="s">
        <v>152</v>
      </c>
      <c r="Q3438" t="s">
        <v>152</v>
      </c>
      <c r="R3438">
        <v>41</v>
      </c>
      <c r="S3438" t="s">
        <v>34</v>
      </c>
      <c r="T3438" t="str">
        <f t="shared" si="106"/>
        <v>Month</v>
      </c>
      <c r="U3438">
        <f>VLOOKUP(T3438,[1]tablescore!$B$3:$C$8, 2,FALSE)</f>
        <v>12</v>
      </c>
      <c r="V3438" t="str">
        <f t="shared" si="107"/>
        <v>Moderate</v>
      </c>
      <c r="W3438" t="s">
        <v>88</v>
      </c>
    </row>
    <row r="3439" spans="1:23" x14ac:dyDescent="0.25">
      <c r="A3439">
        <v>3438</v>
      </c>
      <c r="B3439">
        <v>22</v>
      </c>
      <c r="C3439" t="str" cm="1">
        <f t="array" ref="C3439">_xlfn.IFS(
  AND(B3439&gt;=18, B3439&lt;=24), "18-24",
  AND(B3439&gt;=25, B3439&lt;=34), "25-34",
  AND(B3439&gt;=35, B3439&lt;=44), "35-44",
  AND(B3439&gt;=45, B3439&lt;=54), "45-54",
  B3439&gt;=55, "55+"
)</f>
        <v>18-24</v>
      </c>
      <c r="D3439" t="s">
        <v>153</v>
      </c>
      <c r="E3439" t="s">
        <v>102</v>
      </c>
      <c r="F3439" t="s">
        <v>65</v>
      </c>
      <c r="G3439">
        <v>62</v>
      </c>
      <c r="H3439" t="s">
        <v>101</v>
      </c>
      <c r="I3439" t="s">
        <v>38</v>
      </c>
      <c r="J3439" t="s">
        <v>96</v>
      </c>
      <c r="K3439" t="s">
        <v>25</v>
      </c>
      <c r="L3439">
        <v>3.5</v>
      </c>
      <c r="M3439" t="s">
        <v>152</v>
      </c>
      <c r="N3439" t="s">
        <v>29</v>
      </c>
      <c r="O3439" t="s">
        <v>72</v>
      </c>
      <c r="P3439" t="s">
        <v>152</v>
      </c>
      <c r="Q3439" t="s">
        <v>152</v>
      </c>
      <c r="R3439">
        <v>50</v>
      </c>
      <c r="S3439" t="s">
        <v>46</v>
      </c>
      <c r="T3439" t="str">
        <f t="shared" si="106"/>
        <v>Annually</v>
      </c>
      <c r="U3439">
        <f>VLOOKUP(T3439,[1]tablescore!$B$3:$C$8, 2,FALSE)</f>
        <v>1</v>
      </c>
      <c r="V3439" t="str">
        <f t="shared" si="107"/>
        <v>Low Loyalty</v>
      </c>
      <c r="W3439" t="s">
        <v>50</v>
      </c>
    </row>
    <row r="3440" spans="1:23" x14ac:dyDescent="0.25">
      <c r="A3440">
        <v>3439</v>
      </c>
      <c r="B3440">
        <v>26</v>
      </c>
      <c r="C3440" t="str" cm="1">
        <f t="array" ref="C3440">_xlfn.IFS(
  AND(B3440&gt;=18, B3440&lt;=24), "18-24",
  AND(B3440&gt;=25, B3440&lt;=34), "25-34",
  AND(B3440&gt;=35, B3440&lt;=44), "35-44",
  AND(B3440&gt;=45, B3440&lt;=54), "45-54",
  B3440&gt;=55, "55+"
)</f>
        <v>25-34</v>
      </c>
      <c r="D3440" t="s">
        <v>153</v>
      </c>
      <c r="E3440" t="s">
        <v>56</v>
      </c>
      <c r="F3440" t="s">
        <v>21</v>
      </c>
      <c r="G3440">
        <v>71</v>
      </c>
      <c r="H3440" t="s">
        <v>22</v>
      </c>
      <c r="I3440" t="s">
        <v>45</v>
      </c>
      <c r="J3440" t="s">
        <v>84</v>
      </c>
      <c r="K3440" t="s">
        <v>58</v>
      </c>
      <c r="L3440">
        <v>3</v>
      </c>
      <c r="M3440" t="s">
        <v>152</v>
      </c>
      <c r="N3440" t="s">
        <v>59</v>
      </c>
      <c r="O3440" t="s">
        <v>76</v>
      </c>
      <c r="P3440" t="s">
        <v>152</v>
      </c>
      <c r="Q3440" t="s">
        <v>152</v>
      </c>
      <c r="R3440">
        <v>33</v>
      </c>
      <c r="S3440" t="s">
        <v>27</v>
      </c>
      <c r="T3440" t="str">
        <f t="shared" si="106"/>
        <v>Month</v>
      </c>
      <c r="U3440">
        <f>VLOOKUP(T3440,[1]tablescore!$B$3:$C$8, 2,FALSE)</f>
        <v>12</v>
      </c>
      <c r="V3440" t="str">
        <f t="shared" si="107"/>
        <v>Moderate</v>
      </c>
      <c r="W3440" t="s">
        <v>88</v>
      </c>
    </row>
    <row r="3441" spans="1:23" x14ac:dyDescent="0.25">
      <c r="A3441">
        <v>3440</v>
      </c>
      <c r="B3441">
        <v>43</v>
      </c>
      <c r="C3441" t="str" cm="1">
        <f t="array" ref="C3441">_xlfn.IFS(
  AND(B3441&gt;=18, B3441&lt;=24), "18-24",
  AND(B3441&gt;=25, B3441&lt;=34), "25-34",
  AND(B3441&gt;=35, B3441&lt;=44), "35-44",
  AND(B3441&gt;=45, B3441&lt;=54), "45-54",
  B3441&gt;=55, "55+"
)</f>
        <v>35-44</v>
      </c>
      <c r="D3441" t="s">
        <v>153</v>
      </c>
      <c r="E3441" t="s">
        <v>127</v>
      </c>
      <c r="F3441" t="s">
        <v>69</v>
      </c>
      <c r="G3441">
        <v>93</v>
      </c>
      <c r="H3441" t="s">
        <v>144</v>
      </c>
      <c r="I3441" t="s">
        <v>45</v>
      </c>
      <c r="J3441" t="s">
        <v>24</v>
      </c>
      <c r="K3441" t="s">
        <v>54</v>
      </c>
      <c r="L3441">
        <v>4.5</v>
      </c>
      <c r="M3441" t="s">
        <v>152</v>
      </c>
      <c r="N3441" t="s">
        <v>35</v>
      </c>
      <c r="O3441" t="s">
        <v>28</v>
      </c>
      <c r="P3441" t="s">
        <v>152</v>
      </c>
      <c r="Q3441" t="s">
        <v>152</v>
      </c>
      <c r="R3441">
        <v>25</v>
      </c>
      <c r="S3441" t="s">
        <v>29</v>
      </c>
      <c r="T3441" t="str">
        <f t="shared" si="106"/>
        <v>Quarterly</v>
      </c>
      <c r="U3441">
        <f>VLOOKUP(T3441,[1]tablescore!$B$3:$C$8, 2,FALSE)</f>
        <v>4</v>
      </c>
      <c r="V3441" t="str">
        <f t="shared" si="107"/>
        <v>Low Loyalty</v>
      </c>
      <c r="W3441" t="s">
        <v>60</v>
      </c>
    </row>
    <row r="3442" spans="1:23" x14ac:dyDescent="0.25">
      <c r="A3442">
        <v>3441</v>
      </c>
      <c r="B3442">
        <v>45</v>
      </c>
      <c r="C3442" t="str" cm="1">
        <f t="array" ref="C3442">_xlfn.IFS(
  AND(B3442&gt;=18, B3442&lt;=24), "18-24",
  AND(B3442&gt;=25, B3442&lt;=34), "25-34",
  AND(B3442&gt;=35, B3442&lt;=44), "35-44",
  AND(B3442&gt;=45, B3442&lt;=54), "45-54",
  B3442&gt;=55, "55+"
)</f>
        <v>45-54</v>
      </c>
      <c r="D3442" t="s">
        <v>153</v>
      </c>
      <c r="E3442" t="s">
        <v>68</v>
      </c>
      <c r="F3442" t="s">
        <v>69</v>
      </c>
      <c r="G3442">
        <v>63</v>
      </c>
      <c r="H3442" t="s">
        <v>135</v>
      </c>
      <c r="I3442" t="s">
        <v>23</v>
      </c>
      <c r="J3442" t="s">
        <v>147</v>
      </c>
      <c r="K3442" t="s">
        <v>58</v>
      </c>
      <c r="L3442">
        <v>4.3</v>
      </c>
      <c r="M3442" t="s">
        <v>152</v>
      </c>
      <c r="N3442" t="s">
        <v>27</v>
      </c>
      <c r="O3442" t="s">
        <v>72</v>
      </c>
      <c r="P3442" t="s">
        <v>152</v>
      </c>
      <c r="Q3442" t="s">
        <v>152</v>
      </c>
      <c r="R3442">
        <v>2</v>
      </c>
      <c r="S3442" t="s">
        <v>46</v>
      </c>
      <c r="T3442" t="str">
        <f t="shared" si="106"/>
        <v>Daily</v>
      </c>
      <c r="U3442">
        <f>VLOOKUP(T3442,[1]tablescore!$B$3:$C$8, 2,FALSE)</f>
        <v>30</v>
      </c>
      <c r="V3442" t="str">
        <f t="shared" si="107"/>
        <v>Highly Loyal</v>
      </c>
      <c r="W3442" t="s">
        <v>41</v>
      </c>
    </row>
    <row r="3443" spans="1:23" x14ac:dyDescent="0.25">
      <c r="A3443">
        <v>3442</v>
      </c>
      <c r="B3443">
        <v>64</v>
      </c>
      <c r="C3443" t="str" cm="1">
        <f t="array" ref="C3443">_xlfn.IFS(
  AND(B3443&gt;=18, B3443&lt;=24), "18-24",
  AND(B3443&gt;=25, B3443&lt;=34), "25-34",
  AND(B3443&gt;=35, B3443&lt;=44), "35-44",
  AND(B3443&gt;=45, B3443&lt;=54), "45-54",
  B3443&gt;=55, "55+"
)</f>
        <v>55+</v>
      </c>
      <c r="D3443" t="s">
        <v>153</v>
      </c>
      <c r="E3443" t="s">
        <v>31</v>
      </c>
      <c r="F3443" t="s">
        <v>21</v>
      </c>
      <c r="G3443">
        <v>96</v>
      </c>
      <c r="H3443" t="s">
        <v>122</v>
      </c>
      <c r="I3443" t="s">
        <v>92</v>
      </c>
      <c r="J3443" t="s">
        <v>63</v>
      </c>
      <c r="K3443" t="s">
        <v>58</v>
      </c>
      <c r="L3443">
        <v>4.0999999999999996</v>
      </c>
      <c r="M3443" t="s">
        <v>152</v>
      </c>
      <c r="N3443" t="s">
        <v>59</v>
      </c>
      <c r="O3443" t="s">
        <v>55</v>
      </c>
      <c r="P3443" t="s">
        <v>152</v>
      </c>
      <c r="Q3443" t="s">
        <v>152</v>
      </c>
      <c r="R3443">
        <v>15</v>
      </c>
      <c r="S3443" t="s">
        <v>27</v>
      </c>
      <c r="T3443" t="str">
        <f t="shared" si="106"/>
        <v>Annually</v>
      </c>
      <c r="U3443">
        <f>VLOOKUP(T3443,[1]tablescore!$B$3:$C$8, 2,FALSE)</f>
        <v>1</v>
      </c>
      <c r="V3443" t="str">
        <f t="shared" si="107"/>
        <v>Low Loyalty</v>
      </c>
      <c r="W3443" t="s">
        <v>50</v>
      </c>
    </row>
    <row r="3444" spans="1:23" x14ac:dyDescent="0.25">
      <c r="A3444">
        <v>3443</v>
      </c>
      <c r="B3444">
        <v>28</v>
      </c>
      <c r="C3444" t="str" cm="1">
        <f t="array" ref="C3444">_xlfn.IFS(
  AND(B3444&gt;=18, B3444&lt;=24), "18-24",
  AND(B3444&gt;=25, B3444&lt;=34), "25-34",
  AND(B3444&gt;=35, B3444&lt;=44), "35-44",
  AND(B3444&gt;=45, B3444&lt;=54), "45-54",
  B3444&gt;=55, "55+"
)</f>
        <v>25-34</v>
      </c>
      <c r="D3444" t="s">
        <v>153</v>
      </c>
      <c r="E3444" t="s">
        <v>87</v>
      </c>
      <c r="F3444" t="s">
        <v>21</v>
      </c>
      <c r="G3444">
        <v>78</v>
      </c>
      <c r="H3444" t="s">
        <v>151</v>
      </c>
      <c r="I3444" t="s">
        <v>45</v>
      </c>
      <c r="J3444" t="s">
        <v>84</v>
      </c>
      <c r="K3444" t="s">
        <v>39</v>
      </c>
      <c r="L3444">
        <v>4.3</v>
      </c>
      <c r="M3444" t="s">
        <v>152</v>
      </c>
      <c r="N3444" t="s">
        <v>29</v>
      </c>
      <c r="O3444" t="s">
        <v>47</v>
      </c>
      <c r="P3444" t="s">
        <v>152</v>
      </c>
      <c r="Q3444" t="s">
        <v>152</v>
      </c>
      <c r="R3444">
        <v>12</v>
      </c>
      <c r="S3444" t="s">
        <v>46</v>
      </c>
      <c r="T3444" t="str">
        <f t="shared" si="106"/>
        <v>Daily</v>
      </c>
      <c r="U3444">
        <f>VLOOKUP(T3444,[1]tablescore!$B$3:$C$8, 2,FALSE)</f>
        <v>30</v>
      </c>
      <c r="V3444" t="str">
        <f t="shared" si="107"/>
        <v>Highly Loyal</v>
      </c>
      <c r="W3444" t="s">
        <v>41</v>
      </c>
    </row>
    <row r="3445" spans="1:23" x14ac:dyDescent="0.25">
      <c r="A3445">
        <v>3444</v>
      </c>
      <c r="B3445">
        <v>47</v>
      </c>
      <c r="C3445" t="str" cm="1">
        <f t="array" ref="C3445">_xlfn.IFS(
  AND(B3445&gt;=18, B3445&lt;=24), "18-24",
  AND(B3445&gt;=25, B3445&lt;=34), "25-34",
  AND(B3445&gt;=35, B3445&lt;=44), "35-44",
  AND(B3445&gt;=45, B3445&lt;=54), "45-54",
  B3445&gt;=55, "55+"
)</f>
        <v>45-54</v>
      </c>
      <c r="D3445" t="s">
        <v>153</v>
      </c>
      <c r="E3445" t="s">
        <v>82</v>
      </c>
      <c r="F3445" t="s">
        <v>21</v>
      </c>
      <c r="G3445">
        <v>24</v>
      </c>
      <c r="H3445" t="s">
        <v>122</v>
      </c>
      <c r="I3445" t="s">
        <v>23</v>
      </c>
      <c r="J3445" t="s">
        <v>67</v>
      </c>
      <c r="K3445" t="s">
        <v>54</v>
      </c>
      <c r="L3445">
        <v>5</v>
      </c>
      <c r="M3445" t="s">
        <v>152</v>
      </c>
      <c r="N3445" t="s">
        <v>46</v>
      </c>
      <c r="O3445" t="s">
        <v>40</v>
      </c>
      <c r="P3445" t="s">
        <v>152</v>
      </c>
      <c r="Q3445" t="s">
        <v>152</v>
      </c>
      <c r="R3445">
        <v>28</v>
      </c>
      <c r="S3445" t="s">
        <v>35</v>
      </c>
      <c r="T3445" t="str">
        <f t="shared" si="106"/>
        <v>2-week</v>
      </c>
      <c r="U3445">
        <f>VLOOKUP(T3445,[1]tablescore!$B$3:$C$8, 2,FALSE)</f>
        <v>26</v>
      </c>
      <c r="V3445" t="str">
        <f t="shared" si="107"/>
        <v>Loyal</v>
      </c>
      <c r="W3445" t="s">
        <v>77</v>
      </c>
    </row>
    <row r="3446" spans="1:23" x14ac:dyDescent="0.25">
      <c r="A3446">
        <v>3445</v>
      </c>
      <c r="B3446">
        <v>53</v>
      </c>
      <c r="C3446" t="str" cm="1">
        <f t="array" ref="C3446">_xlfn.IFS(
  AND(B3446&gt;=18, B3446&lt;=24), "18-24",
  AND(B3446&gt;=25, B3446&lt;=34), "25-34",
  AND(B3446&gt;=35, B3446&lt;=44), "35-44",
  AND(B3446&gt;=45, B3446&lt;=54), "45-54",
  B3446&gt;=55, "55+"
)</f>
        <v>45-54</v>
      </c>
      <c r="D3446" t="s">
        <v>153</v>
      </c>
      <c r="E3446" t="s">
        <v>95</v>
      </c>
      <c r="F3446" t="s">
        <v>21</v>
      </c>
      <c r="G3446">
        <v>63</v>
      </c>
      <c r="H3446" t="s">
        <v>44</v>
      </c>
      <c r="I3446" t="s">
        <v>38</v>
      </c>
      <c r="J3446" t="s">
        <v>96</v>
      </c>
      <c r="K3446" t="s">
        <v>54</v>
      </c>
      <c r="L3446">
        <v>3.8</v>
      </c>
      <c r="M3446" t="s">
        <v>152</v>
      </c>
      <c r="N3446" t="s">
        <v>35</v>
      </c>
      <c r="O3446" t="s">
        <v>72</v>
      </c>
      <c r="P3446" t="s">
        <v>152</v>
      </c>
      <c r="Q3446" t="s">
        <v>152</v>
      </c>
      <c r="R3446">
        <v>12</v>
      </c>
      <c r="S3446" t="s">
        <v>34</v>
      </c>
      <c r="T3446" t="str">
        <f t="shared" si="106"/>
        <v>2-week</v>
      </c>
      <c r="U3446">
        <f>VLOOKUP(T3446,[1]tablescore!$B$3:$C$8, 2,FALSE)</f>
        <v>26</v>
      </c>
      <c r="V3446" t="str">
        <f t="shared" si="107"/>
        <v>Loyal</v>
      </c>
      <c r="W3446" t="s">
        <v>77</v>
      </c>
    </row>
    <row r="3447" spans="1:23" x14ac:dyDescent="0.25">
      <c r="A3447">
        <v>3446</v>
      </c>
      <c r="B3447">
        <v>42</v>
      </c>
      <c r="C3447" t="str" cm="1">
        <f t="array" ref="C3447">_xlfn.IFS(
  AND(B3447&gt;=18, B3447&lt;=24), "18-24",
  AND(B3447&gt;=25, B3447&lt;=34), "25-34",
  AND(B3447&gt;=35, B3447&lt;=44), "35-44",
  AND(B3447&gt;=45, B3447&lt;=54), "45-54",
  B3447&gt;=55, "55+"
)</f>
        <v>35-44</v>
      </c>
      <c r="D3447" t="s">
        <v>153</v>
      </c>
      <c r="E3447" t="s">
        <v>125</v>
      </c>
      <c r="F3447" t="s">
        <v>69</v>
      </c>
      <c r="G3447">
        <v>58</v>
      </c>
      <c r="H3447" t="s">
        <v>103</v>
      </c>
      <c r="I3447" t="s">
        <v>45</v>
      </c>
      <c r="J3447" t="s">
        <v>147</v>
      </c>
      <c r="K3447" t="s">
        <v>58</v>
      </c>
      <c r="L3447">
        <v>4.9000000000000004</v>
      </c>
      <c r="M3447" t="s">
        <v>152</v>
      </c>
      <c r="N3447" t="s">
        <v>29</v>
      </c>
      <c r="O3447" t="s">
        <v>55</v>
      </c>
      <c r="P3447" t="s">
        <v>152</v>
      </c>
      <c r="Q3447" t="s">
        <v>152</v>
      </c>
      <c r="R3447">
        <v>3</v>
      </c>
      <c r="S3447" t="s">
        <v>59</v>
      </c>
      <c r="T3447" t="str">
        <f t="shared" si="106"/>
        <v>Annually</v>
      </c>
      <c r="U3447">
        <f>VLOOKUP(T3447,[1]tablescore!$B$3:$C$8, 2,FALSE)</f>
        <v>1</v>
      </c>
      <c r="V3447" t="str">
        <f t="shared" si="107"/>
        <v>Low Loyalty</v>
      </c>
      <c r="W3447" t="s">
        <v>50</v>
      </c>
    </row>
    <row r="3448" spans="1:23" x14ac:dyDescent="0.25">
      <c r="A3448">
        <v>3447</v>
      </c>
      <c r="B3448">
        <v>51</v>
      </c>
      <c r="C3448" t="str" cm="1">
        <f t="array" ref="C3448">_xlfn.IFS(
  AND(B3448&gt;=18, B3448&lt;=24), "18-24",
  AND(B3448&gt;=25, B3448&lt;=34), "25-34",
  AND(B3448&gt;=35, B3448&lt;=44), "35-44",
  AND(B3448&gt;=45, B3448&lt;=54), "45-54",
  B3448&gt;=55, "55+"
)</f>
        <v>45-54</v>
      </c>
      <c r="D3448" t="s">
        <v>153</v>
      </c>
      <c r="E3448" t="s">
        <v>132</v>
      </c>
      <c r="F3448" t="s">
        <v>43</v>
      </c>
      <c r="G3448">
        <v>55</v>
      </c>
      <c r="H3448" t="s">
        <v>62</v>
      </c>
      <c r="I3448" t="s">
        <v>38</v>
      </c>
      <c r="J3448" t="s">
        <v>75</v>
      </c>
      <c r="K3448" t="s">
        <v>39</v>
      </c>
      <c r="L3448">
        <v>5</v>
      </c>
      <c r="M3448" t="s">
        <v>152</v>
      </c>
      <c r="N3448" t="s">
        <v>59</v>
      </c>
      <c r="O3448" t="s">
        <v>72</v>
      </c>
      <c r="P3448" t="s">
        <v>152</v>
      </c>
      <c r="Q3448" t="s">
        <v>152</v>
      </c>
      <c r="R3448">
        <v>20</v>
      </c>
      <c r="S3448" t="s">
        <v>35</v>
      </c>
      <c r="T3448" t="str">
        <f t="shared" si="106"/>
        <v>Daily</v>
      </c>
      <c r="U3448">
        <f>VLOOKUP(T3448,[1]tablescore!$B$3:$C$8, 2,FALSE)</f>
        <v>30</v>
      </c>
      <c r="V3448" t="str">
        <f t="shared" si="107"/>
        <v>Highly Loyal</v>
      </c>
      <c r="W3448" t="s">
        <v>41</v>
      </c>
    </row>
    <row r="3449" spans="1:23" x14ac:dyDescent="0.25">
      <c r="A3449">
        <v>3448</v>
      </c>
      <c r="B3449">
        <v>62</v>
      </c>
      <c r="C3449" t="str" cm="1">
        <f t="array" ref="C3449">_xlfn.IFS(
  AND(B3449&gt;=18, B3449&lt;=24), "18-24",
  AND(B3449&gt;=25, B3449&lt;=34), "25-34",
  AND(B3449&gt;=35, B3449&lt;=44), "35-44",
  AND(B3449&gt;=45, B3449&lt;=54), "45-54",
  B3449&gt;=55, "55+"
)</f>
        <v>55+</v>
      </c>
      <c r="D3449" t="s">
        <v>153</v>
      </c>
      <c r="E3449" t="s">
        <v>42</v>
      </c>
      <c r="F3449" t="s">
        <v>43</v>
      </c>
      <c r="G3449">
        <v>58</v>
      </c>
      <c r="H3449" t="s">
        <v>74</v>
      </c>
      <c r="I3449" t="s">
        <v>45</v>
      </c>
      <c r="J3449" t="s">
        <v>138</v>
      </c>
      <c r="K3449" t="s">
        <v>58</v>
      </c>
      <c r="L3449">
        <v>4.3</v>
      </c>
      <c r="M3449" t="s">
        <v>152</v>
      </c>
      <c r="N3449" t="s">
        <v>59</v>
      </c>
      <c r="O3449" t="s">
        <v>28</v>
      </c>
      <c r="P3449" t="s">
        <v>152</v>
      </c>
      <c r="Q3449" t="s">
        <v>152</v>
      </c>
      <c r="R3449">
        <v>3</v>
      </c>
      <c r="S3449" t="s">
        <v>34</v>
      </c>
      <c r="T3449" t="str">
        <f t="shared" si="106"/>
        <v>2-week</v>
      </c>
      <c r="U3449">
        <f>VLOOKUP(T3449,[1]tablescore!$B$3:$C$8, 2,FALSE)</f>
        <v>26</v>
      </c>
      <c r="V3449" t="str">
        <f t="shared" si="107"/>
        <v>Loyal</v>
      </c>
      <c r="W3449" t="s">
        <v>77</v>
      </c>
    </row>
    <row r="3450" spans="1:23" x14ac:dyDescent="0.25">
      <c r="A3450">
        <v>3449</v>
      </c>
      <c r="B3450">
        <v>18</v>
      </c>
      <c r="C3450" t="str" cm="1">
        <f t="array" ref="C3450">_xlfn.IFS(
  AND(B3450&gt;=18, B3450&lt;=24), "18-24",
  AND(B3450&gt;=25, B3450&lt;=34), "25-34",
  AND(B3450&gt;=35, B3450&lt;=44), "35-44",
  AND(B3450&gt;=45, B3450&lt;=54), "45-54",
  B3450&gt;=55, "55+"
)</f>
        <v>18-24</v>
      </c>
      <c r="D3450" t="s">
        <v>153</v>
      </c>
      <c r="E3450" t="s">
        <v>64</v>
      </c>
      <c r="F3450" t="s">
        <v>65</v>
      </c>
      <c r="G3450">
        <v>28</v>
      </c>
      <c r="H3450" t="s">
        <v>22</v>
      </c>
      <c r="I3450" t="s">
        <v>38</v>
      </c>
      <c r="J3450" t="s">
        <v>139</v>
      </c>
      <c r="K3450" t="s">
        <v>25</v>
      </c>
      <c r="L3450">
        <v>4.0999999999999996</v>
      </c>
      <c r="M3450" t="s">
        <v>152</v>
      </c>
      <c r="N3450" t="s">
        <v>46</v>
      </c>
      <c r="O3450" t="s">
        <v>28</v>
      </c>
      <c r="P3450" t="s">
        <v>152</v>
      </c>
      <c r="Q3450" t="s">
        <v>152</v>
      </c>
      <c r="R3450">
        <v>32</v>
      </c>
      <c r="S3450" t="s">
        <v>34</v>
      </c>
      <c r="T3450" t="str">
        <f t="shared" si="106"/>
        <v>2-week</v>
      </c>
      <c r="U3450">
        <f>VLOOKUP(T3450,[1]tablescore!$B$3:$C$8, 2,FALSE)</f>
        <v>26</v>
      </c>
      <c r="V3450" t="str">
        <f t="shared" si="107"/>
        <v>Loyal</v>
      </c>
      <c r="W3450" t="s">
        <v>30</v>
      </c>
    </row>
    <row r="3451" spans="1:23" x14ac:dyDescent="0.25">
      <c r="A3451">
        <v>3450</v>
      </c>
      <c r="B3451">
        <v>48</v>
      </c>
      <c r="C3451" t="str" cm="1">
        <f t="array" ref="C3451">_xlfn.IFS(
  AND(B3451&gt;=18, B3451&lt;=24), "18-24",
  AND(B3451&gt;=25, B3451&lt;=34), "25-34",
  AND(B3451&gt;=35, B3451&lt;=44), "35-44",
  AND(B3451&gt;=45, B3451&lt;=54), "45-54",
  B3451&gt;=55, "55+"
)</f>
        <v>45-54</v>
      </c>
      <c r="D3451" t="s">
        <v>153</v>
      </c>
      <c r="E3451" t="s">
        <v>20</v>
      </c>
      <c r="F3451" t="s">
        <v>21</v>
      </c>
      <c r="G3451">
        <v>37</v>
      </c>
      <c r="H3451" t="s">
        <v>111</v>
      </c>
      <c r="I3451" t="s">
        <v>45</v>
      </c>
      <c r="J3451" t="s">
        <v>110</v>
      </c>
      <c r="K3451" t="s">
        <v>39</v>
      </c>
      <c r="L3451">
        <v>4.5</v>
      </c>
      <c r="M3451" t="s">
        <v>152</v>
      </c>
      <c r="N3451" t="s">
        <v>46</v>
      </c>
      <c r="O3451" t="s">
        <v>55</v>
      </c>
      <c r="P3451" t="s">
        <v>152</v>
      </c>
      <c r="Q3451" t="s">
        <v>152</v>
      </c>
      <c r="R3451">
        <v>35</v>
      </c>
      <c r="S3451" t="s">
        <v>35</v>
      </c>
      <c r="T3451" t="str">
        <f t="shared" si="106"/>
        <v>Month</v>
      </c>
      <c r="U3451">
        <f>VLOOKUP(T3451,[1]tablescore!$B$3:$C$8, 2,FALSE)</f>
        <v>12</v>
      </c>
      <c r="V3451" t="str">
        <f t="shared" si="107"/>
        <v>Moderate</v>
      </c>
      <c r="W3451" t="s">
        <v>88</v>
      </c>
    </row>
    <row r="3452" spans="1:23" x14ac:dyDescent="0.25">
      <c r="A3452">
        <v>3451</v>
      </c>
      <c r="B3452">
        <v>20</v>
      </c>
      <c r="C3452" t="str" cm="1">
        <f t="array" ref="C3452">_xlfn.IFS(
  AND(B3452&gt;=18, B3452&lt;=24), "18-24",
  AND(B3452&gt;=25, B3452&lt;=34), "25-34",
  AND(B3452&gt;=35, B3452&lt;=44), "35-44",
  AND(B3452&gt;=45, B3452&lt;=54), "45-54",
  B3452&gt;=55, "55+"
)</f>
        <v>18-24</v>
      </c>
      <c r="D3452" t="s">
        <v>153</v>
      </c>
      <c r="E3452" t="s">
        <v>61</v>
      </c>
      <c r="F3452" t="s">
        <v>21</v>
      </c>
      <c r="G3452">
        <v>78</v>
      </c>
      <c r="H3452" t="s">
        <v>145</v>
      </c>
      <c r="I3452" t="s">
        <v>45</v>
      </c>
      <c r="J3452" t="s">
        <v>71</v>
      </c>
      <c r="K3452" t="s">
        <v>39</v>
      </c>
      <c r="L3452">
        <v>3.6</v>
      </c>
      <c r="M3452" t="s">
        <v>152</v>
      </c>
      <c r="N3452" t="s">
        <v>46</v>
      </c>
      <c r="O3452" t="s">
        <v>76</v>
      </c>
      <c r="P3452" t="s">
        <v>152</v>
      </c>
      <c r="Q3452" t="s">
        <v>152</v>
      </c>
      <c r="R3452">
        <v>31</v>
      </c>
      <c r="S3452" t="s">
        <v>46</v>
      </c>
      <c r="T3452" t="str">
        <f t="shared" si="106"/>
        <v>Month</v>
      </c>
      <c r="U3452">
        <f>VLOOKUP(T3452,[1]tablescore!$B$3:$C$8, 2,FALSE)</f>
        <v>12</v>
      </c>
      <c r="V3452" t="str">
        <f t="shared" si="107"/>
        <v>Moderate</v>
      </c>
      <c r="W3452" t="s">
        <v>88</v>
      </c>
    </row>
    <row r="3453" spans="1:23" x14ac:dyDescent="0.25">
      <c r="A3453">
        <v>3452</v>
      </c>
      <c r="B3453">
        <v>32</v>
      </c>
      <c r="C3453" t="str" cm="1">
        <f t="array" ref="C3453">_xlfn.IFS(
  AND(B3453&gt;=18, B3453&lt;=24), "18-24",
  AND(B3453&gt;=25, B3453&lt;=34), "25-34",
  AND(B3453&gt;=35, B3453&lt;=44), "35-44",
  AND(B3453&gt;=45, B3453&lt;=54), "45-54",
  B3453&gt;=55, "55+"
)</f>
        <v>25-34</v>
      </c>
      <c r="D3453" t="s">
        <v>153</v>
      </c>
      <c r="E3453" t="s">
        <v>20</v>
      </c>
      <c r="F3453" t="s">
        <v>21</v>
      </c>
      <c r="G3453">
        <v>73</v>
      </c>
      <c r="H3453" t="s">
        <v>107</v>
      </c>
      <c r="I3453" t="s">
        <v>92</v>
      </c>
      <c r="J3453" t="s">
        <v>67</v>
      </c>
      <c r="K3453" t="s">
        <v>58</v>
      </c>
      <c r="L3453">
        <v>3</v>
      </c>
      <c r="M3453" t="s">
        <v>152</v>
      </c>
      <c r="N3453" t="s">
        <v>34</v>
      </c>
      <c r="O3453" t="s">
        <v>40</v>
      </c>
      <c r="P3453" t="s">
        <v>152</v>
      </c>
      <c r="Q3453" t="s">
        <v>152</v>
      </c>
      <c r="R3453">
        <v>13</v>
      </c>
      <c r="S3453" t="s">
        <v>27</v>
      </c>
      <c r="T3453" t="str">
        <f t="shared" si="106"/>
        <v>Annually</v>
      </c>
      <c r="U3453">
        <f>VLOOKUP(T3453,[1]tablescore!$B$3:$C$8, 2,FALSE)</f>
        <v>1</v>
      </c>
      <c r="V3453" t="str">
        <f t="shared" si="107"/>
        <v>Low Loyalty</v>
      </c>
      <c r="W3453" t="s">
        <v>50</v>
      </c>
    </row>
    <row r="3454" spans="1:23" x14ac:dyDescent="0.25">
      <c r="A3454">
        <v>3453</v>
      </c>
      <c r="B3454">
        <v>26</v>
      </c>
      <c r="C3454" t="str" cm="1">
        <f t="array" ref="C3454">_xlfn.IFS(
  AND(B3454&gt;=18, B3454&lt;=24), "18-24",
  AND(B3454&gt;=25, B3454&lt;=34), "25-34",
  AND(B3454&gt;=35, B3454&lt;=44), "35-44",
  AND(B3454&gt;=45, B3454&lt;=54), "45-54",
  B3454&gt;=55, "55+"
)</f>
        <v>25-34</v>
      </c>
      <c r="D3454" t="s">
        <v>153</v>
      </c>
      <c r="E3454" t="s">
        <v>102</v>
      </c>
      <c r="F3454" t="s">
        <v>65</v>
      </c>
      <c r="G3454">
        <v>20</v>
      </c>
      <c r="H3454" t="s">
        <v>101</v>
      </c>
      <c r="I3454" t="s">
        <v>45</v>
      </c>
      <c r="J3454" t="s">
        <v>129</v>
      </c>
      <c r="K3454" t="s">
        <v>39</v>
      </c>
      <c r="L3454">
        <v>3.7</v>
      </c>
      <c r="M3454" t="s">
        <v>152</v>
      </c>
      <c r="N3454" t="s">
        <v>27</v>
      </c>
      <c r="O3454" t="s">
        <v>47</v>
      </c>
      <c r="P3454" t="s">
        <v>152</v>
      </c>
      <c r="Q3454" t="s">
        <v>152</v>
      </c>
      <c r="R3454">
        <v>3</v>
      </c>
      <c r="S3454" t="s">
        <v>29</v>
      </c>
      <c r="T3454" t="str">
        <f t="shared" si="106"/>
        <v>2-week</v>
      </c>
      <c r="U3454">
        <f>VLOOKUP(T3454,[1]tablescore!$B$3:$C$8, 2,FALSE)</f>
        <v>26</v>
      </c>
      <c r="V3454" t="str">
        <f t="shared" si="107"/>
        <v>Loyal</v>
      </c>
      <c r="W3454" t="s">
        <v>30</v>
      </c>
    </row>
    <row r="3455" spans="1:23" x14ac:dyDescent="0.25">
      <c r="A3455">
        <v>3454</v>
      </c>
      <c r="B3455">
        <v>31</v>
      </c>
      <c r="C3455" t="str" cm="1">
        <f t="array" ref="C3455">_xlfn.IFS(
  AND(B3455&gt;=18, B3455&lt;=24), "18-24",
  AND(B3455&gt;=25, B3455&lt;=34), "25-34",
  AND(B3455&gt;=35, B3455&lt;=44), "35-44",
  AND(B3455&gt;=45, B3455&lt;=54), "45-54",
  B3455&gt;=55, "55+"
)</f>
        <v>25-34</v>
      </c>
      <c r="D3455" t="s">
        <v>153</v>
      </c>
      <c r="E3455" t="s">
        <v>56</v>
      </c>
      <c r="F3455" t="s">
        <v>21</v>
      </c>
      <c r="G3455">
        <v>60</v>
      </c>
      <c r="H3455" t="s">
        <v>90</v>
      </c>
      <c r="I3455" t="s">
        <v>23</v>
      </c>
      <c r="J3455" t="s">
        <v>71</v>
      </c>
      <c r="K3455" t="s">
        <v>25</v>
      </c>
      <c r="L3455">
        <v>4.3</v>
      </c>
      <c r="M3455" t="s">
        <v>152</v>
      </c>
      <c r="N3455" t="s">
        <v>29</v>
      </c>
      <c r="O3455" t="s">
        <v>55</v>
      </c>
      <c r="P3455" t="s">
        <v>152</v>
      </c>
      <c r="Q3455" t="s">
        <v>152</v>
      </c>
      <c r="R3455">
        <v>48</v>
      </c>
      <c r="S3455" t="s">
        <v>29</v>
      </c>
      <c r="T3455" t="str">
        <f t="shared" si="106"/>
        <v>2-week</v>
      </c>
      <c r="U3455">
        <f>VLOOKUP(T3455,[1]tablescore!$B$3:$C$8, 2,FALSE)</f>
        <v>26</v>
      </c>
      <c r="V3455" t="str">
        <f t="shared" si="107"/>
        <v>Loyal</v>
      </c>
      <c r="W3455" t="s">
        <v>77</v>
      </c>
    </row>
    <row r="3456" spans="1:23" x14ac:dyDescent="0.25">
      <c r="A3456">
        <v>3455</v>
      </c>
      <c r="B3456">
        <v>55</v>
      </c>
      <c r="C3456" t="str" cm="1">
        <f t="array" ref="C3456">_xlfn.IFS(
  AND(B3456&gt;=18, B3456&lt;=24), "18-24",
  AND(B3456&gt;=25, B3456&lt;=34), "25-34",
  AND(B3456&gt;=35, B3456&lt;=44), "35-44",
  AND(B3456&gt;=45, B3456&lt;=54), "45-54",
  B3456&gt;=55, "55+"
)</f>
        <v>55+</v>
      </c>
      <c r="D3456" t="s">
        <v>153</v>
      </c>
      <c r="E3456" t="s">
        <v>68</v>
      </c>
      <c r="F3456" t="s">
        <v>69</v>
      </c>
      <c r="G3456">
        <v>71</v>
      </c>
      <c r="H3456" t="s">
        <v>62</v>
      </c>
      <c r="I3456" t="s">
        <v>38</v>
      </c>
      <c r="J3456" t="s">
        <v>93</v>
      </c>
      <c r="K3456" t="s">
        <v>58</v>
      </c>
      <c r="L3456">
        <v>4.5999999999999996</v>
      </c>
      <c r="M3456" t="s">
        <v>152</v>
      </c>
      <c r="N3456" t="s">
        <v>35</v>
      </c>
      <c r="O3456" t="s">
        <v>76</v>
      </c>
      <c r="P3456" t="s">
        <v>152</v>
      </c>
      <c r="Q3456" t="s">
        <v>152</v>
      </c>
      <c r="R3456">
        <v>15</v>
      </c>
      <c r="S3456" t="s">
        <v>46</v>
      </c>
      <c r="T3456" t="str">
        <f t="shared" si="106"/>
        <v>2-week</v>
      </c>
      <c r="U3456">
        <f>VLOOKUP(T3456,[1]tablescore!$B$3:$C$8, 2,FALSE)</f>
        <v>26</v>
      </c>
      <c r="V3456" t="str">
        <f t="shared" si="107"/>
        <v>Loyal</v>
      </c>
      <c r="W3456" t="s">
        <v>77</v>
      </c>
    </row>
    <row r="3457" spans="1:23" x14ac:dyDescent="0.25">
      <c r="A3457">
        <v>3456</v>
      </c>
      <c r="B3457">
        <v>49</v>
      </c>
      <c r="C3457" t="str" cm="1">
        <f t="array" ref="C3457">_xlfn.IFS(
  AND(B3457&gt;=18, B3457&lt;=24), "18-24",
  AND(B3457&gt;=25, B3457&lt;=34), "25-34",
  AND(B3457&gt;=35, B3457&lt;=44), "35-44",
  AND(B3457&gt;=45, B3457&lt;=54), "45-54",
  B3457&gt;=55, "55+"
)</f>
        <v>45-54</v>
      </c>
      <c r="D3457" t="s">
        <v>153</v>
      </c>
      <c r="E3457" t="s">
        <v>113</v>
      </c>
      <c r="F3457" t="s">
        <v>21</v>
      </c>
      <c r="G3457">
        <v>89</v>
      </c>
      <c r="H3457" t="s">
        <v>124</v>
      </c>
      <c r="I3457" t="s">
        <v>45</v>
      </c>
      <c r="J3457" t="s">
        <v>121</v>
      </c>
      <c r="K3457" t="s">
        <v>58</v>
      </c>
      <c r="L3457">
        <v>4.7</v>
      </c>
      <c r="M3457" t="s">
        <v>152</v>
      </c>
      <c r="N3457" t="s">
        <v>34</v>
      </c>
      <c r="O3457" t="s">
        <v>55</v>
      </c>
      <c r="P3457" t="s">
        <v>152</v>
      </c>
      <c r="Q3457" t="s">
        <v>152</v>
      </c>
      <c r="R3457">
        <v>13</v>
      </c>
      <c r="S3457" t="s">
        <v>29</v>
      </c>
      <c r="T3457" t="str">
        <f t="shared" si="106"/>
        <v>Annually</v>
      </c>
      <c r="U3457">
        <f>VLOOKUP(T3457,[1]tablescore!$B$3:$C$8, 2,FALSE)</f>
        <v>1</v>
      </c>
      <c r="V3457" t="str">
        <f t="shared" si="107"/>
        <v>Low Loyalty</v>
      </c>
      <c r="W3457" t="s">
        <v>50</v>
      </c>
    </row>
    <row r="3458" spans="1:23" x14ac:dyDescent="0.25">
      <c r="A3458">
        <v>3457</v>
      </c>
      <c r="B3458">
        <v>42</v>
      </c>
      <c r="C3458" t="str" cm="1">
        <f t="array" ref="C3458">_xlfn.IFS(
  AND(B3458&gt;=18, B3458&lt;=24), "18-24",
  AND(B3458&gt;=25, B3458&lt;=34), "25-34",
  AND(B3458&gt;=35, B3458&lt;=44), "35-44",
  AND(B3458&gt;=45, B3458&lt;=54), "45-54",
  B3458&gt;=55, "55+"
)</f>
        <v>35-44</v>
      </c>
      <c r="D3458" t="s">
        <v>153</v>
      </c>
      <c r="E3458" t="s">
        <v>104</v>
      </c>
      <c r="F3458" t="s">
        <v>21</v>
      </c>
      <c r="G3458">
        <v>53</v>
      </c>
      <c r="H3458" t="s">
        <v>105</v>
      </c>
      <c r="I3458" t="s">
        <v>45</v>
      </c>
      <c r="J3458" t="s">
        <v>108</v>
      </c>
      <c r="K3458" t="s">
        <v>58</v>
      </c>
      <c r="L3458">
        <v>4.5999999999999996</v>
      </c>
      <c r="M3458" t="s">
        <v>152</v>
      </c>
      <c r="N3458" t="s">
        <v>34</v>
      </c>
      <c r="O3458" t="s">
        <v>28</v>
      </c>
      <c r="P3458" t="s">
        <v>152</v>
      </c>
      <c r="Q3458" t="s">
        <v>152</v>
      </c>
      <c r="R3458">
        <v>21</v>
      </c>
      <c r="S3458" t="s">
        <v>29</v>
      </c>
      <c r="T3458" t="str">
        <f t="shared" si="106"/>
        <v>Month</v>
      </c>
      <c r="U3458">
        <f>VLOOKUP(T3458,[1]tablescore!$B$3:$C$8, 2,FALSE)</f>
        <v>12</v>
      </c>
      <c r="V3458" t="str">
        <f t="shared" si="107"/>
        <v>Moderate</v>
      </c>
      <c r="W3458" t="s">
        <v>88</v>
      </c>
    </row>
    <row r="3459" spans="1:23" x14ac:dyDescent="0.25">
      <c r="A3459">
        <v>3458</v>
      </c>
      <c r="B3459">
        <v>64</v>
      </c>
      <c r="C3459" t="str" cm="1">
        <f t="array" ref="C3459">_xlfn.IFS(
  AND(B3459&gt;=18, B3459&lt;=24), "18-24",
  AND(B3459&gt;=25, B3459&lt;=34), "25-34",
  AND(B3459&gt;=35, B3459&lt;=44), "35-44",
  AND(B3459&gt;=45, B3459&lt;=54), "45-54",
  B3459&gt;=55, "55+"
)</f>
        <v>55+</v>
      </c>
      <c r="D3459" t="s">
        <v>153</v>
      </c>
      <c r="E3459" t="s">
        <v>106</v>
      </c>
      <c r="F3459" t="s">
        <v>69</v>
      </c>
      <c r="G3459">
        <v>87</v>
      </c>
      <c r="H3459" t="s">
        <v>135</v>
      </c>
      <c r="I3459" t="s">
        <v>45</v>
      </c>
      <c r="J3459" t="s">
        <v>24</v>
      </c>
      <c r="K3459" t="s">
        <v>54</v>
      </c>
      <c r="L3459">
        <v>3</v>
      </c>
      <c r="M3459" t="s">
        <v>152</v>
      </c>
      <c r="N3459" t="s">
        <v>34</v>
      </c>
      <c r="O3459" t="s">
        <v>28</v>
      </c>
      <c r="P3459" t="s">
        <v>152</v>
      </c>
      <c r="Q3459" t="s">
        <v>152</v>
      </c>
      <c r="R3459">
        <v>29</v>
      </c>
      <c r="S3459" t="s">
        <v>35</v>
      </c>
      <c r="T3459" t="str">
        <f t="shared" ref="T3459:T3522" si="108">IF(TRIM(W3459)="Every 3 months","Quarterly",IF(TRIM(W3459)="Fortnightly","2-week",IF(TRIM(W3459)="Bi-Weekly","2-week",IF(TRIM(W3459)="Weekly","Daily",IF(TRIM(W3459)="Monthly","Month",TRIM(W3459))))))</f>
        <v>2-week</v>
      </c>
      <c r="U3459">
        <f>VLOOKUP(T3459,[1]tablescore!$B$3:$C$8, 2,FALSE)</f>
        <v>26</v>
      </c>
      <c r="V3459" t="str">
        <f t="shared" ref="V3459:V3522" si="109">_xlfn.IFS(U3459&gt;=30, "Highly Loyal", U3459&gt;=26, "Loyal", U3459&gt;=12, "Moderate", U3459&lt;5, "Low Loyalty")</f>
        <v>Loyal</v>
      </c>
      <c r="W3459" t="s">
        <v>30</v>
      </c>
    </row>
    <row r="3460" spans="1:23" x14ac:dyDescent="0.25">
      <c r="A3460">
        <v>3459</v>
      </c>
      <c r="B3460">
        <v>68</v>
      </c>
      <c r="C3460" t="str" cm="1">
        <f t="array" ref="C3460">_xlfn.IFS(
  AND(B3460&gt;=18, B3460&lt;=24), "18-24",
  AND(B3460&gt;=25, B3460&lt;=34), "25-34",
  AND(B3460&gt;=35, B3460&lt;=44), "35-44",
  AND(B3460&gt;=45, B3460&lt;=54), "45-54",
  B3460&gt;=55, "55+"
)</f>
        <v>55+</v>
      </c>
      <c r="D3460" t="s">
        <v>153</v>
      </c>
      <c r="E3460" t="s">
        <v>106</v>
      </c>
      <c r="F3460" t="s">
        <v>69</v>
      </c>
      <c r="G3460">
        <v>37</v>
      </c>
      <c r="H3460" t="s">
        <v>66</v>
      </c>
      <c r="I3460" t="s">
        <v>23</v>
      </c>
      <c r="J3460" t="s">
        <v>84</v>
      </c>
      <c r="K3460" t="s">
        <v>39</v>
      </c>
      <c r="L3460">
        <v>3.4</v>
      </c>
      <c r="M3460" t="s">
        <v>152</v>
      </c>
      <c r="N3460" t="s">
        <v>46</v>
      </c>
      <c r="O3460" t="s">
        <v>55</v>
      </c>
      <c r="P3460" t="s">
        <v>152</v>
      </c>
      <c r="Q3460" t="s">
        <v>152</v>
      </c>
      <c r="R3460">
        <v>24</v>
      </c>
      <c r="S3460" t="s">
        <v>29</v>
      </c>
      <c r="T3460" t="str">
        <f t="shared" si="108"/>
        <v>Quarterly</v>
      </c>
      <c r="U3460">
        <f>VLOOKUP(T3460,[1]tablescore!$B$3:$C$8, 2,FALSE)</f>
        <v>4</v>
      </c>
      <c r="V3460" t="str">
        <f t="shared" si="109"/>
        <v>Low Loyalty</v>
      </c>
      <c r="W3460" t="s">
        <v>60</v>
      </c>
    </row>
    <row r="3461" spans="1:23" x14ac:dyDescent="0.25">
      <c r="A3461">
        <v>3460</v>
      </c>
      <c r="B3461">
        <v>68</v>
      </c>
      <c r="C3461" t="str" cm="1">
        <f t="array" ref="C3461">_xlfn.IFS(
  AND(B3461&gt;=18, B3461&lt;=24), "18-24",
  AND(B3461&gt;=25, B3461&lt;=34), "25-34",
  AND(B3461&gt;=35, B3461&lt;=44), "35-44",
  AND(B3461&gt;=45, B3461&lt;=54), "45-54",
  B3461&gt;=55, "55+"
)</f>
        <v>55+</v>
      </c>
      <c r="D3461" t="s">
        <v>153</v>
      </c>
      <c r="E3461" t="s">
        <v>104</v>
      </c>
      <c r="F3461" t="s">
        <v>21</v>
      </c>
      <c r="G3461">
        <v>37</v>
      </c>
      <c r="H3461" t="s">
        <v>124</v>
      </c>
      <c r="I3461" t="s">
        <v>23</v>
      </c>
      <c r="J3461" t="s">
        <v>96</v>
      </c>
      <c r="K3461" t="s">
        <v>58</v>
      </c>
      <c r="L3461">
        <v>3.8</v>
      </c>
      <c r="M3461" t="s">
        <v>152</v>
      </c>
      <c r="N3461" t="s">
        <v>29</v>
      </c>
      <c r="O3461" t="s">
        <v>28</v>
      </c>
      <c r="P3461" t="s">
        <v>152</v>
      </c>
      <c r="Q3461" t="s">
        <v>152</v>
      </c>
      <c r="R3461">
        <v>21</v>
      </c>
      <c r="S3461" t="s">
        <v>46</v>
      </c>
      <c r="T3461" t="str">
        <f t="shared" si="108"/>
        <v>Annually</v>
      </c>
      <c r="U3461">
        <f>VLOOKUP(T3461,[1]tablescore!$B$3:$C$8, 2,FALSE)</f>
        <v>1</v>
      </c>
      <c r="V3461" t="str">
        <f t="shared" si="109"/>
        <v>Low Loyalty</v>
      </c>
      <c r="W3461" t="s">
        <v>50</v>
      </c>
    </row>
    <row r="3462" spans="1:23" x14ac:dyDescent="0.25">
      <c r="A3462">
        <v>3461</v>
      </c>
      <c r="B3462">
        <v>41</v>
      </c>
      <c r="C3462" t="str" cm="1">
        <f t="array" ref="C3462">_xlfn.IFS(
  AND(B3462&gt;=18, B3462&lt;=24), "18-24",
  AND(B3462&gt;=25, B3462&lt;=34), "25-34",
  AND(B3462&gt;=35, B3462&lt;=44), "35-44",
  AND(B3462&gt;=45, B3462&lt;=54), "45-54",
  B3462&gt;=55, "55+"
)</f>
        <v>35-44</v>
      </c>
      <c r="D3462" t="s">
        <v>153</v>
      </c>
      <c r="E3462" t="s">
        <v>119</v>
      </c>
      <c r="F3462" t="s">
        <v>69</v>
      </c>
      <c r="G3462">
        <v>78</v>
      </c>
      <c r="H3462" t="s">
        <v>116</v>
      </c>
      <c r="I3462" t="s">
        <v>45</v>
      </c>
      <c r="J3462" t="s">
        <v>81</v>
      </c>
      <c r="K3462" t="s">
        <v>39</v>
      </c>
      <c r="L3462">
        <v>3.1</v>
      </c>
      <c r="M3462" t="s">
        <v>152</v>
      </c>
      <c r="N3462" t="s">
        <v>27</v>
      </c>
      <c r="O3462" t="s">
        <v>28</v>
      </c>
      <c r="P3462" t="s">
        <v>152</v>
      </c>
      <c r="Q3462" t="s">
        <v>152</v>
      </c>
      <c r="R3462">
        <v>5</v>
      </c>
      <c r="S3462" t="s">
        <v>34</v>
      </c>
      <c r="T3462" t="str">
        <f t="shared" si="108"/>
        <v>2-week</v>
      </c>
      <c r="U3462">
        <f>VLOOKUP(T3462,[1]tablescore!$B$3:$C$8, 2,FALSE)</f>
        <v>26</v>
      </c>
      <c r="V3462" t="str">
        <f t="shared" si="109"/>
        <v>Loyal</v>
      </c>
      <c r="W3462" t="s">
        <v>77</v>
      </c>
    </row>
    <row r="3463" spans="1:23" x14ac:dyDescent="0.25">
      <c r="A3463">
        <v>3462</v>
      </c>
      <c r="B3463">
        <v>51</v>
      </c>
      <c r="C3463" t="str" cm="1">
        <f t="array" ref="C3463">_xlfn.IFS(
  AND(B3463&gt;=18, B3463&lt;=24), "18-24",
  AND(B3463&gt;=25, B3463&lt;=34), "25-34",
  AND(B3463&gt;=35, B3463&lt;=44), "35-44",
  AND(B3463&gt;=45, B3463&lt;=54), "45-54",
  B3463&gt;=55, "55+"
)</f>
        <v>45-54</v>
      </c>
      <c r="D3463" t="s">
        <v>153</v>
      </c>
      <c r="E3463" t="s">
        <v>73</v>
      </c>
      <c r="F3463" t="s">
        <v>43</v>
      </c>
      <c r="G3463">
        <v>23</v>
      </c>
      <c r="H3463" t="s">
        <v>52</v>
      </c>
      <c r="I3463" t="s">
        <v>38</v>
      </c>
      <c r="J3463" t="s">
        <v>33</v>
      </c>
      <c r="K3463" t="s">
        <v>39</v>
      </c>
      <c r="L3463">
        <v>4.4000000000000004</v>
      </c>
      <c r="M3463" t="s">
        <v>152</v>
      </c>
      <c r="N3463" t="s">
        <v>29</v>
      </c>
      <c r="O3463" t="s">
        <v>55</v>
      </c>
      <c r="P3463" t="s">
        <v>152</v>
      </c>
      <c r="Q3463" t="s">
        <v>152</v>
      </c>
      <c r="R3463">
        <v>47</v>
      </c>
      <c r="S3463" t="s">
        <v>35</v>
      </c>
      <c r="T3463" t="str">
        <f t="shared" si="108"/>
        <v>Quarterly</v>
      </c>
      <c r="U3463">
        <f>VLOOKUP(T3463,[1]tablescore!$B$3:$C$8, 2,FALSE)</f>
        <v>4</v>
      </c>
      <c r="V3463" t="str">
        <f t="shared" si="109"/>
        <v>Low Loyalty</v>
      </c>
      <c r="W3463" t="s">
        <v>60</v>
      </c>
    </row>
    <row r="3464" spans="1:23" x14ac:dyDescent="0.25">
      <c r="A3464">
        <v>3463</v>
      </c>
      <c r="B3464">
        <v>44</v>
      </c>
      <c r="C3464" t="str" cm="1">
        <f t="array" ref="C3464">_xlfn.IFS(
  AND(B3464&gt;=18, B3464&lt;=24), "18-24",
  AND(B3464&gt;=25, B3464&lt;=34), "25-34",
  AND(B3464&gt;=35, B3464&lt;=44), "35-44",
  AND(B3464&gt;=45, B3464&lt;=54), "45-54",
  B3464&gt;=55, "55+"
)</f>
        <v>35-44</v>
      </c>
      <c r="D3464" t="s">
        <v>153</v>
      </c>
      <c r="E3464" t="s">
        <v>36</v>
      </c>
      <c r="F3464" t="s">
        <v>21</v>
      </c>
      <c r="G3464">
        <v>73</v>
      </c>
      <c r="H3464" t="s">
        <v>151</v>
      </c>
      <c r="I3464" t="s">
        <v>23</v>
      </c>
      <c r="J3464" t="s">
        <v>79</v>
      </c>
      <c r="K3464" t="s">
        <v>39</v>
      </c>
      <c r="L3464">
        <v>4.5</v>
      </c>
      <c r="M3464" t="s">
        <v>152</v>
      </c>
      <c r="N3464" t="s">
        <v>34</v>
      </c>
      <c r="O3464" t="s">
        <v>55</v>
      </c>
      <c r="P3464" t="s">
        <v>152</v>
      </c>
      <c r="Q3464" t="s">
        <v>152</v>
      </c>
      <c r="R3464">
        <v>34</v>
      </c>
      <c r="S3464" t="s">
        <v>27</v>
      </c>
      <c r="T3464" t="str">
        <f t="shared" si="108"/>
        <v>Quarterly</v>
      </c>
      <c r="U3464">
        <f>VLOOKUP(T3464,[1]tablescore!$B$3:$C$8, 2,FALSE)</f>
        <v>4</v>
      </c>
      <c r="V3464" t="str">
        <f t="shared" si="109"/>
        <v>Low Loyalty</v>
      </c>
      <c r="W3464" t="s">
        <v>97</v>
      </c>
    </row>
    <row r="3465" spans="1:23" x14ac:dyDescent="0.25">
      <c r="A3465">
        <v>3464</v>
      </c>
      <c r="B3465">
        <v>27</v>
      </c>
      <c r="C3465" t="str" cm="1">
        <f t="array" ref="C3465">_xlfn.IFS(
  AND(B3465&gt;=18, B3465&lt;=24), "18-24",
  AND(B3465&gt;=25, B3465&lt;=34), "25-34",
  AND(B3465&gt;=35, B3465&lt;=44), "35-44",
  AND(B3465&gt;=45, B3465&lt;=54), "45-54",
  B3465&gt;=55, "55+"
)</f>
        <v>25-34</v>
      </c>
      <c r="D3465" t="s">
        <v>153</v>
      </c>
      <c r="E3465" t="s">
        <v>106</v>
      </c>
      <c r="F3465" t="s">
        <v>69</v>
      </c>
      <c r="G3465">
        <v>27</v>
      </c>
      <c r="H3465" t="s">
        <v>32</v>
      </c>
      <c r="I3465" t="s">
        <v>45</v>
      </c>
      <c r="J3465" t="s">
        <v>139</v>
      </c>
      <c r="K3465" t="s">
        <v>58</v>
      </c>
      <c r="L3465">
        <v>2.8</v>
      </c>
      <c r="M3465" t="s">
        <v>152</v>
      </c>
      <c r="N3465" t="s">
        <v>59</v>
      </c>
      <c r="O3465" t="s">
        <v>72</v>
      </c>
      <c r="P3465" t="s">
        <v>152</v>
      </c>
      <c r="Q3465" t="s">
        <v>152</v>
      </c>
      <c r="R3465">
        <v>45</v>
      </c>
      <c r="S3465" t="s">
        <v>46</v>
      </c>
      <c r="T3465" t="str">
        <f t="shared" si="108"/>
        <v>2-week</v>
      </c>
      <c r="U3465">
        <f>VLOOKUP(T3465,[1]tablescore!$B$3:$C$8, 2,FALSE)</f>
        <v>26</v>
      </c>
      <c r="V3465" t="str">
        <f t="shared" si="109"/>
        <v>Loyal</v>
      </c>
      <c r="W3465" t="s">
        <v>30</v>
      </c>
    </row>
    <row r="3466" spans="1:23" x14ac:dyDescent="0.25">
      <c r="A3466">
        <v>3465</v>
      </c>
      <c r="B3466">
        <v>36</v>
      </c>
      <c r="C3466" t="str" cm="1">
        <f t="array" ref="C3466">_xlfn.IFS(
  AND(B3466&gt;=18, B3466&lt;=24), "18-24",
  AND(B3466&gt;=25, B3466&lt;=34), "25-34",
  AND(B3466&gt;=35, B3466&lt;=44), "35-44",
  AND(B3466&gt;=45, B3466&lt;=54), "45-54",
  B3466&gt;=55, "55+"
)</f>
        <v>35-44</v>
      </c>
      <c r="D3466" t="s">
        <v>153</v>
      </c>
      <c r="E3466" t="s">
        <v>64</v>
      </c>
      <c r="F3466" t="s">
        <v>65</v>
      </c>
      <c r="G3466">
        <v>59</v>
      </c>
      <c r="H3466" t="s">
        <v>149</v>
      </c>
      <c r="I3466" t="s">
        <v>38</v>
      </c>
      <c r="J3466" t="s">
        <v>100</v>
      </c>
      <c r="K3466" t="s">
        <v>25</v>
      </c>
      <c r="L3466">
        <v>2.7</v>
      </c>
      <c r="M3466" t="s">
        <v>152</v>
      </c>
      <c r="N3466" t="s">
        <v>59</v>
      </c>
      <c r="O3466" t="s">
        <v>47</v>
      </c>
      <c r="P3466" t="s">
        <v>152</v>
      </c>
      <c r="Q3466" t="s">
        <v>152</v>
      </c>
      <c r="R3466">
        <v>12</v>
      </c>
      <c r="S3466" t="s">
        <v>46</v>
      </c>
      <c r="T3466" t="str">
        <f t="shared" si="108"/>
        <v>Annually</v>
      </c>
      <c r="U3466">
        <f>VLOOKUP(T3466,[1]tablescore!$B$3:$C$8, 2,FALSE)</f>
        <v>1</v>
      </c>
      <c r="V3466" t="str">
        <f t="shared" si="109"/>
        <v>Low Loyalty</v>
      </c>
      <c r="W3466" t="s">
        <v>50</v>
      </c>
    </row>
    <row r="3467" spans="1:23" x14ac:dyDescent="0.25">
      <c r="A3467">
        <v>3466</v>
      </c>
      <c r="B3467">
        <v>19</v>
      </c>
      <c r="C3467" t="str" cm="1">
        <f t="array" ref="C3467">_xlfn.IFS(
  AND(B3467&gt;=18, B3467&lt;=24), "18-24",
  AND(B3467&gt;=25, B3467&lt;=34), "25-34",
  AND(B3467&gt;=35, B3467&lt;=44), "35-44",
  AND(B3467&gt;=45, B3467&lt;=54), "45-54",
  B3467&gt;=55, "55+"
)</f>
        <v>18-24</v>
      </c>
      <c r="D3467" t="s">
        <v>153</v>
      </c>
      <c r="E3467" t="s">
        <v>133</v>
      </c>
      <c r="F3467" t="s">
        <v>69</v>
      </c>
      <c r="G3467">
        <v>53</v>
      </c>
      <c r="H3467" t="s">
        <v>150</v>
      </c>
      <c r="I3467" t="s">
        <v>45</v>
      </c>
      <c r="J3467" t="s">
        <v>81</v>
      </c>
      <c r="K3467" t="s">
        <v>39</v>
      </c>
      <c r="L3467">
        <v>3.4</v>
      </c>
      <c r="M3467" t="s">
        <v>152</v>
      </c>
      <c r="N3467" t="s">
        <v>34</v>
      </c>
      <c r="O3467" t="s">
        <v>55</v>
      </c>
      <c r="P3467" t="s">
        <v>152</v>
      </c>
      <c r="Q3467" t="s">
        <v>152</v>
      </c>
      <c r="R3467">
        <v>31</v>
      </c>
      <c r="S3467" t="s">
        <v>59</v>
      </c>
      <c r="T3467" t="str">
        <f t="shared" si="108"/>
        <v>Daily</v>
      </c>
      <c r="U3467">
        <f>VLOOKUP(T3467,[1]tablescore!$B$3:$C$8, 2,FALSE)</f>
        <v>30</v>
      </c>
      <c r="V3467" t="str">
        <f t="shared" si="109"/>
        <v>Highly Loyal</v>
      </c>
      <c r="W3467" t="s">
        <v>41</v>
      </c>
    </row>
    <row r="3468" spans="1:23" x14ac:dyDescent="0.25">
      <c r="A3468">
        <v>3467</v>
      </c>
      <c r="B3468">
        <v>49</v>
      </c>
      <c r="C3468" t="str" cm="1">
        <f t="array" ref="C3468">_xlfn.IFS(
  AND(B3468&gt;=18, B3468&lt;=24), "18-24",
  AND(B3468&gt;=25, B3468&lt;=34), "25-34",
  AND(B3468&gt;=35, B3468&lt;=44), "35-44",
  AND(B3468&gt;=45, B3468&lt;=54), "45-54",
  B3468&gt;=55, "55+"
)</f>
        <v>45-54</v>
      </c>
      <c r="D3468" t="s">
        <v>153</v>
      </c>
      <c r="E3468" t="s">
        <v>131</v>
      </c>
      <c r="F3468" t="s">
        <v>21</v>
      </c>
      <c r="G3468">
        <v>42</v>
      </c>
      <c r="H3468" t="s">
        <v>135</v>
      </c>
      <c r="I3468" t="s">
        <v>38</v>
      </c>
      <c r="J3468" t="s">
        <v>75</v>
      </c>
      <c r="K3468" t="s">
        <v>54</v>
      </c>
      <c r="L3468">
        <v>4.5999999999999996</v>
      </c>
      <c r="M3468" t="s">
        <v>152</v>
      </c>
      <c r="N3468" t="s">
        <v>59</v>
      </c>
      <c r="O3468" t="s">
        <v>55</v>
      </c>
      <c r="P3468" t="s">
        <v>152</v>
      </c>
      <c r="Q3468" t="s">
        <v>152</v>
      </c>
      <c r="R3468">
        <v>43</v>
      </c>
      <c r="S3468" t="s">
        <v>34</v>
      </c>
      <c r="T3468" t="str">
        <f t="shared" si="108"/>
        <v>Annually</v>
      </c>
      <c r="U3468">
        <f>VLOOKUP(T3468,[1]tablescore!$B$3:$C$8, 2,FALSE)</f>
        <v>1</v>
      </c>
      <c r="V3468" t="str">
        <f t="shared" si="109"/>
        <v>Low Loyalty</v>
      </c>
      <c r="W3468" t="s">
        <v>50</v>
      </c>
    </row>
    <row r="3469" spans="1:23" x14ac:dyDescent="0.25">
      <c r="A3469">
        <v>3468</v>
      </c>
      <c r="B3469">
        <v>18</v>
      </c>
      <c r="C3469" t="str" cm="1">
        <f t="array" ref="C3469">_xlfn.IFS(
  AND(B3469&gt;=18, B3469&lt;=24), "18-24",
  AND(B3469&gt;=25, B3469&lt;=34), "25-34",
  AND(B3469&gt;=35, B3469&lt;=44), "35-44",
  AND(B3469&gt;=45, B3469&lt;=54), "45-54",
  B3469&gt;=55, "55+"
)</f>
        <v>18-24</v>
      </c>
      <c r="D3469" t="s">
        <v>153</v>
      </c>
      <c r="E3469" t="s">
        <v>119</v>
      </c>
      <c r="F3469" t="s">
        <v>69</v>
      </c>
      <c r="G3469">
        <v>45</v>
      </c>
      <c r="H3469" t="s">
        <v>105</v>
      </c>
      <c r="I3469" t="s">
        <v>45</v>
      </c>
      <c r="J3469" t="s">
        <v>63</v>
      </c>
      <c r="K3469" t="s">
        <v>58</v>
      </c>
      <c r="L3469">
        <v>5</v>
      </c>
      <c r="M3469" t="s">
        <v>152</v>
      </c>
      <c r="N3469" t="s">
        <v>34</v>
      </c>
      <c r="O3469" t="s">
        <v>47</v>
      </c>
      <c r="P3469" t="s">
        <v>152</v>
      </c>
      <c r="Q3469" t="s">
        <v>152</v>
      </c>
      <c r="R3469">
        <v>5</v>
      </c>
      <c r="S3469" t="s">
        <v>27</v>
      </c>
      <c r="T3469" t="str">
        <f t="shared" si="108"/>
        <v>Annually</v>
      </c>
      <c r="U3469">
        <f>VLOOKUP(T3469,[1]tablescore!$B$3:$C$8, 2,FALSE)</f>
        <v>1</v>
      </c>
      <c r="V3469" t="str">
        <f t="shared" si="109"/>
        <v>Low Loyalty</v>
      </c>
      <c r="W3469" t="s">
        <v>50</v>
      </c>
    </row>
    <row r="3470" spans="1:23" x14ac:dyDescent="0.25">
      <c r="A3470">
        <v>3469</v>
      </c>
      <c r="B3470">
        <v>36</v>
      </c>
      <c r="C3470" t="str" cm="1">
        <f t="array" ref="C3470">_xlfn.IFS(
  AND(B3470&gt;=18, B3470&lt;=24), "18-24",
  AND(B3470&gt;=25, B3470&lt;=34), "25-34",
  AND(B3470&gt;=35, B3470&lt;=44), "35-44",
  AND(B3470&gt;=45, B3470&lt;=54), "45-54",
  B3470&gt;=55, "55+"
)</f>
        <v>35-44</v>
      </c>
      <c r="D3470" t="s">
        <v>153</v>
      </c>
      <c r="E3470" t="s">
        <v>89</v>
      </c>
      <c r="F3470" t="s">
        <v>69</v>
      </c>
      <c r="G3470">
        <v>89</v>
      </c>
      <c r="H3470" t="s">
        <v>124</v>
      </c>
      <c r="I3470" t="s">
        <v>38</v>
      </c>
      <c r="J3470" t="s">
        <v>129</v>
      </c>
      <c r="K3470" t="s">
        <v>25</v>
      </c>
      <c r="L3470">
        <v>3.5</v>
      </c>
      <c r="M3470" t="s">
        <v>152</v>
      </c>
      <c r="N3470" t="s">
        <v>27</v>
      </c>
      <c r="O3470" t="s">
        <v>55</v>
      </c>
      <c r="P3470" t="s">
        <v>152</v>
      </c>
      <c r="Q3470" t="s">
        <v>152</v>
      </c>
      <c r="R3470">
        <v>36</v>
      </c>
      <c r="S3470" t="s">
        <v>59</v>
      </c>
      <c r="T3470" t="str">
        <f t="shared" si="108"/>
        <v>Quarterly</v>
      </c>
      <c r="U3470">
        <f>VLOOKUP(T3470,[1]tablescore!$B$3:$C$8, 2,FALSE)</f>
        <v>4</v>
      </c>
      <c r="V3470" t="str">
        <f t="shared" si="109"/>
        <v>Low Loyalty</v>
      </c>
      <c r="W3470" t="s">
        <v>60</v>
      </c>
    </row>
    <row r="3471" spans="1:23" x14ac:dyDescent="0.25">
      <c r="A3471">
        <v>3470</v>
      </c>
      <c r="B3471">
        <v>36</v>
      </c>
      <c r="C3471" t="str" cm="1">
        <f t="array" ref="C3471">_xlfn.IFS(
  AND(B3471&gt;=18, B3471&lt;=24), "18-24",
  AND(B3471&gt;=25, B3471&lt;=34), "25-34",
  AND(B3471&gt;=35, B3471&lt;=44), "35-44",
  AND(B3471&gt;=45, B3471&lt;=54), "45-54",
  B3471&gt;=55, "55+"
)</f>
        <v>35-44</v>
      </c>
      <c r="D3471" t="s">
        <v>153</v>
      </c>
      <c r="E3471" t="s">
        <v>131</v>
      </c>
      <c r="F3471" t="s">
        <v>21</v>
      </c>
      <c r="G3471">
        <v>85</v>
      </c>
      <c r="H3471" t="s">
        <v>114</v>
      </c>
      <c r="I3471" t="s">
        <v>23</v>
      </c>
      <c r="J3471" t="s">
        <v>147</v>
      </c>
      <c r="K3471" t="s">
        <v>58</v>
      </c>
      <c r="L3471">
        <v>3.3</v>
      </c>
      <c r="M3471" t="s">
        <v>152</v>
      </c>
      <c r="N3471" t="s">
        <v>34</v>
      </c>
      <c r="O3471" t="s">
        <v>76</v>
      </c>
      <c r="P3471" t="s">
        <v>152</v>
      </c>
      <c r="Q3471" t="s">
        <v>152</v>
      </c>
      <c r="R3471">
        <v>12</v>
      </c>
      <c r="S3471" t="s">
        <v>35</v>
      </c>
      <c r="T3471" t="str">
        <f t="shared" si="108"/>
        <v>Annually</v>
      </c>
      <c r="U3471">
        <f>VLOOKUP(T3471,[1]tablescore!$B$3:$C$8, 2,FALSE)</f>
        <v>1</v>
      </c>
      <c r="V3471" t="str">
        <f t="shared" si="109"/>
        <v>Low Loyalty</v>
      </c>
      <c r="W3471" t="s">
        <v>50</v>
      </c>
    </row>
    <row r="3472" spans="1:23" x14ac:dyDescent="0.25">
      <c r="A3472">
        <v>3471</v>
      </c>
      <c r="B3472">
        <v>19</v>
      </c>
      <c r="C3472" t="str" cm="1">
        <f t="array" ref="C3472">_xlfn.IFS(
  AND(B3472&gt;=18, B3472&lt;=24), "18-24",
  AND(B3472&gt;=25, B3472&lt;=34), "25-34",
  AND(B3472&gt;=35, B3472&lt;=44), "35-44",
  AND(B3472&gt;=45, B3472&lt;=54), "45-54",
  B3472&gt;=55, "55+"
)</f>
        <v>18-24</v>
      </c>
      <c r="D3472" t="s">
        <v>153</v>
      </c>
      <c r="E3472" t="s">
        <v>64</v>
      </c>
      <c r="F3472" t="s">
        <v>65</v>
      </c>
      <c r="G3472">
        <v>69</v>
      </c>
      <c r="H3472" t="s">
        <v>66</v>
      </c>
      <c r="I3472" t="s">
        <v>38</v>
      </c>
      <c r="J3472" t="s">
        <v>79</v>
      </c>
      <c r="K3472" t="s">
        <v>54</v>
      </c>
      <c r="L3472">
        <v>4.5</v>
      </c>
      <c r="M3472" t="s">
        <v>152</v>
      </c>
      <c r="N3472" t="s">
        <v>35</v>
      </c>
      <c r="O3472" t="s">
        <v>40</v>
      </c>
      <c r="P3472" t="s">
        <v>152</v>
      </c>
      <c r="Q3472" t="s">
        <v>152</v>
      </c>
      <c r="R3472">
        <v>31</v>
      </c>
      <c r="S3472" t="s">
        <v>35</v>
      </c>
      <c r="T3472" t="str">
        <f t="shared" si="108"/>
        <v>2-week</v>
      </c>
      <c r="U3472">
        <f>VLOOKUP(T3472,[1]tablescore!$B$3:$C$8, 2,FALSE)</f>
        <v>26</v>
      </c>
      <c r="V3472" t="str">
        <f t="shared" si="109"/>
        <v>Loyal</v>
      </c>
      <c r="W3472" t="s">
        <v>77</v>
      </c>
    </row>
    <row r="3473" spans="1:23" x14ac:dyDescent="0.25">
      <c r="A3473">
        <v>3472</v>
      </c>
      <c r="B3473">
        <v>43</v>
      </c>
      <c r="C3473" t="str" cm="1">
        <f t="array" ref="C3473">_xlfn.IFS(
  AND(B3473&gt;=18, B3473&lt;=24), "18-24",
  AND(B3473&gt;=25, B3473&lt;=34), "25-34",
  AND(B3473&gt;=35, B3473&lt;=44), "35-44",
  AND(B3473&gt;=45, B3473&lt;=54), "45-54",
  B3473&gt;=55, "55+"
)</f>
        <v>35-44</v>
      </c>
      <c r="D3473" t="s">
        <v>153</v>
      </c>
      <c r="E3473" t="s">
        <v>42</v>
      </c>
      <c r="F3473" t="s">
        <v>43</v>
      </c>
      <c r="G3473">
        <v>66</v>
      </c>
      <c r="H3473" t="s">
        <v>98</v>
      </c>
      <c r="I3473" t="s">
        <v>38</v>
      </c>
      <c r="J3473" t="s">
        <v>138</v>
      </c>
      <c r="K3473" t="s">
        <v>39</v>
      </c>
      <c r="L3473">
        <v>3.1</v>
      </c>
      <c r="M3473" t="s">
        <v>152</v>
      </c>
      <c r="N3473" t="s">
        <v>35</v>
      </c>
      <c r="O3473" t="s">
        <v>76</v>
      </c>
      <c r="P3473" t="s">
        <v>152</v>
      </c>
      <c r="Q3473" t="s">
        <v>152</v>
      </c>
      <c r="R3473">
        <v>31</v>
      </c>
      <c r="S3473" t="s">
        <v>35</v>
      </c>
      <c r="T3473" t="str">
        <f t="shared" si="108"/>
        <v>2-week</v>
      </c>
      <c r="U3473">
        <f>VLOOKUP(T3473,[1]tablescore!$B$3:$C$8, 2,FALSE)</f>
        <v>26</v>
      </c>
      <c r="V3473" t="str">
        <f t="shared" si="109"/>
        <v>Loyal</v>
      </c>
      <c r="W3473" t="s">
        <v>77</v>
      </c>
    </row>
    <row r="3474" spans="1:23" x14ac:dyDescent="0.25">
      <c r="A3474">
        <v>3473</v>
      </c>
      <c r="B3474">
        <v>31</v>
      </c>
      <c r="C3474" t="str" cm="1">
        <f t="array" ref="C3474">_xlfn.IFS(
  AND(B3474&gt;=18, B3474&lt;=24), "18-24",
  AND(B3474&gt;=25, B3474&lt;=34), "25-34",
  AND(B3474&gt;=35, B3474&lt;=44), "35-44",
  AND(B3474&gt;=45, B3474&lt;=54), "45-54",
  B3474&gt;=55, "55+"
)</f>
        <v>25-34</v>
      </c>
      <c r="D3474" t="s">
        <v>153</v>
      </c>
      <c r="E3474" t="s">
        <v>20</v>
      </c>
      <c r="F3474" t="s">
        <v>21</v>
      </c>
      <c r="G3474">
        <v>42</v>
      </c>
      <c r="H3474" t="s">
        <v>142</v>
      </c>
      <c r="I3474" t="s">
        <v>38</v>
      </c>
      <c r="J3474" t="s">
        <v>53</v>
      </c>
      <c r="K3474" t="s">
        <v>54</v>
      </c>
      <c r="L3474">
        <v>4</v>
      </c>
      <c r="M3474" t="s">
        <v>152</v>
      </c>
      <c r="N3474" t="s">
        <v>34</v>
      </c>
      <c r="O3474" t="s">
        <v>40</v>
      </c>
      <c r="P3474" t="s">
        <v>152</v>
      </c>
      <c r="Q3474" t="s">
        <v>152</v>
      </c>
      <c r="R3474">
        <v>15</v>
      </c>
      <c r="S3474" t="s">
        <v>59</v>
      </c>
      <c r="T3474" t="str">
        <f t="shared" si="108"/>
        <v>Daily</v>
      </c>
      <c r="U3474">
        <f>VLOOKUP(T3474,[1]tablescore!$B$3:$C$8, 2,FALSE)</f>
        <v>30</v>
      </c>
      <c r="V3474" t="str">
        <f t="shared" si="109"/>
        <v>Highly Loyal</v>
      </c>
      <c r="W3474" t="s">
        <v>41</v>
      </c>
    </row>
    <row r="3475" spans="1:23" x14ac:dyDescent="0.25">
      <c r="A3475">
        <v>3474</v>
      </c>
      <c r="B3475">
        <v>63</v>
      </c>
      <c r="C3475" t="str" cm="1">
        <f t="array" ref="C3475">_xlfn.IFS(
  AND(B3475&gt;=18, B3475&lt;=24), "18-24",
  AND(B3475&gt;=25, B3475&lt;=34), "25-34",
  AND(B3475&gt;=35, B3475&lt;=44), "35-44",
  AND(B3475&gt;=45, B3475&lt;=54), "45-54",
  B3475&gt;=55, "55+"
)</f>
        <v>55+</v>
      </c>
      <c r="D3475" t="s">
        <v>153</v>
      </c>
      <c r="E3475" t="s">
        <v>82</v>
      </c>
      <c r="F3475" t="s">
        <v>21</v>
      </c>
      <c r="G3475">
        <v>40</v>
      </c>
      <c r="H3475" t="s">
        <v>111</v>
      </c>
      <c r="I3475" t="s">
        <v>45</v>
      </c>
      <c r="J3475" t="s">
        <v>109</v>
      </c>
      <c r="K3475" t="s">
        <v>39</v>
      </c>
      <c r="L3475">
        <v>2.5</v>
      </c>
      <c r="M3475" t="s">
        <v>152</v>
      </c>
      <c r="N3475" t="s">
        <v>27</v>
      </c>
      <c r="O3475" t="s">
        <v>28</v>
      </c>
      <c r="P3475" t="s">
        <v>152</v>
      </c>
      <c r="Q3475" t="s">
        <v>152</v>
      </c>
      <c r="R3475">
        <v>11</v>
      </c>
      <c r="S3475" t="s">
        <v>35</v>
      </c>
      <c r="T3475" t="str">
        <f t="shared" si="108"/>
        <v>Daily</v>
      </c>
      <c r="U3475">
        <f>VLOOKUP(T3475,[1]tablescore!$B$3:$C$8, 2,FALSE)</f>
        <v>30</v>
      </c>
      <c r="V3475" t="str">
        <f t="shared" si="109"/>
        <v>Highly Loyal</v>
      </c>
      <c r="W3475" t="s">
        <v>41</v>
      </c>
    </row>
    <row r="3476" spans="1:23" x14ac:dyDescent="0.25">
      <c r="A3476">
        <v>3475</v>
      </c>
      <c r="B3476">
        <v>41</v>
      </c>
      <c r="C3476" t="str" cm="1">
        <f t="array" ref="C3476">_xlfn.IFS(
  AND(B3476&gt;=18, B3476&lt;=24), "18-24",
  AND(B3476&gt;=25, B3476&lt;=34), "25-34",
  AND(B3476&gt;=35, B3476&lt;=44), "35-44",
  AND(B3476&gt;=45, B3476&lt;=54), "45-54",
  B3476&gt;=55, "55+"
)</f>
        <v>35-44</v>
      </c>
      <c r="D3476" t="s">
        <v>153</v>
      </c>
      <c r="E3476" t="s">
        <v>95</v>
      </c>
      <c r="F3476" t="s">
        <v>21</v>
      </c>
      <c r="G3476">
        <v>82</v>
      </c>
      <c r="H3476" t="s">
        <v>32</v>
      </c>
      <c r="I3476" t="s">
        <v>45</v>
      </c>
      <c r="J3476" t="s">
        <v>109</v>
      </c>
      <c r="K3476" t="s">
        <v>25</v>
      </c>
      <c r="L3476">
        <v>4.4000000000000004</v>
      </c>
      <c r="M3476" t="s">
        <v>152</v>
      </c>
      <c r="N3476" t="s">
        <v>46</v>
      </c>
      <c r="O3476" t="s">
        <v>76</v>
      </c>
      <c r="P3476" t="s">
        <v>152</v>
      </c>
      <c r="Q3476" t="s">
        <v>152</v>
      </c>
      <c r="R3476">
        <v>18</v>
      </c>
      <c r="S3476" t="s">
        <v>29</v>
      </c>
      <c r="T3476" t="str">
        <f t="shared" si="108"/>
        <v>Month</v>
      </c>
      <c r="U3476">
        <f>VLOOKUP(T3476,[1]tablescore!$B$3:$C$8, 2,FALSE)</f>
        <v>12</v>
      </c>
      <c r="V3476" t="str">
        <f t="shared" si="109"/>
        <v>Moderate</v>
      </c>
      <c r="W3476" t="s">
        <v>88</v>
      </c>
    </row>
    <row r="3477" spans="1:23" x14ac:dyDescent="0.25">
      <c r="A3477">
        <v>3476</v>
      </c>
      <c r="B3477">
        <v>48</v>
      </c>
      <c r="C3477" t="str" cm="1">
        <f t="array" ref="C3477">_xlfn.IFS(
  AND(B3477&gt;=18, B3477&lt;=24), "18-24",
  AND(B3477&gt;=25, B3477&lt;=34), "25-34",
  AND(B3477&gt;=35, B3477&lt;=44), "35-44",
  AND(B3477&gt;=45, B3477&lt;=54), "45-54",
  B3477&gt;=55, "55+"
)</f>
        <v>45-54</v>
      </c>
      <c r="D3477" t="s">
        <v>153</v>
      </c>
      <c r="E3477" t="s">
        <v>51</v>
      </c>
      <c r="F3477" t="s">
        <v>43</v>
      </c>
      <c r="G3477">
        <v>88</v>
      </c>
      <c r="H3477" t="s">
        <v>126</v>
      </c>
      <c r="I3477" t="s">
        <v>45</v>
      </c>
      <c r="J3477" t="s">
        <v>121</v>
      </c>
      <c r="K3477" t="s">
        <v>39</v>
      </c>
      <c r="L3477">
        <v>4.4000000000000004</v>
      </c>
      <c r="M3477" t="s">
        <v>152</v>
      </c>
      <c r="N3477" t="s">
        <v>59</v>
      </c>
      <c r="O3477" t="s">
        <v>28</v>
      </c>
      <c r="P3477" t="s">
        <v>152</v>
      </c>
      <c r="Q3477" t="s">
        <v>152</v>
      </c>
      <c r="R3477">
        <v>9</v>
      </c>
      <c r="S3477" t="s">
        <v>35</v>
      </c>
      <c r="T3477" t="str">
        <f t="shared" si="108"/>
        <v>Quarterly</v>
      </c>
      <c r="U3477">
        <f>VLOOKUP(T3477,[1]tablescore!$B$3:$C$8, 2,FALSE)</f>
        <v>4</v>
      </c>
      <c r="V3477" t="str">
        <f t="shared" si="109"/>
        <v>Low Loyalty</v>
      </c>
      <c r="W3477" t="s">
        <v>60</v>
      </c>
    </row>
    <row r="3478" spans="1:23" x14ac:dyDescent="0.25">
      <c r="A3478">
        <v>3477</v>
      </c>
      <c r="B3478">
        <v>68</v>
      </c>
      <c r="C3478" t="str" cm="1">
        <f t="array" ref="C3478">_xlfn.IFS(
  AND(B3478&gt;=18, B3478&lt;=24), "18-24",
  AND(B3478&gt;=25, B3478&lt;=34), "25-34",
  AND(B3478&gt;=35, B3478&lt;=44), "35-44",
  AND(B3478&gt;=45, B3478&lt;=54), "45-54",
  B3478&gt;=55, "55+"
)</f>
        <v>55+</v>
      </c>
      <c r="D3478" t="s">
        <v>153</v>
      </c>
      <c r="E3478" t="s">
        <v>132</v>
      </c>
      <c r="F3478" t="s">
        <v>43</v>
      </c>
      <c r="G3478">
        <v>99</v>
      </c>
      <c r="H3478" t="s">
        <v>126</v>
      </c>
      <c r="I3478" t="s">
        <v>92</v>
      </c>
      <c r="J3478" t="s">
        <v>121</v>
      </c>
      <c r="K3478" t="s">
        <v>54</v>
      </c>
      <c r="L3478">
        <v>3.2</v>
      </c>
      <c r="M3478" t="s">
        <v>152</v>
      </c>
      <c r="N3478" t="s">
        <v>27</v>
      </c>
      <c r="O3478" t="s">
        <v>40</v>
      </c>
      <c r="P3478" t="s">
        <v>152</v>
      </c>
      <c r="Q3478" t="s">
        <v>152</v>
      </c>
      <c r="R3478">
        <v>11</v>
      </c>
      <c r="S3478" t="s">
        <v>35</v>
      </c>
      <c r="T3478" t="str">
        <f t="shared" si="108"/>
        <v>Daily</v>
      </c>
      <c r="U3478">
        <f>VLOOKUP(T3478,[1]tablescore!$B$3:$C$8, 2,FALSE)</f>
        <v>30</v>
      </c>
      <c r="V3478" t="str">
        <f t="shared" si="109"/>
        <v>Highly Loyal</v>
      </c>
      <c r="W3478" t="s">
        <v>41</v>
      </c>
    </row>
    <row r="3479" spans="1:23" x14ac:dyDescent="0.25">
      <c r="A3479">
        <v>3478</v>
      </c>
      <c r="B3479">
        <v>53</v>
      </c>
      <c r="C3479" t="str" cm="1">
        <f t="array" ref="C3479">_xlfn.IFS(
  AND(B3479&gt;=18, B3479&lt;=24), "18-24",
  AND(B3479&gt;=25, B3479&lt;=34), "25-34",
  AND(B3479&gt;=35, B3479&lt;=44), "35-44",
  AND(B3479&gt;=45, B3479&lt;=54), "45-54",
  B3479&gt;=55, "55+"
)</f>
        <v>45-54</v>
      </c>
      <c r="D3479" t="s">
        <v>153</v>
      </c>
      <c r="E3479" t="s">
        <v>68</v>
      </c>
      <c r="F3479" t="s">
        <v>69</v>
      </c>
      <c r="G3479">
        <v>85</v>
      </c>
      <c r="H3479" t="s">
        <v>22</v>
      </c>
      <c r="I3479" t="s">
        <v>38</v>
      </c>
      <c r="J3479" t="s">
        <v>86</v>
      </c>
      <c r="K3479" t="s">
        <v>39</v>
      </c>
      <c r="L3479">
        <v>3.8</v>
      </c>
      <c r="M3479" t="s">
        <v>152</v>
      </c>
      <c r="N3479" t="s">
        <v>46</v>
      </c>
      <c r="O3479" t="s">
        <v>76</v>
      </c>
      <c r="P3479" t="s">
        <v>152</v>
      </c>
      <c r="Q3479" t="s">
        <v>152</v>
      </c>
      <c r="R3479">
        <v>38</v>
      </c>
      <c r="S3479" t="s">
        <v>59</v>
      </c>
      <c r="T3479" t="str">
        <f t="shared" si="108"/>
        <v>2-week</v>
      </c>
      <c r="U3479">
        <f>VLOOKUP(T3479,[1]tablescore!$B$3:$C$8, 2,FALSE)</f>
        <v>26</v>
      </c>
      <c r="V3479" t="str">
        <f t="shared" si="109"/>
        <v>Loyal</v>
      </c>
      <c r="W3479" t="s">
        <v>77</v>
      </c>
    </row>
    <row r="3480" spans="1:23" x14ac:dyDescent="0.25">
      <c r="A3480">
        <v>3479</v>
      </c>
      <c r="B3480">
        <v>36</v>
      </c>
      <c r="C3480" t="str" cm="1">
        <f t="array" ref="C3480">_xlfn.IFS(
  AND(B3480&gt;=18, B3480&lt;=24), "18-24",
  AND(B3480&gt;=25, B3480&lt;=34), "25-34",
  AND(B3480&gt;=35, B3480&lt;=44), "35-44",
  AND(B3480&gt;=45, B3480&lt;=54), "45-54",
  B3480&gt;=55, "55+"
)</f>
        <v>35-44</v>
      </c>
      <c r="D3480" t="s">
        <v>153</v>
      </c>
      <c r="E3480" t="s">
        <v>68</v>
      </c>
      <c r="F3480" t="s">
        <v>69</v>
      </c>
      <c r="G3480">
        <v>57</v>
      </c>
      <c r="H3480" t="s">
        <v>117</v>
      </c>
      <c r="I3480" t="s">
        <v>45</v>
      </c>
      <c r="J3480" t="s">
        <v>147</v>
      </c>
      <c r="K3480" t="s">
        <v>58</v>
      </c>
      <c r="L3480">
        <v>4.5999999999999996</v>
      </c>
      <c r="M3480" t="s">
        <v>152</v>
      </c>
      <c r="N3480" t="s">
        <v>46</v>
      </c>
      <c r="O3480" t="s">
        <v>76</v>
      </c>
      <c r="P3480" t="s">
        <v>152</v>
      </c>
      <c r="Q3480" t="s">
        <v>152</v>
      </c>
      <c r="R3480">
        <v>42</v>
      </c>
      <c r="S3480" t="s">
        <v>46</v>
      </c>
      <c r="T3480" t="str">
        <f t="shared" si="108"/>
        <v>Quarterly</v>
      </c>
      <c r="U3480">
        <f>VLOOKUP(T3480,[1]tablescore!$B$3:$C$8, 2,FALSE)</f>
        <v>4</v>
      </c>
      <c r="V3480" t="str">
        <f t="shared" si="109"/>
        <v>Low Loyalty</v>
      </c>
      <c r="W3480" t="s">
        <v>60</v>
      </c>
    </row>
    <row r="3481" spans="1:23" x14ac:dyDescent="0.25">
      <c r="A3481">
        <v>3480</v>
      </c>
      <c r="B3481">
        <v>46</v>
      </c>
      <c r="C3481" t="str" cm="1">
        <f t="array" ref="C3481">_xlfn.IFS(
  AND(B3481&gt;=18, B3481&lt;=24), "18-24",
  AND(B3481&gt;=25, B3481&lt;=34), "25-34",
  AND(B3481&gt;=35, B3481&lt;=44), "35-44",
  AND(B3481&gt;=45, B3481&lt;=54), "45-54",
  B3481&gt;=55, "55+"
)</f>
        <v>45-54</v>
      </c>
      <c r="D3481" t="s">
        <v>153</v>
      </c>
      <c r="E3481" t="s">
        <v>31</v>
      </c>
      <c r="F3481" t="s">
        <v>21</v>
      </c>
      <c r="G3481">
        <v>56</v>
      </c>
      <c r="H3481" t="s">
        <v>85</v>
      </c>
      <c r="I3481" t="s">
        <v>38</v>
      </c>
      <c r="J3481" t="s">
        <v>121</v>
      </c>
      <c r="K3481" t="s">
        <v>54</v>
      </c>
      <c r="L3481">
        <v>4.9000000000000004</v>
      </c>
      <c r="M3481" t="s">
        <v>152</v>
      </c>
      <c r="N3481" t="s">
        <v>46</v>
      </c>
      <c r="O3481" t="s">
        <v>55</v>
      </c>
      <c r="P3481" t="s">
        <v>152</v>
      </c>
      <c r="Q3481" t="s">
        <v>152</v>
      </c>
      <c r="R3481">
        <v>41</v>
      </c>
      <c r="S3481" t="s">
        <v>35</v>
      </c>
      <c r="T3481" t="str">
        <f t="shared" si="108"/>
        <v>Month</v>
      </c>
      <c r="U3481">
        <f>VLOOKUP(T3481,[1]tablescore!$B$3:$C$8, 2,FALSE)</f>
        <v>12</v>
      </c>
      <c r="V3481" t="str">
        <f t="shared" si="109"/>
        <v>Moderate</v>
      </c>
      <c r="W3481" t="s">
        <v>88</v>
      </c>
    </row>
    <row r="3482" spans="1:23" x14ac:dyDescent="0.25">
      <c r="A3482">
        <v>3481</v>
      </c>
      <c r="B3482">
        <v>21</v>
      </c>
      <c r="C3482" t="str" cm="1">
        <f t="array" ref="C3482">_xlfn.IFS(
  AND(B3482&gt;=18, B3482&lt;=24), "18-24",
  AND(B3482&gt;=25, B3482&lt;=34), "25-34",
  AND(B3482&gt;=35, B3482&lt;=44), "35-44",
  AND(B3482&gt;=45, B3482&lt;=54), "45-54",
  B3482&gt;=55, "55+"
)</f>
        <v>18-24</v>
      </c>
      <c r="D3482" t="s">
        <v>153</v>
      </c>
      <c r="E3482" t="s">
        <v>42</v>
      </c>
      <c r="F3482" t="s">
        <v>43</v>
      </c>
      <c r="G3482">
        <v>79</v>
      </c>
      <c r="H3482" t="s">
        <v>83</v>
      </c>
      <c r="I3482" t="s">
        <v>23</v>
      </c>
      <c r="J3482" t="s">
        <v>100</v>
      </c>
      <c r="K3482" t="s">
        <v>25</v>
      </c>
      <c r="L3482">
        <v>3.5</v>
      </c>
      <c r="M3482" t="s">
        <v>152</v>
      </c>
      <c r="N3482" t="s">
        <v>35</v>
      </c>
      <c r="O3482" t="s">
        <v>40</v>
      </c>
      <c r="P3482" t="s">
        <v>152</v>
      </c>
      <c r="Q3482" t="s">
        <v>152</v>
      </c>
      <c r="R3482">
        <v>45</v>
      </c>
      <c r="S3482" t="s">
        <v>46</v>
      </c>
      <c r="T3482" t="str">
        <f t="shared" si="108"/>
        <v>Month</v>
      </c>
      <c r="U3482">
        <f>VLOOKUP(T3482,[1]tablescore!$B$3:$C$8, 2,FALSE)</f>
        <v>12</v>
      </c>
      <c r="V3482" t="str">
        <f t="shared" si="109"/>
        <v>Moderate</v>
      </c>
      <c r="W3482" t="s">
        <v>88</v>
      </c>
    </row>
    <row r="3483" spans="1:23" x14ac:dyDescent="0.25">
      <c r="A3483">
        <v>3482</v>
      </c>
      <c r="B3483">
        <v>52</v>
      </c>
      <c r="C3483" t="str" cm="1">
        <f t="array" ref="C3483">_xlfn.IFS(
  AND(B3483&gt;=18, B3483&lt;=24), "18-24",
  AND(B3483&gt;=25, B3483&lt;=34), "25-34",
  AND(B3483&gt;=35, B3483&lt;=44), "35-44",
  AND(B3483&gt;=45, B3483&lt;=54), "45-54",
  B3483&gt;=55, "55+"
)</f>
        <v>45-54</v>
      </c>
      <c r="D3483" t="s">
        <v>153</v>
      </c>
      <c r="E3483" t="s">
        <v>131</v>
      </c>
      <c r="F3483" t="s">
        <v>21</v>
      </c>
      <c r="G3483">
        <v>67</v>
      </c>
      <c r="H3483" t="s">
        <v>124</v>
      </c>
      <c r="I3483" t="s">
        <v>38</v>
      </c>
      <c r="J3483" t="s">
        <v>33</v>
      </c>
      <c r="K3483" t="s">
        <v>54</v>
      </c>
      <c r="L3483">
        <v>3.4</v>
      </c>
      <c r="M3483" t="s">
        <v>152</v>
      </c>
      <c r="N3483" t="s">
        <v>27</v>
      </c>
      <c r="O3483" t="s">
        <v>76</v>
      </c>
      <c r="P3483" t="s">
        <v>152</v>
      </c>
      <c r="Q3483" t="s">
        <v>152</v>
      </c>
      <c r="R3483">
        <v>41</v>
      </c>
      <c r="S3483" t="s">
        <v>59</v>
      </c>
      <c r="T3483" t="str">
        <f t="shared" si="108"/>
        <v>2-week</v>
      </c>
      <c r="U3483">
        <f>VLOOKUP(T3483,[1]tablescore!$B$3:$C$8, 2,FALSE)</f>
        <v>26</v>
      </c>
      <c r="V3483" t="str">
        <f t="shared" si="109"/>
        <v>Loyal</v>
      </c>
      <c r="W3483" t="s">
        <v>77</v>
      </c>
    </row>
    <row r="3484" spans="1:23" x14ac:dyDescent="0.25">
      <c r="A3484">
        <v>3483</v>
      </c>
      <c r="B3484">
        <v>66</v>
      </c>
      <c r="C3484" t="str" cm="1">
        <f t="array" ref="C3484">_xlfn.IFS(
  AND(B3484&gt;=18, B3484&lt;=24), "18-24",
  AND(B3484&gt;=25, B3484&lt;=34), "25-34",
  AND(B3484&gt;=35, B3484&lt;=44), "35-44",
  AND(B3484&gt;=45, B3484&lt;=54), "45-54",
  B3484&gt;=55, "55+"
)</f>
        <v>55+</v>
      </c>
      <c r="D3484" t="s">
        <v>153</v>
      </c>
      <c r="E3484" t="s">
        <v>127</v>
      </c>
      <c r="F3484" t="s">
        <v>69</v>
      </c>
      <c r="G3484">
        <v>61</v>
      </c>
      <c r="H3484" t="s">
        <v>78</v>
      </c>
      <c r="I3484" t="s">
        <v>45</v>
      </c>
      <c r="J3484" t="s">
        <v>81</v>
      </c>
      <c r="K3484" t="s">
        <v>25</v>
      </c>
      <c r="L3484">
        <v>3.9</v>
      </c>
      <c r="M3484" t="s">
        <v>152</v>
      </c>
      <c r="N3484" t="s">
        <v>29</v>
      </c>
      <c r="O3484" t="s">
        <v>47</v>
      </c>
      <c r="P3484" t="s">
        <v>152</v>
      </c>
      <c r="Q3484" t="s">
        <v>152</v>
      </c>
      <c r="R3484">
        <v>35</v>
      </c>
      <c r="S3484" t="s">
        <v>59</v>
      </c>
      <c r="T3484" t="str">
        <f t="shared" si="108"/>
        <v>Daily</v>
      </c>
      <c r="U3484">
        <f>VLOOKUP(T3484,[1]tablescore!$B$3:$C$8, 2,FALSE)</f>
        <v>30</v>
      </c>
      <c r="V3484" t="str">
        <f t="shared" si="109"/>
        <v>Highly Loyal</v>
      </c>
      <c r="W3484" t="s">
        <v>41</v>
      </c>
    </row>
    <row r="3485" spans="1:23" x14ac:dyDescent="0.25">
      <c r="A3485">
        <v>3484</v>
      </c>
      <c r="B3485">
        <v>19</v>
      </c>
      <c r="C3485" t="str" cm="1">
        <f t="array" ref="C3485">_xlfn.IFS(
  AND(B3485&gt;=18, B3485&lt;=24), "18-24",
  AND(B3485&gt;=25, B3485&lt;=34), "25-34",
  AND(B3485&gt;=35, B3485&lt;=44), "35-44",
  AND(B3485&gt;=45, B3485&lt;=54), "45-54",
  B3485&gt;=55, "55+"
)</f>
        <v>18-24</v>
      </c>
      <c r="D3485" t="s">
        <v>153</v>
      </c>
      <c r="E3485" t="s">
        <v>104</v>
      </c>
      <c r="F3485" t="s">
        <v>21</v>
      </c>
      <c r="G3485">
        <v>37</v>
      </c>
      <c r="H3485" t="s">
        <v>105</v>
      </c>
      <c r="I3485" t="s">
        <v>23</v>
      </c>
      <c r="J3485" t="s">
        <v>53</v>
      </c>
      <c r="K3485" t="s">
        <v>25</v>
      </c>
      <c r="L3485">
        <v>3.9</v>
      </c>
      <c r="M3485" t="s">
        <v>152</v>
      </c>
      <c r="N3485" t="s">
        <v>29</v>
      </c>
      <c r="O3485" t="s">
        <v>28</v>
      </c>
      <c r="P3485" t="s">
        <v>152</v>
      </c>
      <c r="Q3485" t="s">
        <v>152</v>
      </c>
      <c r="R3485">
        <v>21</v>
      </c>
      <c r="S3485" t="s">
        <v>27</v>
      </c>
      <c r="T3485" t="str">
        <f t="shared" si="108"/>
        <v>Quarterly</v>
      </c>
      <c r="U3485">
        <f>VLOOKUP(T3485,[1]tablescore!$B$3:$C$8, 2,FALSE)</f>
        <v>4</v>
      </c>
      <c r="V3485" t="str">
        <f t="shared" si="109"/>
        <v>Low Loyalty</v>
      </c>
      <c r="W3485" t="s">
        <v>97</v>
      </c>
    </row>
    <row r="3486" spans="1:23" x14ac:dyDescent="0.25">
      <c r="A3486">
        <v>3485</v>
      </c>
      <c r="B3486">
        <v>44</v>
      </c>
      <c r="C3486" t="str" cm="1">
        <f t="array" ref="C3486">_xlfn.IFS(
  AND(B3486&gt;=18, B3486&lt;=24), "18-24",
  AND(B3486&gt;=25, B3486&lt;=34), "25-34",
  AND(B3486&gt;=35, B3486&lt;=44), "35-44",
  AND(B3486&gt;=45, B3486&lt;=54), "45-54",
  B3486&gt;=55, "55+"
)</f>
        <v>35-44</v>
      </c>
      <c r="D3486" t="s">
        <v>153</v>
      </c>
      <c r="E3486" t="s">
        <v>82</v>
      </c>
      <c r="F3486" t="s">
        <v>21</v>
      </c>
      <c r="G3486">
        <v>75</v>
      </c>
      <c r="H3486" t="s">
        <v>115</v>
      </c>
      <c r="I3486" t="s">
        <v>23</v>
      </c>
      <c r="J3486" t="s">
        <v>24</v>
      </c>
      <c r="K3486" t="s">
        <v>58</v>
      </c>
      <c r="L3486">
        <v>4.2</v>
      </c>
      <c r="M3486" t="s">
        <v>152</v>
      </c>
      <c r="N3486" t="s">
        <v>59</v>
      </c>
      <c r="O3486" t="s">
        <v>40</v>
      </c>
      <c r="P3486" t="s">
        <v>152</v>
      </c>
      <c r="Q3486" t="s">
        <v>152</v>
      </c>
      <c r="R3486">
        <v>13</v>
      </c>
      <c r="S3486" t="s">
        <v>27</v>
      </c>
      <c r="T3486" t="str">
        <f t="shared" si="108"/>
        <v>2-week</v>
      </c>
      <c r="U3486">
        <f>VLOOKUP(T3486,[1]tablescore!$B$3:$C$8, 2,FALSE)</f>
        <v>26</v>
      </c>
      <c r="V3486" t="str">
        <f t="shared" si="109"/>
        <v>Loyal</v>
      </c>
      <c r="W3486" t="s">
        <v>77</v>
      </c>
    </row>
    <row r="3487" spans="1:23" x14ac:dyDescent="0.25">
      <c r="A3487">
        <v>3486</v>
      </c>
      <c r="B3487">
        <v>50</v>
      </c>
      <c r="C3487" t="str" cm="1">
        <f t="array" ref="C3487">_xlfn.IFS(
  AND(B3487&gt;=18, B3487&lt;=24), "18-24",
  AND(B3487&gt;=25, B3487&lt;=34), "25-34",
  AND(B3487&gt;=35, B3487&lt;=44), "35-44",
  AND(B3487&gt;=45, B3487&lt;=54), "45-54",
  B3487&gt;=55, "55+"
)</f>
        <v>45-54</v>
      </c>
      <c r="D3487" t="s">
        <v>153</v>
      </c>
      <c r="E3487" t="s">
        <v>56</v>
      </c>
      <c r="F3487" t="s">
        <v>21</v>
      </c>
      <c r="G3487">
        <v>21</v>
      </c>
      <c r="H3487" t="s">
        <v>37</v>
      </c>
      <c r="I3487" t="s">
        <v>92</v>
      </c>
      <c r="J3487" t="s">
        <v>110</v>
      </c>
      <c r="K3487" t="s">
        <v>25</v>
      </c>
      <c r="L3487">
        <v>3.4</v>
      </c>
      <c r="M3487" t="s">
        <v>152</v>
      </c>
      <c r="N3487" t="s">
        <v>59</v>
      </c>
      <c r="O3487" t="s">
        <v>55</v>
      </c>
      <c r="P3487" t="s">
        <v>152</v>
      </c>
      <c r="Q3487" t="s">
        <v>152</v>
      </c>
      <c r="R3487">
        <v>23</v>
      </c>
      <c r="S3487" t="s">
        <v>59</v>
      </c>
      <c r="T3487" t="str">
        <f t="shared" si="108"/>
        <v>2-week</v>
      </c>
      <c r="U3487">
        <f>VLOOKUP(T3487,[1]tablescore!$B$3:$C$8, 2,FALSE)</f>
        <v>26</v>
      </c>
      <c r="V3487" t="str">
        <f t="shared" si="109"/>
        <v>Loyal</v>
      </c>
      <c r="W3487" t="s">
        <v>30</v>
      </c>
    </row>
    <row r="3488" spans="1:23" x14ac:dyDescent="0.25">
      <c r="A3488">
        <v>3487</v>
      </c>
      <c r="B3488">
        <v>51</v>
      </c>
      <c r="C3488" t="str" cm="1">
        <f t="array" ref="C3488">_xlfn.IFS(
  AND(B3488&gt;=18, B3488&lt;=24), "18-24",
  AND(B3488&gt;=25, B3488&lt;=34), "25-34",
  AND(B3488&gt;=35, B3488&lt;=44), "35-44",
  AND(B3488&gt;=45, B3488&lt;=54), "45-54",
  B3488&gt;=55, "55+"
)</f>
        <v>45-54</v>
      </c>
      <c r="D3488" t="s">
        <v>153</v>
      </c>
      <c r="E3488" t="s">
        <v>61</v>
      </c>
      <c r="F3488" t="s">
        <v>21</v>
      </c>
      <c r="G3488">
        <v>89</v>
      </c>
      <c r="H3488" t="s">
        <v>98</v>
      </c>
      <c r="I3488" t="s">
        <v>23</v>
      </c>
      <c r="J3488" t="s">
        <v>63</v>
      </c>
      <c r="K3488" t="s">
        <v>25</v>
      </c>
      <c r="L3488">
        <v>4.9000000000000004</v>
      </c>
      <c r="M3488" t="s">
        <v>152</v>
      </c>
      <c r="N3488" t="s">
        <v>59</v>
      </c>
      <c r="O3488" t="s">
        <v>55</v>
      </c>
      <c r="P3488" t="s">
        <v>152</v>
      </c>
      <c r="Q3488" t="s">
        <v>152</v>
      </c>
      <c r="R3488">
        <v>6</v>
      </c>
      <c r="S3488" t="s">
        <v>46</v>
      </c>
      <c r="T3488" t="str">
        <f t="shared" si="108"/>
        <v>Daily</v>
      </c>
      <c r="U3488">
        <f>VLOOKUP(T3488,[1]tablescore!$B$3:$C$8, 2,FALSE)</f>
        <v>30</v>
      </c>
      <c r="V3488" t="str">
        <f t="shared" si="109"/>
        <v>Highly Loyal</v>
      </c>
      <c r="W3488" t="s">
        <v>41</v>
      </c>
    </row>
    <row r="3489" spans="1:23" x14ac:dyDescent="0.25">
      <c r="A3489">
        <v>3488</v>
      </c>
      <c r="B3489">
        <v>25</v>
      </c>
      <c r="C3489" t="str" cm="1">
        <f t="array" ref="C3489">_xlfn.IFS(
  AND(B3489&gt;=18, B3489&lt;=24), "18-24",
  AND(B3489&gt;=25, B3489&lt;=34), "25-34",
  AND(B3489&gt;=35, B3489&lt;=44), "35-44",
  AND(B3489&gt;=45, B3489&lt;=54), "45-54",
  B3489&gt;=55, "55+"
)</f>
        <v>25-34</v>
      </c>
      <c r="D3489" t="s">
        <v>153</v>
      </c>
      <c r="E3489" t="s">
        <v>42</v>
      </c>
      <c r="F3489" t="s">
        <v>43</v>
      </c>
      <c r="G3489">
        <v>24</v>
      </c>
      <c r="H3489" t="s">
        <v>66</v>
      </c>
      <c r="I3489" t="s">
        <v>23</v>
      </c>
      <c r="J3489" t="s">
        <v>118</v>
      </c>
      <c r="K3489" t="s">
        <v>58</v>
      </c>
      <c r="L3489">
        <v>2.9</v>
      </c>
      <c r="M3489" t="s">
        <v>152</v>
      </c>
      <c r="N3489" t="s">
        <v>59</v>
      </c>
      <c r="O3489" t="s">
        <v>76</v>
      </c>
      <c r="P3489" t="s">
        <v>152</v>
      </c>
      <c r="Q3489" t="s">
        <v>152</v>
      </c>
      <c r="R3489">
        <v>39</v>
      </c>
      <c r="S3489" t="s">
        <v>34</v>
      </c>
      <c r="T3489" t="str">
        <f t="shared" si="108"/>
        <v>Annually</v>
      </c>
      <c r="U3489">
        <f>VLOOKUP(T3489,[1]tablescore!$B$3:$C$8, 2,FALSE)</f>
        <v>1</v>
      </c>
      <c r="V3489" t="str">
        <f t="shared" si="109"/>
        <v>Low Loyalty</v>
      </c>
      <c r="W3489" t="s">
        <v>50</v>
      </c>
    </row>
    <row r="3490" spans="1:23" x14ac:dyDescent="0.25">
      <c r="A3490">
        <v>3489</v>
      </c>
      <c r="B3490">
        <v>62</v>
      </c>
      <c r="C3490" t="str" cm="1">
        <f t="array" ref="C3490">_xlfn.IFS(
  AND(B3490&gt;=18, B3490&lt;=24), "18-24",
  AND(B3490&gt;=25, B3490&lt;=34), "25-34",
  AND(B3490&gt;=35, B3490&lt;=44), "35-44",
  AND(B3490&gt;=45, B3490&lt;=54), "45-54",
  B3490&gt;=55, "55+"
)</f>
        <v>55+</v>
      </c>
      <c r="D3490" t="s">
        <v>153</v>
      </c>
      <c r="E3490" t="s">
        <v>31</v>
      </c>
      <c r="F3490" t="s">
        <v>21</v>
      </c>
      <c r="G3490">
        <v>27</v>
      </c>
      <c r="H3490" t="s">
        <v>80</v>
      </c>
      <c r="I3490" t="s">
        <v>92</v>
      </c>
      <c r="J3490" t="s">
        <v>86</v>
      </c>
      <c r="K3490" t="s">
        <v>39</v>
      </c>
      <c r="L3490">
        <v>4.9000000000000004</v>
      </c>
      <c r="M3490" t="s">
        <v>152</v>
      </c>
      <c r="N3490" t="s">
        <v>35</v>
      </c>
      <c r="O3490" t="s">
        <v>76</v>
      </c>
      <c r="P3490" t="s">
        <v>152</v>
      </c>
      <c r="Q3490" t="s">
        <v>152</v>
      </c>
      <c r="R3490">
        <v>7</v>
      </c>
      <c r="S3490" t="s">
        <v>35</v>
      </c>
      <c r="T3490" t="str">
        <f t="shared" si="108"/>
        <v>Quarterly</v>
      </c>
      <c r="U3490">
        <f>VLOOKUP(T3490,[1]tablescore!$B$3:$C$8, 2,FALSE)</f>
        <v>4</v>
      </c>
      <c r="V3490" t="str">
        <f t="shared" si="109"/>
        <v>Low Loyalty</v>
      </c>
      <c r="W3490" t="s">
        <v>60</v>
      </c>
    </row>
    <row r="3491" spans="1:23" x14ac:dyDescent="0.25">
      <c r="A3491">
        <v>3490</v>
      </c>
      <c r="B3491">
        <v>48</v>
      </c>
      <c r="C3491" t="str" cm="1">
        <f t="array" ref="C3491">_xlfn.IFS(
  AND(B3491&gt;=18, B3491&lt;=24), "18-24",
  AND(B3491&gt;=25, B3491&lt;=34), "25-34",
  AND(B3491&gt;=35, B3491&lt;=44), "35-44",
  AND(B3491&gt;=45, B3491&lt;=54), "45-54",
  B3491&gt;=55, "55+"
)</f>
        <v>45-54</v>
      </c>
      <c r="D3491" t="s">
        <v>153</v>
      </c>
      <c r="E3491" t="s">
        <v>82</v>
      </c>
      <c r="F3491" t="s">
        <v>21</v>
      </c>
      <c r="G3491">
        <v>26</v>
      </c>
      <c r="H3491" t="s">
        <v>144</v>
      </c>
      <c r="I3491" t="s">
        <v>23</v>
      </c>
      <c r="J3491" t="s">
        <v>94</v>
      </c>
      <c r="K3491" t="s">
        <v>54</v>
      </c>
      <c r="L3491">
        <v>4.5999999999999996</v>
      </c>
      <c r="M3491" t="s">
        <v>152</v>
      </c>
      <c r="N3491" t="s">
        <v>34</v>
      </c>
      <c r="O3491" t="s">
        <v>72</v>
      </c>
      <c r="P3491" t="s">
        <v>152</v>
      </c>
      <c r="Q3491" t="s">
        <v>152</v>
      </c>
      <c r="R3491">
        <v>32</v>
      </c>
      <c r="S3491" t="s">
        <v>46</v>
      </c>
      <c r="T3491" t="str">
        <f t="shared" si="108"/>
        <v>Quarterly</v>
      </c>
      <c r="U3491">
        <f>VLOOKUP(T3491,[1]tablescore!$B$3:$C$8, 2,FALSE)</f>
        <v>4</v>
      </c>
      <c r="V3491" t="str">
        <f t="shared" si="109"/>
        <v>Low Loyalty</v>
      </c>
      <c r="W3491" t="s">
        <v>97</v>
      </c>
    </row>
    <row r="3492" spans="1:23" x14ac:dyDescent="0.25">
      <c r="A3492">
        <v>3491</v>
      </c>
      <c r="B3492">
        <v>62</v>
      </c>
      <c r="C3492" t="str" cm="1">
        <f t="array" ref="C3492">_xlfn.IFS(
  AND(B3492&gt;=18, B3492&lt;=24), "18-24",
  AND(B3492&gt;=25, B3492&lt;=34), "25-34",
  AND(B3492&gt;=35, B3492&lt;=44), "35-44",
  AND(B3492&gt;=45, B3492&lt;=54), "45-54",
  B3492&gt;=55, "55+"
)</f>
        <v>55+</v>
      </c>
      <c r="D3492" t="s">
        <v>153</v>
      </c>
      <c r="E3492" t="s">
        <v>132</v>
      </c>
      <c r="F3492" t="s">
        <v>43</v>
      </c>
      <c r="G3492">
        <v>82</v>
      </c>
      <c r="H3492" t="s">
        <v>48</v>
      </c>
      <c r="I3492" t="s">
        <v>45</v>
      </c>
      <c r="J3492" t="s">
        <v>84</v>
      </c>
      <c r="K3492" t="s">
        <v>39</v>
      </c>
      <c r="L3492">
        <v>3.6</v>
      </c>
      <c r="M3492" t="s">
        <v>152</v>
      </c>
      <c r="N3492" t="s">
        <v>29</v>
      </c>
      <c r="O3492" t="s">
        <v>76</v>
      </c>
      <c r="P3492" t="s">
        <v>152</v>
      </c>
      <c r="Q3492" t="s">
        <v>152</v>
      </c>
      <c r="R3492">
        <v>43</v>
      </c>
      <c r="S3492" t="s">
        <v>27</v>
      </c>
      <c r="T3492" t="str">
        <f t="shared" si="108"/>
        <v>Quarterly</v>
      </c>
      <c r="U3492">
        <f>VLOOKUP(T3492,[1]tablescore!$B$3:$C$8, 2,FALSE)</f>
        <v>4</v>
      </c>
      <c r="V3492" t="str">
        <f t="shared" si="109"/>
        <v>Low Loyalty</v>
      </c>
      <c r="W3492" t="s">
        <v>60</v>
      </c>
    </row>
    <row r="3493" spans="1:23" x14ac:dyDescent="0.25">
      <c r="A3493">
        <v>3492</v>
      </c>
      <c r="B3493">
        <v>22</v>
      </c>
      <c r="C3493" t="str" cm="1">
        <f t="array" ref="C3493">_xlfn.IFS(
  AND(B3493&gt;=18, B3493&lt;=24), "18-24",
  AND(B3493&gt;=25, B3493&lt;=34), "25-34",
  AND(B3493&gt;=35, B3493&lt;=44), "35-44",
  AND(B3493&gt;=45, B3493&lt;=54), "45-54",
  B3493&gt;=55, "55+"
)</f>
        <v>18-24</v>
      </c>
      <c r="D3493" t="s">
        <v>153</v>
      </c>
      <c r="E3493" t="s">
        <v>95</v>
      </c>
      <c r="F3493" t="s">
        <v>21</v>
      </c>
      <c r="G3493">
        <v>28</v>
      </c>
      <c r="H3493" t="s">
        <v>32</v>
      </c>
      <c r="I3493" t="s">
        <v>45</v>
      </c>
      <c r="J3493" t="s">
        <v>121</v>
      </c>
      <c r="K3493" t="s">
        <v>25</v>
      </c>
      <c r="L3493">
        <v>4.3</v>
      </c>
      <c r="M3493" t="s">
        <v>152</v>
      </c>
      <c r="N3493" t="s">
        <v>34</v>
      </c>
      <c r="O3493" t="s">
        <v>28</v>
      </c>
      <c r="P3493" t="s">
        <v>152</v>
      </c>
      <c r="Q3493" t="s">
        <v>152</v>
      </c>
      <c r="R3493">
        <v>15</v>
      </c>
      <c r="S3493" t="s">
        <v>35</v>
      </c>
      <c r="T3493" t="str">
        <f t="shared" si="108"/>
        <v>Month</v>
      </c>
      <c r="U3493">
        <f>VLOOKUP(T3493,[1]tablescore!$B$3:$C$8, 2,FALSE)</f>
        <v>12</v>
      </c>
      <c r="V3493" t="str">
        <f t="shared" si="109"/>
        <v>Moderate</v>
      </c>
      <c r="W3493" t="s">
        <v>88</v>
      </c>
    </row>
    <row r="3494" spans="1:23" x14ac:dyDescent="0.25">
      <c r="A3494">
        <v>3493</v>
      </c>
      <c r="B3494">
        <v>48</v>
      </c>
      <c r="C3494" t="str" cm="1">
        <f t="array" ref="C3494">_xlfn.IFS(
  AND(B3494&gt;=18, B3494&lt;=24), "18-24",
  AND(B3494&gt;=25, B3494&lt;=34), "25-34",
  AND(B3494&gt;=35, B3494&lt;=44), "35-44",
  AND(B3494&gt;=45, B3494&lt;=54), "45-54",
  B3494&gt;=55, "55+"
)</f>
        <v>45-54</v>
      </c>
      <c r="D3494" t="s">
        <v>153</v>
      </c>
      <c r="E3494" t="s">
        <v>127</v>
      </c>
      <c r="F3494" t="s">
        <v>69</v>
      </c>
      <c r="G3494">
        <v>65</v>
      </c>
      <c r="H3494" t="s">
        <v>130</v>
      </c>
      <c r="I3494" t="s">
        <v>45</v>
      </c>
      <c r="J3494" t="s">
        <v>49</v>
      </c>
      <c r="K3494" t="s">
        <v>58</v>
      </c>
      <c r="L3494">
        <v>4.5999999999999996</v>
      </c>
      <c r="M3494" t="s">
        <v>152</v>
      </c>
      <c r="N3494" t="s">
        <v>46</v>
      </c>
      <c r="O3494" t="s">
        <v>55</v>
      </c>
      <c r="P3494" t="s">
        <v>152</v>
      </c>
      <c r="Q3494" t="s">
        <v>152</v>
      </c>
      <c r="R3494">
        <v>48</v>
      </c>
      <c r="S3494" t="s">
        <v>34</v>
      </c>
      <c r="T3494" t="str">
        <f t="shared" si="108"/>
        <v>Annually</v>
      </c>
      <c r="U3494">
        <f>VLOOKUP(T3494,[1]tablescore!$B$3:$C$8, 2,FALSE)</f>
        <v>1</v>
      </c>
      <c r="V3494" t="str">
        <f t="shared" si="109"/>
        <v>Low Loyalty</v>
      </c>
      <c r="W3494" t="s">
        <v>50</v>
      </c>
    </row>
    <row r="3495" spans="1:23" x14ac:dyDescent="0.25">
      <c r="A3495">
        <v>3494</v>
      </c>
      <c r="B3495">
        <v>48</v>
      </c>
      <c r="C3495" t="str" cm="1">
        <f t="array" ref="C3495">_xlfn.IFS(
  AND(B3495&gt;=18, B3495&lt;=24), "18-24",
  AND(B3495&gt;=25, B3495&lt;=34), "25-34",
  AND(B3495&gt;=35, B3495&lt;=44), "35-44",
  AND(B3495&gt;=45, B3495&lt;=54), "45-54",
  B3495&gt;=55, "55+"
)</f>
        <v>45-54</v>
      </c>
      <c r="D3495" t="s">
        <v>153</v>
      </c>
      <c r="E3495" t="s">
        <v>95</v>
      </c>
      <c r="F3495" t="s">
        <v>21</v>
      </c>
      <c r="G3495">
        <v>82</v>
      </c>
      <c r="H3495" t="s">
        <v>123</v>
      </c>
      <c r="I3495" t="s">
        <v>92</v>
      </c>
      <c r="J3495" t="s">
        <v>94</v>
      </c>
      <c r="K3495" t="s">
        <v>25</v>
      </c>
      <c r="L3495">
        <v>4.7</v>
      </c>
      <c r="M3495" t="s">
        <v>152</v>
      </c>
      <c r="N3495" t="s">
        <v>35</v>
      </c>
      <c r="O3495" t="s">
        <v>76</v>
      </c>
      <c r="P3495" t="s">
        <v>152</v>
      </c>
      <c r="Q3495" t="s">
        <v>152</v>
      </c>
      <c r="R3495">
        <v>35</v>
      </c>
      <c r="S3495" t="s">
        <v>27</v>
      </c>
      <c r="T3495" t="str">
        <f t="shared" si="108"/>
        <v>Daily</v>
      </c>
      <c r="U3495">
        <f>VLOOKUP(T3495,[1]tablescore!$B$3:$C$8, 2,FALSE)</f>
        <v>30</v>
      </c>
      <c r="V3495" t="str">
        <f t="shared" si="109"/>
        <v>Highly Loyal</v>
      </c>
      <c r="W3495" t="s">
        <v>41</v>
      </c>
    </row>
    <row r="3496" spans="1:23" x14ac:dyDescent="0.25">
      <c r="A3496">
        <v>3495</v>
      </c>
      <c r="B3496">
        <v>62</v>
      </c>
      <c r="C3496" t="str" cm="1">
        <f t="array" ref="C3496">_xlfn.IFS(
  AND(B3496&gt;=18, B3496&lt;=24), "18-24",
  AND(B3496&gt;=25, B3496&lt;=34), "25-34",
  AND(B3496&gt;=35, B3496&lt;=44), "35-44",
  AND(B3496&gt;=45, B3496&lt;=54), "45-54",
  B3496&gt;=55, "55+"
)</f>
        <v>55+</v>
      </c>
      <c r="D3496" t="s">
        <v>153</v>
      </c>
      <c r="E3496" t="s">
        <v>119</v>
      </c>
      <c r="F3496" t="s">
        <v>69</v>
      </c>
      <c r="G3496">
        <v>38</v>
      </c>
      <c r="H3496" t="s">
        <v>140</v>
      </c>
      <c r="I3496" t="s">
        <v>45</v>
      </c>
      <c r="J3496" t="s">
        <v>67</v>
      </c>
      <c r="K3496" t="s">
        <v>25</v>
      </c>
      <c r="L3496">
        <v>3.5</v>
      </c>
      <c r="M3496" t="s">
        <v>152</v>
      </c>
      <c r="N3496" t="s">
        <v>27</v>
      </c>
      <c r="O3496" t="s">
        <v>40</v>
      </c>
      <c r="P3496" t="s">
        <v>152</v>
      </c>
      <c r="Q3496" t="s">
        <v>152</v>
      </c>
      <c r="R3496">
        <v>41</v>
      </c>
      <c r="S3496" t="s">
        <v>46</v>
      </c>
      <c r="T3496" t="str">
        <f t="shared" si="108"/>
        <v>Quarterly</v>
      </c>
      <c r="U3496">
        <f>VLOOKUP(T3496,[1]tablescore!$B$3:$C$8, 2,FALSE)</f>
        <v>4</v>
      </c>
      <c r="V3496" t="str">
        <f t="shared" si="109"/>
        <v>Low Loyalty</v>
      </c>
      <c r="W3496" t="s">
        <v>60</v>
      </c>
    </row>
    <row r="3497" spans="1:23" x14ac:dyDescent="0.25">
      <c r="A3497">
        <v>3496</v>
      </c>
      <c r="B3497">
        <v>24</v>
      </c>
      <c r="C3497" t="str" cm="1">
        <f t="array" ref="C3497">_xlfn.IFS(
  AND(B3497&gt;=18, B3497&lt;=24), "18-24",
  AND(B3497&gt;=25, B3497&lt;=34), "25-34",
  AND(B3497&gt;=35, B3497&lt;=44), "35-44",
  AND(B3497&gt;=45, B3497&lt;=54), "45-54",
  B3497&gt;=55, "55+"
)</f>
        <v>18-24</v>
      </c>
      <c r="D3497" t="s">
        <v>153</v>
      </c>
      <c r="E3497" t="s">
        <v>61</v>
      </c>
      <c r="F3497" t="s">
        <v>21</v>
      </c>
      <c r="G3497">
        <v>33</v>
      </c>
      <c r="H3497" t="s">
        <v>142</v>
      </c>
      <c r="I3497" t="s">
        <v>92</v>
      </c>
      <c r="J3497" t="s">
        <v>24</v>
      </c>
      <c r="K3497" t="s">
        <v>39</v>
      </c>
      <c r="L3497">
        <v>2.8</v>
      </c>
      <c r="M3497" t="s">
        <v>152</v>
      </c>
      <c r="N3497" t="s">
        <v>59</v>
      </c>
      <c r="O3497" t="s">
        <v>40</v>
      </c>
      <c r="P3497" t="s">
        <v>152</v>
      </c>
      <c r="Q3497" t="s">
        <v>152</v>
      </c>
      <c r="R3497">
        <v>14</v>
      </c>
      <c r="S3497" t="s">
        <v>35</v>
      </c>
      <c r="T3497" t="str">
        <f t="shared" si="108"/>
        <v>Daily</v>
      </c>
      <c r="U3497">
        <f>VLOOKUP(T3497,[1]tablescore!$B$3:$C$8, 2,FALSE)</f>
        <v>30</v>
      </c>
      <c r="V3497" t="str">
        <f t="shared" si="109"/>
        <v>Highly Loyal</v>
      </c>
      <c r="W3497" t="s">
        <v>41</v>
      </c>
    </row>
    <row r="3498" spans="1:23" x14ac:dyDescent="0.25">
      <c r="A3498">
        <v>3497</v>
      </c>
      <c r="B3498">
        <v>39</v>
      </c>
      <c r="C3498" t="str" cm="1">
        <f t="array" ref="C3498">_xlfn.IFS(
  AND(B3498&gt;=18, B3498&lt;=24), "18-24",
  AND(B3498&gt;=25, B3498&lt;=34), "25-34",
  AND(B3498&gt;=35, B3498&lt;=44), "35-44",
  AND(B3498&gt;=45, B3498&lt;=54), "45-54",
  B3498&gt;=55, "55+"
)</f>
        <v>35-44</v>
      </c>
      <c r="D3498" t="s">
        <v>153</v>
      </c>
      <c r="E3498" t="s">
        <v>73</v>
      </c>
      <c r="F3498" t="s">
        <v>43</v>
      </c>
      <c r="G3498">
        <v>38</v>
      </c>
      <c r="H3498" t="s">
        <v>144</v>
      </c>
      <c r="I3498" t="s">
        <v>45</v>
      </c>
      <c r="J3498" t="s">
        <v>71</v>
      </c>
      <c r="K3498" t="s">
        <v>54</v>
      </c>
      <c r="L3498">
        <v>4</v>
      </c>
      <c r="M3498" t="s">
        <v>152</v>
      </c>
      <c r="N3498" t="s">
        <v>35</v>
      </c>
      <c r="O3498" t="s">
        <v>40</v>
      </c>
      <c r="P3498" t="s">
        <v>152</v>
      </c>
      <c r="Q3498" t="s">
        <v>152</v>
      </c>
      <c r="R3498">
        <v>22</v>
      </c>
      <c r="S3498" t="s">
        <v>46</v>
      </c>
      <c r="T3498" t="str">
        <f t="shared" si="108"/>
        <v>Month</v>
      </c>
      <c r="U3498">
        <f>VLOOKUP(T3498,[1]tablescore!$B$3:$C$8, 2,FALSE)</f>
        <v>12</v>
      </c>
      <c r="V3498" t="str">
        <f t="shared" si="109"/>
        <v>Moderate</v>
      </c>
      <c r="W3498" t="s">
        <v>88</v>
      </c>
    </row>
    <row r="3499" spans="1:23" x14ac:dyDescent="0.25">
      <c r="A3499">
        <v>3498</v>
      </c>
      <c r="B3499">
        <v>35</v>
      </c>
      <c r="C3499" t="str" cm="1">
        <f t="array" ref="C3499">_xlfn.IFS(
  AND(B3499&gt;=18, B3499&lt;=24), "18-24",
  AND(B3499&gt;=25, B3499&lt;=34), "25-34",
  AND(B3499&gt;=35, B3499&lt;=44), "35-44",
  AND(B3499&gt;=45, B3499&lt;=54), "45-54",
  B3499&gt;=55, "55+"
)</f>
        <v>35-44</v>
      </c>
      <c r="D3499" t="s">
        <v>153</v>
      </c>
      <c r="E3499" t="s">
        <v>68</v>
      </c>
      <c r="F3499" t="s">
        <v>69</v>
      </c>
      <c r="G3499">
        <v>48</v>
      </c>
      <c r="H3499" t="s">
        <v>112</v>
      </c>
      <c r="I3499" t="s">
        <v>45</v>
      </c>
      <c r="J3499" t="s">
        <v>108</v>
      </c>
      <c r="K3499" t="s">
        <v>39</v>
      </c>
      <c r="L3499">
        <v>4.3</v>
      </c>
      <c r="M3499" t="s">
        <v>152</v>
      </c>
      <c r="N3499" t="s">
        <v>46</v>
      </c>
      <c r="O3499" t="s">
        <v>76</v>
      </c>
      <c r="P3499" t="s">
        <v>152</v>
      </c>
      <c r="Q3499" t="s">
        <v>152</v>
      </c>
      <c r="R3499">
        <v>16</v>
      </c>
      <c r="S3499" t="s">
        <v>29</v>
      </c>
      <c r="T3499" t="str">
        <f t="shared" si="108"/>
        <v>Quarterly</v>
      </c>
      <c r="U3499">
        <f>VLOOKUP(T3499,[1]tablescore!$B$3:$C$8, 2,FALSE)</f>
        <v>4</v>
      </c>
      <c r="V3499" t="str">
        <f t="shared" si="109"/>
        <v>Low Loyalty</v>
      </c>
      <c r="W3499" t="s">
        <v>97</v>
      </c>
    </row>
    <row r="3500" spans="1:23" x14ac:dyDescent="0.25">
      <c r="A3500">
        <v>3499</v>
      </c>
      <c r="B3500">
        <v>47</v>
      </c>
      <c r="C3500" t="str" cm="1">
        <f t="array" ref="C3500">_xlfn.IFS(
  AND(B3500&gt;=18, B3500&lt;=24), "18-24",
  AND(B3500&gt;=25, B3500&lt;=34), "25-34",
  AND(B3500&gt;=35, B3500&lt;=44), "35-44",
  AND(B3500&gt;=45, B3500&lt;=54), "45-54",
  B3500&gt;=55, "55+"
)</f>
        <v>45-54</v>
      </c>
      <c r="D3500" t="s">
        <v>153</v>
      </c>
      <c r="E3500" t="s">
        <v>42</v>
      </c>
      <c r="F3500" t="s">
        <v>43</v>
      </c>
      <c r="G3500">
        <v>35</v>
      </c>
      <c r="H3500" t="s">
        <v>22</v>
      </c>
      <c r="I3500" t="s">
        <v>45</v>
      </c>
      <c r="J3500" t="s">
        <v>93</v>
      </c>
      <c r="K3500" t="s">
        <v>54</v>
      </c>
      <c r="L3500">
        <v>3.8</v>
      </c>
      <c r="M3500" t="s">
        <v>152</v>
      </c>
      <c r="N3500" t="s">
        <v>46</v>
      </c>
      <c r="O3500" t="s">
        <v>55</v>
      </c>
      <c r="P3500" t="s">
        <v>152</v>
      </c>
      <c r="Q3500" t="s">
        <v>152</v>
      </c>
      <c r="R3500">
        <v>2</v>
      </c>
      <c r="S3500" t="s">
        <v>34</v>
      </c>
      <c r="T3500" t="str">
        <f t="shared" si="108"/>
        <v>2-week</v>
      </c>
      <c r="U3500">
        <f>VLOOKUP(T3500,[1]tablescore!$B$3:$C$8, 2,FALSE)</f>
        <v>26</v>
      </c>
      <c r="V3500" t="str">
        <f t="shared" si="109"/>
        <v>Loyal</v>
      </c>
      <c r="W3500" t="s">
        <v>77</v>
      </c>
    </row>
    <row r="3501" spans="1:23" x14ac:dyDescent="0.25">
      <c r="A3501">
        <v>3500</v>
      </c>
      <c r="B3501">
        <v>22</v>
      </c>
      <c r="C3501" t="str" cm="1">
        <f t="array" ref="C3501">_xlfn.IFS(
  AND(B3501&gt;=18, B3501&lt;=24), "18-24",
  AND(B3501&gt;=25, B3501&lt;=34), "25-34",
  AND(B3501&gt;=35, B3501&lt;=44), "35-44",
  AND(B3501&gt;=45, B3501&lt;=54), "45-54",
  B3501&gt;=55, "55+"
)</f>
        <v>18-24</v>
      </c>
      <c r="D3501" t="s">
        <v>153</v>
      </c>
      <c r="E3501" t="s">
        <v>131</v>
      </c>
      <c r="F3501" t="s">
        <v>21</v>
      </c>
      <c r="G3501">
        <v>29</v>
      </c>
      <c r="H3501" t="s">
        <v>137</v>
      </c>
      <c r="I3501" t="s">
        <v>23</v>
      </c>
      <c r="J3501" t="s">
        <v>129</v>
      </c>
      <c r="K3501" t="s">
        <v>58</v>
      </c>
      <c r="L3501">
        <v>3</v>
      </c>
      <c r="M3501" t="s">
        <v>152</v>
      </c>
      <c r="N3501" t="s">
        <v>34</v>
      </c>
      <c r="O3501" t="s">
        <v>47</v>
      </c>
      <c r="P3501" t="s">
        <v>152</v>
      </c>
      <c r="Q3501" t="s">
        <v>152</v>
      </c>
      <c r="R3501">
        <v>13</v>
      </c>
      <c r="S3501" t="s">
        <v>46</v>
      </c>
      <c r="T3501" t="str">
        <f t="shared" si="108"/>
        <v>Quarterly</v>
      </c>
      <c r="U3501">
        <f>VLOOKUP(T3501,[1]tablescore!$B$3:$C$8, 2,FALSE)</f>
        <v>4</v>
      </c>
      <c r="V3501" t="str">
        <f t="shared" si="109"/>
        <v>Low Loyalty</v>
      </c>
      <c r="W3501" t="s">
        <v>97</v>
      </c>
    </row>
    <row r="3502" spans="1:23" x14ac:dyDescent="0.25">
      <c r="A3502">
        <v>3501</v>
      </c>
      <c r="B3502">
        <v>38</v>
      </c>
      <c r="C3502" t="str" cm="1">
        <f t="array" ref="C3502">_xlfn.IFS(
  AND(B3502&gt;=18, B3502&lt;=24), "18-24",
  AND(B3502&gt;=25, B3502&lt;=34), "25-34",
  AND(B3502&gt;=35, B3502&lt;=44), "35-44",
  AND(B3502&gt;=45, B3502&lt;=54), "45-54",
  B3502&gt;=55, "55+"
)</f>
        <v>35-44</v>
      </c>
      <c r="D3502" t="s">
        <v>153</v>
      </c>
      <c r="E3502" t="s">
        <v>56</v>
      </c>
      <c r="F3502" t="s">
        <v>21</v>
      </c>
      <c r="G3502">
        <v>48</v>
      </c>
      <c r="H3502" t="s">
        <v>48</v>
      </c>
      <c r="I3502" t="s">
        <v>38</v>
      </c>
      <c r="J3502" t="s">
        <v>67</v>
      </c>
      <c r="K3502" t="s">
        <v>58</v>
      </c>
      <c r="L3502">
        <v>4.5999999999999996</v>
      </c>
      <c r="M3502" t="s">
        <v>152</v>
      </c>
      <c r="N3502" t="s">
        <v>27</v>
      </c>
      <c r="O3502" t="s">
        <v>47</v>
      </c>
      <c r="P3502" t="s">
        <v>152</v>
      </c>
      <c r="Q3502" t="s">
        <v>152</v>
      </c>
      <c r="R3502">
        <v>38</v>
      </c>
      <c r="S3502" t="s">
        <v>59</v>
      </c>
      <c r="T3502" t="str">
        <f t="shared" si="108"/>
        <v>2-week</v>
      </c>
      <c r="U3502">
        <f>VLOOKUP(T3502,[1]tablescore!$B$3:$C$8, 2,FALSE)</f>
        <v>26</v>
      </c>
      <c r="V3502" t="str">
        <f t="shared" si="109"/>
        <v>Loyal</v>
      </c>
      <c r="W3502" t="s">
        <v>30</v>
      </c>
    </row>
    <row r="3503" spans="1:23" x14ac:dyDescent="0.25">
      <c r="A3503">
        <v>3502</v>
      </c>
      <c r="B3503">
        <v>53</v>
      </c>
      <c r="C3503" t="str" cm="1">
        <f t="array" ref="C3503">_xlfn.IFS(
  AND(B3503&gt;=18, B3503&lt;=24), "18-24",
  AND(B3503&gt;=25, B3503&lt;=34), "25-34",
  AND(B3503&gt;=35, B3503&lt;=44), "35-44",
  AND(B3503&gt;=45, B3503&lt;=54), "45-54",
  B3503&gt;=55, "55+"
)</f>
        <v>45-54</v>
      </c>
      <c r="D3503" t="s">
        <v>153</v>
      </c>
      <c r="E3503" t="s">
        <v>73</v>
      </c>
      <c r="F3503" t="s">
        <v>43</v>
      </c>
      <c r="G3503">
        <v>87</v>
      </c>
      <c r="H3503" t="s">
        <v>143</v>
      </c>
      <c r="I3503" t="s">
        <v>45</v>
      </c>
      <c r="J3503" t="s">
        <v>67</v>
      </c>
      <c r="K3503" t="s">
        <v>58</v>
      </c>
      <c r="L3503">
        <v>4.8</v>
      </c>
      <c r="M3503" t="s">
        <v>152</v>
      </c>
      <c r="N3503" t="s">
        <v>34</v>
      </c>
      <c r="O3503" t="s">
        <v>55</v>
      </c>
      <c r="P3503" t="s">
        <v>152</v>
      </c>
      <c r="Q3503" t="s">
        <v>152</v>
      </c>
      <c r="R3503">
        <v>43</v>
      </c>
      <c r="S3503" t="s">
        <v>34</v>
      </c>
      <c r="T3503" t="str">
        <f t="shared" si="108"/>
        <v>Daily</v>
      </c>
      <c r="U3503">
        <f>VLOOKUP(T3503,[1]tablescore!$B$3:$C$8, 2,FALSE)</f>
        <v>30</v>
      </c>
      <c r="V3503" t="str">
        <f t="shared" si="109"/>
        <v>Highly Loyal</v>
      </c>
      <c r="W3503" t="s">
        <v>41</v>
      </c>
    </row>
    <row r="3504" spans="1:23" x14ac:dyDescent="0.25">
      <c r="A3504">
        <v>3503</v>
      </c>
      <c r="B3504">
        <v>31</v>
      </c>
      <c r="C3504" t="str" cm="1">
        <f t="array" ref="C3504">_xlfn.IFS(
  AND(B3504&gt;=18, B3504&lt;=24), "18-24",
  AND(B3504&gt;=25, B3504&lt;=34), "25-34",
  AND(B3504&gt;=35, B3504&lt;=44), "35-44",
  AND(B3504&gt;=45, B3504&lt;=54), "45-54",
  B3504&gt;=55, "55+"
)</f>
        <v>25-34</v>
      </c>
      <c r="D3504" t="s">
        <v>153</v>
      </c>
      <c r="E3504" t="s">
        <v>133</v>
      </c>
      <c r="F3504" t="s">
        <v>69</v>
      </c>
      <c r="G3504">
        <v>62</v>
      </c>
      <c r="H3504" t="s">
        <v>37</v>
      </c>
      <c r="I3504" t="s">
        <v>45</v>
      </c>
      <c r="J3504" t="s">
        <v>96</v>
      </c>
      <c r="K3504" t="s">
        <v>58</v>
      </c>
      <c r="L3504">
        <v>4.7</v>
      </c>
      <c r="M3504" t="s">
        <v>152</v>
      </c>
      <c r="N3504" t="s">
        <v>34</v>
      </c>
      <c r="O3504" t="s">
        <v>47</v>
      </c>
      <c r="P3504" t="s">
        <v>152</v>
      </c>
      <c r="Q3504" t="s">
        <v>152</v>
      </c>
      <c r="R3504">
        <v>26</v>
      </c>
      <c r="S3504" t="s">
        <v>34</v>
      </c>
      <c r="T3504" t="str">
        <f t="shared" si="108"/>
        <v>Quarterly</v>
      </c>
      <c r="U3504">
        <f>VLOOKUP(T3504,[1]tablescore!$B$3:$C$8, 2,FALSE)</f>
        <v>4</v>
      </c>
      <c r="V3504" t="str">
        <f t="shared" si="109"/>
        <v>Low Loyalty</v>
      </c>
      <c r="W3504" t="s">
        <v>60</v>
      </c>
    </row>
    <row r="3505" spans="1:23" x14ac:dyDescent="0.25">
      <c r="A3505">
        <v>3504</v>
      </c>
      <c r="B3505">
        <v>31</v>
      </c>
      <c r="C3505" t="str" cm="1">
        <f t="array" ref="C3505">_xlfn.IFS(
  AND(B3505&gt;=18, B3505&lt;=24), "18-24",
  AND(B3505&gt;=25, B3505&lt;=34), "25-34",
  AND(B3505&gt;=35, B3505&lt;=44), "35-44",
  AND(B3505&gt;=45, B3505&lt;=54), "45-54",
  B3505&gt;=55, "55+"
)</f>
        <v>25-34</v>
      </c>
      <c r="D3505" t="s">
        <v>153</v>
      </c>
      <c r="E3505" t="s">
        <v>56</v>
      </c>
      <c r="F3505" t="s">
        <v>21</v>
      </c>
      <c r="G3505">
        <v>96</v>
      </c>
      <c r="H3505" t="s">
        <v>143</v>
      </c>
      <c r="I3505" t="s">
        <v>45</v>
      </c>
      <c r="J3505" t="s">
        <v>71</v>
      </c>
      <c r="K3505" t="s">
        <v>39</v>
      </c>
      <c r="L3505">
        <v>3.9</v>
      </c>
      <c r="M3505" t="s">
        <v>152</v>
      </c>
      <c r="N3505" t="s">
        <v>35</v>
      </c>
      <c r="O3505" t="s">
        <v>40</v>
      </c>
      <c r="P3505" t="s">
        <v>152</v>
      </c>
      <c r="Q3505" t="s">
        <v>152</v>
      </c>
      <c r="R3505">
        <v>39</v>
      </c>
      <c r="S3505" t="s">
        <v>35</v>
      </c>
      <c r="T3505" t="str">
        <f t="shared" si="108"/>
        <v>Daily</v>
      </c>
      <c r="U3505">
        <f>VLOOKUP(T3505,[1]tablescore!$B$3:$C$8, 2,FALSE)</f>
        <v>30</v>
      </c>
      <c r="V3505" t="str">
        <f t="shared" si="109"/>
        <v>Highly Loyal</v>
      </c>
      <c r="W3505" t="s">
        <v>41</v>
      </c>
    </row>
    <row r="3506" spans="1:23" x14ac:dyDescent="0.25">
      <c r="A3506">
        <v>3505</v>
      </c>
      <c r="B3506">
        <v>65</v>
      </c>
      <c r="C3506" t="str" cm="1">
        <f t="array" ref="C3506">_xlfn.IFS(
  AND(B3506&gt;=18, B3506&lt;=24), "18-24",
  AND(B3506&gt;=25, B3506&lt;=34), "25-34",
  AND(B3506&gt;=35, B3506&lt;=44), "35-44",
  AND(B3506&gt;=45, B3506&lt;=54), "45-54",
  B3506&gt;=55, "55+"
)</f>
        <v>55+</v>
      </c>
      <c r="D3506" t="s">
        <v>153</v>
      </c>
      <c r="E3506" t="s">
        <v>68</v>
      </c>
      <c r="F3506" t="s">
        <v>69</v>
      </c>
      <c r="G3506">
        <v>41</v>
      </c>
      <c r="H3506" t="s">
        <v>78</v>
      </c>
      <c r="I3506" t="s">
        <v>38</v>
      </c>
      <c r="J3506" t="s">
        <v>84</v>
      </c>
      <c r="K3506" t="s">
        <v>58</v>
      </c>
      <c r="L3506">
        <v>4</v>
      </c>
      <c r="M3506" t="s">
        <v>152</v>
      </c>
      <c r="N3506" t="s">
        <v>34</v>
      </c>
      <c r="O3506" t="s">
        <v>47</v>
      </c>
      <c r="P3506" t="s">
        <v>152</v>
      </c>
      <c r="Q3506" t="s">
        <v>152</v>
      </c>
      <c r="R3506">
        <v>50</v>
      </c>
      <c r="S3506" t="s">
        <v>29</v>
      </c>
      <c r="T3506" t="str">
        <f t="shared" si="108"/>
        <v>Month</v>
      </c>
      <c r="U3506">
        <f>VLOOKUP(T3506,[1]tablescore!$B$3:$C$8, 2,FALSE)</f>
        <v>12</v>
      </c>
      <c r="V3506" t="str">
        <f t="shared" si="109"/>
        <v>Moderate</v>
      </c>
      <c r="W3506" t="s">
        <v>88</v>
      </c>
    </row>
    <row r="3507" spans="1:23" x14ac:dyDescent="0.25">
      <c r="A3507">
        <v>3506</v>
      </c>
      <c r="B3507">
        <v>48</v>
      </c>
      <c r="C3507" t="str" cm="1">
        <f t="array" ref="C3507">_xlfn.IFS(
  AND(B3507&gt;=18, B3507&lt;=24), "18-24",
  AND(B3507&gt;=25, B3507&lt;=34), "25-34",
  AND(B3507&gt;=35, B3507&lt;=44), "35-44",
  AND(B3507&gt;=45, B3507&lt;=54), "45-54",
  B3507&gt;=55, "55+"
)</f>
        <v>45-54</v>
      </c>
      <c r="D3507" t="s">
        <v>153</v>
      </c>
      <c r="E3507" t="s">
        <v>106</v>
      </c>
      <c r="F3507" t="s">
        <v>69</v>
      </c>
      <c r="G3507">
        <v>42</v>
      </c>
      <c r="H3507" t="s">
        <v>116</v>
      </c>
      <c r="I3507" t="s">
        <v>23</v>
      </c>
      <c r="J3507" t="s">
        <v>108</v>
      </c>
      <c r="K3507" t="s">
        <v>25</v>
      </c>
      <c r="L3507">
        <v>3.7</v>
      </c>
      <c r="M3507" t="s">
        <v>152</v>
      </c>
      <c r="N3507" t="s">
        <v>35</v>
      </c>
      <c r="O3507" t="s">
        <v>72</v>
      </c>
      <c r="P3507" t="s">
        <v>152</v>
      </c>
      <c r="Q3507" t="s">
        <v>152</v>
      </c>
      <c r="R3507">
        <v>40</v>
      </c>
      <c r="S3507" t="s">
        <v>34</v>
      </c>
      <c r="T3507" t="str">
        <f t="shared" si="108"/>
        <v>Quarterly</v>
      </c>
      <c r="U3507">
        <f>VLOOKUP(T3507,[1]tablescore!$B$3:$C$8, 2,FALSE)</f>
        <v>4</v>
      </c>
      <c r="V3507" t="str">
        <f t="shared" si="109"/>
        <v>Low Loyalty</v>
      </c>
      <c r="W3507" t="s">
        <v>97</v>
      </c>
    </row>
    <row r="3508" spans="1:23" x14ac:dyDescent="0.25">
      <c r="A3508">
        <v>3507</v>
      </c>
      <c r="B3508">
        <v>18</v>
      </c>
      <c r="C3508" t="str" cm="1">
        <f t="array" ref="C3508">_xlfn.IFS(
  AND(B3508&gt;=18, B3508&lt;=24), "18-24",
  AND(B3508&gt;=25, B3508&lt;=34), "25-34",
  AND(B3508&gt;=35, B3508&lt;=44), "35-44",
  AND(B3508&gt;=45, B3508&lt;=54), "45-54",
  B3508&gt;=55, "55+"
)</f>
        <v>18-24</v>
      </c>
      <c r="D3508" t="s">
        <v>153</v>
      </c>
      <c r="E3508" t="s">
        <v>56</v>
      </c>
      <c r="F3508" t="s">
        <v>21</v>
      </c>
      <c r="G3508">
        <v>57</v>
      </c>
      <c r="H3508" t="s">
        <v>115</v>
      </c>
      <c r="I3508" t="s">
        <v>23</v>
      </c>
      <c r="J3508" t="s">
        <v>79</v>
      </c>
      <c r="K3508" t="s">
        <v>25</v>
      </c>
      <c r="L3508">
        <v>3.7</v>
      </c>
      <c r="M3508" t="s">
        <v>152</v>
      </c>
      <c r="N3508" t="s">
        <v>29</v>
      </c>
      <c r="O3508" t="s">
        <v>72</v>
      </c>
      <c r="P3508" t="s">
        <v>152</v>
      </c>
      <c r="Q3508" t="s">
        <v>152</v>
      </c>
      <c r="R3508">
        <v>12</v>
      </c>
      <c r="S3508" t="s">
        <v>35</v>
      </c>
      <c r="T3508" t="str">
        <f t="shared" si="108"/>
        <v>2-week</v>
      </c>
      <c r="U3508">
        <f>VLOOKUP(T3508,[1]tablescore!$B$3:$C$8, 2,FALSE)</f>
        <v>26</v>
      </c>
      <c r="V3508" t="str">
        <f t="shared" si="109"/>
        <v>Loyal</v>
      </c>
      <c r="W3508" t="s">
        <v>30</v>
      </c>
    </row>
    <row r="3509" spans="1:23" x14ac:dyDescent="0.25">
      <c r="A3509">
        <v>3508</v>
      </c>
      <c r="B3509">
        <v>46</v>
      </c>
      <c r="C3509" t="str" cm="1">
        <f t="array" ref="C3509">_xlfn.IFS(
  AND(B3509&gt;=18, B3509&lt;=24), "18-24",
  AND(B3509&gt;=25, B3509&lt;=34), "25-34",
  AND(B3509&gt;=35, B3509&lt;=44), "35-44",
  AND(B3509&gt;=45, B3509&lt;=54), "45-54",
  B3509&gt;=55, "55+"
)</f>
        <v>45-54</v>
      </c>
      <c r="D3509" t="s">
        <v>153</v>
      </c>
      <c r="E3509" t="s">
        <v>68</v>
      </c>
      <c r="F3509" t="s">
        <v>69</v>
      </c>
      <c r="G3509">
        <v>65</v>
      </c>
      <c r="H3509" t="s">
        <v>112</v>
      </c>
      <c r="I3509" t="s">
        <v>38</v>
      </c>
      <c r="J3509" t="s">
        <v>75</v>
      </c>
      <c r="K3509" t="s">
        <v>39</v>
      </c>
      <c r="L3509">
        <v>4.2</v>
      </c>
      <c r="M3509" t="s">
        <v>152</v>
      </c>
      <c r="N3509" t="s">
        <v>34</v>
      </c>
      <c r="O3509" t="s">
        <v>76</v>
      </c>
      <c r="P3509" t="s">
        <v>152</v>
      </c>
      <c r="Q3509" t="s">
        <v>152</v>
      </c>
      <c r="R3509">
        <v>33</v>
      </c>
      <c r="S3509" t="s">
        <v>27</v>
      </c>
      <c r="T3509" t="str">
        <f t="shared" si="108"/>
        <v>Quarterly</v>
      </c>
      <c r="U3509">
        <f>VLOOKUP(T3509,[1]tablescore!$B$3:$C$8, 2,FALSE)</f>
        <v>4</v>
      </c>
      <c r="V3509" t="str">
        <f t="shared" si="109"/>
        <v>Low Loyalty</v>
      </c>
      <c r="W3509" t="s">
        <v>97</v>
      </c>
    </row>
    <row r="3510" spans="1:23" x14ac:dyDescent="0.25">
      <c r="A3510">
        <v>3509</v>
      </c>
      <c r="B3510">
        <v>52</v>
      </c>
      <c r="C3510" t="str" cm="1">
        <f t="array" ref="C3510">_xlfn.IFS(
  AND(B3510&gt;=18, B3510&lt;=24), "18-24",
  AND(B3510&gt;=25, B3510&lt;=34), "25-34",
  AND(B3510&gt;=35, B3510&lt;=44), "35-44",
  AND(B3510&gt;=45, B3510&lt;=54), "45-54",
  B3510&gt;=55, "55+"
)</f>
        <v>45-54</v>
      </c>
      <c r="D3510" t="s">
        <v>153</v>
      </c>
      <c r="E3510" t="s">
        <v>95</v>
      </c>
      <c r="F3510" t="s">
        <v>21</v>
      </c>
      <c r="G3510">
        <v>54</v>
      </c>
      <c r="H3510" t="s">
        <v>141</v>
      </c>
      <c r="I3510" t="s">
        <v>45</v>
      </c>
      <c r="J3510" t="s">
        <v>24</v>
      </c>
      <c r="K3510" t="s">
        <v>58</v>
      </c>
      <c r="L3510">
        <v>4.7</v>
      </c>
      <c r="M3510" t="s">
        <v>152</v>
      </c>
      <c r="N3510" t="s">
        <v>29</v>
      </c>
      <c r="O3510" t="s">
        <v>55</v>
      </c>
      <c r="P3510" t="s">
        <v>152</v>
      </c>
      <c r="Q3510" t="s">
        <v>152</v>
      </c>
      <c r="R3510">
        <v>49</v>
      </c>
      <c r="S3510" t="s">
        <v>34</v>
      </c>
      <c r="T3510" t="str">
        <f t="shared" si="108"/>
        <v>Daily</v>
      </c>
      <c r="U3510">
        <f>VLOOKUP(T3510,[1]tablescore!$B$3:$C$8, 2,FALSE)</f>
        <v>30</v>
      </c>
      <c r="V3510" t="str">
        <f t="shared" si="109"/>
        <v>Highly Loyal</v>
      </c>
      <c r="W3510" t="s">
        <v>41</v>
      </c>
    </row>
    <row r="3511" spans="1:23" x14ac:dyDescent="0.25">
      <c r="A3511">
        <v>3510</v>
      </c>
      <c r="B3511">
        <v>50</v>
      </c>
      <c r="C3511" t="str" cm="1">
        <f t="array" ref="C3511">_xlfn.IFS(
  AND(B3511&gt;=18, B3511&lt;=24), "18-24",
  AND(B3511&gt;=25, B3511&lt;=34), "25-34",
  AND(B3511&gt;=35, B3511&lt;=44), "35-44",
  AND(B3511&gt;=45, B3511&lt;=54), "45-54",
  B3511&gt;=55, "55+"
)</f>
        <v>45-54</v>
      </c>
      <c r="D3511" t="s">
        <v>153</v>
      </c>
      <c r="E3511" t="s">
        <v>113</v>
      </c>
      <c r="F3511" t="s">
        <v>21</v>
      </c>
      <c r="G3511">
        <v>22</v>
      </c>
      <c r="H3511" t="s">
        <v>124</v>
      </c>
      <c r="I3511" t="s">
        <v>23</v>
      </c>
      <c r="J3511" t="s">
        <v>110</v>
      </c>
      <c r="K3511" t="s">
        <v>25</v>
      </c>
      <c r="L3511">
        <v>4.3</v>
      </c>
      <c r="M3511" t="s">
        <v>152</v>
      </c>
      <c r="N3511" t="s">
        <v>35</v>
      </c>
      <c r="O3511" t="s">
        <v>47</v>
      </c>
      <c r="P3511" t="s">
        <v>152</v>
      </c>
      <c r="Q3511" t="s">
        <v>152</v>
      </c>
      <c r="R3511">
        <v>43</v>
      </c>
      <c r="S3511" t="s">
        <v>29</v>
      </c>
      <c r="T3511" t="str">
        <f t="shared" si="108"/>
        <v>2-week</v>
      </c>
      <c r="U3511">
        <f>VLOOKUP(T3511,[1]tablescore!$B$3:$C$8, 2,FALSE)</f>
        <v>26</v>
      </c>
      <c r="V3511" t="str">
        <f t="shared" si="109"/>
        <v>Loyal</v>
      </c>
      <c r="W3511" t="s">
        <v>77</v>
      </c>
    </row>
    <row r="3512" spans="1:23" x14ac:dyDescent="0.25">
      <c r="A3512">
        <v>3511</v>
      </c>
      <c r="B3512">
        <v>49</v>
      </c>
      <c r="C3512" t="str" cm="1">
        <f t="array" ref="C3512">_xlfn.IFS(
  AND(B3512&gt;=18, B3512&lt;=24), "18-24",
  AND(B3512&gt;=25, B3512&lt;=34), "25-34",
  AND(B3512&gt;=35, B3512&lt;=44), "35-44",
  AND(B3512&gt;=45, B3512&lt;=54), "45-54",
  B3512&gt;=55, "55+"
)</f>
        <v>45-54</v>
      </c>
      <c r="D3512" t="s">
        <v>153</v>
      </c>
      <c r="E3512" t="s">
        <v>51</v>
      </c>
      <c r="F3512" t="s">
        <v>43</v>
      </c>
      <c r="G3512">
        <v>96</v>
      </c>
      <c r="H3512" t="s">
        <v>141</v>
      </c>
      <c r="I3512" t="s">
        <v>38</v>
      </c>
      <c r="J3512" t="s">
        <v>121</v>
      </c>
      <c r="K3512" t="s">
        <v>58</v>
      </c>
      <c r="L3512">
        <v>4.9000000000000004</v>
      </c>
      <c r="M3512" t="s">
        <v>152</v>
      </c>
      <c r="N3512" t="s">
        <v>27</v>
      </c>
      <c r="O3512" t="s">
        <v>72</v>
      </c>
      <c r="P3512" t="s">
        <v>152</v>
      </c>
      <c r="Q3512" t="s">
        <v>152</v>
      </c>
      <c r="R3512">
        <v>14</v>
      </c>
      <c r="S3512" t="s">
        <v>29</v>
      </c>
      <c r="T3512" t="str">
        <f t="shared" si="108"/>
        <v>Month</v>
      </c>
      <c r="U3512">
        <f>VLOOKUP(T3512,[1]tablescore!$B$3:$C$8, 2,FALSE)</f>
        <v>12</v>
      </c>
      <c r="V3512" t="str">
        <f t="shared" si="109"/>
        <v>Moderate</v>
      </c>
      <c r="W3512" t="s">
        <v>88</v>
      </c>
    </row>
    <row r="3513" spans="1:23" x14ac:dyDescent="0.25">
      <c r="A3513">
        <v>3512</v>
      </c>
      <c r="B3513">
        <v>69</v>
      </c>
      <c r="C3513" t="str" cm="1">
        <f t="array" ref="C3513">_xlfn.IFS(
  AND(B3513&gt;=18, B3513&lt;=24), "18-24",
  AND(B3513&gt;=25, B3513&lt;=34), "25-34",
  AND(B3513&gt;=35, B3513&lt;=44), "35-44",
  AND(B3513&gt;=45, B3513&lt;=54), "45-54",
  B3513&gt;=55, "55+"
)</f>
        <v>55+</v>
      </c>
      <c r="D3513" t="s">
        <v>153</v>
      </c>
      <c r="E3513" t="s">
        <v>106</v>
      </c>
      <c r="F3513" t="s">
        <v>69</v>
      </c>
      <c r="G3513">
        <v>81</v>
      </c>
      <c r="H3513" t="s">
        <v>91</v>
      </c>
      <c r="I3513" t="s">
        <v>45</v>
      </c>
      <c r="J3513" t="s">
        <v>138</v>
      </c>
      <c r="K3513" t="s">
        <v>54</v>
      </c>
      <c r="L3513">
        <v>3.9</v>
      </c>
      <c r="M3513" t="s">
        <v>152</v>
      </c>
      <c r="N3513" t="s">
        <v>29</v>
      </c>
      <c r="O3513" t="s">
        <v>72</v>
      </c>
      <c r="P3513" t="s">
        <v>152</v>
      </c>
      <c r="Q3513" t="s">
        <v>152</v>
      </c>
      <c r="R3513">
        <v>21</v>
      </c>
      <c r="S3513" t="s">
        <v>27</v>
      </c>
      <c r="T3513" t="str">
        <f t="shared" si="108"/>
        <v>Quarterly</v>
      </c>
      <c r="U3513">
        <f>VLOOKUP(T3513,[1]tablescore!$B$3:$C$8, 2,FALSE)</f>
        <v>4</v>
      </c>
      <c r="V3513" t="str">
        <f t="shared" si="109"/>
        <v>Low Loyalty</v>
      </c>
      <c r="W3513" t="s">
        <v>97</v>
      </c>
    </row>
    <row r="3514" spans="1:23" x14ac:dyDescent="0.25">
      <c r="A3514">
        <v>3513</v>
      </c>
      <c r="B3514">
        <v>36</v>
      </c>
      <c r="C3514" t="str" cm="1">
        <f t="array" ref="C3514">_xlfn.IFS(
  AND(B3514&gt;=18, B3514&lt;=24), "18-24",
  AND(B3514&gt;=25, B3514&lt;=34), "25-34",
  AND(B3514&gt;=35, B3514&lt;=44), "35-44",
  AND(B3514&gt;=45, B3514&lt;=54), "45-54",
  B3514&gt;=55, "55+"
)</f>
        <v>35-44</v>
      </c>
      <c r="D3514" t="s">
        <v>153</v>
      </c>
      <c r="E3514" t="s">
        <v>56</v>
      </c>
      <c r="F3514" t="s">
        <v>21</v>
      </c>
      <c r="G3514">
        <v>46</v>
      </c>
      <c r="H3514" t="s">
        <v>22</v>
      </c>
      <c r="I3514" t="s">
        <v>45</v>
      </c>
      <c r="J3514" t="s">
        <v>53</v>
      </c>
      <c r="K3514" t="s">
        <v>58</v>
      </c>
      <c r="L3514">
        <v>3.4</v>
      </c>
      <c r="M3514" t="s">
        <v>152</v>
      </c>
      <c r="N3514" t="s">
        <v>34</v>
      </c>
      <c r="O3514" t="s">
        <v>40</v>
      </c>
      <c r="P3514" t="s">
        <v>152</v>
      </c>
      <c r="Q3514" t="s">
        <v>152</v>
      </c>
      <c r="R3514">
        <v>31</v>
      </c>
      <c r="S3514" t="s">
        <v>59</v>
      </c>
      <c r="T3514" t="str">
        <f t="shared" si="108"/>
        <v>Quarterly</v>
      </c>
      <c r="U3514">
        <f>VLOOKUP(T3514,[1]tablescore!$B$3:$C$8, 2,FALSE)</f>
        <v>4</v>
      </c>
      <c r="V3514" t="str">
        <f t="shared" si="109"/>
        <v>Low Loyalty</v>
      </c>
      <c r="W3514" t="s">
        <v>60</v>
      </c>
    </row>
    <row r="3515" spans="1:23" x14ac:dyDescent="0.25">
      <c r="A3515">
        <v>3514</v>
      </c>
      <c r="B3515">
        <v>30</v>
      </c>
      <c r="C3515" t="str" cm="1">
        <f t="array" ref="C3515">_xlfn.IFS(
  AND(B3515&gt;=18, B3515&lt;=24), "18-24",
  AND(B3515&gt;=25, B3515&lt;=34), "25-34",
  AND(B3515&gt;=35, B3515&lt;=44), "35-44",
  AND(B3515&gt;=45, B3515&lt;=54), "45-54",
  B3515&gt;=55, "55+"
)</f>
        <v>25-34</v>
      </c>
      <c r="D3515" t="s">
        <v>153</v>
      </c>
      <c r="E3515" t="s">
        <v>20</v>
      </c>
      <c r="F3515" t="s">
        <v>21</v>
      </c>
      <c r="G3515">
        <v>74</v>
      </c>
      <c r="H3515" t="s">
        <v>120</v>
      </c>
      <c r="I3515" t="s">
        <v>92</v>
      </c>
      <c r="J3515" t="s">
        <v>63</v>
      </c>
      <c r="K3515" t="s">
        <v>39</v>
      </c>
      <c r="L3515">
        <v>4.2</v>
      </c>
      <c r="M3515" t="s">
        <v>152</v>
      </c>
      <c r="N3515" t="s">
        <v>34</v>
      </c>
      <c r="O3515" t="s">
        <v>76</v>
      </c>
      <c r="P3515" t="s">
        <v>152</v>
      </c>
      <c r="Q3515" t="s">
        <v>152</v>
      </c>
      <c r="R3515">
        <v>29</v>
      </c>
      <c r="S3515" t="s">
        <v>27</v>
      </c>
      <c r="T3515" t="str">
        <f t="shared" si="108"/>
        <v>2-week</v>
      </c>
      <c r="U3515">
        <f>VLOOKUP(T3515,[1]tablescore!$B$3:$C$8, 2,FALSE)</f>
        <v>26</v>
      </c>
      <c r="V3515" t="str">
        <f t="shared" si="109"/>
        <v>Loyal</v>
      </c>
      <c r="W3515" t="s">
        <v>30</v>
      </c>
    </row>
    <row r="3516" spans="1:23" x14ac:dyDescent="0.25">
      <c r="A3516">
        <v>3515</v>
      </c>
      <c r="B3516">
        <v>25</v>
      </c>
      <c r="C3516" t="str" cm="1">
        <f t="array" ref="C3516">_xlfn.IFS(
  AND(B3516&gt;=18, B3516&lt;=24), "18-24",
  AND(B3516&gt;=25, B3516&lt;=34), "25-34",
  AND(B3516&gt;=35, B3516&lt;=44), "35-44",
  AND(B3516&gt;=45, B3516&lt;=54), "45-54",
  B3516&gt;=55, "55+"
)</f>
        <v>25-34</v>
      </c>
      <c r="D3516" t="s">
        <v>153</v>
      </c>
      <c r="E3516" t="s">
        <v>51</v>
      </c>
      <c r="F3516" t="s">
        <v>43</v>
      </c>
      <c r="G3516">
        <v>50</v>
      </c>
      <c r="H3516" t="s">
        <v>142</v>
      </c>
      <c r="I3516" t="s">
        <v>92</v>
      </c>
      <c r="J3516" t="s">
        <v>24</v>
      </c>
      <c r="K3516" t="s">
        <v>25</v>
      </c>
      <c r="L3516">
        <v>4.7</v>
      </c>
      <c r="M3516" t="s">
        <v>152</v>
      </c>
      <c r="N3516" t="s">
        <v>29</v>
      </c>
      <c r="O3516" t="s">
        <v>28</v>
      </c>
      <c r="P3516" t="s">
        <v>152</v>
      </c>
      <c r="Q3516" t="s">
        <v>152</v>
      </c>
      <c r="R3516">
        <v>32</v>
      </c>
      <c r="S3516" t="s">
        <v>35</v>
      </c>
      <c r="T3516" t="str">
        <f t="shared" si="108"/>
        <v>Month</v>
      </c>
      <c r="U3516">
        <f>VLOOKUP(T3516,[1]tablescore!$B$3:$C$8, 2,FALSE)</f>
        <v>12</v>
      </c>
      <c r="V3516" t="str">
        <f t="shared" si="109"/>
        <v>Moderate</v>
      </c>
      <c r="W3516" t="s">
        <v>88</v>
      </c>
    </row>
    <row r="3517" spans="1:23" x14ac:dyDescent="0.25">
      <c r="A3517">
        <v>3516</v>
      </c>
      <c r="B3517">
        <v>19</v>
      </c>
      <c r="C3517" t="str" cm="1">
        <f t="array" ref="C3517">_xlfn.IFS(
  AND(B3517&gt;=18, B3517&lt;=24), "18-24",
  AND(B3517&gt;=25, B3517&lt;=34), "25-34",
  AND(B3517&gt;=35, B3517&lt;=44), "35-44",
  AND(B3517&gt;=45, B3517&lt;=54), "45-54",
  B3517&gt;=55, "55+"
)</f>
        <v>18-24</v>
      </c>
      <c r="D3517" t="s">
        <v>153</v>
      </c>
      <c r="E3517" t="s">
        <v>82</v>
      </c>
      <c r="F3517" t="s">
        <v>21</v>
      </c>
      <c r="G3517">
        <v>80</v>
      </c>
      <c r="H3517" t="s">
        <v>130</v>
      </c>
      <c r="I3517" t="s">
        <v>92</v>
      </c>
      <c r="J3517" t="s">
        <v>63</v>
      </c>
      <c r="K3517" t="s">
        <v>25</v>
      </c>
      <c r="L3517">
        <v>4</v>
      </c>
      <c r="M3517" t="s">
        <v>152</v>
      </c>
      <c r="N3517" t="s">
        <v>46</v>
      </c>
      <c r="O3517" t="s">
        <v>47</v>
      </c>
      <c r="P3517" t="s">
        <v>152</v>
      </c>
      <c r="Q3517" t="s">
        <v>152</v>
      </c>
      <c r="R3517">
        <v>16</v>
      </c>
      <c r="S3517" t="s">
        <v>59</v>
      </c>
      <c r="T3517" t="str">
        <f t="shared" si="108"/>
        <v>2-week</v>
      </c>
      <c r="U3517">
        <f>VLOOKUP(T3517,[1]tablescore!$B$3:$C$8, 2,FALSE)</f>
        <v>26</v>
      </c>
      <c r="V3517" t="str">
        <f t="shared" si="109"/>
        <v>Loyal</v>
      </c>
      <c r="W3517" t="s">
        <v>77</v>
      </c>
    </row>
    <row r="3518" spans="1:23" x14ac:dyDescent="0.25">
      <c r="A3518">
        <v>3517</v>
      </c>
      <c r="B3518">
        <v>34</v>
      </c>
      <c r="C3518" t="str" cm="1">
        <f t="array" ref="C3518">_xlfn.IFS(
  AND(B3518&gt;=18, B3518&lt;=24), "18-24",
  AND(B3518&gt;=25, B3518&lt;=34), "25-34",
  AND(B3518&gt;=35, B3518&lt;=44), "35-44",
  AND(B3518&gt;=45, B3518&lt;=54), "45-54",
  B3518&gt;=55, "55+"
)</f>
        <v>25-34</v>
      </c>
      <c r="D3518" t="s">
        <v>153</v>
      </c>
      <c r="E3518" t="s">
        <v>132</v>
      </c>
      <c r="F3518" t="s">
        <v>43</v>
      </c>
      <c r="G3518">
        <v>56</v>
      </c>
      <c r="H3518" t="s">
        <v>126</v>
      </c>
      <c r="I3518" t="s">
        <v>38</v>
      </c>
      <c r="J3518" t="s">
        <v>53</v>
      </c>
      <c r="K3518" t="s">
        <v>54</v>
      </c>
      <c r="L3518">
        <v>4</v>
      </c>
      <c r="M3518" t="s">
        <v>152</v>
      </c>
      <c r="N3518" t="s">
        <v>29</v>
      </c>
      <c r="O3518" t="s">
        <v>40</v>
      </c>
      <c r="P3518" t="s">
        <v>152</v>
      </c>
      <c r="Q3518" t="s">
        <v>152</v>
      </c>
      <c r="R3518">
        <v>38</v>
      </c>
      <c r="S3518" t="s">
        <v>46</v>
      </c>
      <c r="T3518" t="str">
        <f t="shared" si="108"/>
        <v>2-week</v>
      </c>
      <c r="U3518">
        <f>VLOOKUP(T3518,[1]tablescore!$B$3:$C$8, 2,FALSE)</f>
        <v>26</v>
      </c>
      <c r="V3518" t="str">
        <f t="shared" si="109"/>
        <v>Loyal</v>
      </c>
      <c r="W3518" t="s">
        <v>77</v>
      </c>
    </row>
    <row r="3519" spans="1:23" x14ac:dyDescent="0.25">
      <c r="A3519">
        <v>3518</v>
      </c>
      <c r="B3519">
        <v>29</v>
      </c>
      <c r="C3519" t="str" cm="1">
        <f t="array" ref="C3519">_xlfn.IFS(
  AND(B3519&gt;=18, B3519&lt;=24), "18-24",
  AND(B3519&gt;=25, B3519&lt;=34), "25-34",
  AND(B3519&gt;=35, B3519&lt;=44), "35-44",
  AND(B3519&gt;=45, B3519&lt;=54), "45-54",
  B3519&gt;=55, "55+"
)</f>
        <v>25-34</v>
      </c>
      <c r="D3519" t="s">
        <v>153</v>
      </c>
      <c r="E3519" t="s">
        <v>87</v>
      </c>
      <c r="F3519" t="s">
        <v>21</v>
      </c>
      <c r="G3519">
        <v>69</v>
      </c>
      <c r="H3519" t="s">
        <v>122</v>
      </c>
      <c r="I3519" t="s">
        <v>45</v>
      </c>
      <c r="J3519" t="s">
        <v>121</v>
      </c>
      <c r="K3519" t="s">
        <v>25</v>
      </c>
      <c r="L3519">
        <v>3.1</v>
      </c>
      <c r="M3519" t="s">
        <v>152</v>
      </c>
      <c r="N3519" t="s">
        <v>59</v>
      </c>
      <c r="O3519" t="s">
        <v>47</v>
      </c>
      <c r="P3519" t="s">
        <v>152</v>
      </c>
      <c r="Q3519" t="s">
        <v>152</v>
      </c>
      <c r="R3519">
        <v>34</v>
      </c>
      <c r="S3519" t="s">
        <v>59</v>
      </c>
      <c r="T3519" t="str">
        <f t="shared" si="108"/>
        <v>Quarterly</v>
      </c>
      <c r="U3519">
        <f>VLOOKUP(T3519,[1]tablescore!$B$3:$C$8, 2,FALSE)</f>
        <v>4</v>
      </c>
      <c r="V3519" t="str">
        <f t="shared" si="109"/>
        <v>Low Loyalty</v>
      </c>
      <c r="W3519" t="s">
        <v>97</v>
      </c>
    </row>
    <row r="3520" spans="1:23" x14ac:dyDescent="0.25">
      <c r="A3520">
        <v>3519</v>
      </c>
      <c r="B3520">
        <v>50</v>
      </c>
      <c r="C3520" t="str" cm="1">
        <f t="array" ref="C3520">_xlfn.IFS(
  AND(B3520&gt;=18, B3520&lt;=24), "18-24",
  AND(B3520&gt;=25, B3520&lt;=34), "25-34",
  AND(B3520&gt;=35, B3520&lt;=44), "35-44",
  AND(B3520&gt;=45, B3520&lt;=54), "45-54",
  B3520&gt;=55, "55+"
)</f>
        <v>45-54</v>
      </c>
      <c r="D3520" t="s">
        <v>153</v>
      </c>
      <c r="E3520" t="s">
        <v>56</v>
      </c>
      <c r="F3520" t="s">
        <v>21</v>
      </c>
      <c r="G3520">
        <v>97</v>
      </c>
      <c r="H3520" t="s">
        <v>112</v>
      </c>
      <c r="I3520" t="s">
        <v>45</v>
      </c>
      <c r="J3520" t="s">
        <v>94</v>
      </c>
      <c r="K3520" t="s">
        <v>39</v>
      </c>
      <c r="L3520">
        <v>4.2</v>
      </c>
      <c r="M3520" t="s">
        <v>152</v>
      </c>
      <c r="N3520" t="s">
        <v>34</v>
      </c>
      <c r="O3520" t="s">
        <v>55</v>
      </c>
      <c r="P3520" t="s">
        <v>152</v>
      </c>
      <c r="Q3520" t="s">
        <v>152</v>
      </c>
      <c r="R3520">
        <v>30</v>
      </c>
      <c r="S3520" t="s">
        <v>46</v>
      </c>
      <c r="T3520" t="str">
        <f t="shared" si="108"/>
        <v>Quarterly</v>
      </c>
      <c r="U3520">
        <f>VLOOKUP(T3520,[1]tablescore!$B$3:$C$8, 2,FALSE)</f>
        <v>4</v>
      </c>
      <c r="V3520" t="str">
        <f t="shared" si="109"/>
        <v>Low Loyalty</v>
      </c>
      <c r="W3520" t="s">
        <v>60</v>
      </c>
    </row>
    <row r="3521" spans="1:23" x14ac:dyDescent="0.25">
      <c r="A3521">
        <v>3520</v>
      </c>
      <c r="B3521">
        <v>31</v>
      </c>
      <c r="C3521" t="str" cm="1">
        <f t="array" ref="C3521">_xlfn.IFS(
  AND(B3521&gt;=18, B3521&lt;=24), "18-24",
  AND(B3521&gt;=25, B3521&lt;=34), "25-34",
  AND(B3521&gt;=35, B3521&lt;=44), "35-44",
  AND(B3521&gt;=45, B3521&lt;=54), "45-54",
  B3521&gt;=55, "55+"
)</f>
        <v>25-34</v>
      </c>
      <c r="D3521" t="s">
        <v>153</v>
      </c>
      <c r="E3521" t="s">
        <v>61</v>
      </c>
      <c r="F3521" t="s">
        <v>21</v>
      </c>
      <c r="G3521">
        <v>66</v>
      </c>
      <c r="H3521" t="s">
        <v>148</v>
      </c>
      <c r="I3521" t="s">
        <v>45</v>
      </c>
      <c r="J3521" t="s">
        <v>53</v>
      </c>
      <c r="K3521" t="s">
        <v>25</v>
      </c>
      <c r="L3521">
        <v>3.7</v>
      </c>
      <c r="M3521" t="s">
        <v>152</v>
      </c>
      <c r="N3521" t="s">
        <v>27</v>
      </c>
      <c r="O3521" t="s">
        <v>47</v>
      </c>
      <c r="P3521" t="s">
        <v>152</v>
      </c>
      <c r="Q3521" t="s">
        <v>152</v>
      </c>
      <c r="R3521">
        <v>14</v>
      </c>
      <c r="S3521" t="s">
        <v>34</v>
      </c>
      <c r="T3521" t="str">
        <f t="shared" si="108"/>
        <v>2-week</v>
      </c>
      <c r="U3521">
        <f>VLOOKUP(T3521,[1]tablescore!$B$3:$C$8, 2,FALSE)</f>
        <v>26</v>
      </c>
      <c r="V3521" t="str">
        <f t="shared" si="109"/>
        <v>Loyal</v>
      </c>
      <c r="W3521" t="s">
        <v>30</v>
      </c>
    </row>
    <row r="3522" spans="1:23" x14ac:dyDescent="0.25">
      <c r="A3522">
        <v>3521</v>
      </c>
      <c r="B3522">
        <v>41</v>
      </c>
      <c r="C3522" t="str" cm="1">
        <f t="array" ref="C3522">_xlfn.IFS(
  AND(B3522&gt;=18, B3522&lt;=24), "18-24",
  AND(B3522&gt;=25, B3522&lt;=34), "25-34",
  AND(B3522&gt;=35, B3522&lt;=44), "35-44",
  AND(B3522&gt;=45, B3522&lt;=54), "45-54",
  B3522&gt;=55, "55+"
)</f>
        <v>35-44</v>
      </c>
      <c r="D3522" t="s">
        <v>153</v>
      </c>
      <c r="E3522" t="s">
        <v>125</v>
      </c>
      <c r="F3522" t="s">
        <v>69</v>
      </c>
      <c r="G3522">
        <v>70</v>
      </c>
      <c r="H3522" t="s">
        <v>142</v>
      </c>
      <c r="I3522" t="s">
        <v>38</v>
      </c>
      <c r="J3522" t="s">
        <v>110</v>
      </c>
      <c r="K3522" t="s">
        <v>39</v>
      </c>
      <c r="L3522">
        <v>3.1</v>
      </c>
      <c r="M3522" t="s">
        <v>152</v>
      </c>
      <c r="N3522" t="s">
        <v>46</v>
      </c>
      <c r="O3522" t="s">
        <v>28</v>
      </c>
      <c r="P3522" t="s">
        <v>152</v>
      </c>
      <c r="Q3522" t="s">
        <v>152</v>
      </c>
      <c r="R3522">
        <v>33</v>
      </c>
      <c r="S3522" t="s">
        <v>34</v>
      </c>
      <c r="T3522" t="str">
        <f t="shared" si="108"/>
        <v>Month</v>
      </c>
      <c r="U3522">
        <f>VLOOKUP(T3522,[1]tablescore!$B$3:$C$8, 2,FALSE)</f>
        <v>12</v>
      </c>
      <c r="V3522" t="str">
        <f t="shared" si="109"/>
        <v>Moderate</v>
      </c>
      <c r="W3522" t="s">
        <v>88</v>
      </c>
    </row>
    <row r="3523" spans="1:23" x14ac:dyDescent="0.25">
      <c r="A3523">
        <v>3522</v>
      </c>
      <c r="B3523">
        <v>52</v>
      </c>
      <c r="C3523" t="str" cm="1">
        <f t="array" ref="C3523">_xlfn.IFS(
  AND(B3523&gt;=18, B3523&lt;=24), "18-24",
  AND(B3523&gt;=25, B3523&lt;=34), "25-34",
  AND(B3523&gt;=35, B3523&lt;=44), "35-44",
  AND(B3523&gt;=45, B3523&lt;=54), "45-54",
  B3523&gt;=55, "55+"
)</f>
        <v>45-54</v>
      </c>
      <c r="D3523" t="s">
        <v>153</v>
      </c>
      <c r="E3523" t="s">
        <v>73</v>
      </c>
      <c r="F3523" t="s">
        <v>43</v>
      </c>
      <c r="G3523">
        <v>50</v>
      </c>
      <c r="H3523" t="s">
        <v>135</v>
      </c>
      <c r="I3523" t="s">
        <v>45</v>
      </c>
      <c r="J3523" t="s">
        <v>71</v>
      </c>
      <c r="K3523" t="s">
        <v>25</v>
      </c>
      <c r="L3523">
        <v>3.7</v>
      </c>
      <c r="M3523" t="s">
        <v>152</v>
      </c>
      <c r="N3523" t="s">
        <v>27</v>
      </c>
      <c r="O3523" t="s">
        <v>76</v>
      </c>
      <c r="P3523" t="s">
        <v>152</v>
      </c>
      <c r="Q3523" t="s">
        <v>152</v>
      </c>
      <c r="R3523">
        <v>35</v>
      </c>
      <c r="S3523" t="s">
        <v>29</v>
      </c>
      <c r="T3523" t="str">
        <f t="shared" ref="T3523:T3586" si="110">IF(TRIM(W3523)="Every 3 months","Quarterly",IF(TRIM(W3523)="Fortnightly","2-week",IF(TRIM(W3523)="Bi-Weekly","2-week",IF(TRIM(W3523)="Weekly","Daily",IF(TRIM(W3523)="Monthly","Month",TRIM(W3523))))))</f>
        <v>Daily</v>
      </c>
      <c r="U3523">
        <f>VLOOKUP(T3523,[1]tablescore!$B$3:$C$8, 2,FALSE)</f>
        <v>30</v>
      </c>
      <c r="V3523" t="str">
        <f t="shared" ref="V3523:V3586" si="111">_xlfn.IFS(U3523&gt;=30, "Highly Loyal", U3523&gt;=26, "Loyal", U3523&gt;=12, "Moderate", U3523&lt;5, "Low Loyalty")</f>
        <v>Highly Loyal</v>
      </c>
      <c r="W3523" t="s">
        <v>41</v>
      </c>
    </row>
    <row r="3524" spans="1:23" x14ac:dyDescent="0.25">
      <c r="A3524">
        <v>3523</v>
      </c>
      <c r="B3524">
        <v>27</v>
      </c>
      <c r="C3524" t="str" cm="1">
        <f t="array" ref="C3524">_xlfn.IFS(
  AND(B3524&gt;=18, B3524&lt;=24), "18-24",
  AND(B3524&gt;=25, B3524&lt;=34), "25-34",
  AND(B3524&gt;=35, B3524&lt;=44), "35-44",
  AND(B3524&gt;=45, B3524&lt;=54), "45-54",
  B3524&gt;=55, "55+"
)</f>
        <v>25-34</v>
      </c>
      <c r="D3524" t="s">
        <v>153</v>
      </c>
      <c r="E3524" t="s">
        <v>95</v>
      </c>
      <c r="F3524" t="s">
        <v>21</v>
      </c>
      <c r="G3524">
        <v>85</v>
      </c>
      <c r="H3524" t="s">
        <v>137</v>
      </c>
      <c r="I3524" t="s">
        <v>45</v>
      </c>
      <c r="J3524" t="s">
        <v>139</v>
      </c>
      <c r="K3524" t="s">
        <v>39</v>
      </c>
      <c r="L3524">
        <v>3.2</v>
      </c>
      <c r="M3524" t="s">
        <v>152</v>
      </c>
      <c r="N3524" t="s">
        <v>34</v>
      </c>
      <c r="O3524" t="s">
        <v>76</v>
      </c>
      <c r="P3524" t="s">
        <v>152</v>
      </c>
      <c r="Q3524" t="s">
        <v>152</v>
      </c>
      <c r="R3524">
        <v>13</v>
      </c>
      <c r="S3524" t="s">
        <v>35</v>
      </c>
      <c r="T3524" t="str">
        <f t="shared" si="110"/>
        <v>Quarterly</v>
      </c>
      <c r="U3524">
        <f>VLOOKUP(T3524,[1]tablescore!$B$3:$C$8, 2,FALSE)</f>
        <v>4</v>
      </c>
      <c r="V3524" t="str">
        <f t="shared" si="111"/>
        <v>Low Loyalty</v>
      </c>
      <c r="W3524" t="s">
        <v>60</v>
      </c>
    </row>
    <row r="3525" spans="1:23" x14ac:dyDescent="0.25">
      <c r="A3525">
        <v>3524</v>
      </c>
      <c r="B3525">
        <v>49</v>
      </c>
      <c r="C3525" t="str" cm="1">
        <f t="array" ref="C3525">_xlfn.IFS(
  AND(B3525&gt;=18, B3525&lt;=24), "18-24",
  AND(B3525&gt;=25, B3525&lt;=34), "25-34",
  AND(B3525&gt;=35, B3525&lt;=44), "35-44",
  AND(B3525&gt;=45, B3525&lt;=54), "45-54",
  B3525&gt;=55, "55+"
)</f>
        <v>45-54</v>
      </c>
      <c r="D3525" t="s">
        <v>153</v>
      </c>
      <c r="E3525" t="s">
        <v>133</v>
      </c>
      <c r="F3525" t="s">
        <v>69</v>
      </c>
      <c r="G3525">
        <v>59</v>
      </c>
      <c r="H3525" t="s">
        <v>107</v>
      </c>
      <c r="I3525" t="s">
        <v>45</v>
      </c>
      <c r="J3525" t="s">
        <v>109</v>
      </c>
      <c r="K3525" t="s">
        <v>54</v>
      </c>
      <c r="L3525">
        <v>2.8</v>
      </c>
      <c r="M3525" t="s">
        <v>152</v>
      </c>
      <c r="N3525" t="s">
        <v>46</v>
      </c>
      <c r="O3525" t="s">
        <v>55</v>
      </c>
      <c r="P3525" t="s">
        <v>152</v>
      </c>
      <c r="Q3525" t="s">
        <v>152</v>
      </c>
      <c r="R3525">
        <v>30</v>
      </c>
      <c r="S3525" t="s">
        <v>35</v>
      </c>
      <c r="T3525" t="str">
        <f t="shared" si="110"/>
        <v>2-week</v>
      </c>
      <c r="U3525">
        <f>VLOOKUP(T3525,[1]tablescore!$B$3:$C$8, 2,FALSE)</f>
        <v>26</v>
      </c>
      <c r="V3525" t="str">
        <f t="shared" si="111"/>
        <v>Loyal</v>
      </c>
      <c r="W3525" t="s">
        <v>30</v>
      </c>
    </row>
    <row r="3526" spans="1:23" x14ac:dyDescent="0.25">
      <c r="A3526">
        <v>3525</v>
      </c>
      <c r="B3526">
        <v>69</v>
      </c>
      <c r="C3526" t="str" cm="1">
        <f t="array" ref="C3526">_xlfn.IFS(
  AND(B3526&gt;=18, B3526&lt;=24), "18-24",
  AND(B3526&gt;=25, B3526&lt;=34), "25-34",
  AND(B3526&gt;=35, B3526&lt;=44), "35-44",
  AND(B3526&gt;=45, B3526&lt;=54), "45-54",
  B3526&gt;=55, "55+"
)</f>
        <v>55+</v>
      </c>
      <c r="D3526" t="s">
        <v>153</v>
      </c>
      <c r="E3526" t="s">
        <v>95</v>
      </c>
      <c r="F3526" t="s">
        <v>21</v>
      </c>
      <c r="G3526">
        <v>74</v>
      </c>
      <c r="H3526" t="s">
        <v>151</v>
      </c>
      <c r="I3526" t="s">
        <v>23</v>
      </c>
      <c r="J3526" t="s">
        <v>67</v>
      </c>
      <c r="K3526" t="s">
        <v>54</v>
      </c>
      <c r="L3526">
        <v>2.9</v>
      </c>
      <c r="M3526" t="s">
        <v>152</v>
      </c>
      <c r="N3526" t="s">
        <v>27</v>
      </c>
      <c r="O3526" t="s">
        <v>40</v>
      </c>
      <c r="P3526" t="s">
        <v>152</v>
      </c>
      <c r="Q3526" t="s">
        <v>152</v>
      </c>
      <c r="R3526">
        <v>30</v>
      </c>
      <c r="S3526" t="s">
        <v>27</v>
      </c>
      <c r="T3526" t="str">
        <f t="shared" si="110"/>
        <v>Month</v>
      </c>
      <c r="U3526">
        <f>VLOOKUP(T3526,[1]tablescore!$B$3:$C$8, 2,FALSE)</f>
        <v>12</v>
      </c>
      <c r="V3526" t="str">
        <f t="shared" si="111"/>
        <v>Moderate</v>
      </c>
      <c r="W3526" t="s">
        <v>88</v>
      </c>
    </row>
    <row r="3527" spans="1:23" x14ac:dyDescent="0.25">
      <c r="A3527">
        <v>3526</v>
      </c>
      <c r="B3527">
        <v>45</v>
      </c>
      <c r="C3527" t="str" cm="1">
        <f t="array" ref="C3527">_xlfn.IFS(
  AND(B3527&gt;=18, B3527&lt;=24), "18-24",
  AND(B3527&gt;=25, B3527&lt;=34), "25-34",
  AND(B3527&gt;=35, B3527&lt;=44), "35-44",
  AND(B3527&gt;=45, B3527&lt;=54), "45-54",
  B3527&gt;=55, "55+"
)</f>
        <v>45-54</v>
      </c>
      <c r="D3527" t="s">
        <v>153</v>
      </c>
      <c r="E3527" t="s">
        <v>89</v>
      </c>
      <c r="F3527" t="s">
        <v>69</v>
      </c>
      <c r="G3527">
        <v>38</v>
      </c>
      <c r="H3527" t="s">
        <v>52</v>
      </c>
      <c r="I3527" t="s">
        <v>23</v>
      </c>
      <c r="J3527" t="s">
        <v>79</v>
      </c>
      <c r="K3527" t="s">
        <v>25</v>
      </c>
      <c r="L3527">
        <v>3.5</v>
      </c>
      <c r="M3527" t="s">
        <v>152</v>
      </c>
      <c r="N3527" t="s">
        <v>46</v>
      </c>
      <c r="O3527" t="s">
        <v>55</v>
      </c>
      <c r="P3527" t="s">
        <v>152</v>
      </c>
      <c r="Q3527" t="s">
        <v>152</v>
      </c>
      <c r="R3527">
        <v>47</v>
      </c>
      <c r="S3527" t="s">
        <v>34</v>
      </c>
      <c r="T3527" t="str">
        <f t="shared" si="110"/>
        <v>Annually</v>
      </c>
      <c r="U3527">
        <f>VLOOKUP(T3527,[1]tablescore!$B$3:$C$8, 2,FALSE)</f>
        <v>1</v>
      </c>
      <c r="V3527" t="str">
        <f t="shared" si="111"/>
        <v>Low Loyalty</v>
      </c>
      <c r="W3527" t="s">
        <v>50</v>
      </c>
    </row>
    <row r="3528" spans="1:23" x14ac:dyDescent="0.25">
      <c r="A3528">
        <v>3527</v>
      </c>
      <c r="B3528">
        <v>20</v>
      </c>
      <c r="C3528" t="str" cm="1">
        <f t="array" ref="C3528">_xlfn.IFS(
  AND(B3528&gt;=18, B3528&lt;=24), "18-24",
  AND(B3528&gt;=25, B3528&lt;=34), "25-34",
  AND(B3528&gt;=35, B3528&lt;=44), "35-44",
  AND(B3528&gt;=45, B3528&lt;=54), "45-54",
  B3528&gt;=55, "55+"
)</f>
        <v>18-24</v>
      </c>
      <c r="D3528" t="s">
        <v>153</v>
      </c>
      <c r="E3528" t="s">
        <v>31</v>
      </c>
      <c r="F3528" t="s">
        <v>21</v>
      </c>
      <c r="G3528">
        <v>99</v>
      </c>
      <c r="H3528" t="s">
        <v>37</v>
      </c>
      <c r="I3528" t="s">
        <v>45</v>
      </c>
      <c r="J3528" t="s">
        <v>79</v>
      </c>
      <c r="K3528" t="s">
        <v>39</v>
      </c>
      <c r="L3528">
        <v>3.8</v>
      </c>
      <c r="M3528" t="s">
        <v>152</v>
      </c>
      <c r="N3528" t="s">
        <v>46</v>
      </c>
      <c r="O3528" t="s">
        <v>28</v>
      </c>
      <c r="P3528" t="s">
        <v>152</v>
      </c>
      <c r="Q3528" t="s">
        <v>152</v>
      </c>
      <c r="R3528">
        <v>1</v>
      </c>
      <c r="S3528" t="s">
        <v>46</v>
      </c>
      <c r="T3528" t="str">
        <f t="shared" si="110"/>
        <v>Quarterly</v>
      </c>
      <c r="U3528">
        <f>VLOOKUP(T3528,[1]tablescore!$B$3:$C$8, 2,FALSE)</f>
        <v>4</v>
      </c>
      <c r="V3528" t="str">
        <f t="shared" si="111"/>
        <v>Low Loyalty</v>
      </c>
      <c r="W3528" t="s">
        <v>97</v>
      </c>
    </row>
    <row r="3529" spans="1:23" x14ac:dyDescent="0.25">
      <c r="A3529">
        <v>3528</v>
      </c>
      <c r="B3529">
        <v>25</v>
      </c>
      <c r="C3529" t="str" cm="1">
        <f t="array" ref="C3529">_xlfn.IFS(
  AND(B3529&gt;=18, B3529&lt;=24), "18-24",
  AND(B3529&gt;=25, B3529&lt;=34), "25-34",
  AND(B3529&gt;=35, B3529&lt;=44), "35-44",
  AND(B3529&gt;=45, B3529&lt;=54), "45-54",
  B3529&gt;=55, "55+"
)</f>
        <v>25-34</v>
      </c>
      <c r="D3529" t="s">
        <v>153</v>
      </c>
      <c r="E3529" t="s">
        <v>20</v>
      </c>
      <c r="F3529" t="s">
        <v>21</v>
      </c>
      <c r="G3529">
        <v>97</v>
      </c>
      <c r="H3529" t="s">
        <v>140</v>
      </c>
      <c r="I3529" t="s">
        <v>38</v>
      </c>
      <c r="J3529" t="s">
        <v>63</v>
      </c>
      <c r="K3529" t="s">
        <v>39</v>
      </c>
      <c r="L3529">
        <v>4.7</v>
      </c>
      <c r="M3529" t="s">
        <v>152</v>
      </c>
      <c r="N3529" t="s">
        <v>35</v>
      </c>
      <c r="O3529" t="s">
        <v>40</v>
      </c>
      <c r="P3529" t="s">
        <v>152</v>
      </c>
      <c r="Q3529" t="s">
        <v>152</v>
      </c>
      <c r="R3529">
        <v>1</v>
      </c>
      <c r="S3529" t="s">
        <v>35</v>
      </c>
      <c r="T3529" t="str">
        <f t="shared" si="110"/>
        <v>Daily</v>
      </c>
      <c r="U3529">
        <f>VLOOKUP(T3529,[1]tablescore!$B$3:$C$8, 2,FALSE)</f>
        <v>30</v>
      </c>
      <c r="V3529" t="str">
        <f t="shared" si="111"/>
        <v>Highly Loyal</v>
      </c>
      <c r="W3529" t="s">
        <v>41</v>
      </c>
    </row>
    <row r="3530" spans="1:23" x14ac:dyDescent="0.25">
      <c r="A3530">
        <v>3529</v>
      </c>
      <c r="B3530">
        <v>38</v>
      </c>
      <c r="C3530" t="str" cm="1">
        <f t="array" ref="C3530">_xlfn.IFS(
  AND(B3530&gt;=18, B3530&lt;=24), "18-24",
  AND(B3530&gt;=25, B3530&lt;=34), "25-34",
  AND(B3530&gt;=35, B3530&lt;=44), "35-44",
  AND(B3530&gt;=45, B3530&lt;=54), "45-54",
  B3530&gt;=55, "55+"
)</f>
        <v>35-44</v>
      </c>
      <c r="D3530" t="s">
        <v>153</v>
      </c>
      <c r="E3530" t="s">
        <v>119</v>
      </c>
      <c r="F3530" t="s">
        <v>69</v>
      </c>
      <c r="G3530">
        <v>67</v>
      </c>
      <c r="H3530" t="s">
        <v>32</v>
      </c>
      <c r="I3530" t="s">
        <v>23</v>
      </c>
      <c r="J3530" t="s">
        <v>24</v>
      </c>
      <c r="K3530" t="s">
        <v>54</v>
      </c>
      <c r="L3530">
        <v>4.5</v>
      </c>
      <c r="M3530" t="s">
        <v>152</v>
      </c>
      <c r="N3530" t="s">
        <v>35</v>
      </c>
      <c r="O3530" t="s">
        <v>40</v>
      </c>
      <c r="P3530" t="s">
        <v>152</v>
      </c>
      <c r="Q3530" t="s">
        <v>152</v>
      </c>
      <c r="R3530">
        <v>33</v>
      </c>
      <c r="S3530" t="s">
        <v>46</v>
      </c>
      <c r="T3530" t="str">
        <f t="shared" si="110"/>
        <v>Annually</v>
      </c>
      <c r="U3530">
        <f>VLOOKUP(T3530,[1]tablescore!$B$3:$C$8, 2,FALSE)</f>
        <v>1</v>
      </c>
      <c r="V3530" t="str">
        <f t="shared" si="111"/>
        <v>Low Loyalty</v>
      </c>
      <c r="W3530" t="s">
        <v>50</v>
      </c>
    </row>
    <row r="3531" spans="1:23" x14ac:dyDescent="0.25">
      <c r="A3531">
        <v>3530</v>
      </c>
      <c r="B3531">
        <v>55</v>
      </c>
      <c r="C3531" t="str" cm="1">
        <f t="array" ref="C3531">_xlfn.IFS(
  AND(B3531&gt;=18, B3531&lt;=24), "18-24",
  AND(B3531&gt;=25, B3531&lt;=34), "25-34",
  AND(B3531&gt;=35, B3531&lt;=44), "35-44",
  AND(B3531&gt;=45, B3531&lt;=54), "45-54",
  B3531&gt;=55, "55+"
)</f>
        <v>55+</v>
      </c>
      <c r="D3531" t="s">
        <v>153</v>
      </c>
      <c r="E3531" t="s">
        <v>113</v>
      </c>
      <c r="F3531" t="s">
        <v>21</v>
      </c>
      <c r="G3531">
        <v>20</v>
      </c>
      <c r="H3531" t="s">
        <v>57</v>
      </c>
      <c r="I3531" t="s">
        <v>38</v>
      </c>
      <c r="J3531" t="s">
        <v>33</v>
      </c>
      <c r="K3531" t="s">
        <v>25</v>
      </c>
      <c r="L3531">
        <v>3.9</v>
      </c>
      <c r="M3531" t="s">
        <v>152</v>
      </c>
      <c r="N3531" t="s">
        <v>27</v>
      </c>
      <c r="O3531" t="s">
        <v>47</v>
      </c>
      <c r="P3531" t="s">
        <v>152</v>
      </c>
      <c r="Q3531" t="s">
        <v>152</v>
      </c>
      <c r="R3531">
        <v>43</v>
      </c>
      <c r="S3531" t="s">
        <v>34</v>
      </c>
      <c r="T3531" t="str">
        <f t="shared" si="110"/>
        <v>Daily</v>
      </c>
      <c r="U3531">
        <f>VLOOKUP(T3531,[1]tablescore!$B$3:$C$8, 2,FALSE)</f>
        <v>30</v>
      </c>
      <c r="V3531" t="str">
        <f t="shared" si="111"/>
        <v>Highly Loyal</v>
      </c>
      <c r="W3531" t="s">
        <v>41</v>
      </c>
    </row>
    <row r="3532" spans="1:23" x14ac:dyDescent="0.25">
      <c r="A3532">
        <v>3531</v>
      </c>
      <c r="B3532">
        <v>62</v>
      </c>
      <c r="C3532" t="str" cm="1">
        <f t="array" ref="C3532">_xlfn.IFS(
  AND(B3532&gt;=18, B3532&lt;=24), "18-24",
  AND(B3532&gt;=25, B3532&lt;=34), "25-34",
  AND(B3532&gt;=35, B3532&lt;=44), "35-44",
  AND(B3532&gt;=45, B3532&lt;=54), "45-54",
  B3532&gt;=55, "55+"
)</f>
        <v>55+</v>
      </c>
      <c r="D3532" t="s">
        <v>153</v>
      </c>
      <c r="E3532" t="s">
        <v>89</v>
      </c>
      <c r="F3532" t="s">
        <v>69</v>
      </c>
      <c r="G3532">
        <v>45</v>
      </c>
      <c r="H3532" t="s">
        <v>101</v>
      </c>
      <c r="I3532" t="s">
        <v>23</v>
      </c>
      <c r="J3532" t="s">
        <v>94</v>
      </c>
      <c r="K3532" t="s">
        <v>39</v>
      </c>
      <c r="L3532">
        <v>3.4</v>
      </c>
      <c r="M3532" t="s">
        <v>152</v>
      </c>
      <c r="N3532" t="s">
        <v>34</v>
      </c>
      <c r="O3532" t="s">
        <v>28</v>
      </c>
      <c r="P3532" t="s">
        <v>152</v>
      </c>
      <c r="Q3532" t="s">
        <v>152</v>
      </c>
      <c r="R3532">
        <v>37</v>
      </c>
      <c r="S3532" t="s">
        <v>46</v>
      </c>
      <c r="T3532" t="str">
        <f t="shared" si="110"/>
        <v>Daily</v>
      </c>
      <c r="U3532">
        <f>VLOOKUP(T3532,[1]tablescore!$B$3:$C$8, 2,FALSE)</f>
        <v>30</v>
      </c>
      <c r="V3532" t="str">
        <f t="shared" si="111"/>
        <v>Highly Loyal</v>
      </c>
      <c r="W3532" t="s">
        <v>41</v>
      </c>
    </row>
    <row r="3533" spans="1:23" x14ac:dyDescent="0.25">
      <c r="A3533">
        <v>3532</v>
      </c>
      <c r="B3533">
        <v>54</v>
      </c>
      <c r="C3533" t="str" cm="1">
        <f t="array" ref="C3533">_xlfn.IFS(
  AND(B3533&gt;=18, B3533&lt;=24), "18-24",
  AND(B3533&gt;=25, B3533&lt;=34), "25-34",
  AND(B3533&gt;=35, B3533&lt;=44), "35-44",
  AND(B3533&gt;=45, B3533&lt;=54), "45-54",
  B3533&gt;=55, "55+"
)</f>
        <v>45-54</v>
      </c>
      <c r="D3533" t="s">
        <v>153</v>
      </c>
      <c r="E3533" t="s">
        <v>73</v>
      </c>
      <c r="F3533" t="s">
        <v>43</v>
      </c>
      <c r="G3533">
        <v>52</v>
      </c>
      <c r="H3533" t="s">
        <v>114</v>
      </c>
      <c r="I3533" t="s">
        <v>92</v>
      </c>
      <c r="J3533" t="s">
        <v>84</v>
      </c>
      <c r="K3533" t="s">
        <v>25</v>
      </c>
      <c r="L3533">
        <v>4.5999999999999996</v>
      </c>
      <c r="M3533" t="s">
        <v>152</v>
      </c>
      <c r="N3533" t="s">
        <v>27</v>
      </c>
      <c r="O3533" t="s">
        <v>72</v>
      </c>
      <c r="P3533" t="s">
        <v>152</v>
      </c>
      <c r="Q3533" t="s">
        <v>152</v>
      </c>
      <c r="R3533">
        <v>23</v>
      </c>
      <c r="S3533" t="s">
        <v>35</v>
      </c>
      <c r="T3533" t="str">
        <f t="shared" si="110"/>
        <v>Quarterly</v>
      </c>
      <c r="U3533">
        <f>VLOOKUP(T3533,[1]tablescore!$B$3:$C$8, 2,FALSE)</f>
        <v>4</v>
      </c>
      <c r="V3533" t="str">
        <f t="shared" si="111"/>
        <v>Low Loyalty</v>
      </c>
      <c r="W3533" t="s">
        <v>60</v>
      </c>
    </row>
    <row r="3534" spans="1:23" x14ac:dyDescent="0.25">
      <c r="A3534">
        <v>3533</v>
      </c>
      <c r="B3534">
        <v>61</v>
      </c>
      <c r="C3534" t="str" cm="1">
        <f t="array" ref="C3534">_xlfn.IFS(
  AND(B3534&gt;=18, B3534&lt;=24), "18-24",
  AND(B3534&gt;=25, B3534&lt;=34), "25-34",
  AND(B3534&gt;=35, B3534&lt;=44), "35-44",
  AND(B3534&gt;=45, B3534&lt;=54), "45-54",
  B3534&gt;=55, "55+"
)</f>
        <v>55+</v>
      </c>
      <c r="D3534" t="s">
        <v>153</v>
      </c>
      <c r="E3534" t="s">
        <v>95</v>
      </c>
      <c r="F3534" t="s">
        <v>21</v>
      </c>
      <c r="G3534">
        <v>68</v>
      </c>
      <c r="H3534" t="s">
        <v>146</v>
      </c>
      <c r="I3534" t="s">
        <v>23</v>
      </c>
      <c r="J3534" t="s">
        <v>129</v>
      </c>
      <c r="K3534" t="s">
        <v>58</v>
      </c>
      <c r="L3534">
        <v>4.5999999999999996</v>
      </c>
      <c r="M3534" t="s">
        <v>152</v>
      </c>
      <c r="N3534" t="s">
        <v>27</v>
      </c>
      <c r="O3534" t="s">
        <v>55</v>
      </c>
      <c r="P3534" t="s">
        <v>152</v>
      </c>
      <c r="Q3534" t="s">
        <v>152</v>
      </c>
      <c r="R3534">
        <v>12</v>
      </c>
      <c r="S3534" t="s">
        <v>27</v>
      </c>
      <c r="T3534" t="str">
        <f t="shared" si="110"/>
        <v>Annually</v>
      </c>
      <c r="U3534">
        <f>VLOOKUP(T3534,[1]tablescore!$B$3:$C$8, 2,FALSE)</f>
        <v>1</v>
      </c>
      <c r="V3534" t="str">
        <f t="shared" si="111"/>
        <v>Low Loyalty</v>
      </c>
      <c r="W3534" t="s">
        <v>50</v>
      </c>
    </row>
    <row r="3535" spans="1:23" x14ac:dyDescent="0.25">
      <c r="A3535">
        <v>3534</v>
      </c>
      <c r="B3535">
        <v>50</v>
      </c>
      <c r="C3535" t="str" cm="1">
        <f t="array" ref="C3535">_xlfn.IFS(
  AND(B3535&gt;=18, B3535&lt;=24), "18-24",
  AND(B3535&gt;=25, B3535&lt;=34), "25-34",
  AND(B3535&gt;=35, B3535&lt;=44), "35-44",
  AND(B3535&gt;=45, B3535&lt;=54), "45-54",
  B3535&gt;=55, "55+"
)</f>
        <v>45-54</v>
      </c>
      <c r="D3535" t="s">
        <v>153</v>
      </c>
      <c r="E3535" t="s">
        <v>51</v>
      </c>
      <c r="F3535" t="s">
        <v>43</v>
      </c>
      <c r="G3535">
        <v>98</v>
      </c>
      <c r="H3535" t="s">
        <v>105</v>
      </c>
      <c r="I3535" t="s">
        <v>23</v>
      </c>
      <c r="J3535" t="s">
        <v>139</v>
      </c>
      <c r="K3535" t="s">
        <v>58</v>
      </c>
      <c r="L3535">
        <v>4.7</v>
      </c>
      <c r="M3535" t="s">
        <v>152</v>
      </c>
      <c r="N3535" t="s">
        <v>29</v>
      </c>
      <c r="O3535" t="s">
        <v>55</v>
      </c>
      <c r="P3535" t="s">
        <v>152</v>
      </c>
      <c r="Q3535" t="s">
        <v>152</v>
      </c>
      <c r="R3535">
        <v>30</v>
      </c>
      <c r="S3535" t="s">
        <v>29</v>
      </c>
      <c r="T3535" t="str">
        <f t="shared" si="110"/>
        <v>2-week</v>
      </c>
      <c r="U3535">
        <f>VLOOKUP(T3535,[1]tablescore!$B$3:$C$8, 2,FALSE)</f>
        <v>26</v>
      </c>
      <c r="V3535" t="str">
        <f t="shared" si="111"/>
        <v>Loyal</v>
      </c>
      <c r="W3535" t="s">
        <v>30</v>
      </c>
    </row>
    <row r="3536" spans="1:23" x14ac:dyDescent="0.25">
      <c r="A3536">
        <v>3535</v>
      </c>
      <c r="B3536">
        <v>65</v>
      </c>
      <c r="C3536" t="str" cm="1">
        <f t="array" ref="C3536">_xlfn.IFS(
  AND(B3536&gt;=18, B3536&lt;=24), "18-24",
  AND(B3536&gt;=25, B3536&lt;=34), "25-34",
  AND(B3536&gt;=35, B3536&lt;=44), "35-44",
  AND(B3536&gt;=45, B3536&lt;=54), "45-54",
  B3536&gt;=55, "55+"
)</f>
        <v>55+</v>
      </c>
      <c r="D3536" t="s">
        <v>153</v>
      </c>
      <c r="E3536" t="s">
        <v>73</v>
      </c>
      <c r="F3536" t="s">
        <v>43</v>
      </c>
      <c r="G3536">
        <v>83</v>
      </c>
      <c r="H3536" t="s">
        <v>80</v>
      </c>
      <c r="I3536" t="s">
        <v>45</v>
      </c>
      <c r="J3536" t="s">
        <v>24</v>
      </c>
      <c r="K3536" t="s">
        <v>58</v>
      </c>
      <c r="L3536">
        <v>3.2</v>
      </c>
      <c r="M3536" t="s">
        <v>152</v>
      </c>
      <c r="N3536" t="s">
        <v>29</v>
      </c>
      <c r="O3536" t="s">
        <v>28</v>
      </c>
      <c r="P3536" t="s">
        <v>152</v>
      </c>
      <c r="Q3536" t="s">
        <v>152</v>
      </c>
      <c r="R3536">
        <v>7</v>
      </c>
      <c r="S3536" t="s">
        <v>35</v>
      </c>
      <c r="T3536" t="str">
        <f t="shared" si="110"/>
        <v>Daily</v>
      </c>
      <c r="U3536">
        <f>VLOOKUP(T3536,[1]tablescore!$B$3:$C$8, 2,FALSE)</f>
        <v>30</v>
      </c>
      <c r="V3536" t="str">
        <f t="shared" si="111"/>
        <v>Highly Loyal</v>
      </c>
      <c r="W3536" t="s">
        <v>41</v>
      </c>
    </row>
    <row r="3537" spans="1:23" x14ac:dyDescent="0.25">
      <c r="A3537">
        <v>3536</v>
      </c>
      <c r="B3537">
        <v>68</v>
      </c>
      <c r="C3537" t="str" cm="1">
        <f t="array" ref="C3537">_xlfn.IFS(
  AND(B3537&gt;=18, B3537&lt;=24), "18-24",
  AND(B3537&gt;=25, B3537&lt;=34), "25-34",
  AND(B3537&gt;=35, B3537&lt;=44), "35-44",
  AND(B3537&gt;=45, B3537&lt;=54), "45-54",
  B3537&gt;=55, "55+"
)</f>
        <v>55+</v>
      </c>
      <c r="D3537" t="s">
        <v>153</v>
      </c>
      <c r="E3537" t="s">
        <v>61</v>
      </c>
      <c r="F3537" t="s">
        <v>21</v>
      </c>
      <c r="G3537">
        <v>51</v>
      </c>
      <c r="H3537" t="s">
        <v>91</v>
      </c>
      <c r="I3537" t="s">
        <v>45</v>
      </c>
      <c r="J3537" t="s">
        <v>108</v>
      </c>
      <c r="K3537" t="s">
        <v>54</v>
      </c>
      <c r="L3537">
        <v>5</v>
      </c>
      <c r="M3537" t="s">
        <v>152</v>
      </c>
      <c r="N3537" t="s">
        <v>34</v>
      </c>
      <c r="O3537" t="s">
        <v>28</v>
      </c>
      <c r="P3537" t="s">
        <v>152</v>
      </c>
      <c r="Q3537" t="s">
        <v>152</v>
      </c>
      <c r="R3537">
        <v>20</v>
      </c>
      <c r="S3537" t="s">
        <v>59</v>
      </c>
      <c r="T3537" t="str">
        <f t="shared" si="110"/>
        <v>Month</v>
      </c>
      <c r="U3537">
        <f>VLOOKUP(T3537,[1]tablescore!$B$3:$C$8, 2,FALSE)</f>
        <v>12</v>
      </c>
      <c r="V3537" t="str">
        <f t="shared" si="111"/>
        <v>Moderate</v>
      </c>
      <c r="W3537" t="s">
        <v>88</v>
      </c>
    </row>
    <row r="3538" spans="1:23" x14ac:dyDescent="0.25">
      <c r="A3538">
        <v>3537</v>
      </c>
      <c r="B3538">
        <v>55</v>
      </c>
      <c r="C3538" t="str" cm="1">
        <f t="array" ref="C3538">_xlfn.IFS(
  AND(B3538&gt;=18, B3538&lt;=24), "18-24",
  AND(B3538&gt;=25, B3538&lt;=34), "25-34",
  AND(B3538&gt;=35, B3538&lt;=44), "35-44",
  AND(B3538&gt;=45, B3538&lt;=54), "45-54",
  B3538&gt;=55, "55+"
)</f>
        <v>55+</v>
      </c>
      <c r="D3538" t="s">
        <v>153</v>
      </c>
      <c r="E3538" t="s">
        <v>68</v>
      </c>
      <c r="F3538" t="s">
        <v>69</v>
      </c>
      <c r="G3538">
        <v>21</v>
      </c>
      <c r="H3538" t="s">
        <v>134</v>
      </c>
      <c r="I3538" t="s">
        <v>23</v>
      </c>
      <c r="J3538" t="s">
        <v>100</v>
      </c>
      <c r="K3538" t="s">
        <v>39</v>
      </c>
      <c r="L3538">
        <v>4.5</v>
      </c>
      <c r="M3538" t="s">
        <v>152</v>
      </c>
      <c r="N3538" t="s">
        <v>29</v>
      </c>
      <c r="O3538" t="s">
        <v>28</v>
      </c>
      <c r="P3538" t="s">
        <v>152</v>
      </c>
      <c r="Q3538" t="s">
        <v>152</v>
      </c>
      <c r="R3538">
        <v>10</v>
      </c>
      <c r="S3538" t="s">
        <v>29</v>
      </c>
      <c r="T3538" t="str">
        <f t="shared" si="110"/>
        <v>Month</v>
      </c>
      <c r="U3538">
        <f>VLOOKUP(T3538,[1]tablescore!$B$3:$C$8, 2,FALSE)</f>
        <v>12</v>
      </c>
      <c r="V3538" t="str">
        <f t="shared" si="111"/>
        <v>Moderate</v>
      </c>
      <c r="W3538" t="s">
        <v>88</v>
      </c>
    </row>
    <row r="3539" spans="1:23" x14ac:dyDescent="0.25">
      <c r="A3539">
        <v>3538</v>
      </c>
      <c r="B3539">
        <v>57</v>
      </c>
      <c r="C3539" t="str" cm="1">
        <f t="array" ref="C3539">_xlfn.IFS(
  AND(B3539&gt;=18, B3539&lt;=24), "18-24",
  AND(B3539&gt;=25, B3539&lt;=34), "25-34",
  AND(B3539&gt;=35, B3539&lt;=44), "35-44",
  AND(B3539&gt;=45, B3539&lt;=54), "45-54",
  B3539&gt;=55, "55+"
)</f>
        <v>55+</v>
      </c>
      <c r="D3539" t="s">
        <v>153</v>
      </c>
      <c r="E3539" t="s">
        <v>68</v>
      </c>
      <c r="F3539" t="s">
        <v>69</v>
      </c>
      <c r="G3539">
        <v>92</v>
      </c>
      <c r="H3539" t="s">
        <v>142</v>
      </c>
      <c r="I3539" t="s">
        <v>45</v>
      </c>
      <c r="J3539" t="s">
        <v>24</v>
      </c>
      <c r="K3539" t="s">
        <v>39</v>
      </c>
      <c r="L3539">
        <v>3.5</v>
      </c>
      <c r="M3539" t="s">
        <v>152</v>
      </c>
      <c r="N3539" t="s">
        <v>29</v>
      </c>
      <c r="O3539" t="s">
        <v>55</v>
      </c>
      <c r="P3539" t="s">
        <v>152</v>
      </c>
      <c r="Q3539" t="s">
        <v>152</v>
      </c>
      <c r="R3539">
        <v>40</v>
      </c>
      <c r="S3539" t="s">
        <v>27</v>
      </c>
      <c r="T3539" t="str">
        <f t="shared" si="110"/>
        <v>Quarterly</v>
      </c>
      <c r="U3539">
        <f>VLOOKUP(T3539,[1]tablescore!$B$3:$C$8, 2,FALSE)</f>
        <v>4</v>
      </c>
      <c r="V3539" t="str">
        <f t="shared" si="111"/>
        <v>Low Loyalty</v>
      </c>
      <c r="W3539" t="s">
        <v>97</v>
      </c>
    </row>
    <row r="3540" spans="1:23" x14ac:dyDescent="0.25">
      <c r="A3540">
        <v>3539</v>
      </c>
      <c r="B3540">
        <v>56</v>
      </c>
      <c r="C3540" t="str" cm="1">
        <f t="array" ref="C3540">_xlfn.IFS(
  AND(B3540&gt;=18, B3540&lt;=24), "18-24",
  AND(B3540&gt;=25, B3540&lt;=34), "25-34",
  AND(B3540&gt;=35, B3540&lt;=44), "35-44",
  AND(B3540&gt;=45, B3540&lt;=54), "45-54",
  B3540&gt;=55, "55+"
)</f>
        <v>55+</v>
      </c>
      <c r="D3540" t="s">
        <v>153</v>
      </c>
      <c r="E3540" t="s">
        <v>73</v>
      </c>
      <c r="F3540" t="s">
        <v>43</v>
      </c>
      <c r="G3540">
        <v>63</v>
      </c>
      <c r="H3540" t="s">
        <v>150</v>
      </c>
      <c r="I3540" t="s">
        <v>38</v>
      </c>
      <c r="J3540" t="s">
        <v>53</v>
      </c>
      <c r="K3540" t="s">
        <v>39</v>
      </c>
      <c r="L3540">
        <v>4.5</v>
      </c>
      <c r="M3540" t="s">
        <v>152</v>
      </c>
      <c r="N3540" t="s">
        <v>29</v>
      </c>
      <c r="O3540" t="s">
        <v>76</v>
      </c>
      <c r="P3540" t="s">
        <v>152</v>
      </c>
      <c r="Q3540" t="s">
        <v>152</v>
      </c>
      <c r="R3540">
        <v>21</v>
      </c>
      <c r="S3540" t="s">
        <v>29</v>
      </c>
      <c r="T3540" t="str">
        <f t="shared" si="110"/>
        <v>Month</v>
      </c>
      <c r="U3540">
        <f>VLOOKUP(T3540,[1]tablescore!$B$3:$C$8, 2,FALSE)</f>
        <v>12</v>
      </c>
      <c r="V3540" t="str">
        <f t="shared" si="111"/>
        <v>Moderate</v>
      </c>
      <c r="W3540" t="s">
        <v>88</v>
      </c>
    </row>
    <row r="3541" spans="1:23" x14ac:dyDescent="0.25">
      <c r="A3541">
        <v>3540</v>
      </c>
      <c r="B3541">
        <v>29</v>
      </c>
      <c r="C3541" t="str" cm="1">
        <f t="array" ref="C3541">_xlfn.IFS(
  AND(B3541&gt;=18, B3541&lt;=24), "18-24",
  AND(B3541&gt;=25, B3541&lt;=34), "25-34",
  AND(B3541&gt;=35, B3541&lt;=44), "35-44",
  AND(B3541&gt;=45, B3541&lt;=54), "45-54",
  B3541&gt;=55, "55+"
)</f>
        <v>25-34</v>
      </c>
      <c r="D3541" t="s">
        <v>153</v>
      </c>
      <c r="E3541" t="s">
        <v>106</v>
      </c>
      <c r="F3541" t="s">
        <v>69</v>
      </c>
      <c r="G3541">
        <v>56</v>
      </c>
      <c r="H3541" t="s">
        <v>85</v>
      </c>
      <c r="I3541" t="s">
        <v>38</v>
      </c>
      <c r="J3541" t="s">
        <v>96</v>
      </c>
      <c r="K3541" t="s">
        <v>39</v>
      </c>
      <c r="L3541">
        <v>3.2</v>
      </c>
      <c r="M3541" t="s">
        <v>152</v>
      </c>
      <c r="N3541" t="s">
        <v>29</v>
      </c>
      <c r="O3541" t="s">
        <v>28</v>
      </c>
      <c r="P3541" t="s">
        <v>152</v>
      </c>
      <c r="Q3541" t="s">
        <v>152</v>
      </c>
      <c r="R3541">
        <v>17</v>
      </c>
      <c r="S3541" t="s">
        <v>27</v>
      </c>
      <c r="T3541" t="str">
        <f t="shared" si="110"/>
        <v>2-week</v>
      </c>
      <c r="U3541">
        <f>VLOOKUP(T3541,[1]tablescore!$B$3:$C$8, 2,FALSE)</f>
        <v>26</v>
      </c>
      <c r="V3541" t="str">
        <f t="shared" si="111"/>
        <v>Loyal</v>
      </c>
      <c r="W3541" t="s">
        <v>77</v>
      </c>
    </row>
    <row r="3542" spans="1:23" x14ac:dyDescent="0.25">
      <c r="A3542">
        <v>3541</v>
      </c>
      <c r="B3542">
        <v>24</v>
      </c>
      <c r="C3542" t="str" cm="1">
        <f t="array" ref="C3542">_xlfn.IFS(
  AND(B3542&gt;=18, B3542&lt;=24), "18-24",
  AND(B3542&gt;=25, B3542&lt;=34), "25-34",
  AND(B3542&gt;=35, B3542&lt;=44), "35-44",
  AND(B3542&gt;=45, B3542&lt;=54), "45-54",
  B3542&gt;=55, "55+"
)</f>
        <v>18-24</v>
      </c>
      <c r="D3542" t="s">
        <v>153</v>
      </c>
      <c r="E3542" t="s">
        <v>61</v>
      </c>
      <c r="F3542" t="s">
        <v>21</v>
      </c>
      <c r="G3542">
        <v>95</v>
      </c>
      <c r="H3542" t="s">
        <v>107</v>
      </c>
      <c r="I3542" t="s">
        <v>45</v>
      </c>
      <c r="J3542" t="s">
        <v>147</v>
      </c>
      <c r="K3542" t="s">
        <v>39</v>
      </c>
      <c r="L3542">
        <v>4.5999999999999996</v>
      </c>
      <c r="M3542" t="s">
        <v>152</v>
      </c>
      <c r="N3542" t="s">
        <v>34</v>
      </c>
      <c r="O3542" t="s">
        <v>40</v>
      </c>
      <c r="P3542" t="s">
        <v>152</v>
      </c>
      <c r="Q3542" t="s">
        <v>152</v>
      </c>
      <c r="R3542">
        <v>5</v>
      </c>
      <c r="S3542" t="s">
        <v>34</v>
      </c>
      <c r="T3542" t="str">
        <f t="shared" si="110"/>
        <v>Daily</v>
      </c>
      <c r="U3542">
        <f>VLOOKUP(T3542,[1]tablescore!$B$3:$C$8, 2,FALSE)</f>
        <v>30</v>
      </c>
      <c r="V3542" t="str">
        <f t="shared" si="111"/>
        <v>Highly Loyal</v>
      </c>
      <c r="W3542" t="s">
        <v>41</v>
      </c>
    </row>
    <row r="3543" spans="1:23" x14ac:dyDescent="0.25">
      <c r="A3543">
        <v>3542</v>
      </c>
      <c r="B3543">
        <v>59</v>
      </c>
      <c r="C3543" t="str" cm="1">
        <f t="array" ref="C3543">_xlfn.IFS(
  AND(B3543&gt;=18, B3543&lt;=24), "18-24",
  AND(B3543&gt;=25, B3543&lt;=34), "25-34",
  AND(B3543&gt;=35, B3543&lt;=44), "35-44",
  AND(B3543&gt;=45, B3543&lt;=54), "45-54",
  B3543&gt;=55, "55+"
)</f>
        <v>55+</v>
      </c>
      <c r="D3543" t="s">
        <v>153</v>
      </c>
      <c r="E3543" t="s">
        <v>20</v>
      </c>
      <c r="F3543" t="s">
        <v>21</v>
      </c>
      <c r="G3543">
        <v>66</v>
      </c>
      <c r="H3543" t="s">
        <v>128</v>
      </c>
      <c r="I3543" t="s">
        <v>45</v>
      </c>
      <c r="J3543" t="s">
        <v>79</v>
      </c>
      <c r="K3543" t="s">
        <v>25</v>
      </c>
      <c r="L3543">
        <v>4</v>
      </c>
      <c r="M3543" t="s">
        <v>152</v>
      </c>
      <c r="N3543" t="s">
        <v>35</v>
      </c>
      <c r="O3543" t="s">
        <v>47</v>
      </c>
      <c r="P3543" t="s">
        <v>152</v>
      </c>
      <c r="Q3543" t="s">
        <v>152</v>
      </c>
      <c r="R3543">
        <v>22</v>
      </c>
      <c r="S3543" t="s">
        <v>46</v>
      </c>
      <c r="T3543" t="str">
        <f t="shared" si="110"/>
        <v>Annually</v>
      </c>
      <c r="U3543">
        <f>VLOOKUP(T3543,[1]tablescore!$B$3:$C$8, 2,FALSE)</f>
        <v>1</v>
      </c>
      <c r="V3543" t="str">
        <f t="shared" si="111"/>
        <v>Low Loyalty</v>
      </c>
      <c r="W3543" t="s">
        <v>50</v>
      </c>
    </row>
    <row r="3544" spans="1:23" x14ac:dyDescent="0.25">
      <c r="A3544">
        <v>3543</v>
      </c>
      <c r="B3544">
        <v>62</v>
      </c>
      <c r="C3544" t="str" cm="1">
        <f t="array" ref="C3544">_xlfn.IFS(
  AND(B3544&gt;=18, B3544&lt;=24), "18-24",
  AND(B3544&gt;=25, B3544&lt;=34), "25-34",
  AND(B3544&gt;=35, B3544&lt;=44), "35-44",
  AND(B3544&gt;=45, B3544&lt;=54), "45-54",
  B3544&gt;=55, "55+"
)</f>
        <v>55+</v>
      </c>
      <c r="D3544" t="s">
        <v>153</v>
      </c>
      <c r="E3544" t="s">
        <v>64</v>
      </c>
      <c r="F3544" t="s">
        <v>65</v>
      </c>
      <c r="G3544">
        <v>28</v>
      </c>
      <c r="H3544" t="s">
        <v>144</v>
      </c>
      <c r="I3544" t="s">
        <v>38</v>
      </c>
      <c r="J3544" t="s">
        <v>79</v>
      </c>
      <c r="K3544" t="s">
        <v>39</v>
      </c>
      <c r="L3544">
        <v>4.2</v>
      </c>
      <c r="M3544" t="s">
        <v>152</v>
      </c>
      <c r="N3544" t="s">
        <v>34</v>
      </c>
      <c r="O3544" t="s">
        <v>28</v>
      </c>
      <c r="P3544" t="s">
        <v>152</v>
      </c>
      <c r="Q3544" t="s">
        <v>152</v>
      </c>
      <c r="R3544">
        <v>5</v>
      </c>
      <c r="S3544" t="s">
        <v>29</v>
      </c>
      <c r="T3544" t="str">
        <f t="shared" si="110"/>
        <v>Daily</v>
      </c>
      <c r="U3544">
        <f>VLOOKUP(T3544,[1]tablescore!$B$3:$C$8, 2,FALSE)</f>
        <v>30</v>
      </c>
      <c r="V3544" t="str">
        <f t="shared" si="111"/>
        <v>Highly Loyal</v>
      </c>
      <c r="W3544" t="s">
        <v>41</v>
      </c>
    </row>
    <row r="3545" spans="1:23" x14ac:dyDescent="0.25">
      <c r="A3545">
        <v>3544</v>
      </c>
      <c r="B3545">
        <v>58</v>
      </c>
      <c r="C3545" t="str" cm="1">
        <f t="array" ref="C3545">_xlfn.IFS(
  AND(B3545&gt;=18, B3545&lt;=24), "18-24",
  AND(B3545&gt;=25, B3545&lt;=34), "25-34",
  AND(B3545&gt;=35, B3545&lt;=44), "35-44",
  AND(B3545&gt;=45, B3545&lt;=54), "45-54",
  B3545&gt;=55, "55+"
)</f>
        <v>55+</v>
      </c>
      <c r="D3545" t="s">
        <v>153</v>
      </c>
      <c r="E3545" t="s">
        <v>125</v>
      </c>
      <c r="F3545" t="s">
        <v>69</v>
      </c>
      <c r="G3545">
        <v>83</v>
      </c>
      <c r="H3545" t="s">
        <v>112</v>
      </c>
      <c r="I3545" t="s">
        <v>45</v>
      </c>
      <c r="J3545" t="s">
        <v>138</v>
      </c>
      <c r="K3545" t="s">
        <v>25</v>
      </c>
      <c r="L3545">
        <v>4.0999999999999996</v>
      </c>
      <c r="M3545" t="s">
        <v>152</v>
      </c>
      <c r="N3545" t="s">
        <v>27</v>
      </c>
      <c r="O3545" t="s">
        <v>55</v>
      </c>
      <c r="P3545" t="s">
        <v>152</v>
      </c>
      <c r="Q3545" t="s">
        <v>152</v>
      </c>
      <c r="R3545">
        <v>18</v>
      </c>
      <c r="S3545" t="s">
        <v>46</v>
      </c>
      <c r="T3545" t="str">
        <f t="shared" si="110"/>
        <v>Quarterly</v>
      </c>
      <c r="U3545">
        <f>VLOOKUP(T3545,[1]tablescore!$B$3:$C$8, 2,FALSE)</f>
        <v>4</v>
      </c>
      <c r="V3545" t="str">
        <f t="shared" si="111"/>
        <v>Low Loyalty</v>
      </c>
      <c r="W3545" t="s">
        <v>97</v>
      </c>
    </row>
    <row r="3546" spans="1:23" x14ac:dyDescent="0.25">
      <c r="A3546">
        <v>3545</v>
      </c>
      <c r="B3546">
        <v>64</v>
      </c>
      <c r="C3546" t="str" cm="1">
        <f t="array" ref="C3546">_xlfn.IFS(
  AND(B3546&gt;=18, B3546&lt;=24), "18-24",
  AND(B3546&gt;=25, B3546&lt;=34), "25-34",
  AND(B3546&gt;=35, B3546&lt;=44), "35-44",
  AND(B3546&gt;=45, B3546&lt;=54), "45-54",
  B3546&gt;=55, "55+"
)</f>
        <v>55+</v>
      </c>
      <c r="D3546" t="s">
        <v>153</v>
      </c>
      <c r="E3546" t="s">
        <v>131</v>
      </c>
      <c r="F3546" t="s">
        <v>21</v>
      </c>
      <c r="G3546">
        <v>55</v>
      </c>
      <c r="H3546" t="s">
        <v>148</v>
      </c>
      <c r="I3546" t="s">
        <v>92</v>
      </c>
      <c r="J3546" t="s">
        <v>63</v>
      </c>
      <c r="K3546" t="s">
        <v>58</v>
      </c>
      <c r="L3546">
        <v>3.6</v>
      </c>
      <c r="M3546" t="s">
        <v>152</v>
      </c>
      <c r="N3546" t="s">
        <v>46</v>
      </c>
      <c r="O3546" t="s">
        <v>72</v>
      </c>
      <c r="P3546" t="s">
        <v>152</v>
      </c>
      <c r="Q3546" t="s">
        <v>152</v>
      </c>
      <c r="R3546">
        <v>42</v>
      </c>
      <c r="S3546" t="s">
        <v>35</v>
      </c>
      <c r="T3546" t="str">
        <f t="shared" si="110"/>
        <v>Quarterly</v>
      </c>
      <c r="U3546">
        <f>VLOOKUP(T3546,[1]tablescore!$B$3:$C$8, 2,FALSE)</f>
        <v>4</v>
      </c>
      <c r="V3546" t="str">
        <f t="shared" si="111"/>
        <v>Low Loyalty</v>
      </c>
      <c r="W3546" t="s">
        <v>97</v>
      </c>
    </row>
    <row r="3547" spans="1:23" x14ac:dyDescent="0.25">
      <c r="A3547">
        <v>3546</v>
      </c>
      <c r="B3547">
        <v>48</v>
      </c>
      <c r="C3547" t="str" cm="1">
        <f t="array" ref="C3547">_xlfn.IFS(
  AND(B3547&gt;=18, B3547&lt;=24), "18-24",
  AND(B3547&gt;=25, B3547&lt;=34), "25-34",
  AND(B3547&gt;=35, B3547&lt;=44), "35-44",
  AND(B3547&gt;=45, B3547&lt;=54), "45-54",
  B3547&gt;=55, "55+"
)</f>
        <v>45-54</v>
      </c>
      <c r="D3547" t="s">
        <v>153</v>
      </c>
      <c r="E3547" t="s">
        <v>42</v>
      </c>
      <c r="F3547" t="s">
        <v>43</v>
      </c>
      <c r="G3547">
        <v>28</v>
      </c>
      <c r="H3547" t="s">
        <v>146</v>
      </c>
      <c r="I3547" t="s">
        <v>45</v>
      </c>
      <c r="J3547" t="s">
        <v>139</v>
      </c>
      <c r="K3547" t="s">
        <v>39</v>
      </c>
      <c r="L3547">
        <v>3.7</v>
      </c>
      <c r="M3547" t="s">
        <v>152</v>
      </c>
      <c r="N3547" t="s">
        <v>29</v>
      </c>
      <c r="O3547" t="s">
        <v>72</v>
      </c>
      <c r="P3547" t="s">
        <v>152</v>
      </c>
      <c r="Q3547" t="s">
        <v>152</v>
      </c>
      <c r="R3547">
        <v>22</v>
      </c>
      <c r="S3547" t="s">
        <v>59</v>
      </c>
      <c r="T3547" t="str">
        <f t="shared" si="110"/>
        <v>Annually</v>
      </c>
      <c r="U3547">
        <f>VLOOKUP(T3547,[1]tablescore!$B$3:$C$8, 2,FALSE)</f>
        <v>1</v>
      </c>
      <c r="V3547" t="str">
        <f t="shared" si="111"/>
        <v>Low Loyalty</v>
      </c>
      <c r="W3547" t="s">
        <v>50</v>
      </c>
    </row>
    <row r="3548" spans="1:23" x14ac:dyDescent="0.25">
      <c r="A3548">
        <v>3547</v>
      </c>
      <c r="B3548">
        <v>60</v>
      </c>
      <c r="C3548" t="str" cm="1">
        <f t="array" ref="C3548">_xlfn.IFS(
  AND(B3548&gt;=18, B3548&lt;=24), "18-24",
  AND(B3548&gt;=25, B3548&lt;=34), "25-34",
  AND(B3548&gt;=35, B3548&lt;=44), "35-44",
  AND(B3548&gt;=45, B3548&lt;=54), "45-54",
  B3548&gt;=55, "55+"
)</f>
        <v>55+</v>
      </c>
      <c r="D3548" t="s">
        <v>153</v>
      </c>
      <c r="E3548" t="s">
        <v>119</v>
      </c>
      <c r="F3548" t="s">
        <v>69</v>
      </c>
      <c r="G3548">
        <v>79</v>
      </c>
      <c r="H3548" t="s">
        <v>111</v>
      </c>
      <c r="I3548" t="s">
        <v>45</v>
      </c>
      <c r="J3548" t="s">
        <v>84</v>
      </c>
      <c r="K3548" t="s">
        <v>54</v>
      </c>
      <c r="L3548">
        <v>3.6</v>
      </c>
      <c r="M3548" t="s">
        <v>152</v>
      </c>
      <c r="N3548" t="s">
        <v>34</v>
      </c>
      <c r="O3548" t="s">
        <v>40</v>
      </c>
      <c r="P3548" t="s">
        <v>152</v>
      </c>
      <c r="Q3548" t="s">
        <v>152</v>
      </c>
      <c r="R3548">
        <v>37</v>
      </c>
      <c r="S3548" t="s">
        <v>34</v>
      </c>
      <c r="T3548" t="str">
        <f t="shared" si="110"/>
        <v>2-week</v>
      </c>
      <c r="U3548">
        <f>VLOOKUP(T3548,[1]tablescore!$B$3:$C$8, 2,FALSE)</f>
        <v>26</v>
      </c>
      <c r="V3548" t="str">
        <f t="shared" si="111"/>
        <v>Loyal</v>
      </c>
      <c r="W3548" t="s">
        <v>77</v>
      </c>
    </row>
    <row r="3549" spans="1:23" x14ac:dyDescent="0.25">
      <c r="A3549">
        <v>3548</v>
      </c>
      <c r="B3549">
        <v>52</v>
      </c>
      <c r="C3549" t="str" cm="1">
        <f t="array" ref="C3549">_xlfn.IFS(
  AND(B3549&gt;=18, B3549&lt;=24), "18-24",
  AND(B3549&gt;=25, B3549&lt;=34), "25-34",
  AND(B3549&gt;=35, B3549&lt;=44), "35-44",
  AND(B3549&gt;=45, B3549&lt;=54), "45-54",
  B3549&gt;=55, "55+"
)</f>
        <v>45-54</v>
      </c>
      <c r="D3549" t="s">
        <v>153</v>
      </c>
      <c r="E3549" t="s">
        <v>119</v>
      </c>
      <c r="F3549" t="s">
        <v>69</v>
      </c>
      <c r="G3549">
        <v>31</v>
      </c>
      <c r="H3549" t="s">
        <v>141</v>
      </c>
      <c r="I3549" t="s">
        <v>23</v>
      </c>
      <c r="J3549" t="s">
        <v>147</v>
      </c>
      <c r="K3549" t="s">
        <v>54</v>
      </c>
      <c r="L3549">
        <v>3.8</v>
      </c>
      <c r="M3549" t="s">
        <v>152</v>
      </c>
      <c r="N3549" t="s">
        <v>59</v>
      </c>
      <c r="O3549" t="s">
        <v>55</v>
      </c>
      <c r="P3549" t="s">
        <v>152</v>
      </c>
      <c r="Q3549" t="s">
        <v>152</v>
      </c>
      <c r="R3549">
        <v>23</v>
      </c>
      <c r="S3549" t="s">
        <v>27</v>
      </c>
      <c r="T3549" t="str">
        <f t="shared" si="110"/>
        <v>Annually</v>
      </c>
      <c r="U3549">
        <f>VLOOKUP(T3549,[1]tablescore!$B$3:$C$8, 2,FALSE)</f>
        <v>1</v>
      </c>
      <c r="V3549" t="str">
        <f t="shared" si="111"/>
        <v>Low Loyalty</v>
      </c>
      <c r="W3549" t="s">
        <v>50</v>
      </c>
    </row>
    <row r="3550" spans="1:23" x14ac:dyDescent="0.25">
      <c r="A3550">
        <v>3549</v>
      </c>
      <c r="B3550">
        <v>63</v>
      </c>
      <c r="C3550" t="str" cm="1">
        <f t="array" ref="C3550">_xlfn.IFS(
  AND(B3550&gt;=18, B3550&lt;=24), "18-24",
  AND(B3550&gt;=25, B3550&lt;=34), "25-34",
  AND(B3550&gt;=35, B3550&lt;=44), "35-44",
  AND(B3550&gt;=45, B3550&lt;=54), "45-54",
  B3550&gt;=55, "55+"
)</f>
        <v>55+</v>
      </c>
      <c r="D3550" t="s">
        <v>153</v>
      </c>
      <c r="E3550" t="s">
        <v>20</v>
      </c>
      <c r="F3550" t="s">
        <v>21</v>
      </c>
      <c r="G3550">
        <v>37</v>
      </c>
      <c r="H3550" t="s">
        <v>149</v>
      </c>
      <c r="I3550" t="s">
        <v>45</v>
      </c>
      <c r="J3550" t="s">
        <v>108</v>
      </c>
      <c r="K3550" t="s">
        <v>58</v>
      </c>
      <c r="L3550">
        <v>3</v>
      </c>
      <c r="M3550" t="s">
        <v>152</v>
      </c>
      <c r="N3550" t="s">
        <v>29</v>
      </c>
      <c r="O3550" t="s">
        <v>55</v>
      </c>
      <c r="P3550" t="s">
        <v>152</v>
      </c>
      <c r="Q3550" t="s">
        <v>152</v>
      </c>
      <c r="R3550">
        <v>47</v>
      </c>
      <c r="S3550" t="s">
        <v>59</v>
      </c>
      <c r="T3550" t="str">
        <f t="shared" si="110"/>
        <v>2-week</v>
      </c>
      <c r="U3550">
        <f>VLOOKUP(T3550,[1]tablescore!$B$3:$C$8, 2,FALSE)</f>
        <v>26</v>
      </c>
      <c r="V3550" t="str">
        <f t="shared" si="111"/>
        <v>Loyal</v>
      </c>
      <c r="W3550" t="s">
        <v>30</v>
      </c>
    </row>
    <row r="3551" spans="1:23" x14ac:dyDescent="0.25">
      <c r="A3551">
        <v>3550</v>
      </c>
      <c r="B3551">
        <v>44</v>
      </c>
      <c r="C3551" t="str" cm="1">
        <f t="array" ref="C3551">_xlfn.IFS(
  AND(B3551&gt;=18, B3551&lt;=24), "18-24",
  AND(B3551&gt;=25, B3551&lt;=34), "25-34",
  AND(B3551&gt;=35, B3551&lt;=44), "35-44",
  AND(B3551&gt;=45, B3551&lt;=54), "45-54",
  B3551&gt;=55, "55+"
)</f>
        <v>35-44</v>
      </c>
      <c r="D3551" t="s">
        <v>153</v>
      </c>
      <c r="E3551" t="s">
        <v>113</v>
      </c>
      <c r="F3551" t="s">
        <v>21</v>
      </c>
      <c r="G3551">
        <v>34</v>
      </c>
      <c r="H3551" t="s">
        <v>48</v>
      </c>
      <c r="I3551" t="s">
        <v>45</v>
      </c>
      <c r="J3551" t="s">
        <v>109</v>
      </c>
      <c r="K3551" t="s">
        <v>54</v>
      </c>
      <c r="L3551">
        <v>3.4</v>
      </c>
      <c r="M3551" t="s">
        <v>152</v>
      </c>
      <c r="N3551" t="s">
        <v>27</v>
      </c>
      <c r="O3551" t="s">
        <v>72</v>
      </c>
      <c r="P3551" t="s">
        <v>152</v>
      </c>
      <c r="Q3551" t="s">
        <v>152</v>
      </c>
      <c r="R3551">
        <v>11</v>
      </c>
      <c r="S3551" t="s">
        <v>34</v>
      </c>
      <c r="T3551" t="str">
        <f t="shared" si="110"/>
        <v>2-week</v>
      </c>
      <c r="U3551">
        <f>VLOOKUP(T3551,[1]tablescore!$B$3:$C$8, 2,FALSE)</f>
        <v>26</v>
      </c>
      <c r="V3551" t="str">
        <f t="shared" si="111"/>
        <v>Loyal</v>
      </c>
      <c r="W3551" t="s">
        <v>30</v>
      </c>
    </row>
    <row r="3552" spans="1:23" x14ac:dyDescent="0.25">
      <c r="A3552">
        <v>3551</v>
      </c>
      <c r="B3552">
        <v>63</v>
      </c>
      <c r="C3552" t="str" cm="1">
        <f t="array" ref="C3552">_xlfn.IFS(
  AND(B3552&gt;=18, B3552&lt;=24), "18-24",
  AND(B3552&gt;=25, B3552&lt;=34), "25-34",
  AND(B3552&gt;=35, B3552&lt;=44), "35-44",
  AND(B3552&gt;=45, B3552&lt;=54), "45-54",
  B3552&gt;=55, "55+"
)</f>
        <v>55+</v>
      </c>
      <c r="D3552" t="s">
        <v>153</v>
      </c>
      <c r="E3552" t="s">
        <v>73</v>
      </c>
      <c r="F3552" t="s">
        <v>43</v>
      </c>
      <c r="G3552">
        <v>74</v>
      </c>
      <c r="H3552" t="s">
        <v>66</v>
      </c>
      <c r="I3552" t="s">
        <v>38</v>
      </c>
      <c r="J3552" t="s">
        <v>121</v>
      </c>
      <c r="K3552" t="s">
        <v>25</v>
      </c>
      <c r="L3552">
        <v>4.8</v>
      </c>
      <c r="M3552" t="s">
        <v>152</v>
      </c>
      <c r="N3552" t="s">
        <v>29</v>
      </c>
      <c r="O3552" t="s">
        <v>55</v>
      </c>
      <c r="P3552" t="s">
        <v>152</v>
      </c>
      <c r="Q3552" t="s">
        <v>152</v>
      </c>
      <c r="R3552">
        <v>32</v>
      </c>
      <c r="S3552" t="s">
        <v>35</v>
      </c>
      <c r="T3552" t="str">
        <f t="shared" si="110"/>
        <v>Daily</v>
      </c>
      <c r="U3552">
        <f>VLOOKUP(T3552,[1]tablescore!$B$3:$C$8, 2,FALSE)</f>
        <v>30</v>
      </c>
      <c r="V3552" t="str">
        <f t="shared" si="111"/>
        <v>Highly Loyal</v>
      </c>
      <c r="W3552" t="s">
        <v>41</v>
      </c>
    </row>
    <row r="3553" spans="1:23" x14ac:dyDescent="0.25">
      <c r="A3553">
        <v>3552</v>
      </c>
      <c r="B3553">
        <v>66</v>
      </c>
      <c r="C3553" t="str" cm="1">
        <f t="array" ref="C3553">_xlfn.IFS(
  AND(B3553&gt;=18, B3553&lt;=24), "18-24",
  AND(B3553&gt;=25, B3553&lt;=34), "25-34",
  AND(B3553&gt;=35, B3553&lt;=44), "35-44",
  AND(B3553&gt;=45, B3553&lt;=54), "45-54",
  B3553&gt;=55, "55+"
)</f>
        <v>55+</v>
      </c>
      <c r="D3553" t="s">
        <v>153</v>
      </c>
      <c r="E3553" t="s">
        <v>127</v>
      </c>
      <c r="F3553" t="s">
        <v>69</v>
      </c>
      <c r="G3553">
        <v>31</v>
      </c>
      <c r="H3553" t="s">
        <v>57</v>
      </c>
      <c r="I3553" t="s">
        <v>23</v>
      </c>
      <c r="J3553" t="s">
        <v>94</v>
      </c>
      <c r="K3553" t="s">
        <v>39</v>
      </c>
      <c r="L3553">
        <v>2.6</v>
      </c>
      <c r="M3553" t="s">
        <v>152</v>
      </c>
      <c r="N3553" t="s">
        <v>27</v>
      </c>
      <c r="O3553" t="s">
        <v>76</v>
      </c>
      <c r="P3553" t="s">
        <v>152</v>
      </c>
      <c r="Q3553" t="s">
        <v>152</v>
      </c>
      <c r="R3553">
        <v>20</v>
      </c>
      <c r="S3553" t="s">
        <v>29</v>
      </c>
      <c r="T3553" t="str">
        <f t="shared" si="110"/>
        <v>Daily</v>
      </c>
      <c r="U3553">
        <f>VLOOKUP(T3553,[1]tablescore!$B$3:$C$8, 2,FALSE)</f>
        <v>30</v>
      </c>
      <c r="V3553" t="str">
        <f t="shared" si="111"/>
        <v>Highly Loyal</v>
      </c>
      <c r="W3553" t="s">
        <v>41</v>
      </c>
    </row>
    <row r="3554" spans="1:23" x14ac:dyDescent="0.25">
      <c r="A3554">
        <v>3553</v>
      </c>
      <c r="B3554">
        <v>22</v>
      </c>
      <c r="C3554" t="str" cm="1">
        <f t="array" ref="C3554">_xlfn.IFS(
  AND(B3554&gt;=18, B3554&lt;=24), "18-24",
  AND(B3554&gt;=25, B3554&lt;=34), "25-34",
  AND(B3554&gt;=35, B3554&lt;=44), "35-44",
  AND(B3554&gt;=45, B3554&lt;=54), "45-54",
  B3554&gt;=55, "55+"
)</f>
        <v>18-24</v>
      </c>
      <c r="D3554" t="s">
        <v>153</v>
      </c>
      <c r="E3554" t="s">
        <v>89</v>
      </c>
      <c r="F3554" t="s">
        <v>69</v>
      </c>
      <c r="G3554">
        <v>66</v>
      </c>
      <c r="H3554" t="s">
        <v>22</v>
      </c>
      <c r="I3554" t="s">
        <v>45</v>
      </c>
      <c r="J3554" t="s">
        <v>138</v>
      </c>
      <c r="K3554" t="s">
        <v>25</v>
      </c>
      <c r="L3554">
        <v>2.9</v>
      </c>
      <c r="M3554" t="s">
        <v>152</v>
      </c>
      <c r="N3554" t="s">
        <v>27</v>
      </c>
      <c r="O3554" t="s">
        <v>47</v>
      </c>
      <c r="P3554" t="s">
        <v>152</v>
      </c>
      <c r="Q3554" t="s">
        <v>152</v>
      </c>
      <c r="R3554">
        <v>3</v>
      </c>
      <c r="S3554" t="s">
        <v>46</v>
      </c>
      <c r="T3554" t="str">
        <f t="shared" si="110"/>
        <v>Quarterly</v>
      </c>
      <c r="U3554">
        <f>VLOOKUP(T3554,[1]tablescore!$B$3:$C$8, 2,FALSE)</f>
        <v>4</v>
      </c>
      <c r="V3554" t="str">
        <f t="shared" si="111"/>
        <v>Low Loyalty</v>
      </c>
      <c r="W3554" t="s">
        <v>60</v>
      </c>
    </row>
    <row r="3555" spans="1:23" x14ac:dyDescent="0.25">
      <c r="A3555">
        <v>3554</v>
      </c>
      <c r="B3555">
        <v>62</v>
      </c>
      <c r="C3555" t="str" cm="1">
        <f t="array" ref="C3555">_xlfn.IFS(
  AND(B3555&gt;=18, B3555&lt;=24), "18-24",
  AND(B3555&gt;=25, B3555&lt;=34), "25-34",
  AND(B3555&gt;=35, B3555&lt;=44), "35-44",
  AND(B3555&gt;=45, B3555&lt;=54), "45-54",
  B3555&gt;=55, "55+"
)</f>
        <v>55+</v>
      </c>
      <c r="D3555" t="s">
        <v>153</v>
      </c>
      <c r="E3555" t="s">
        <v>73</v>
      </c>
      <c r="F3555" t="s">
        <v>43</v>
      </c>
      <c r="G3555">
        <v>99</v>
      </c>
      <c r="H3555" t="s">
        <v>134</v>
      </c>
      <c r="I3555" t="s">
        <v>45</v>
      </c>
      <c r="J3555" t="s">
        <v>63</v>
      </c>
      <c r="K3555" t="s">
        <v>39</v>
      </c>
      <c r="L3555">
        <v>4.9000000000000004</v>
      </c>
      <c r="M3555" t="s">
        <v>152</v>
      </c>
      <c r="N3555" t="s">
        <v>35</v>
      </c>
      <c r="O3555" t="s">
        <v>40</v>
      </c>
      <c r="P3555" t="s">
        <v>152</v>
      </c>
      <c r="Q3555" t="s">
        <v>152</v>
      </c>
      <c r="R3555">
        <v>32</v>
      </c>
      <c r="S3555" t="s">
        <v>34</v>
      </c>
      <c r="T3555" t="str">
        <f t="shared" si="110"/>
        <v>Daily</v>
      </c>
      <c r="U3555">
        <f>VLOOKUP(T3555,[1]tablescore!$B$3:$C$8, 2,FALSE)</f>
        <v>30</v>
      </c>
      <c r="V3555" t="str">
        <f t="shared" si="111"/>
        <v>Highly Loyal</v>
      </c>
      <c r="W3555" t="s">
        <v>41</v>
      </c>
    </row>
    <row r="3556" spans="1:23" x14ac:dyDescent="0.25">
      <c r="A3556">
        <v>3555</v>
      </c>
      <c r="B3556">
        <v>39</v>
      </c>
      <c r="C3556" t="str" cm="1">
        <f t="array" ref="C3556">_xlfn.IFS(
  AND(B3556&gt;=18, B3556&lt;=24), "18-24",
  AND(B3556&gt;=25, B3556&lt;=34), "25-34",
  AND(B3556&gt;=35, B3556&lt;=44), "35-44",
  AND(B3556&gt;=45, B3556&lt;=54), "45-54",
  B3556&gt;=55, "55+"
)</f>
        <v>35-44</v>
      </c>
      <c r="D3556" t="s">
        <v>153</v>
      </c>
      <c r="E3556" t="s">
        <v>82</v>
      </c>
      <c r="F3556" t="s">
        <v>21</v>
      </c>
      <c r="G3556">
        <v>55</v>
      </c>
      <c r="H3556" t="s">
        <v>62</v>
      </c>
      <c r="I3556" t="s">
        <v>45</v>
      </c>
      <c r="J3556" t="s">
        <v>129</v>
      </c>
      <c r="K3556" t="s">
        <v>39</v>
      </c>
      <c r="L3556">
        <v>5</v>
      </c>
      <c r="M3556" t="s">
        <v>152</v>
      </c>
      <c r="N3556" t="s">
        <v>34</v>
      </c>
      <c r="O3556" t="s">
        <v>40</v>
      </c>
      <c r="P3556" t="s">
        <v>152</v>
      </c>
      <c r="Q3556" t="s">
        <v>152</v>
      </c>
      <c r="R3556">
        <v>5</v>
      </c>
      <c r="S3556" t="s">
        <v>27</v>
      </c>
      <c r="T3556" t="str">
        <f t="shared" si="110"/>
        <v>2-week</v>
      </c>
      <c r="U3556">
        <f>VLOOKUP(T3556,[1]tablescore!$B$3:$C$8, 2,FALSE)</f>
        <v>26</v>
      </c>
      <c r="V3556" t="str">
        <f t="shared" si="111"/>
        <v>Loyal</v>
      </c>
      <c r="W3556" t="s">
        <v>30</v>
      </c>
    </row>
    <row r="3557" spans="1:23" x14ac:dyDescent="0.25">
      <c r="A3557">
        <v>3556</v>
      </c>
      <c r="B3557">
        <v>25</v>
      </c>
      <c r="C3557" t="str" cm="1">
        <f t="array" ref="C3557">_xlfn.IFS(
  AND(B3557&gt;=18, B3557&lt;=24), "18-24",
  AND(B3557&gt;=25, B3557&lt;=34), "25-34",
  AND(B3557&gt;=35, B3557&lt;=44), "35-44",
  AND(B3557&gt;=45, B3557&lt;=54), "45-54",
  B3557&gt;=55, "55+"
)</f>
        <v>25-34</v>
      </c>
      <c r="D3557" t="s">
        <v>153</v>
      </c>
      <c r="E3557" t="s">
        <v>20</v>
      </c>
      <c r="F3557" t="s">
        <v>21</v>
      </c>
      <c r="G3557">
        <v>23</v>
      </c>
      <c r="H3557" t="s">
        <v>80</v>
      </c>
      <c r="I3557" t="s">
        <v>23</v>
      </c>
      <c r="J3557" t="s">
        <v>67</v>
      </c>
      <c r="K3557" t="s">
        <v>39</v>
      </c>
      <c r="L3557">
        <v>4.5999999999999996</v>
      </c>
      <c r="M3557" t="s">
        <v>152</v>
      </c>
      <c r="N3557" t="s">
        <v>46</v>
      </c>
      <c r="O3557" t="s">
        <v>47</v>
      </c>
      <c r="P3557" t="s">
        <v>152</v>
      </c>
      <c r="Q3557" t="s">
        <v>152</v>
      </c>
      <c r="R3557">
        <v>45</v>
      </c>
      <c r="S3557" t="s">
        <v>35</v>
      </c>
      <c r="T3557" t="str">
        <f t="shared" si="110"/>
        <v>Quarterly</v>
      </c>
      <c r="U3557">
        <f>VLOOKUP(T3557,[1]tablescore!$B$3:$C$8, 2,FALSE)</f>
        <v>4</v>
      </c>
      <c r="V3557" t="str">
        <f t="shared" si="111"/>
        <v>Low Loyalty</v>
      </c>
      <c r="W3557" t="s">
        <v>60</v>
      </c>
    </row>
    <row r="3558" spans="1:23" x14ac:dyDescent="0.25">
      <c r="A3558">
        <v>3557</v>
      </c>
      <c r="B3558">
        <v>70</v>
      </c>
      <c r="C3558" t="str" cm="1">
        <f t="array" ref="C3558">_xlfn.IFS(
  AND(B3558&gt;=18, B3558&lt;=24), "18-24",
  AND(B3558&gt;=25, B3558&lt;=34), "25-34",
  AND(B3558&gt;=35, B3558&lt;=44), "35-44",
  AND(B3558&gt;=45, B3558&lt;=54), "45-54",
  B3558&gt;=55, "55+"
)</f>
        <v>55+</v>
      </c>
      <c r="D3558" t="s">
        <v>153</v>
      </c>
      <c r="E3558" t="s">
        <v>31</v>
      </c>
      <c r="F3558" t="s">
        <v>21</v>
      </c>
      <c r="G3558">
        <v>88</v>
      </c>
      <c r="H3558" t="s">
        <v>117</v>
      </c>
      <c r="I3558" t="s">
        <v>45</v>
      </c>
      <c r="J3558" t="s">
        <v>110</v>
      </c>
      <c r="K3558" t="s">
        <v>58</v>
      </c>
      <c r="L3558">
        <v>4.2</v>
      </c>
      <c r="M3558" t="s">
        <v>152</v>
      </c>
      <c r="N3558" t="s">
        <v>34</v>
      </c>
      <c r="O3558" t="s">
        <v>28</v>
      </c>
      <c r="P3558" t="s">
        <v>152</v>
      </c>
      <c r="Q3558" t="s">
        <v>152</v>
      </c>
      <c r="R3558">
        <v>43</v>
      </c>
      <c r="S3558" t="s">
        <v>35</v>
      </c>
      <c r="T3558" t="str">
        <f t="shared" si="110"/>
        <v>2-week</v>
      </c>
      <c r="U3558">
        <f>VLOOKUP(T3558,[1]tablescore!$B$3:$C$8, 2,FALSE)</f>
        <v>26</v>
      </c>
      <c r="V3558" t="str">
        <f t="shared" si="111"/>
        <v>Loyal</v>
      </c>
      <c r="W3558" t="s">
        <v>77</v>
      </c>
    </row>
    <row r="3559" spans="1:23" x14ac:dyDescent="0.25">
      <c r="A3559">
        <v>3558</v>
      </c>
      <c r="B3559">
        <v>52</v>
      </c>
      <c r="C3559" t="str" cm="1">
        <f t="array" ref="C3559">_xlfn.IFS(
  AND(B3559&gt;=18, B3559&lt;=24), "18-24",
  AND(B3559&gt;=25, B3559&lt;=34), "25-34",
  AND(B3559&gt;=35, B3559&lt;=44), "35-44",
  AND(B3559&gt;=45, B3559&lt;=54), "45-54",
  B3559&gt;=55, "55+"
)</f>
        <v>45-54</v>
      </c>
      <c r="D3559" t="s">
        <v>153</v>
      </c>
      <c r="E3559" t="s">
        <v>102</v>
      </c>
      <c r="F3559" t="s">
        <v>65</v>
      </c>
      <c r="G3559">
        <v>26</v>
      </c>
      <c r="H3559" t="s">
        <v>107</v>
      </c>
      <c r="I3559" t="s">
        <v>45</v>
      </c>
      <c r="J3559" t="s">
        <v>100</v>
      </c>
      <c r="K3559" t="s">
        <v>54</v>
      </c>
      <c r="L3559">
        <v>4.9000000000000004</v>
      </c>
      <c r="M3559" t="s">
        <v>152</v>
      </c>
      <c r="N3559" t="s">
        <v>46</v>
      </c>
      <c r="O3559" t="s">
        <v>47</v>
      </c>
      <c r="P3559" t="s">
        <v>152</v>
      </c>
      <c r="Q3559" t="s">
        <v>152</v>
      </c>
      <c r="R3559">
        <v>1</v>
      </c>
      <c r="S3559" t="s">
        <v>46</v>
      </c>
      <c r="T3559" t="str">
        <f t="shared" si="110"/>
        <v>Quarterly</v>
      </c>
      <c r="U3559">
        <f>VLOOKUP(T3559,[1]tablescore!$B$3:$C$8, 2,FALSE)</f>
        <v>4</v>
      </c>
      <c r="V3559" t="str">
        <f t="shared" si="111"/>
        <v>Low Loyalty</v>
      </c>
      <c r="W3559" t="s">
        <v>97</v>
      </c>
    </row>
    <row r="3560" spans="1:23" x14ac:dyDescent="0.25">
      <c r="A3560">
        <v>3559</v>
      </c>
      <c r="B3560">
        <v>68</v>
      </c>
      <c r="C3560" t="str" cm="1">
        <f t="array" ref="C3560">_xlfn.IFS(
  AND(B3560&gt;=18, B3560&lt;=24), "18-24",
  AND(B3560&gt;=25, B3560&lt;=34), "25-34",
  AND(B3560&gt;=35, B3560&lt;=44), "35-44",
  AND(B3560&gt;=45, B3560&lt;=54), "45-54",
  B3560&gt;=55, "55+"
)</f>
        <v>55+</v>
      </c>
      <c r="D3560" t="s">
        <v>153</v>
      </c>
      <c r="E3560" t="s">
        <v>133</v>
      </c>
      <c r="F3560" t="s">
        <v>69</v>
      </c>
      <c r="G3560">
        <v>94</v>
      </c>
      <c r="H3560" t="s">
        <v>120</v>
      </c>
      <c r="I3560" t="s">
        <v>23</v>
      </c>
      <c r="J3560" t="s">
        <v>147</v>
      </c>
      <c r="K3560" t="s">
        <v>54</v>
      </c>
      <c r="L3560">
        <v>4.8</v>
      </c>
      <c r="M3560" t="s">
        <v>152</v>
      </c>
      <c r="N3560" t="s">
        <v>27</v>
      </c>
      <c r="O3560" t="s">
        <v>55</v>
      </c>
      <c r="P3560" t="s">
        <v>152</v>
      </c>
      <c r="Q3560" t="s">
        <v>152</v>
      </c>
      <c r="R3560">
        <v>9</v>
      </c>
      <c r="S3560" t="s">
        <v>29</v>
      </c>
      <c r="T3560" t="str">
        <f t="shared" si="110"/>
        <v>Quarterly</v>
      </c>
      <c r="U3560">
        <f>VLOOKUP(T3560,[1]tablescore!$B$3:$C$8, 2,FALSE)</f>
        <v>4</v>
      </c>
      <c r="V3560" t="str">
        <f t="shared" si="111"/>
        <v>Low Loyalty</v>
      </c>
      <c r="W3560" t="s">
        <v>60</v>
      </c>
    </row>
    <row r="3561" spans="1:23" x14ac:dyDescent="0.25">
      <c r="A3561">
        <v>3560</v>
      </c>
      <c r="B3561">
        <v>18</v>
      </c>
      <c r="C3561" t="str" cm="1">
        <f t="array" ref="C3561">_xlfn.IFS(
  AND(B3561&gt;=18, B3561&lt;=24), "18-24",
  AND(B3561&gt;=25, B3561&lt;=34), "25-34",
  AND(B3561&gt;=35, B3561&lt;=44), "35-44",
  AND(B3561&gt;=45, B3561&lt;=54), "45-54",
  B3561&gt;=55, "55+"
)</f>
        <v>18-24</v>
      </c>
      <c r="D3561" t="s">
        <v>153</v>
      </c>
      <c r="E3561" t="s">
        <v>61</v>
      </c>
      <c r="F3561" t="s">
        <v>21</v>
      </c>
      <c r="G3561">
        <v>25</v>
      </c>
      <c r="H3561" t="s">
        <v>149</v>
      </c>
      <c r="I3561" t="s">
        <v>45</v>
      </c>
      <c r="J3561" t="s">
        <v>118</v>
      </c>
      <c r="K3561" t="s">
        <v>58</v>
      </c>
      <c r="L3561">
        <v>3</v>
      </c>
      <c r="M3561" t="s">
        <v>152</v>
      </c>
      <c r="N3561" t="s">
        <v>59</v>
      </c>
      <c r="O3561" t="s">
        <v>47</v>
      </c>
      <c r="P3561" t="s">
        <v>152</v>
      </c>
      <c r="Q3561" t="s">
        <v>152</v>
      </c>
      <c r="R3561">
        <v>13</v>
      </c>
      <c r="S3561" t="s">
        <v>29</v>
      </c>
      <c r="T3561" t="str">
        <f t="shared" si="110"/>
        <v>Quarterly</v>
      </c>
      <c r="U3561">
        <f>VLOOKUP(T3561,[1]tablescore!$B$3:$C$8, 2,FALSE)</f>
        <v>4</v>
      </c>
      <c r="V3561" t="str">
        <f t="shared" si="111"/>
        <v>Low Loyalty</v>
      </c>
      <c r="W3561" t="s">
        <v>97</v>
      </c>
    </row>
    <row r="3562" spans="1:23" x14ac:dyDescent="0.25">
      <c r="A3562">
        <v>3561</v>
      </c>
      <c r="B3562">
        <v>18</v>
      </c>
      <c r="C3562" t="str" cm="1">
        <f t="array" ref="C3562">_xlfn.IFS(
  AND(B3562&gt;=18, B3562&lt;=24), "18-24",
  AND(B3562&gt;=25, B3562&lt;=34), "25-34",
  AND(B3562&gt;=35, B3562&lt;=44), "35-44",
  AND(B3562&gt;=45, B3562&lt;=54), "45-54",
  B3562&gt;=55, "55+"
)</f>
        <v>18-24</v>
      </c>
      <c r="D3562" t="s">
        <v>153</v>
      </c>
      <c r="E3562" t="s">
        <v>131</v>
      </c>
      <c r="F3562" t="s">
        <v>21</v>
      </c>
      <c r="G3562">
        <v>96</v>
      </c>
      <c r="H3562" t="s">
        <v>111</v>
      </c>
      <c r="I3562" t="s">
        <v>92</v>
      </c>
      <c r="J3562" t="s">
        <v>84</v>
      </c>
      <c r="K3562" t="s">
        <v>58</v>
      </c>
      <c r="L3562">
        <v>3.5</v>
      </c>
      <c r="M3562" t="s">
        <v>152</v>
      </c>
      <c r="N3562" t="s">
        <v>35</v>
      </c>
      <c r="O3562" t="s">
        <v>28</v>
      </c>
      <c r="P3562" t="s">
        <v>152</v>
      </c>
      <c r="Q3562" t="s">
        <v>152</v>
      </c>
      <c r="R3562">
        <v>5</v>
      </c>
      <c r="S3562" t="s">
        <v>27</v>
      </c>
      <c r="T3562" t="str">
        <f t="shared" si="110"/>
        <v>Annually</v>
      </c>
      <c r="U3562">
        <f>VLOOKUP(T3562,[1]tablescore!$B$3:$C$8, 2,FALSE)</f>
        <v>1</v>
      </c>
      <c r="V3562" t="str">
        <f t="shared" si="111"/>
        <v>Low Loyalty</v>
      </c>
      <c r="W3562" t="s">
        <v>50</v>
      </c>
    </row>
    <row r="3563" spans="1:23" x14ac:dyDescent="0.25">
      <c r="A3563">
        <v>3562</v>
      </c>
      <c r="B3563">
        <v>63</v>
      </c>
      <c r="C3563" t="str" cm="1">
        <f t="array" ref="C3563">_xlfn.IFS(
  AND(B3563&gt;=18, B3563&lt;=24), "18-24",
  AND(B3563&gt;=25, B3563&lt;=34), "25-34",
  AND(B3563&gt;=35, B3563&lt;=44), "35-44",
  AND(B3563&gt;=45, B3563&lt;=54), "45-54",
  B3563&gt;=55, "55+"
)</f>
        <v>55+</v>
      </c>
      <c r="D3563" t="s">
        <v>153</v>
      </c>
      <c r="E3563" t="s">
        <v>51</v>
      </c>
      <c r="F3563" t="s">
        <v>43</v>
      </c>
      <c r="G3563">
        <v>29</v>
      </c>
      <c r="H3563" t="s">
        <v>98</v>
      </c>
      <c r="I3563" t="s">
        <v>23</v>
      </c>
      <c r="J3563" t="s">
        <v>94</v>
      </c>
      <c r="K3563" t="s">
        <v>39</v>
      </c>
      <c r="L3563">
        <v>3.4</v>
      </c>
      <c r="M3563" t="s">
        <v>152</v>
      </c>
      <c r="N3563" t="s">
        <v>35</v>
      </c>
      <c r="O3563" t="s">
        <v>55</v>
      </c>
      <c r="P3563" t="s">
        <v>152</v>
      </c>
      <c r="Q3563" t="s">
        <v>152</v>
      </c>
      <c r="R3563">
        <v>39</v>
      </c>
      <c r="S3563" t="s">
        <v>27</v>
      </c>
      <c r="T3563" t="str">
        <f t="shared" si="110"/>
        <v>2-week</v>
      </c>
      <c r="U3563">
        <f>VLOOKUP(T3563,[1]tablescore!$B$3:$C$8, 2,FALSE)</f>
        <v>26</v>
      </c>
      <c r="V3563" t="str">
        <f t="shared" si="111"/>
        <v>Loyal</v>
      </c>
      <c r="W3563" t="s">
        <v>30</v>
      </c>
    </row>
    <row r="3564" spans="1:23" x14ac:dyDescent="0.25">
      <c r="A3564">
        <v>3563</v>
      </c>
      <c r="B3564">
        <v>47</v>
      </c>
      <c r="C3564" t="str" cm="1">
        <f t="array" ref="C3564">_xlfn.IFS(
  AND(B3564&gt;=18, B3564&lt;=24), "18-24",
  AND(B3564&gt;=25, B3564&lt;=34), "25-34",
  AND(B3564&gt;=35, B3564&lt;=44), "35-44",
  AND(B3564&gt;=45, B3564&lt;=54), "45-54",
  B3564&gt;=55, "55+"
)</f>
        <v>45-54</v>
      </c>
      <c r="D3564" t="s">
        <v>153</v>
      </c>
      <c r="E3564" t="s">
        <v>51</v>
      </c>
      <c r="F3564" t="s">
        <v>43</v>
      </c>
      <c r="G3564">
        <v>36</v>
      </c>
      <c r="H3564" t="s">
        <v>135</v>
      </c>
      <c r="I3564" t="s">
        <v>45</v>
      </c>
      <c r="J3564" t="s">
        <v>109</v>
      </c>
      <c r="K3564" t="s">
        <v>25</v>
      </c>
      <c r="L3564">
        <v>3.4</v>
      </c>
      <c r="M3564" t="s">
        <v>152</v>
      </c>
      <c r="N3564" t="s">
        <v>46</v>
      </c>
      <c r="O3564" t="s">
        <v>40</v>
      </c>
      <c r="P3564" t="s">
        <v>152</v>
      </c>
      <c r="Q3564" t="s">
        <v>152</v>
      </c>
      <c r="R3564">
        <v>7</v>
      </c>
      <c r="S3564" t="s">
        <v>34</v>
      </c>
      <c r="T3564" t="str">
        <f t="shared" si="110"/>
        <v>Daily</v>
      </c>
      <c r="U3564">
        <f>VLOOKUP(T3564,[1]tablescore!$B$3:$C$8, 2,FALSE)</f>
        <v>30</v>
      </c>
      <c r="V3564" t="str">
        <f t="shared" si="111"/>
        <v>Highly Loyal</v>
      </c>
      <c r="W3564" t="s">
        <v>41</v>
      </c>
    </row>
    <row r="3565" spans="1:23" x14ac:dyDescent="0.25">
      <c r="A3565">
        <v>3564</v>
      </c>
      <c r="B3565">
        <v>43</v>
      </c>
      <c r="C3565" t="str" cm="1">
        <f t="array" ref="C3565">_xlfn.IFS(
  AND(B3565&gt;=18, B3565&lt;=24), "18-24",
  AND(B3565&gt;=25, B3565&lt;=34), "25-34",
  AND(B3565&gt;=35, B3565&lt;=44), "35-44",
  AND(B3565&gt;=45, B3565&lt;=54), "45-54",
  B3565&gt;=55, "55+"
)</f>
        <v>35-44</v>
      </c>
      <c r="D3565" t="s">
        <v>153</v>
      </c>
      <c r="E3565" t="s">
        <v>20</v>
      </c>
      <c r="F3565" t="s">
        <v>21</v>
      </c>
      <c r="G3565">
        <v>90</v>
      </c>
      <c r="H3565" t="s">
        <v>32</v>
      </c>
      <c r="I3565" t="s">
        <v>45</v>
      </c>
      <c r="J3565" t="s">
        <v>96</v>
      </c>
      <c r="K3565" t="s">
        <v>54</v>
      </c>
      <c r="L3565">
        <v>4.9000000000000004</v>
      </c>
      <c r="M3565" t="s">
        <v>152</v>
      </c>
      <c r="N3565" t="s">
        <v>27</v>
      </c>
      <c r="O3565" t="s">
        <v>55</v>
      </c>
      <c r="P3565" t="s">
        <v>152</v>
      </c>
      <c r="Q3565" t="s">
        <v>152</v>
      </c>
      <c r="R3565">
        <v>8</v>
      </c>
      <c r="S3565" t="s">
        <v>27</v>
      </c>
      <c r="T3565" t="str">
        <f t="shared" si="110"/>
        <v>Quarterly</v>
      </c>
      <c r="U3565">
        <f>VLOOKUP(T3565,[1]tablescore!$B$3:$C$8, 2,FALSE)</f>
        <v>4</v>
      </c>
      <c r="V3565" t="str">
        <f t="shared" si="111"/>
        <v>Low Loyalty</v>
      </c>
      <c r="W3565" t="s">
        <v>97</v>
      </c>
    </row>
    <row r="3566" spans="1:23" x14ac:dyDescent="0.25">
      <c r="A3566">
        <v>3565</v>
      </c>
      <c r="B3566">
        <v>60</v>
      </c>
      <c r="C3566" t="str" cm="1">
        <f t="array" ref="C3566">_xlfn.IFS(
  AND(B3566&gt;=18, B3566&lt;=24), "18-24",
  AND(B3566&gt;=25, B3566&lt;=34), "25-34",
  AND(B3566&gt;=35, B3566&lt;=44), "35-44",
  AND(B3566&gt;=45, B3566&lt;=54), "45-54",
  B3566&gt;=55, "55+"
)</f>
        <v>55+</v>
      </c>
      <c r="D3566" t="s">
        <v>153</v>
      </c>
      <c r="E3566" t="s">
        <v>127</v>
      </c>
      <c r="F3566" t="s">
        <v>69</v>
      </c>
      <c r="G3566">
        <v>38</v>
      </c>
      <c r="H3566" t="s">
        <v>115</v>
      </c>
      <c r="I3566" t="s">
        <v>38</v>
      </c>
      <c r="J3566" t="s">
        <v>110</v>
      </c>
      <c r="K3566" t="s">
        <v>54</v>
      </c>
      <c r="L3566">
        <v>4.4000000000000004</v>
      </c>
      <c r="M3566" t="s">
        <v>152</v>
      </c>
      <c r="N3566" t="s">
        <v>46</v>
      </c>
      <c r="O3566" t="s">
        <v>40</v>
      </c>
      <c r="P3566" t="s">
        <v>152</v>
      </c>
      <c r="Q3566" t="s">
        <v>152</v>
      </c>
      <c r="R3566">
        <v>40</v>
      </c>
      <c r="S3566" t="s">
        <v>29</v>
      </c>
      <c r="T3566" t="str">
        <f t="shared" si="110"/>
        <v>Annually</v>
      </c>
      <c r="U3566">
        <f>VLOOKUP(T3566,[1]tablescore!$B$3:$C$8, 2,FALSE)</f>
        <v>1</v>
      </c>
      <c r="V3566" t="str">
        <f t="shared" si="111"/>
        <v>Low Loyalty</v>
      </c>
      <c r="W3566" t="s">
        <v>50</v>
      </c>
    </row>
    <row r="3567" spans="1:23" x14ac:dyDescent="0.25">
      <c r="A3567">
        <v>3566</v>
      </c>
      <c r="B3567">
        <v>49</v>
      </c>
      <c r="C3567" t="str" cm="1">
        <f t="array" ref="C3567">_xlfn.IFS(
  AND(B3567&gt;=18, B3567&lt;=24), "18-24",
  AND(B3567&gt;=25, B3567&lt;=34), "25-34",
  AND(B3567&gt;=35, B3567&lt;=44), "35-44",
  AND(B3567&gt;=45, B3567&lt;=54), "45-54",
  B3567&gt;=55, "55+"
)</f>
        <v>45-54</v>
      </c>
      <c r="D3567" t="s">
        <v>153</v>
      </c>
      <c r="E3567" t="s">
        <v>68</v>
      </c>
      <c r="F3567" t="s">
        <v>69</v>
      </c>
      <c r="G3567">
        <v>52</v>
      </c>
      <c r="H3567" t="s">
        <v>141</v>
      </c>
      <c r="I3567" t="s">
        <v>38</v>
      </c>
      <c r="J3567" t="s">
        <v>24</v>
      </c>
      <c r="K3567" t="s">
        <v>39</v>
      </c>
      <c r="L3567">
        <v>4.2</v>
      </c>
      <c r="M3567" t="s">
        <v>152</v>
      </c>
      <c r="N3567" t="s">
        <v>35</v>
      </c>
      <c r="O3567" t="s">
        <v>76</v>
      </c>
      <c r="P3567" t="s">
        <v>152</v>
      </c>
      <c r="Q3567" t="s">
        <v>152</v>
      </c>
      <c r="R3567">
        <v>35</v>
      </c>
      <c r="S3567" t="s">
        <v>46</v>
      </c>
      <c r="T3567" t="str">
        <f t="shared" si="110"/>
        <v>Month</v>
      </c>
      <c r="U3567">
        <f>VLOOKUP(T3567,[1]tablescore!$B$3:$C$8, 2,FALSE)</f>
        <v>12</v>
      </c>
      <c r="V3567" t="str">
        <f t="shared" si="111"/>
        <v>Moderate</v>
      </c>
      <c r="W3567" t="s">
        <v>88</v>
      </c>
    </row>
    <row r="3568" spans="1:23" x14ac:dyDescent="0.25">
      <c r="A3568">
        <v>3567</v>
      </c>
      <c r="B3568">
        <v>28</v>
      </c>
      <c r="C3568" t="str" cm="1">
        <f t="array" ref="C3568">_xlfn.IFS(
  AND(B3568&gt;=18, B3568&lt;=24), "18-24",
  AND(B3568&gt;=25, B3568&lt;=34), "25-34",
  AND(B3568&gt;=35, B3568&lt;=44), "35-44",
  AND(B3568&gt;=45, B3568&lt;=54), "45-54",
  B3568&gt;=55, "55+"
)</f>
        <v>25-34</v>
      </c>
      <c r="D3568" t="s">
        <v>153</v>
      </c>
      <c r="E3568" t="s">
        <v>36</v>
      </c>
      <c r="F3568" t="s">
        <v>21</v>
      </c>
      <c r="G3568">
        <v>88</v>
      </c>
      <c r="H3568" t="s">
        <v>120</v>
      </c>
      <c r="I3568" t="s">
        <v>38</v>
      </c>
      <c r="J3568" t="s">
        <v>121</v>
      </c>
      <c r="K3568" t="s">
        <v>39</v>
      </c>
      <c r="L3568">
        <v>3.1</v>
      </c>
      <c r="M3568" t="s">
        <v>152</v>
      </c>
      <c r="N3568" t="s">
        <v>27</v>
      </c>
      <c r="O3568" t="s">
        <v>47</v>
      </c>
      <c r="P3568" t="s">
        <v>152</v>
      </c>
      <c r="Q3568" t="s">
        <v>152</v>
      </c>
      <c r="R3568">
        <v>14</v>
      </c>
      <c r="S3568" t="s">
        <v>29</v>
      </c>
      <c r="T3568" t="str">
        <f t="shared" si="110"/>
        <v>Month</v>
      </c>
      <c r="U3568">
        <f>VLOOKUP(T3568,[1]tablescore!$B$3:$C$8, 2,FALSE)</f>
        <v>12</v>
      </c>
      <c r="V3568" t="str">
        <f t="shared" si="111"/>
        <v>Moderate</v>
      </c>
      <c r="W3568" t="s">
        <v>88</v>
      </c>
    </row>
    <row r="3569" spans="1:23" x14ac:dyDescent="0.25">
      <c r="A3569">
        <v>3568</v>
      </c>
      <c r="B3569">
        <v>32</v>
      </c>
      <c r="C3569" t="str" cm="1">
        <f t="array" ref="C3569">_xlfn.IFS(
  AND(B3569&gt;=18, B3569&lt;=24), "18-24",
  AND(B3569&gt;=25, B3569&lt;=34), "25-34",
  AND(B3569&gt;=35, B3569&lt;=44), "35-44",
  AND(B3569&gt;=45, B3569&lt;=54), "45-54",
  B3569&gt;=55, "55+"
)</f>
        <v>25-34</v>
      </c>
      <c r="D3569" t="s">
        <v>153</v>
      </c>
      <c r="E3569" t="s">
        <v>119</v>
      </c>
      <c r="F3569" t="s">
        <v>69</v>
      </c>
      <c r="G3569">
        <v>56</v>
      </c>
      <c r="H3569" t="s">
        <v>123</v>
      </c>
      <c r="I3569" t="s">
        <v>38</v>
      </c>
      <c r="J3569" t="s">
        <v>67</v>
      </c>
      <c r="K3569" t="s">
        <v>54</v>
      </c>
      <c r="L3569">
        <v>4</v>
      </c>
      <c r="M3569" t="s">
        <v>152</v>
      </c>
      <c r="N3569" t="s">
        <v>29</v>
      </c>
      <c r="O3569" t="s">
        <v>47</v>
      </c>
      <c r="P3569" t="s">
        <v>152</v>
      </c>
      <c r="Q3569" t="s">
        <v>152</v>
      </c>
      <c r="R3569">
        <v>26</v>
      </c>
      <c r="S3569" t="s">
        <v>27</v>
      </c>
      <c r="T3569" t="str">
        <f t="shared" si="110"/>
        <v>Month</v>
      </c>
      <c r="U3569">
        <f>VLOOKUP(T3569,[1]tablescore!$B$3:$C$8, 2,FALSE)</f>
        <v>12</v>
      </c>
      <c r="V3569" t="str">
        <f t="shared" si="111"/>
        <v>Moderate</v>
      </c>
      <c r="W3569" t="s">
        <v>88</v>
      </c>
    </row>
    <row r="3570" spans="1:23" x14ac:dyDescent="0.25">
      <c r="A3570">
        <v>3569</v>
      </c>
      <c r="B3570">
        <v>29</v>
      </c>
      <c r="C3570" t="str" cm="1">
        <f t="array" ref="C3570">_xlfn.IFS(
  AND(B3570&gt;=18, B3570&lt;=24), "18-24",
  AND(B3570&gt;=25, B3570&lt;=34), "25-34",
  AND(B3570&gt;=35, B3570&lt;=44), "35-44",
  AND(B3570&gt;=45, B3570&lt;=54), "45-54",
  B3570&gt;=55, "55+"
)</f>
        <v>25-34</v>
      </c>
      <c r="D3570" t="s">
        <v>153</v>
      </c>
      <c r="E3570" t="s">
        <v>42</v>
      </c>
      <c r="F3570" t="s">
        <v>43</v>
      </c>
      <c r="G3570">
        <v>71</v>
      </c>
      <c r="H3570" t="s">
        <v>74</v>
      </c>
      <c r="I3570" t="s">
        <v>45</v>
      </c>
      <c r="J3570" t="s">
        <v>75</v>
      </c>
      <c r="K3570" t="s">
        <v>39</v>
      </c>
      <c r="L3570">
        <v>4.8</v>
      </c>
      <c r="M3570" t="s">
        <v>152</v>
      </c>
      <c r="N3570" t="s">
        <v>35</v>
      </c>
      <c r="O3570" t="s">
        <v>47</v>
      </c>
      <c r="P3570" t="s">
        <v>152</v>
      </c>
      <c r="Q3570" t="s">
        <v>152</v>
      </c>
      <c r="R3570">
        <v>14</v>
      </c>
      <c r="S3570" t="s">
        <v>46</v>
      </c>
      <c r="T3570" t="str">
        <f t="shared" si="110"/>
        <v>Quarterly</v>
      </c>
      <c r="U3570">
        <f>VLOOKUP(T3570,[1]tablescore!$B$3:$C$8, 2,FALSE)</f>
        <v>4</v>
      </c>
      <c r="V3570" t="str">
        <f t="shared" si="111"/>
        <v>Low Loyalty</v>
      </c>
      <c r="W3570" t="s">
        <v>60</v>
      </c>
    </row>
    <row r="3571" spans="1:23" x14ac:dyDescent="0.25">
      <c r="A3571">
        <v>3570</v>
      </c>
      <c r="B3571">
        <v>35</v>
      </c>
      <c r="C3571" t="str" cm="1">
        <f t="array" ref="C3571">_xlfn.IFS(
  AND(B3571&gt;=18, B3571&lt;=24), "18-24",
  AND(B3571&gt;=25, B3571&lt;=34), "25-34",
  AND(B3571&gt;=35, B3571&lt;=44), "35-44",
  AND(B3571&gt;=45, B3571&lt;=54), "45-54",
  B3571&gt;=55, "55+"
)</f>
        <v>35-44</v>
      </c>
      <c r="D3571" t="s">
        <v>153</v>
      </c>
      <c r="E3571" t="s">
        <v>42</v>
      </c>
      <c r="F3571" t="s">
        <v>43</v>
      </c>
      <c r="G3571">
        <v>94</v>
      </c>
      <c r="H3571" t="s">
        <v>120</v>
      </c>
      <c r="I3571" t="s">
        <v>45</v>
      </c>
      <c r="J3571" t="s">
        <v>79</v>
      </c>
      <c r="K3571" t="s">
        <v>58</v>
      </c>
      <c r="L3571">
        <v>3.3</v>
      </c>
      <c r="M3571" t="s">
        <v>152</v>
      </c>
      <c r="N3571" t="s">
        <v>27</v>
      </c>
      <c r="O3571" t="s">
        <v>28</v>
      </c>
      <c r="P3571" t="s">
        <v>152</v>
      </c>
      <c r="Q3571" t="s">
        <v>152</v>
      </c>
      <c r="R3571">
        <v>9</v>
      </c>
      <c r="S3571" t="s">
        <v>34</v>
      </c>
      <c r="T3571" t="str">
        <f t="shared" si="110"/>
        <v>2-week</v>
      </c>
      <c r="U3571">
        <f>VLOOKUP(T3571,[1]tablescore!$B$3:$C$8, 2,FALSE)</f>
        <v>26</v>
      </c>
      <c r="V3571" t="str">
        <f t="shared" si="111"/>
        <v>Loyal</v>
      </c>
      <c r="W3571" t="s">
        <v>30</v>
      </c>
    </row>
    <row r="3572" spans="1:23" x14ac:dyDescent="0.25">
      <c r="A3572">
        <v>3571</v>
      </c>
      <c r="B3572">
        <v>23</v>
      </c>
      <c r="C3572" t="str" cm="1">
        <f t="array" ref="C3572">_xlfn.IFS(
  AND(B3572&gt;=18, B3572&lt;=24), "18-24",
  AND(B3572&gt;=25, B3572&lt;=34), "25-34",
  AND(B3572&gt;=35, B3572&lt;=44), "35-44",
  AND(B3572&gt;=45, B3572&lt;=54), "45-54",
  B3572&gt;=55, "55+"
)</f>
        <v>18-24</v>
      </c>
      <c r="D3572" t="s">
        <v>153</v>
      </c>
      <c r="E3572" t="s">
        <v>82</v>
      </c>
      <c r="F3572" t="s">
        <v>21</v>
      </c>
      <c r="G3572">
        <v>97</v>
      </c>
      <c r="H3572" t="s">
        <v>62</v>
      </c>
      <c r="I3572" t="s">
        <v>92</v>
      </c>
      <c r="J3572" t="s">
        <v>86</v>
      </c>
      <c r="K3572" t="s">
        <v>25</v>
      </c>
      <c r="L3572">
        <v>4.7</v>
      </c>
      <c r="M3572" t="s">
        <v>152</v>
      </c>
      <c r="N3572" t="s">
        <v>46</v>
      </c>
      <c r="O3572" t="s">
        <v>55</v>
      </c>
      <c r="P3572" t="s">
        <v>152</v>
      </c>
      <c r="Q3572" t="s">
        <v>152</v>
      </c>
      <c r="R3572">
        <v>32</v>
      </c>
      <c r="S3572" t="s">
        <v>59</v>
      </c>
      <c r="T3572" t="str">
        <f t="shared" si="110"/>
        <v>Annually</v>
      </c>
      <c r="U3572">
        <f>VLOOKUP(T3572,[1]tablescore!$B$3:$C$8, 2,FALSE)</f>
        <v>1</v>
      </c>
      <c r="V3572" t="str">
        <f t="shared" si="111"/>
        <v>Low Loyalty</v>
      </c>
      <c r="W3572" t="s">
        <v>50</v>
      </c>
    </row>
    <row r="3573" spans="1:23" x14ac:dyDescent="0.25">
      <c r="A3573">
        <v>3572</v>
      </c>
      <c r="B3573">
        <v>70</v>
      </c>
      <c r="C3573" t="str" cm="1">
        <f t="array" ref="C3573">_xlfn.IFS(
  AND(B3573&gt;=18, B3573&lt;=24), "18-24",
  AND(B3573&gt;=25, B3573&lt;=34), "25-34",
  AND(B3573&gt;=35, B3573&lt;=44), "35-44",
  AND(B3573&gt;=45, B3573&lt;=54), "45-54",
  B3573&gt;=55, "55+"
)</f>
        <v>55+</v>
      </c>
      <c r="D3573" t="s">
        <v>153</v>
      </c>
      <c r="E3573" t="s">
        <v>87</v>
      </c>
      <c r="F3573" t="s">
        <v>21</v>
      </c>
      <c r="G3573">
        <v>27</v>
      </c>
      <c r="H3573" t="s">
        <v>114</v>
      </c>
      <c r="I3573" t="s">
        <v>45</v>
      </c>
      <c r="J3573" t="s">
        <v>53</v>
      </c>
      <c r="K3573" t="s">
        <v>54</v>
      </c>
      <c r="L3573">
        <v>3.2</v>
      </c>
      <c r="M3573" t="s">
        <v>152</v>
      </c>
      <c r="N3573" t="s">
        <v>35</v>
      </c>
      <c r="O3573" t="s">
        <v>55</v>
      </c>
      <c r="P3573" t="s">
        <v>152</v>
      </c>
      <c r="Q3573" t="s">
        <v>152</v>
      </c>
      <c r="R3573">
        <v>15</v>
      </c>
      <c r="S3573" t="s">
        <v>34</v>
      </c>
      <c r="T3573" t="str">
        <f t="shared" si="110"/>
        <v>Quarterly</v>
      </c>
      <c r="U3573">
        <f>VLOOKUP(T3573,[1]tablescore!$B$3:$C$8, 2,FALSE)</f>
        <v>4</v>
      </c>
      <c r="V3573" t="str">
        <f t="shared" si="111"/>
        <v>Low Loyalty</v>
      </c>
      <c r="W3573" t="s">
        <v>97</v>
      </c>
    </row>
    <row r="3574" spans="1:23" x14ac:dyDescent="0.25">
      <c r="A3574">
        <v>3573</v>
      </c>
      <c r="B3574">
        <v>23</v>
      </c>
      <c r="C3574" t="str" cm="1">
        <f t="array" ref="C3574">_xlfn.IFS(
  AND(B3574&gt;=18, B3574&lt;=24), "18-24",
  AND(B3574&gt;=25, B3574&lt;=34), "25-34",
  AND(B3574&gt;=35, B3574&lt;=44), "35-44",
  AND(B3574&gt;=45, B3574&lt;=54), "45-54",
  B3574&gt;=55, "55+"
)</f>
        <v>18-24</v>
      </c>
      <c r="D3574" t="s">
        <v>153</v>
      </c>
      <c r="E3574" t="s">
        <v>61</v>
      </c>
      <c r="F3574" t="s">
        <v>21</v>
      </c>
      <c r="G3574">
        <v>28</v>
      </c>
      <c r="H3574" t="s">
        <v>44</v>
      </c>
      <c r="I3574" t="s">
        <v>45</v>
      </c>
      <c r="J3574" t="s">
        <v>94</v>
      </c>
      <c r="K3574" t="s">
        <v>39</v>
      </c>
      <c r="L3574">
        <v>5</v>
      </c>
      <c r="M3574" t="s">
        <v>152</v>
      </c>
      <c r="N3574" t="s">
        <v>34</v>
      </c>
      <c r="O3574" t="s">
        <v>55</v>
      </c>
      <c r="P3574" t="s">
        <v>152</v>
      </c>
      <c r="Q3574" t="s">
        <v>152</v>
      </c>
      <c r="R3574">
        <v>25</v>
      </c>
      <c r="S3574" t="s">
        <v>27</v>
      </c>
      <c r="T3574" t="str">
        <f t="shared" si="110"/>
        <v>Month</v>
      </c>
      <c r="U3574">
        <f>VLOOKUP(T3574,[1]tablescore!$B$3:$C$8, 2,FALSE)</f>
        <v>12</v>
      </c>
      <c r="V3574" t="str">
        <f t="shared" si="111"/>
        <v>Moderate</v>
      </c>
      <c r="W3574" t="s">
        <v>88</v>
      </c>
    </row>
    <row r="3575" spans="1:23" x14ac:dyDescent="0.25">
      <c r="A3575">
        <v>3574</v>
      </c>
      <c r="B3575">
        <v>43</v>
      </c>
      <c r="C3575" t="str" cm="1">
        <f t="array" ref="C3575">_xlfn.IFS(
  AND(B3575&gt;=18, B3575&lt;=24), "18-24",
  AND(B3575&gt;=25, B3575&lt;=34), "25-34",
  AND(B3575&gt;=35, B3575&lt;=44), "35-44",
  AND(B3575&gt;=45, B3575&lt;=54), "45-54",
  B3575&gt;=55, "55+"
)</f>
        <v>35-44</v>
      </c>
      <c r="D3575" t="s">
        <v>153</v>
      </c>
      <c r="E3575" t="s">
        <v>36</v>
      </c>
      <c r="F3575" t="s">
        <v>21</v>
      </c>
      <c r="G3575">
        <v>67</v>
      </c>
      <c r="H3575" t="s">
        <v>146</v>
      </c>
      <c r="I3575" t="s">
        <v>23</v>
      </c>
      <c r="J3575" t="s">
        <v>33</v>
      </c>
      <c r="K3575" t="s">
        <v>58</v>
      </c>
      <c r="L3575">
        <v>4.9000000000000004</v>
      </c>
      <c r="M3575" t="s">
        <v>152</v>
      </c>
      <c r="N3575" t="s">
        <v>35</v>
      </c>
      <c r="O3575" t="s">
        <v>40</v>
      </c>
      <c r="P3575" t="s">
        <v>152</v>
      </c>
      <c r="Q3575" t="s">
        <v>152</v>
      </c>
      <c r="R3575">
        <v>27</v>
      </c>
      <c r="S3575" t="s">
        <v>46</v>
      </c>
      <c r="T3575" t="str">
        <f t="shared" si="110"/>
        <v>Month</v>
      </c>
      <c r="U3575">
        <f>VLOOKUP(T3575,[1]tablescore!$B$3:$C$8, 2,FALSE)</f>
        <v>12</v>
      </c>
      <c r="V3575" t="str">
        <f t="shared" si="111"/>
        <v>Moderate</v>
      </c>
      <c r="W3575" t="s">
        <v>88</v>
      </c>
    </row>
    <row r="3576" spans="1:23" x14ac:dyDescent="0.25">
      <c r="A3576">
        <v>3575</v>
      </c>
      <c r="B3576">
        <v>29</v>
      </c>
      <c r="C3576" t="str" cm="1">
        <f t="array" ref="C3576">_xlfn.IFS(
  AND(B3576&gt;=18, B3576&lt;=24), "18-24",
  AND(B3576&gt;=25, B3576&lt;=34), "25-34",
  AND(B3576&gt;=35, B3576&lt;=44), "35-44",
  AND(B3576&gt;=45, B3576&lt;=54), "45-54",
  B3576&gt;=55, "55+"
)</f>
        <v>25-34</v>
      </c>
      <c r="D3576" t="s">
        <v>153</v>
      </c>
      <c r="E3576" t="s">
        <v>131</v>
      </c>
      <c r="F3576" t="s">
        <v>21</v>
      </c>
      <c r="G3576">
        <v>70</v>
      </c>
      <c r="H3576" t="s">
        <v>85</v>
      </c>
      <c r="I3576" t="s">
        <v>45</v>
      </c>
      <c r="J3576" t="s">
        <v>109</v>
      </c>
      <c r="K3576" t="s">
        <v>58</v>
      </c>
      <c r="L3576">
        <v>4.9000000000000004</v>
      </c>
      <c r="M3576" t="s">
        <v>152</v>
      </c>
      <c r="N3576" t="s">
        <v>35</v>
      </c>
      <c r="O3576" t="s">
        <v>28</v>
      </c>
      <c r="P3576" t="s">
        <v>152</v>
      </c>
      <c r="Q3576" t="s">
        <v>152</v>
      </c>
      <c r="R3576">
        <v>39</v>
      </c>
      <c r="S3576" t="s">
        <v>34</v>
      </c>
      <c r="T3576" t="str">
        <f t="shared" si="110"/>
        <v>Quarterly</v>
      </c>
      <c r="U3576">
        <f>VLOOKUP(T3576,[1]tablescore!$B$3:$C$8, 2,FALSE)</f>
        <v>4</v>
      </c>
      <c r="V3576" t="str">
        <f t="shared" si="111"/>
        <v>Low Loyalty</v>
      </c>
      <c r="W3576" t="s">
        <v>60</v>
      </c>
    </row>
    <row r="3577" spans="1:23" x14ac:dyDescent="0.25">
      <c r="A3577">
        <v>3576</v>
      </c>
      <c r="B3577">
        <v>61</v>
      </c>
      <c r="C3577" t="str" cm="1">
        <f t="array" ref="C3577">_xlfn.IFS(
  AND(B3577&gt;=18, B3577&lt;=24), "18-24",
  AND(B3577&gt;=25, B3577&lt;=34), "25-34",
  AND(B3577&gt;=35, B3577&lt;=44), "35-44",
  AND(B3577&gt;=45, B3577&lt;=54), "45-54",
  B3577&gt;=55, "55+"
)</f>
        <v>55+</v>
      </c>
      <c r="D3577" t="s">
        <v>153</v>
      </c>
      <c r="E3577" t="s">
        <v>64</v>
      </c>
      <c r="F3577" t="s">
        <v>65</v>
      </c>
      <c r="G3577">
        <v>95</v>
      </c>
      <c r="H3577" t="s">
        <v>22</v>
      </c>
      <c r="I3577" t="s">
        <v>45</v>
      </c>
      <c r="J3577" t="s">
        <v>84</v>
      </c>
      <c r="K3577" t="s">
        <v>58</v>
      </c>
      <c r="L3577">
        <v>3.7</v>
      </c>
      <c r="M3577" t="s">
        <v>152</v>
      </c>
      <c r="N3577" t="s">
        <v>35</v>
      </c>
      <c r="O3577" t="s">
        <v>28</v>
      </c>
      <c r="P3577" t="s">
        <v>152</v>
      </c>
      <c r="Q3577" t="s">
        <v>152</v>
      </c>
      <c r="R3577">
        <v>49</v>
      </c>
      <c r="S3577" t="s">
        <v>29</v>
      </c>
      <c r="T3577" t="str">
        <f t="shared" si="110"/>
        <v>2-week</v>
      </c>
      <c r="U3577">
        <f>VLOOKUP(T3577,[1]tablescore!$B$3:$C$8, 2,FALSE)</f>
        <v>26</v>
      </c>
      <c r="V3577" t="str">
        <f t="shared" si="111"/>
        <v>Loyal</v>
      </c>
      <c r="W3577" t="s">
        <v>77</v>
      </c>
    </row>
    <row r="3578" spans="1:23" x14ac:dyDescent="0.25">
      <c r="A3578">
        <v>3577</v>
      </c>
      <c r="B3578">
        <v>29</v>
      </c>
      <c r="C3578" t="str" cm="1">
        <f t="array" ref="C3578">_xlfn.IFS(
  AND(B3578&gt;=18, B3578&lt;=24), "18-24",
  AND(B3578&gt;=25, B3578&lt;=34), "25-34",
  AND(B3578&gt;=35, B3578&lt;=44), "35-44",
  AND(B3578&gt;=45, B3578&lt;=54), "45-54",
  B3578&gt;=55, "55+"
)</f>
        <v>25-34</v>
      </c>
      <c r="D3578" t="s">
        <v>153</v>
      </c>
      <c r="E3578" t="s">
        <v>132</v>
      </c>
      <c r="F3578" t="s">
        <v>43</v>
      </c>
      <c r="G3578">
        <v>24</v>
      </c>
      <c r="H3578" t="s">
        <v>32</v>
      </c>
      <c r="I3578" t="s">
        <v>23</v>
      </c>
      <c r="J3578" t="s">
        <v>139</v>
      </c>
      <c r="K3578" t="s">
        <v>39</v>
      </c>
      <c r="L3578">
        <v>3</v>
      </c>
      <c r="M3578" t="s">
        <v>152</v>
      </c>
      <c r="N3578" t="s">
        <v>35</v>
      </c>
      <c r="O3578" t="s">
        <v>28</v>
      </c>
      <c r="P3578" t="s">
        <v>152</v>
      </c>
      <c r="Q3578" t="s">
        <v>152</v>
      </c>
      <c r="R3578">
        <v>12</v>
      </c>
      <c r="S3578" t="s">
        <v>29</v>
      </c>
      <c r="T3578" t="str">
        <f t="shared" si="110"/>
        <v>2-week</v>
      </c>
      <c r="U3578">
        <f>VLOOKUP(T3578,[1]tablescore!$B$3:$C$8, 2,FALSE)</f>
        <v>26</v>
      </c>
      <c r="V3578" t="str">
        <f t="shared" si="111"/>
        <v>Loyal</v>
      </c>
      <c r="W3578" t="s">
        <v>77</v>
      </c>
    </row>
    <row r="3579" spans="1:23" x14ac:dyDescent="0.25">
      <c r="A3579">
        <v>3578</v>
      </c>
      <c r="B3579">
        <v>66</v>
      </c>
      <c r="C3579" t="str" cm="1">
        <f t="array" ref="C3579">_xlfn.IFS(
  AND(B3579&gt;=18, B3579&lt;=24), "18-24",
  AND(B3579&gt;=25, B3579&lt;=34), "25-34",
  AND(B3579&gt;=35, B3579&lt;=44), "35-44",
  AND(B3579&gt;=45, B3579&lt;=54), "45-54",
  B3579&gt;=55, "55+"
)</f>
        <v>55+</v>
      </c>
      <c r="D3579" t="s">
        <v>153</v>
      </c>
      <c r="E3579" t="s">
        <v>136</v>
      </c>
      <c r="F3579" t="s">
        <v>69</v>
      </c>
      <c r="G3579">
        <v>35</v>
      </c>
      <c r="H3579" t="s">
        <v>70</v>
      </c>
      <c r="I3579" t="s">
        <v>38</v>
      </c>
      <c r="J3579" t="s">
        <v>139</v>
      </c>
      <c r="K3579" t="s">
        <v>25</v>
      </c>
      <c r="L3579">
        <v>2.6</v>
      </c>
      <c r="M3579" t="s">
        <v>152</v>
      </c>
      <c r="N3579" t="s">
        <v>46</v>
      </c>
      <c r="O3579" t="s">
        <v>55</v>
      </c>
      <c r="P3579" t="s">
        <v>152</v>
      </c>
      <c r="Q3579" t="s">
        <v>152</v>
      </c>
      <c r="R3579">
        <v>13</v>
      </c>
      <c r="S3579" t="s">
        <v>34</v>
      </c>
      <c r="T3579" t="str">
        <f t="shared" si="110"/>
        <v>Daily</v>
      </c>
      <c r="U3579">
        <f>VLOOKUP(T3579,[1]tablescore!$B$3:$C$8, 2,FALSE)</f>
        <v>30</v>
      </c>
      <c r="V3579" t="str">
        <f t="shared" si="111"/>
        <v>Highly Loyal</v>
      </c>
      <c r="W3579" t="s">
        <v>41</v>
      </c>
    </row>
    <row r="3580" spans="1:23" x14ac:dyDescent="0.25">
      <c r="A3580">
        <v>3579</v>
      </c>
      <c r="B3580">
        <v>46</v>
      </c>
      <c r="C3580" t="str" cm="1">
        <f t="array" ref="C3580">_xlfn.IFS(
  AND(B3580&gt;=18, B3580&lt;=24), "18-24",
  AND(B3580&gt;=25, B3580&lt;=34), "25-34",
  AND(B3580&gt;=35, B3580&lt;=44), "35-44",
  AND(B3580&gt;=45, B3580&lt;=54), "45-54",
  B3580&gt;=55, "55+"
)</f>
        <v>45-54</v>
      </c>
      <c r="D3580" t="s">
        <v>153</v>
      </c>
      <c r="E3580" t="s">
        <v>73</v>
      </c>
      <c r="F3580" t="s">
        <v>43</v>
      </c>
      <c r="G3580">
        <v>22</v>
      </c>
      <c r="H3580" t="s">
        <v>142</v>
      </c>
      <c r="I3580" t="s">
        <v>23</v>
      </c>
      <c r="J3580" t="s">
        <v>79</v>
      </c>
      <c r="K3580" t="s">
        <v>25</v>
      </c>
      <c r="L3580">
        <v>2.6</v>
      </c>
      <c r="M3580" t="s">
        <v>152</v>
      </c>
      <c r="N3580" t="s">
        <v>27</v>
      </c>
      <c r="O3580" t="s">
        <v>55</v>
      </c>
      <c r="P3580" t="s">
        <v>152</v>
      </c>
      <c r="Q3580" t="s">
        <v>152</v>
      </c>
      <c r="R3580">
        <v>22</v>
      </c>
      <c r="S3580" t="s">
        <v>34</v>
      </c>
      <c r="T3580" t="str">
        <f t="shared" si="110"/>
        <v>Quarterly</v>
      </c>
      <c r="U3580">
        <f>VLOOKUP(T3580,[1]tablescore!$B$3:$C$8, 2,FALSE)</f>
        <v>4</v>
      </c>
      <c r="V3580" t="str">
        <f t="shared" si="111"/>
        <v>Low Loyalty</v>
      </c>
      <c r="W3580" t="s">
        <v>60</v>
      </c>
    </row>
    <row r="3581" spans="1:23" x14ac:dyDescent="0.25">
      <c r="A3581">
        <v>3580</v>
      </c>
      <c r="B3581">
        <v>34</v>
      </c>
      <c r="C3581" t="str" cm="1">
        <f t="array" ref="C3581">_xlfn.IFS(
  AND(B3581&gt;=18, B3581&lt;=24), "18-24",
  AND(B3581&gt;=25, B3581&lt;=34), "25-34",
  AND(B3581&gt;=35, B3581&lt;=44), "35-44",
  AND(B3581&gt;=45, B3581&lt;=54), "45-54",
  B3581&gt;=55, "55+"
)</f>
        <v>25-34</v>
      </c>
      <c r="D3581" t="s">
        <v>153</v>
      </c>
      <c r="E3581" t="s">
        <v>119</v>
      </c>
      <c r="F3581" t="s">
        <v>69</v>
      </c>
      <c r="G3581">
        <v>66</v>
      </c>
      <c r="H3581" t="s">
        <v>117</v>
      </c>
      <c r="I3581" t="s">
        <v>23</v>
      </c>
      <c r="J3581" t="s">
        <v>79</v>
      </c>
      <c r="K3581" t="s">
        <v>58</v>
      </c>
      <c r="L3581">
        <v>4.8</v>
      </c>
      <c r="M3581" t="s">
        <v>152</v>
      </c>
      <c r="N3581" t="s">
        <v>34</v>
      </c>
      <c r="O3581" t="s">
        <v>55</v>
      </c>
      <c r="P3581" t="s">
        <v>152</v>
      </c>
      <c r="Q3581" t="s">
        <v>152</v>
      </c>
      <c r="R3581">
        <v>19</v>
      </c>
      <c r="S3581" t="s">
        <v>27</v>
      </c>
      <c r="T3581" t="str">
        <f t="shared" si="110"/>
        <v>Quarterly</v>
      </c>
      <c r="U3581">
        <f>VLOOKUP(T3581,[1]tablescore!$B$3:$C$8, 2,FALSE)</f>
        <v>4</v>
      </c>
      <c r="V3581" t="str">
        <f t="shared" si="111"/>
        <v>Low Loyalty</v>
      </c>
      <c r="W3581" t="s">
        <v>97</v>
      </c>
    </row>
    <row r="3582" spans="1:23" x14ac:dyDescent="0.25">
      <c r="A3582">
        <v>3581</v>
      </c>
      <c r="B3582">
        <v>51</v>
      </c>
      <c r="C3582" t="str" cm="1">
        <f t="array" ref="C3582">_xlfn.IFS(
  AND(B3582&gt;=18, B3582&lt;=24), "18-24",
  AND(B3582&gt;=25, B3582&lt;=34), "25-34",
  AND(B3582&gt;=35, B3582&lt;=44), "35-44",
  AND(B3582&gt;=45, B3582&lt;=54), "45-54",
  B3582&gt;=55, "55+"
)</f>
        <v>45-54</v>
      </c>
      <c r="D3582" t="s">
        <v>153</v>
      </c>
      <c r="E3582" t="s">
        <v>20</v>
      </c>
      <c r="F3582" t="s">
        <v>21</v>
      </c>
      <c r="G3582">
        <v>83</v>
      </c>
      <c r="H3582" t="s">
        <v>83</v>
      </c>
      <c r="I3582" t="s">
        <v>45</v>
      </c>
      <c r="J3582" t="s">
        <v>147</v>
      </c>
      <c r="K3582" t="s">
        <v>54</v>
      </c>
      <c r="L3582">
        <v>3.2</v>
      </c>
      <c r="M3582" t="s">
        <v>152</v>
      </c>
      <c r="N3582" t="s">
        <v>34</v>
      </c>
      <c r="O3582" t="s">
        <v>72</v>
      </c>
      <c r="P3582" t="s">
        <v>152</v>
      </c>
      <c r="Q3582" t="s">
        <v>152</v>
      </c>
      <c r="R3582">
        <v>3</v>
      </c>
      <c r="S3582" t="s">
        <v>35</v>
      </c>
      <c r="T3582" t="str">
        <f t="shared" si="110"/>
        <v>2-week</v>
      </c>
      <c r="U3582">
        <f>VLOOKUP(T3582,[1]tablescore!$B$3:$C$8, 2,FALSE)</f>
        <v>26</v>
      </c>
      <c r="V3582" t="str">
        <f t="shared" si="111"/>
        <v>Loyal</v>
      </c>
      <c r="W3582" t="s">
        <v>77</v>
      </c>
    </row>
    <row r="3583" spans="1:23" x14ac:dyDescent="0.25">
      <c r="A3583">
        <v>3582</v>
      </c>
      <c r="B3583">
        <v>26</v>
      </c>
      <c r="C3583" t="str" cm="1">
        <f t="array" ref="C3583">_xlfn.IFS(
  AND(B3583&gt;=18, B3583&lt;=24), "18-24",
  AND(B3583&gt;=25, B3583&lt;=34), "25-34",
  AND(B3583&gt;=35, B3583&lt;=44), "35-44",
  AND(B3583&gt;=45, B3583&lt;=54), "45-54",
  B3583&gt;=55, "55+"
)</f>
        <v>25-34</v>
      </c>
      <c r="D3583" t="s">
        <v>153</v>
      </c>
      <c r="E3583" t="s">
        <v>82</v>
      </c>
      <c r="F3583" t="s">
        <v>21</v>
      </c>
      <c r="G3583">
        <v>95</v>
      </c>
      <c r="H3583" t="s">
        <v>142</v>
      </c>
      <c r="I3583" t="s">
        <v>45</v>
      </c>
      <c r="J3583" t="s">
        <v>121</v>
      </c>
      <c r="K3583" t="s">
        <v>58</v>
      </c>
      <c r="L3583">
        <v>4.9000000000000004</v>
      </c>
      <c r="M3583" t="s">
        <v>152</v>
      </c>
      <c r="N3583" t="s">
        <v>29</v>
      </c>
      <c r="O3583" t="s">
        <v>47</v>
      </c>
      <c r="P3583" t="s">
        <v>152</v>
      </c>
      <c r="Q3583" t="s">
        <v>152</v>
      </c>
      <c r="R3583">
        <v>50</v>
      </c>
      <c r="S3583" t="s">
        <v>27</v>
      </c>
      <c r="T3583" t="str">
        <f t="shared" si="110"/>
        <v>Daily</v>
      </c>
      <c r="U3583">
        <f>VLOOKUP(T3583,[1]tablescore!$B$3:$C$8, 2,FALSE)</f>
        <v>30</v>
      </c>
      <c r="V3583" t="str">
        <f t="shared" si="111"/>
        <v>Highly Loyal</v>
      </c>
      <c r="W3583" t="s">
        <v>41</v>
      </c>
    </row>
    <row r="3584" spans="1:23" x14ac:dyDescent="0.25">
      <c r="A3584">
        <v>3583</v>
      </c>
      <c r="B3584">
        <v>23</v>
      </c>
      <c r="C3584" t="str" cm="1">
        <f t="array" ref="C3584">_xlfn.IFS(
  AND(B3584&gt;=18, B3584&lt;=24), "18-24",
  AND(B3584&gt;=25, B3584&lt;=34), "25-34",
  AND(B3584&gt;=35, B3584&lt;=44), "35-44",
  AND(B3584&gt;=45, B3584&lt;=54), "45-54",
  B3584&gt;=55, "55+"
)</f>
        <v>18-24</v>
      </c>
      <c r="D3584" t="s">
        <v>153</v>
      </c>
      <c r="E3584" t="s">
        <v>61</v>
      </c>
      <c r="F3584" t="s">
        <v>21</v>
      </c>
      <c r="G3584">
        <v>41</v>
      </c>
      <c r="H3584" t="s">
        <v>99</v>
      </c>
      <c r="I3584" t="s">
        <v>38</v>
      </c>
      <c r="J3584" t="s">
        <v>118</v>
      </c>
      <c r="K3584" t="s">
        <v>54</v>
      </c>
      <c r="L3584">
        <v>3.4</v>
      </c>
      <c r="M3584" t="s">
        <v>152</v>
      </c>
      <c r="N3584" t="s">
        <v>35</v>
      </c>
      <c r="O3584" t="s">
        <v>72</v>
      </c>
      <c r="P3584" t="s">
        <v>152</v>
      </c>
      <c r="Q3584" t="s">
        <v>152</v>
      </c>
      <c r="R3584">
        <v>15</v>
      </c>
      <c r="S3584" t="s">
        <v>46</v>
      </c>
      <c r="T3584" t="str">
        <f t="shared" si="110"/>
        <v>Annually</v>
      </c>
      <c r="U3584">
        <f>VLOOKUP(T3584,[1]tablescore!$B$3:$C$8, 2,FALSE)</f>
        <v>1</v>
      </c>
      <c r="V3584" t="str">
        <f t="shared" si="111"/>
        <v>Low Loyalty</v>
      </c>
      <c r="W3584" t="s">
        <v>50</v>
      </c>
    </row>
    <row r="3585" spans="1:23" x14ac:dyDescent="0.25">
      <c r="A3585">
        <v>3584</v>
      </c>
      <c r="B3585">
        <v>52</v>
      </c>
      <c r="C3585" t="str" cm="1">
        <f t="array" ref="C3585">_xlfn.IFS(
  AND(B3585&gt;=18, B3585&lt;=24), "18-24",
  AND(B3585&gt;=25, B3585&lt;=34), "25-34",
  AND(B3585&gt;=35, B3585&lt;=44), "35-44",
  AND(B3585&gt;=45, B3585&lt;=54), "45-54",
  B3585&gt;=55, "55+"
)</f>
        <v>45-54</v>
      </c>
      <c r="D3585" t="s">
        <v>153</v>
      </c>
      <c r="E3585" t="s">
        <v>20</v>
      </c>
      <c r="F3585" t="s">
        <v>21</v>
      </c>
      <c r="G3585">
        <v>77</v>
      </c>
      <c r="H3585" t="s">
        <v>117</v>
      </c>
      <c r="I3585" t="s">
        <v>23</v>
      </c>
      <c r="J3585" t="s">
        <v>110</v>
      </c>
      <c r="K3585" t="s">
        <v>54</v>
      </c>
      <c r="L3585">
        <v>2.7</v>
      </c>
      <c r="M3585" t="s">
        <v>152</v>
      </c>
      <c r="N3585" t="s">
        <v>59</v>
      </c>
      <c r="O3585" t="s">
        <v>76</v>
      </c>
      <c r="P3585" t="s">
        <v>152</v>
      </c>
      <c r="Q3585" t="s">
        <v>152</v>
      </c>
      <c r="R3585">
        <v>44</v>
      </c>
      <c r="S3585" t="s">
        <v>27</v>
      </c>
      <c r="T3585" t="str">
        <f t="shared" si="110"/>
        <v>Quarterly</v>
      </c>
      <c r="U3585">
        <f>VLOOKUP(T3585,[1]tablescore!$B$3:$C$8, 2,FALSE)</f>
        <v>4</v>
      </c>
      <c r="V3585" t="str">
        <f t="shared" si="111"/>
        <v>Low Loyalty</v>
      </c>
      <c r="W3585" t="s">
        <v>97</v>
      </c>
    </row>
    <row r="3586" spans="1:23" x14ac:dyDescent="0.25">
      <c r="A3586">
        <v>3585</v>
      </c>
      <c r="B3586">
        <v>39</v>
      </c>
      <c r="C3586" t="str" cm="1">
        <f t="array" ref="C3586">_xlfn.IFS(
  AND(B3586&gt;=18, B3586&lt;=24), "18-24",
  AND(B3586&gt;=25, B3586&lt;=34), "25-34",
  AND(B3586&gt;=35, B3586&lt;=44), "35-44",
  AND(B3586&gt;=45, B3586&lt;=54), "45-54",
  B3586&gt;=55, "55+"
)</f>
        <v>35-44</v>
      </c>
      <c r="D3586" t="s">
        <v>153</v>
      </c>
      <c r="E3586" t="s">
        <v>51</v>
      </c>
      <c r="F3586" t="s">
        <v>43</v>
      </c>
      <c r="G3586">
        <v>52</v>
      </c>
      <c r="H3586" t="s">
        <v>103</v>
      </c>
      <c r="I3586" t="s">
        <v>23</v>
      </c>
      <c r="J3586" t="s">
        <v>129</v>
      </c>
      <c r="K3586" t="s">
        <v>58</v>
      </c>
      <c r="L3586">
        <v>4.8</v>
      </c>
      <c r="M3586" t="s">
        <v>152</v>
      </c>
      <c r="N3586" t="s">
        <v>59</v>
      </c>
      <c r="O3586" t="s">
        <v>28</v>
      </c>
      <c r="P3586" t="s">
        <v>152</v>
      </c>
      <c r="Q3586" t="s">
        <v>152</v>
      </c>
      <c r="R3586">
        <v>48</v>
      </c>
      <c r="S3586" t="s">
        <v>59</v>
      </c>
      <c r="T3586" t="str">
        <f t="shared" si="110"/>
        <v>Month</v>
      </c>
      <c r="U3586">
        <f>VLOOKUP(T3586,[1]tablescore!$B$3:$C$8, 2,FALSE)</f>
        <v>12</v>
      </c>
      <c r="V3586" t="str">
        <f t="shared" si="111"/>
        <v>Moderate</v>
      </c>
      <c r="W3586" t="s">
        <v>88</v>
      </c>
    </row>
    <row r="3587" spans="1:23" x14ac:dyDescent="0.25">
      <c r="A3587">
        <v>3586</v>
      </c>
      <c r="B3587">
        <v>39</v>
      </c>
      <c r="C3587" t="str" cm="1">
        <f t="array" ref="C3587">_xlfn.IFS(
  AND(B3587&gt;=18, B3587&lt;=24), "18-24",
  AND(B3587&gt;=25, B3587&lt;=34), "25-34",
  AND(B3587&gt;=35, B3587&lt;=44), "35-44",
  AND(B3587&gt;=45, B3587&lt;=54), "45-54",
  B3587&gt;=55, "55+"
)</f>
        <v>35-44</v>
      </c>
      <c r="D3587" t="s">
        <v>153</v>
      </c>
      <c r="E3587" t="s">
        <v>127</v>
      </c>
      <c r="F3587" t="s">
        <v>69</v>
      </c>
      <c r="G3587">
        <v>41</v>
      </c>
      <c r="H3587" t="s">
        <v>85</v>
      </c>
      <c r="I3587" t="s">
        <v>92</v>
      </c>
      <c r="J3587" t="s">
        <v>24</v>
      </c>
      <c r="K3587" t="s">
        <v>25</v>
      </c>
      <c r="L3587">
        <v>4.0999999999999996</v>
      </c>
      <c r="M3587" t="s">
        <v>152</v>
      </c>
      <c r="N3587" t="s">
        <v>35</v>
      </c>
      <c r="O3587" t="s">
        <v>55</v>
      </c>
      <c r="P3587" t="s">
        <v>152</v>
      </c>
      <c r="Q3587" t="s">
        <v>152</v>
      </c>
      <c r="R3587">
        <v>4</v>
      </c>
      <c r="S3587" t="s">
        <v>29</v>
      </c>
      <c r="T3587" t="str">
        <f t="shared" ref="T3587:T3650" si="112">IF(TRIM(W3587)="Every 3 months","Quarterly",IF(TRIM(W3587)="Fortnightly","2-week",IF(TRIM(W3587)="Bi-Weekly","2-week",IF(TRIM(W3587)="Weekly","Daily",IF(TRIM(W3587)="Monthly","Month",TRIM(W3587))))))</f>
        <v>2-week</v>
      </c>
      <c r="U3587">
        <f>VLOOKUP(T3587,[1]tablescore!$B$3:$C$8, 2,FALSE)</f>
        <v>26</v>
      </c>
      <c r="V3587" t="str">
        <f t="shared" ref="V3587:V3650" si="113">_xlfn.IFS(U3587&gt;=30, "Highly Loyal", U3587&gt;=26, "Loyal", U3587&gt;=12, "Moderate", U3587&lt;5, "Low Loyalty")</f>
        <v>Loyal</v>
      </c>
      <c r="W3587" t="s">
        <v>77</v>
      </c>
    </row>
    <row r="3588" spans="1:23" x14ac:dyDescent="0.25">
      <c r="A3588">
        <v>3587</v>
      </c>
      <c r="B3588">
        <v>33</v>
      </c>
      <c r="C3588" t="str" cm="1">
        <f t="array" ref="C3588">_xlfn.IFS(
  AND(B3588&gt;=18, B3588&lt;=24), "18-24",
  AND(B3588&gt;=25, B3588&lt;=34), "25-34",
  AND(B3588&gt;=35, B3588&lt;=44), "35-44",
  AND(B3588&gt;=45, B3588&lt;=54), "45-54",
  B3588&gt;=55, "55+"
)</f>
        <v>25-34</v>
      </c>
      <c r="D3588" t="s">
        <v>153</v>
      </c>
      <c r="E3588" t="s">
        <v>104</v>
      </c>
      <c r="F3588" t="s">
        <v>21</v>
      </c>
      <c r="G3588">
        <v>28</v>
      </c>
      <c r="H3588" t="s">
        <v>144</v>
      </c>
      <c r="I3588" t="s">
        <v>45</v>
      </c>
      <c r="J3588" t="s">
        <v>139</v>
      </c>
      <c r="K3588" t="s">
        <v>25</v>
      </c>
      <c r="L3588">
        <v>4.5999999999999996</v>
      </c>
      <c r="M3588" t="s">
        <v>152</v>
      </c>
      <c r="N3588" t="s">
        <v>46</v>
      </c>
      <c r="O3588" t="s">
        <v>76</v>
      </c>
      <c r="P3588" t="s">
        <v>152</v>
      </c>
      <c r="Q3588" t="s">
        <v>152</v>
      </c>
      <c r="R3588">
        <v>12</v>
      </c>
      <c r="S3588" t="s">
        <v>46</v>
      </c>
      <c r="T3588" t="str">
        <f t="shared" si="112"/>
        <v>2-week</v>
      </c>
      <c r="U3588">
        <f>VLOOKUP(T3588,[1]tablescore!$B$3:$C$8, 2,FALSE)</f>
        <v>26</v>
      </c>
      <c r="V3588" t="str">
        <f t="shared" si="113"/>
        <v>Loyal</v>
      </c>
      <c r="W3588" t="s">
        <v>77</v>
      </c>
    </row>
    <row r="3589" spans="1:23" x14ac:dyDescent="0.25">
      <c r="A3589">
        <v>3588</v>
      </c>
      <c r="B3589">
        <v>33</v>
      </c>
      <c r="C3589" t="str" cm="1">
        <f t="array" ref="C3589">_xlfn.IFS(
  AND(B3589&gt;=18, B3589&lt;=24), "18-24",
  AND(B3589&gt;=25, B3589&lt;=34), "25-34",
  AND(B3589&gt;=35, B3589&lt;=44), "35-44",
  AND(B3589&gt;=45, B3589&lt;=54), "45-54",
  B3589&gt;=55, "55+"
)</f>
        <v>25-34</v>
      </c>
      <c r="D3589" t="s">
        <v>153</v>
      </c>
      <c r="E3589" t="s">
        <v>31</v>
      </c>
      <c r="F3589" t="s">
        <v>21</v>
      </c>
      <c r="G3589">
        <v>90</v>
      </c>
      <c r="H3589" t="s">
        <v>128</v>
      </c>
      <c r="I3589" t="s">
        <v>38</v>
      </c>
      <c r="J3589" t="s">
        <v>84</v>
      </c>
      <c r="K3589" t="s">
        <v>54</v>
      </c>
      <c r="L3589">
        <v>4.4000000000000004</v>
      </c>
      <c r="M3589" t="s">
        <v>152</v>
      </c>
      <c r="N3589" t="s">
        <v>59</v>
      </c>
      <c r="O3589" t="s">
        <v>55</v>
      </c>
      <c r="P3589" t="s">
        <v>152</v>
      </c>
      <c r="Q3589" t="s">
        <v>152</v>
      </c>
      <c r="R3589">
        <v>33</v>
      </c>
      <c r="S3589" t="s">
        <v>59</v>
      </c>
      <c r="T3589" t="str">
        <f t="shared" si="112"/>
        <v>Annually</v>
      </c>
      <c r="U3589">
        <f>VLOOKUP(T3589,[1]tablescore!$B$3:$C$8, 2,FALSE)</f>
        <v>1</v>
      </c>
      <c r="V3589" t="str">
        <f t="shared" si="113"/>
        <v>Low Loyalty</v>
      </c>
      <c r="W3589" t="s">
        <v>50</v>
      </c>
    </row>
    <row r="3590" spans="1:23" x14ac:dyDescent="0.25">
      <c r="A3590">
        <v>3589</v>
      </c>
      <c r="B3590">
        <v>23</v>
      </c>
      <c r="C3590" t="str" cm="1">
        <f t="array" ref="C3590">_xlfn.IFS(
  AND(B3590&gt;=18, B3590&lt;=24), "18-24",
  AND(B3590&gt;=25, B3590&lt;=34), "25-34",
  AND(B3590&gt;=35, B3590&lt;=44), "35-44",
  AND(B3590&gt;=45, B3590&lt;=54), "45-54",
  B3590&gt;=55, "55+"
)</f>
        <v>18-24</v>
      </c>
      <c r="D3590" t="s">
        <v>153</v>
      </c>
      <c r="E3590" t="s">
        <v>89</v>
      </c>
      <c r="F3590" t="s">
        <v>69</v>
      </c>
      <c r="G3590">
        <v>55</v>
      </c>
      <c r="H3590" t="s">
        <v>151</v>
      </c>
      <c r="I3590" t="s">
        <v>45</v>
      </c>
      <c r="J3590" t="s">
        <v>147</v>
      </c>
      <c r="K3590" t="s">
        <v>39</v>
      </c>
      <c r="L3590">
        <v>3.5</v>
      </c>
      <c r="M3590" t="s">
        <v>152</v>
      </c>
      <c r="N3590" t="s">
        <v>34</v>
      </c>
      <c r="O3590" t="s">
        <v>72</v>
      </c>
      <c r="P3590" t="s">
        <v>152</v>
      </c>
      <c r="Q3590" t="s">
        <v>152</v>
      </c>
      <c r="R3590">
        <v>40</v>
      </c>
      <c r="S3590" t="s">
        <v>35</v>
      </c>
      <c r="T3590" t="str">
        <f t="shared" si="112"/>
        <v>Annually</v>
      </c>
      <c r="U3590">
        <f>VLOOKUP(T3590,[1]tablescore!$B$3:$C$8, 2,FALSE)</f>
        <v>1</v>
      </c>
      <c r="V3590" t="str">
        <f t="shared" si="113"/>
        <v>Low Loyalty</v>
      </c>
      <c r="W3590" t="s">
        <v>50</v>
      </c>
    </row>
    <row r="3591" spans="1:23" x14ac:dyDescent="0.25">
      <c r="A3591">
        <v>3590</v>
      </c>
      <c r="B3591">
        <v>31</v>
      </c>
      <c r="C3591" t="str" cm="1">
        <f t="array" ref="C3591">_xlfn.IFS(
  AND(B3591&gt;=18, B3591&lt;=24), "18-24",
  AND(B3591&gt;=25, B3591&lt;=34), "25-34",
  AND(B3591&gt;=35, B3591&lt;=44), "35-44",
  AND(B3591&gt;=45, B3591&lt;=54), "45-54",
  B3591&gt;=55, "55+"
)</f>
        <v>25-34</v>
      </c>
      <c r="D3591" t="s">
        <v>153</v>
      </c>
      <c r="E3591" t="s">
        <v>136</v>
      </c>
      <c r="F3591" t="s">
        <v>69</v>
      </c>
      <c r="G3591">
        <v>73</v>
      </c>
      <c r="H3591" t="s">
        <v>83</v>
      </c>
      <c r="I3591" t="s">
        <v>45</v>
      </c>
      <c r="J3591" t="s">
        <v>138</v>
      </c>
      <c r="K3591" t="s">
        <v>39</v>
      </c>
      <c r="L3591">
        <v>4.8</v>
      </c>
      <c r="M3591" t="s">
        <v>152</v>
      </c>
      <c r="N3591" t="s">
        <v>35</v>
      </c>
      <c r="O3591" t="s">
        <v>47</v>
      </c>
      <c r="P3591" t="s">
        <v>152</v>
      </c>
      <c r="Q3591" t="s">
        <v>152</v>
      </c>
      <c r="R3591">
        <v>38</v>
      </c>
      <c r="S3591" t="s">
        <v>35</v>
      </c>
      <c r="T3591" t="str">
        <f t="shared" si="112"/>
        <v>Quarterly</v>
      </c>
      <c r="U3591">
        <f>VLOOKUP(T3591,[1]tablescore!$B$3:$C$8, 2,FALSE)</f>
        <v>4</v>
      </c>
      <c r="V3591" t="str">
        <f t="shared" si="113"/>
        <v>Low Loyalty</v>
      </c>
      <c r="W3591" t="s">
        <v>97</v>
      </c>
    </row>
    <row r="3592" spans="1:23" x14ac:dyDescent="0.25">
      <c r="A3592">
        <v>3591</v>
      </c>
      <c r="B3592">
        <v>27</v>
      </c>
      <c r="C3592" t="str" cm="1">
        <f t="array" ref="C3592">_xlfn.IFS(
  AND(B3592&gt;=18, B3592&lt;=24), "18-24",
  AND(B3592&gt;=25, B3592&lt;=34), "25-34",
  AND(B3592&gt;=35, B3592&lt;=44), "35-44",
  AND(B3592&gt;=45, B3592&lt;=54), "45-54",
  B3592&gt;=55, "55+"
)</f>
        <v>25-34</v>
      </c>
      <c r="D3592" t="s">
        <v>153</v>
      </c>
      <c r="E3592" t="s">
        <v>82</v>
      </c>
      <c r="F3592" t="s">
        <v>21</v>
      </c>
      <c r="G3592">
        <v>87</v>
      </c>
      <c r="H3592" t="s">
        <v>130</v>
      </c>
      <c r="I3592" t="s">
        <v>45</v>
      </c>
      <c r="J3592" t="s">
        <v>24</v>
      </c>
      <c r="K3592" t="s">
        <v>58</v>
      </c>
      <c r="L3592">
        <v>2.9</v>
      </c>
      <c r="M3592" t="s">
        <v>152</v>
      </c>
      <c r="N3592" t="s">
        <v>46</v>
      </c>
      <c r="O3592" t="s">
        <v>72</v>
      </c>
      <c r="P3592" t="s">
        <v>152</v>
      </c>
      <c r="Q3592" t="s">
        <v>152</v>
      </c>
      <c r="R3592">
        <v>19</v>
      </c>
      <c r="S3592" t="s">
        <v>29</v>
      </c>
      <c r="T3592" t="str">
        <f t="shared" si="112"/>
        <v>Quarterly</v>
      </c>
      <c r="U3592">
        <f>VLOOKUP(T3592,[1]tablescore!$B$3:$C$8, 2,FALSE)</f>
        <v>4</v>
      </c>
      <c r="V3592" t="str">
        <f t="shared" si="113"/>
        <v>Low Loyalty</v>
      </c>
      <c r="W3592" t="s">
        <v>97</v>
      </c>
    </row>
    <row r="3593" spans="1:23" x14ac:dyDescent="0.25">
      <c r="A3593">
        <v>3592</v>
      </c>
      <c r="B3593">
        <v>48</v>
      </c>
      <c r="C3593" t="str" cm="1">
        <f t="array" ref="C3593">_xlfn.IFS(
  AND(B3593&gt;=18, B3593&lt;=24), "18-24",
  AND(B3593&gt;=25, B3593&lt;=34), "25-34",
  AND(B3593&gt;=35, B3593&lt;=44), "35-44",
  AND(B3593&gt;=45, B3593&lt;=54), "45-54",
  B3593&gt;=55, "55+"
)</f>
        <v>45-54</v>
      </c>
      <c r="D3593" t="s">
        <v>153</v>
      </c>
      <c r="E3593" t="s">
        <v>102</v>
      </c>
      <c r="F3593" t="s">
        <v>65</v>
      </c>
      <c r="G3593">
        <v>89</v>
      </c>
      <c r="H3593" t="s">
        <v>130</v>
      </c>
      <c r="I3593" t="s">
        <v>45</v>
      </c>
      <c r="J3593" t="s">
        <v>81</v>
      </c>
      <c r="K3593" t="s">
        <v>25</v>
      </c>
      <c r="L3593">
        <v>3.2</v>
      </c>
      <c r="M3593" t="s">
        <v>152</v>
      </c>
      <c r="N3593" t="s">
        <v>35</v>
      </c>
      <c r="O3593" t="s">
        <v>72</v>
      </c>
      <c r="P3593" t="s">
        <v>152</v>
      </c>
      <c r="Q3593" t="s">
        <v>152</v>
      </c>
      <c r="R3593">
        <v>38</v>
      </c>
      <c r="S3593" t="s">
        <v>34</v>
      </c>
      <c r="T3593" t="str">
        <f t="shared" si="112"/>
        <v>Quarterly</v>
      </c>
      <c r="U3593">
        <f>VLOOKUP(T3593,[1]tablescore!$B$3:$C$8, 2,FALSE)</f>
        <v>4</v>
      </c>
      <c r="V3593" t="str">
        <f t="shared" si="113"/>
        <v>Low Loyalty</v>
      </c>
      <c r="W3593" t="s">
        <v>60</v>
      </c>
    </row>
    <row r="3594" spans="1:23" x14ac:dyDescent="0.25">
      <c r="A3594">
        <v>3593</v>
      </c>
      <c r="B3594">
        <v>61</v>
      </c>
      <c r="C3594" t="str" cm="1">
        <f t="array" ref="C3594">_xlfn.IFS(
  AND(B3594&gt;=18, B3594&lt;=24), "18-24",
  AND(B3594&gt;=25, B3594&lt;=34), "25-34",
  AND(B3594&gt;=35, B3594&lt;=44), "35-44",
  AND(B3594&gt;=45, B3594&lt;=54), "45-54",
  B3594&gt;=55, "55+"
)</f>
        <v>55+</v>
      </c>
      <c r="D3594" t="s">
        <v>153</v>
      </c>
      <c r="E3594" t="s">
        <v>132</v>
      </c>
      <c r="F3594" t="s">
        <v>43</v>
      </c>
      <c r="G3594">
        <v>82</v>
      </c>
      <c r="H3594" t="s">
        <v>137</v>
      </c>
      <c r="I3594" t="s">
        <v>23</v>
      </c>
      <c r="J3594" t="s">
        <v>93</v>
      </c>
      <c r="K3594" t="s">
        <v>39</v>
      </c>
      <c r="L3594">
        <v>4.4000000000000004</v>
      </c>
      <c r="M3594" t="s">
        <v>152</v>
      </c>
      <c r="N3594" t="s">
        <v>35</v>
      </c>
      <c r="O3594" t="s">
        <v>72</v>
      </c>
      <c r="P3594" t="s">
        <v>152</v>
      </c>
      <c r="Q3594" t="s">
        <v>152</v>
      </c>
      <c r="R3594">
        <v>18</v>
      </c>
      <c r="S3594" t="s">
        <v>29</v>
      </c>
      <c r="T3594" t="str">
        <f t="shared" si="112"/>
        <v>2-week</v>
      </c>
      <c r="U3594">
        <f>VLOOKUP(T3594,[1]tablescore!$B$3:$C$8, 2,FALSE)</f>
        <v>26</v>
      </c>
      <c r="V3594" t="str">
        <f t="shared" si="113"/>
        <v>Loyal</v>
      </c>
      <c r="W3594" t="s">
        <v>30</v>
      </c>
    </row>
    <row r="3595" spans="1:23" x14ac:dyDescent="0.25">
      <c r="A3595">
        <v>3594</v>
      </c>
      <c r="B3595">
        <v>63</v>
      </c>
      <c r="C3595" t="str" cm="1">
        <f t="array" ref="C3595">_xlfn.IFS(
  AND(B3595&gt;=18, B3595&lt;=24), "18-24",
  AND(B3595&gt;=25, B3595&lt;=34), "25-34",
  AND(B3595&gt;=35, B3595&lt;=44), "35-44",
  AND(B3595&gt;=45, B3595&lt;=54), "45-54",
  B3595&gt;=55, "55+"
)</f>
        <v>55+</v>
      </c>
      <c r="D3595" t="s">
        <v>153</v>
      </c>
      <c r="E3595" t="s">
        <v>42</v>
      </c>
      <c r="F3595" t="s">
        <v>43</v>
      </c>
      <c r="G3595">
        <v>80</v>
      </c>
      <c r="H3595" t="s">
        <v>52</v>
      </c>
      <c r="I3595" t="s">
        <v>45</v>
      </c>
      <c r="J3595" t="s">
        <v>94</v>
      </c>
      <c r="K3595" t="s">
        <v>39</v>
      </c>
      <c r="L3595">
        <v>4.5999999999999996</v>
      </c>
      <c r="M3595" t="s">
        <v>152</v>
      </c>
      <c r="N3595" t="s">
        <v>34</v>
      </c>
      <c r="O3595" t="s">
        <v>47</v>
      </c>
      <c r="P3595" t="s">
        <v>152</v>
      </c>
      <c r="Q3595" t="s">
        <v>152</v>
      </c>
      <c r="R3595">
        <v>24</v>
      </c>
      <c r="S3595" t="s">
        <v>46</v>
      </c>
      <c r="T3595" t="str">
        <f t="shared" si="112"/>
        <v>Month</v>
      </c>
      <c r="U3595">
        <f>VLOOKUP(T3595,[1]tablescore!$B$3:$C$8, 2,FALSE)</f>
        <v>12</v>
      </c>
      <c r="V3595" t="str">
        <f t="shared" si="113"/>
        <v>Moderate</v>
      </c>
      <c r="W3595" t="s">
        <v>88</v>
      </c>
    </row>
    <row r="3596" spans="1:23" x14ac:dyDescent="0.25">
      <c r="A3596">
        <v>3595</v>
      </c>
      <c r="B3596">
        <v>19</v>
      </c>
      <c r="C3596" t="str" cm="1">
        <f t="array" ref="C3596">_xlfn.IFS(
  AND(B3596&gt;=18, B3596&lt;=24), "18-24",
  AND(B3596&gt;=25, B3596&lt;=34), "25-34",
  AND(B3596&gt;=35, B3596&lt;=44), "35-44",
  AND(B3596&gt;=45, B3596&lt;=54), "45-54",
  B3596&gt;=55, "55+"
)</f>
        <v>18-24</v>
      </c>
      <c r="D3596" t="s">
        <v>153</v>
      </c>
      <c r="E3596" t="s">
        <v>119</v>
      </c>
      <c r="F3596" t="s">
        <v>69</v>
      </c>
      <c r="G3596">
        <v>87</v>
      </c>
      <c r="H3596" t="s">
        <v>90</v>
      </c>
      <c r="I3596" t="s">
        <v>23</v>
      </c>
      <c r="J3596" t="s">
        <v>63</v>
      </c>
      <c r="K3596" t="s">
        <v>54</v>
      </c>
      <c r="L3596">
        <v>2.6</v>
      </c>
      <c r="M3596" t="s">
        <v>152</v>
      </c>
      <c r="N3596" t="s">
        <v>46</v>
      </c>
      <c r="O3596" t="s">
        <v>72</v>
      </c>
      <c r="P3596" t="s">
        <v>152</v>
      </c>
      <c r="Q3596" t="s">
        <v>152</v>
      </c>
      <c r="R3596">
        <v>29</v>
      </c>
      <c r="S3596" t="s">
        <v>29</v>
      </c>
      <c r="T3596" t="str">
        <f t="shared" si="112"/>
        <v>Quarterly</v>
      </c>
      <c r="U3596">
        <f>VLOOKUP(T3596,[1]tablescore!$B$3:$C$8, 2,FALSE)</f>
        <v>4</v>
      </c>
      <c r="V3596" t="str">
        <f t="shared" si="113"/>
        <v>Low Loyalty</v>
      </c>
      <c r="W3596" t="s">
        <v>60</v>
      </c>
    </row>
    <row r="3597" spans="1:23" x14ac:dyDescent="0.25">
      <c r="A3597">
        <v>3596</v>
      </c>
      <c r="B3597">
        <v>21</v>
      </c>
      <c r="C3597" t="str" cm="1">
        <f t="array" ref="C3597">_xlfn.IFS(
  AND(B3597&gt;=18, B3597&lt;=24), "18-24",
  AND(B3597&gt;=25, B3597&lt;=34), "25-34",
  AND(B3597&gt;=35, B3597&lt;=44), "35-44",
  AND(B3597&gt;=45, B3597&lt;=54), "45-54",
  B3597&gt;=55, "55+"
)</f>
        <v>18-24</v>
      </c>
      <c r="D3597" t="s">
        <v>153</v>
      </c>
      <c r="E3597" t="s">
        <v>20</v>
      </c>
      <c r="F3597" t="s">
        <v>21</v>
      </c>
      <c r="G3597">
        <v>41</v>
      </c>
      <c r="H3597" t="s">
        <v>130</v>
      </c>
      <c r="I3597" t="s">
        <v>45</v>
      </c>
      <c r="J3597" t="s">
        <v>84</v>
      </c>
      <c r="K3597" t="s">
        <v>39</v>
      </c>
      <c r="L3597">
        <v>3.1</v>
      </c>
      <c r="M3597" t="s">
        <v>152</v>
      </c>
      <c r="N3597" t="s">
        <v>35</v>
      </c>
      <c r="O3597" t="s">
        <v>76</v>
      </c>
      <c r="P3597" t="s">
        <v>152</v>
      </c>
      <c r="Q3597" t="s">
        <v>152</v>
      </c>
      <c r="R3597">
        <v>14</v>
      </c>
      <c r="S3597" t="s">
        <v>46</v>
      </c>
      <c r="T3597" t="str">
        <f t="shared" si="112"/>
        <v>Annually</v>
      </c>
      <c r="U3597">
        <f>VLOOKUP(T3597,[1]tablescore!$B$3:$C$8, 2,FALSE)</f>
        <v>1</v>
      </c>
      <c r="V3597" t="str">
        <f t="shared" si="113"/>
        <v>Low Loyalty</v>
      </c>
      <c r="W3597" t="s">
        <v>50</v>
      </c>
    </row>
    <row r="3598" spans="1:23" x14ac:dyDescent="0.25">
      <c r="A3598">
        <v>3597</v>
      </c>
      <c r="B3598">
        <v>28</v>
      </c>
      <c r="C3598" t="str" cm="1">
        <f t="array" ref="C3598">_xlfn.IFS(
  AND(B3598&gt;=18, B3598&lt;=24), "18-24",
  AND(B3598&gt;=25, B3598&lt;=34), "25-34",
  AND(B3598&gt;=35, B3598&lt;=44), "35-44",
  AND(B3598&gt;=45, B3598&lt;=54), "45-54",
  B3598&gt;=55, "55+"
)</f>
        <v>25-34</v>
      </c>
      <c r="D3598" t="s">
        <v>153</v>
      </c>
      <c r="E3598" t="s">
        <v>104</v>
      </c>
      <c r="F3598" t="s">
        <v>21</v>
      </c>
      <c r="G3598">
        <v>83</v>
      </c>
      <c r="H3598" t="s">
        <v>126</v>
      </c>
      <c r="I3598" t="s">
        <v>45</v>
      </c>
      <c r="J3598" t="s">
        <v>63</v>
      </c>
      <c r="K3598" t="s">
        <v>39</v>
      </c>
      <c r="L3598">
        <v>4.3</v>
      </c>
      <c r="M3598" t="s">
        <v>152</v>
      </c>
      <c r="N3598" t="s">
        <v>34</v>
      </c>
      <c r="O3598" t="s">
        <v>55</v>
      </c>
      <c r="P3598" t="s">
        <v>152</v>
      </c>
      <c r="Q3598" t="s">
        <v>152</v>
      </c>
      <c r="R3598">
        <v>44</v>
      </c>
      <c r="S3598" t="s">
        <v>35</v>
      </c>
      <c r="T3598" t="str">
        <f t="shared" si="112"/>
        <v>2-week</v>
      </c>
      <c r="U3598">
        <f>VLOOKUP(T3598,[1]tablescore!$B$3:$C$8, 2,FALSE)</f>
        <v>26</v>
      </c>
      <c r="V3598" t="str">
        <f t="shared" si="113"/>
        <v>Loyal</v>
      </c>
      <c r="W3598" t="s">
        <v>30</v>
      </c>
    </row>
    <row r="3599" spans="1:23" x14ac:dyDescent="0.25">
      <c r="A3599">
        <v>3598</v>
      </c>
      <c r="B3599">
        <v>29</v>
      </c>
      <c r="C3599" t="str" cm="1">
        <f t="array" ref="C3599">_xlfn.IFS(
  AND(B3599&gt;=18, B3599&lt;=24), "18-24",
  AND(B3599&gt;=25, B3599&lt;=34), "25-34",
  AND(B3599&gt;=35, B3599&lt;=44), "35-44",
  AND(B3599&gt;=45, B3599&lt;=54), "45-54",
  B3599&gt;=55, "55+"
)</f>
        <v>25-34</v>
      </c>
      <c r="D3599" t="s">
        <v>153</v>
      </c>
      <c r="E3599" t="s">
        <v>89</v>
      </c>
      <c r="F3599" t="s">
        <v>69</v>
      </c>
      <c r="G3599">
        <v>71</v>
      </c>
      <c r="H3599" t="s">
        <v>123</v>
      </c>
      <c r="I3599" t="s">
        <v>45</v>
      </c>
      <c r="J3599" t="s">
        <v>33</v>
      </c>
      <c r="K3599" t="s">
        <v>54</v>
      </c>
      <c r="L3599">
        <v>3.1</v>
      </c>
      <c r="M3599" t="s">
        <v>152</v>
      </c>
      <c r="N3599" t="s">
        <v>35</v>
      </c>
      <c r="O3599" t="s">
        <v>55</v>
      </c>
      <c r="P3599" t="s">
        <v>152</v>
      </c>
      <c r="Q3599" t="s">
        <v>152</v>
      </c>
      <c r="R3599">
        <v>18</v>
      </c>
      <c r="S3599" t="s">
        <v>34</v>
      </c>
      <c r="T3599" t="str">
        <f t="shared" si="112"/>
        <v>Quarterly</v>
      </c>
      <c r="U3599">
        <f>VLOOKUP(T3599,[1]tablescore!$B$3:$C$8, 2,FALSE)</f>
        <v>4</v>
      </c>
      <c r="V3599" t="str">
        <f t="shared" si="113"/>
        <v>Low Loyalty</v>
      </c>
      <c r="W3599" t="s">
        <v>60</v>
      </c>
    </row>
    <row r="3600" spans="1:23" x14ac:dyDescent="0.25">
      <c r="A3600">
        <v>3599</v>
      </c>
      <c r="B3600">
        <v>23</v>
      </c>
      <c r="C3600" t="str" cm="1">
        <f t="array" ref="C3600">_xlfn.IFS(
  AND(B3600&gt;=18, B3600&lt;=24), "18-24",
  AND(B3600&gt;=25, B3600&lt;=34), "25-34",
  AND(B3600&gt;=35, B3600&lt;=44), "35-44",
  AND(B3600&gt;=45, B3600&lt;=54), "45-54",
  B3600&gt;=55, "55+"
)</f>
        <v>18-24</v>
      </c>
      <c r="D3600" t="s">
        <v>153</v>
      </c>
      <c r="E3600" t="s">
        <v>104</v>
      </c>
      <c r="F3600" t="s">
        <v>21</v>
      </c>
      <c r="G3600">
        <v>76</v>
      </c>
      <c r="H3600" t="s">
        <v>146</v>
      </c>
      <c r="I3600" t="s">
        <v>92</v>
      </c>
      <c r="J3600" t="s">
        <v>75</v>
      </c>
      <c r="K3600" t="s">
        <v>39</v>
      </c>
      <c r="L3600">
        <v>4.5999999999999996</v>
      </c>
      <c r="M3600" t="s">
        <v>152</v>
      </c>
      <c r="N3600" t="s">
        <v>34</v>
      </c>
      <c r="O3600" t="s">
        <v>76</v>
      </c>
      <c r="P3600" t="s">
        <v>152</v>
      </c>
      <c r="Q3600" t="s">
        <v>152</v>
      </c>
      <c r="R3600">
        <v>19</v>
      </c>
      <c r="S3600" t="s">
        <v>34</v>
      </c>
      <c r="T3600" t="str">
        <f t="shared" si="112"/>
        <v>2-week</v>
      </c>
      <c r="U3600">
        <f>VLOOKUP(T3600,[1]tablescore!$B$3:$C$8, 2,FALSE)</f>
        <v>26</v>
      </c>
      <c r="V3600" t="str">
        <f t="shared" si="113"/>
        <v>Loyal</v>
      </c>
      <c r="W3600" t="s">
        <v>77</v>
      </c>
    </row>
    <row r="3601" spans="1:23" x14ac:dyDescent="0.25">
      <c r="A3601">
        <v>3600</v>
      </c>
      <c r="B3601">
        <v>37</v>
      </c>
      <c r="C3601" t="str" cm="1">
        <f t="array" ref="C3601">_xlfn.IFS(
  AND(B3601&gt;=18, B3601&lt;=24), "18-24",
  AND(B3601&gt;=25, B3601&lt;=34), "25-34",
  AND(B3601&gt;=35, B3601&lt;=44), "35-44",
  AND(B3601&gt;=45, B3601&lt;=54), "45-54",
  B3601&gt;=55, "55+"
)</f>
        <v>35-44</v>
      </c>
      <c r="D3601" t="s">
        <v>153</v>
      </c>
      <c r="E3601" t="s">
        <v>119</v>
      </c>
      <c r="F3601" t="s">
        <v>69</v>
      </c>
      <c r="G3601">
        <v>34</v>
      </c>
      <c r="H3601" t="s">
        <v>111</v>
      </c>
      <c r="I3601" t="s">
        <v>38</v>
      </c>
      <c r="J3601" t="s">
        <v>100</v>
      </c>
      <c r="K3601" t="s">
        <v>39</v>
      </c>
      <c r="L3601">
        <v>4.5999999999999996</v>
      </c>
      <c r="M3601" t="s">
        <v>152</v>
      </c>
      <c r="N3601" t="s">
        <v>35</v>
      </c>
      <c r="O3601" t="s">
        <v>28</v>
      </c>
      <c r="P3601" t="s">
        <v>152</v>
      </c>
      <c r="Q3601" t="s">
        <v>152</v>
      </c>
      <c r="R3601">
        <v>4</v>
      </c>
      <c r="S3601" t="s">
        <v>35</v>
      </c>
      <c r="T3601" t="str">
        <f t="shared" si="112"/>
        <v>Daily</v>
      </c>
      <c r="U3601">
        <f>VLOOKUP(T3601,[1]tablescore!$B$3:$C$8, 2,FALSE)</f>
        <v>30</v>
      </c>
      <c r="V3601" t="str">
        <f t="shared" si="113"/>
        <v>Highly Loyal</v>
      </c>
      <c r="W3601" t="s">
        <v>41</v>
      </c>
    </row>
    <row r="3602" spans="1:23" x14ac:dyDescent="0.25">
      <c r="A3602">
        <v>3601</v>
      </c>
      <c r="B3602">
        <v>67</v>
      </c>
      <c r="C3602" t="str" cm="1">
        <f t="array" ref="C3602">_xlfn.IFS(
  AND(B3602&gt;=18, B3602&lt;=24), "18-24",
  AND(B3602&gt;=25, B3602&lt;=34), "25-34",
  AND(B3602&gt;=35, B3602&lt;=44), "35-44",
  AND(B3602&gt;=45, B3602&lt;=54), "45-54",
  B3602&gt;=55, "55+"
)</f>
        <v>55+</v>
      </c>
      <c r="D3602" t="s">
        <v>153</v>
      </c>
      <c r="E3602" t="s">
        <v>82</v>
      </c>
      <c r="F3602" t="s">
        <v>21</v>
      </c>
      <c r="G3602">
        <v>81</v>
      </c>
      <c r="H3602" t="s">
        <v>126</v>
      </c>
      <c r="I3602" t="s">
        <v>92</v>
      </c>
      <c r="J3602" t="s">
        <v>79</v>
      </c>
      <c r="K3602" t="s">
        <v>39</v>
      </c>
      <c r="L3602">
        <v>2.7</v>
      </c>
      <c r="M3602" t="s">
        <v>152</v>
      </c>
      <c r="N3602" t="s">
        <v>46</v>
      </c>
      <c r="O3602" t="s">
        <v>40</v>
      </c>
      <c r="P3602" t="s">
        <v>152</v>
      </c>
      <c r="Q3602" t="s">
        <v>152</v>
      </c>
      <c r="R3602">
        <v>25</v>
      </c>
      <c r="S3602" t="s">
        <v>35</v>
      </c>
      <c r="T3602" t="str">
        <f t="shared" si="112"/>
        <v>2-week</v>
      </c>
      <c r="U3602">
        <f>VLOOKUP(T3602,[1]tablescore!$B$3:$C$8, 2,FALSE)</f>
        <v>26</v>
      </c>
      <c r="V3602" t="str">
        <f t="shared" si="113"/>
        <v>Loyal</v>
      </c>
      <c r="W3602" t="s">
        <v>77</v>
      </c>
    </row>
    <row r="3603" spans="1:23" x14ac:dyDescent="0.25">
      <c r="A3603">
        <v>3602</v>
      </c>
      <c r="B3603">
        <v>34</v>
      </c>
      <c r="C3603" t="str" cm="1">
        <f t="array" ref="C3603">_xlfn.IFS(
  AND(B3603&gt;=18, B3603&lt;=24), "18-24",
  AND(B3603&gt;=25, B3603&lt;=34), "25-34",
  AND(B3603&gt;=35, B3603&lt;=44), "35-44",
  AND(B3603&gt;=45, B3603&lt;=54), "45-54",
  B3603&gt;=55, "55+"
)</f>
        <v>25-34</v>
      </c>
      <c r="D3603" t="s">
        <v>153</v>
      </c>
      <c r="E3603" t="s">
        <v>113</v>
      </c>
      <c r="F3603" t="s">
        <v>21</v>
      </c>
      <c r="G3603">
        <v>47</v>
      </c>
      <c r="H3603" t="s">
        <v>98</v>
      </c>
      <c r="I3603" t="s">
        <v>45</v>
      </c>
      <c r="J3603" t="s">
        <v>129</v>
      </c>
      <c r="K3603" t="s">
        <v>54</v>
      </c>
      <c r="L3603">
        <v>3</v>
      </c>
      <c r="M3603" t="s">
        <v>152</v>
      </c>
      <c r="N3603" t="s">
        <v>59</v>
      </c>
      <c r="O3603" t="s">
        <v>47</v>
      </c>
      <c r="P3603" t="s">
        <v>152</v>
      </c>
      <c r="Q3603" t="s">
        <v>152</v>
      </c>
      <c r="R3603">
        <v>3</v>
      </c>
      <c r="S3603" t="s">
        <v>46</v>
      </c>
      <c r="T3603" t="str">
        <f t="shared" si="112"/>
        <v>Month</v>
      </c>
      <c r="U3603">
        <f>VLOOKUP(T3603,[1]tablescore!$B$3:$C$8, 2,FALSE)</f>
        <v>12</v>
      </c>
      <c r="V3603" t="str">
        <f t="shared" si="113"/>
        <v>Moderate</v>
      </c>
      <c r="W3603" t="s">
        <v>88</v>
      </c>
    </row>
    <row r="3604" spans="1:23" x14ac:dyDescent="0.25">
      <c r="A3604">
        <v>3603</v>
      </c>
      <c r="B3604">
        <v>58</v>
      </c>
      <c r="C3604" t="str" cm="1">
        <f t="array" ref="C3604">_xlfn.IFS(
  AND(B3604&gt;=18, B3604&lt;=24), "18-24",
  AND(B3604&gt;=25, B3604&lt;=34), "25-34",
  AND(B3604&gt;=35, B3604&lt;=44), "35-44",
  AND(B3604&gt;=45, B3604&lt;=54), "45-54",
  B3604&gt;=55, "55+"
)</f>
        <v>55+</v>
      </c>
      <c r="D3604" t="s">
        <v>153</v>
      </c>
      <c r="E3604" t="s">
        <v>87</v>
      </c>
      <c r="F3604" t="s">
        <v>21</v>
      </c>
      <c r="G3604">
        <v>36</v>
      </c>
      <c r="H3604" t="s">
        <v>52</v>
      </c>
      <c r="I3604" t="s">
        <v>38</v>
      </c>
      <c r="J3604" t="s">
        <v>147</v>
      </c>
      <c r="K3604" t="s">
        <v>54</v>
      </c>
      <c r="L3604">
        <v>3.3</v>
      </c>
      <c r="M3604" t="s">
        <v>152</v>
      </c>
      <c r="N3604" t="s">
        <v>34</v>
      </c>
      <c r="O3604" t="s">
        <v>76</v>
      </c>
      <c r="P3604" t="s">
        <v>152</v>
      </c>
      <c r="Q3604" t="s">
        <v>152</v>
      </c>
      <c r="R3604">
        <v>40</v>
      </c>
      <c r="S3604" t="s">
        <v>59</v>
      </c>
      <c r="T3604" t="str">
        <f t="shared" si="112"/>
        <v>Quarterly</v>
      </c>
      <c r="U3604">
        <f>VLOOKUP(T3604,[1]tablescore!$B$3:$C$8, 2,FALSE)</f>
        <v>4</v>
      </c>
      <c r="V3604" t="str">
        <f t="shared" si="113"/>
        <v>Low Loyalty</v>
      </c>
      <c r="W3604" t="s">
        <v>60</v>
      </c>
    </row>
    <row r="3605" spans="1:23" x14ac:dyDescent="0.25">
      <c r="A3605">
        <v>3604</v>
      </c>
      <c r="B3605">
        <v>45</v>
      </c>
      <c r="C3605" t="str" cm="1">
        <f t="array" ref="C3605">_xlfn.IFS(
  AND(B3605&gt;=18, B3605&lt;=24), "18-24",
  AND(B3605&gt;=25, B3605&lt;=34), "25-34",
  AND(B3605&gt;=35, B3605&lt;=44), "35-44",
  AND(B3605&gt;=45, B3605&lt;=54), "45-54",
  B3605&gt;=55, "55+"
)</f>
        <v>45-54</v>
      </c>
      <c r="D3605" t="s">
        <v>153</v>
      </c>
      <c r="E3605" t="s">
        <v>36</v>
      </c>
      <c r="F3605" t="s">
        <v>21</v>
      </c>
      <c r="G3605">
        <v>51</v>
      </c>
      <c r="H3605" t="s">
        <v>62</v>
      </c>
      <c r="I3605" t="s">
        <v>45</v>
      </c>
      <c r="J3605" t="s">
        <v>81</v>
      </c>
      <c r="K3605" t="s">
        <v>39</v>
      </c>
      <c r="L3605">
        <v>2.7</v>
      </c>
      <c r="M3605" t="s">
        <v>152</v>
      </c>
      <c r="N3605" t="s">
        <v>59</v>
      </c>
      <c r="O3605" t="s">
        <v>40</v>
      </c>
      <c r="P3605" t="s">
        <v>152</v>
      </c>
      <c r="Q3605" t="s">
        <v>152</v>
      </c>
      <c r="R3605">
        <v>5</v>
      </c>
      <c r="S3605" t="s">
        <v>35</v>
      </c>
      <c r="T3605" t="str">
        <f t="shared" si="112"/>
        <v>Daily</v>
      </c>
      <c r="U3605">
        <f>VLOOKUP(T3605,[1]tablescore!$B$3:$C$8, 2,FALSE)</f>
        <v>30</v>
      </c>
      <c r="V3605" t="str">
        <f t="shared" si="113"/>
        <v>Highly Loyal</v>
      </c>
      <c r="W3605" t="s">
        <v>41</v>
      </c>
    </row>
    <row r="3606" spans="1:23" x14ac:dyDescent="0.25">
      <c r="A3606">
        <v>3605</v>
      </c>
      <c r="B3606">
        <v>63</v>
      </c>
      <c r="C3606" t="str" cm="1">
        <f t="array" ref="C3606">_xlfn.IFS(
  AND(B3606&gt;=18, B3606&lt;=24), "18-24",
  AND(B3606&gt;=25, B3606&lt;=34), "25-34",
  AND(B3606&gt;=35, B3606&lt;=44), "35-44",
  AND(B3606&gt;=45, B3606&lt;=54), "45-54",
  B3606&gt;=55, "55+"
)</f>
        <v>55+</v>
      </c>
      <c r="D3606" t="s">
        <v>153</v>
      </c>
      <c r="E3606" t="s">
        <v>104</v>
      </c>
      <c r="F3606" t="s">
        <v>21</v>
      </c>
      <c r="G3606">
        <v>86</v>
      </c>
      <c r="H3606" t="s">
        <v>62</v>
      </c>
      <c r="I3606" t="s">
        <v>45</v>
      </c>
      <c r="J3606" t="s">
        <v>121</v>
      </c>
      <c r="K3606" t="s">
        <v>58</v>
      </c>
      <c r="L3606">
        <v>3.3</v>
      </c>
      <c r="M3606" t="s">
        <v>152</v>
      </c>
      <c r="N3606" t="s">
        <v>34</v>
      </c>
      <c r="O3606" t="s">
        <v>55</v>
      </c>
      <c r="P3606" t="s">
        <v>152</v>
      </c>
      <c r="Q3606" t="s">
        <v>152</v>
      </c>
      <c r="R3606">
        <v>17</v>
      </c>
      <c r="S3606" t="s">
        <v>59</v>
      </c>
      <c r="T3606" t="str">
        <f t="shared" si="112"/>
        <v>Annually</v>
      </c>
      <c r="U3606">
        <f>VLOOKUP(T3606,[1]tablescore!$B$3:$C$8, 2,FALSE)</f>
        <v>1</v>
      </c>
      <c r="V3606" t="str">
        <f t="shared" si="113"/>
        <v>Low Loyalty</v>
      </c>
      <c r="W3606" t="s">
        <v>50</v>
      </c>
    </row>
    <row r="3607" spans="1:23" x14ac:dyDescent="0.25">
      <c r="A3607">
        <v>3606</v>
      </c>
      <c r="B3607">
        <v>68</v>
      </c>
      <c r="C3607" t="str" cm="1">
        <f t="array" ref="C3607">_xlfn.IFS(
  AND(B3607&gt;=18, B3607&lt;=24), "18-24",
  AND(B3607&gt;=25, B3607&lt;=34), "25-34",
  AND(B3607&gt;=35, B3607&lt;=44), "35-44",
  AND(B3607&gt;=45, B3607&lt;=54), "45-54",
  B3607&gt;=55, "55+"
)</f>
        <v>55+</v>
      </c>
      <c r="D3607" t="s">
        <v>153</v>
      </c>
      <c r="E3607" t="s">
        <v>36</v>
      </c>
      <c r="F3607" t="s">
        <v>21</v>
      </c>
      <c r="G3607">
        <v>41</v>
      </c>
      <c r="H3607" t="s">
        <v>90</v>
      </c>
      <c r="I3607" t="s">
        <v>45</v>
      </c>
      <c r="J3607" t="s">
        <v>81</v>
      </c>
      <c r="K3607" t="s">
        <v>58</v>
      </c>
      <c r="L3607">
        <v>4.3</v>
      </c>
      <c r="M3607" t="s">
        <v>152</v>
      </c>
      <c r="N3607" t="s">
        <v>29</v>
      </c>
      <c r="O3607" t="s">
        <v>76</v>
      </c>
      <c r="P3607" t="s">
        <v>152</v>
      </c>
      <c r="Q3607" t="s">
        <v>152</v>
      </c>
      <c r="R3607">
        <v>36</v>
      </c>
      <c r="S3607" t="s">
        <v>34</v>
      </c>
      <c r="T3607" t="str">
        <f t="shared" si="112"/>
        <v>Quarterly</v>
      </c>
      <c r="U3607">
        <f>VLOOKUP(T3607,[1]tablescore!$B$3:$C$8, 2,FALSE)</f>
        <v>4</v>
      </c>
      <c r="V3607" t="str">
        <f t="shared" si="113"/>
        <v>Low Loyalty</v>
      </c>
      <c r="W3607" t="s">
        <v>97</v>
      </c>
    </row>
    <row r="3608" spans="1:23" x14ac:dyDescent="0.25">
      <c r="A3608">
        <v>3607</v>
      </c>
      <c r="B3608">
        <v>41</v>
      </c>
      <c r="C3608" t="str" cm="1">
        <f t="array" ref="C3608">_xlfn.IFS(
  AND(B3608&gt;=18, B3608&lt;=24), "18-24",
  AND(B3608&gt;=25, B3608&lt;=34), "25-34",
  AND(B3608&gt;=35, B3608&lt;=44), "35-44",
  AND(B3608&gt;=45, B3608&lt;=54), "45-54",
  B3608&gt;=55, "55+"
)</f>
        <v>35-44</v>
      </c>
      <c r="D3608" t="s">
        <v>153</v>
      </c>
      <c r="E3608" t="s">
        <v>42</v>
      </c>
      <c r="F3608" t="s">
        <v>43</v>
      </c>
      <c r="G3608">
        <v>90</v>
      </c>
      <c r="H3608" t="s">
        <v>134</v>
      </c>
      <c r="I3608" t="s">
        <v>92</v>
      </c>
      <c r="J3608" t="s">
        <v>75</v>
      </c>
      <c r="K3608" t="s">
        <v>58</v>
      </c>
      <c r="L3608">
        <v>4.8</v>
      </c>
      <c r="M3608" t="s">
        <v>152</v>
      </c>
      <c r="N3608" t="s">
        <v>35</v>
      </c>
      <c r="O3608" t="s">
        <v>28</v>
      </c>
      <c r="P3608" t="s">
        <v>152</v>
      </c>
      <c r="Q3608" t="s">
        <v>152</v>
      </c>
      <c r="R3608">
        <v>41</v>
      </c>
      <c r="S3608" t="s">
        <v>29</v>
      </c>
      <c r="T3608" t="str">
        <f t="shared" si="112"/>
        <v>Annually</v>
      </c>
      <c r="U3608">
        <f>VLOOKUP(T3608,[1]tablescore!$B$3:$C$8, 2,FALSE)</f>
        <v>1</v>
      </c>
      <c r="V3608" t="str">
        <f t="shared" si="113"/>
        <v>Low Loyalty</v>
      </c>
      <c r="W3608" t="s">
        <v>50</v>
      </c>
    </row>
    <row r="3609" spans="1:23" x14ac:dyDescent="0.25">
      <c r="A3609">
        <v>3608</v>
      </c>
      <c r="B3609">
        <v>50</v>
      </c>
      <c r="C3609" t="str" cm="1">
        <f t="array" ref="C3609">_xlfn.IFS(
  AND(B3609&gt;=18, B3609&lt;=24), "18-24",
  AND(B3609&gt;=25, B3609&lt;=34), "25-34",
  AND(B3609&gt;=35, B3609&lt;=44), "35-44",
  AND(B3609&gt;=45, B3609&lt;=54), "45-54",
  B3609&gt;=55, "55+"
)</f>
        <v>45-54</v>
      </c>
      <c r="D3609" t="s">
        <v>153</v>
      </c>
      <c r="E3609" t="s">
        <v>125</v>
      </c>
      <c r="F3609" t="s">
        <v>69</v>
      </c>
      <c r="G3609">
        <v>93</v>
      </c>
      <c r="H3609" t="s">
        <v>123</v>
      </c>
      <c r="I3609" t="s">
        <v>23</v>
      </c>
      <c r="J3609" t="s">
        <v>63</v>
      </c>
      <c r="K3609" t="s">
        <v>58</v>
      </c>
      <c r="L3609">
        <v>3.3</v>
      </c>
      <c r="M3609" t="s">
        <v>152</v>
      </c>
      <c r="N3609" t="s">
        <v>59</v>
      </c>
      <c r="O3609" t="s">
        <v>55</v>
      </c>
      <c r="P3609" t="s">
        <v>152</v>
      </c>
      <c r="Q3609" t="s">
        <v>152</v>
      </c>
      <c r="R3609">
        <v>20</v>
      </c>
      <c r="S3609" t="s">
        <v>29</v>
      </c>
      <c r="T3609" t="str">
        <f t="shared" si="112"/>
        <v>2-week</v>
      </c>
      <c r="U3609">
        <f>VLOOKUP(T3609,[1]tablescore!$B$3:$C$8, 2,FALSE)</f>
        <v>26</v>
      </c>
      <c r="V3609" t="str">
        <f t="shared" si="113"/>
        <v>Loyal</v>
      </c>
      <c r="W3609" t="s">
        <v>77</v>
      </c>
    </row>
    <row r="3610" spans="1:23" x14ac:dyDescent="0.25">
      <c r="A3610">
        <v>3609</v>
      </c>
      <c r="B3610">
        <v>24</v>
      </c>
      <c r="C3610" t="str" cm="1">
        <f t="array" ref="C3610">_xlfn.IFS(
  AND(B3610&gt;=18, B3610&lt;=24), "18-24",
  AND(B3610&gt;=25, B3610&lt;=34), "25-34",
  AND(B3610&gt;=35, B3610&lt;=44), "35-44",
  AND(B3610&gt;=45, B3610&lt;=54), "45-54",
  B3610&gt;=55, "55+"
)</f>
        <v>18-24</v>
      </c>
      <c r="D3610" t="s">
        <v>153</v>
      </c>
      <c r="E3610" t="s">
        <v>127</v>
      </c>
      <c r="F3610" t="s">
        <v>69</v>
      </c>
      <c r="G3610">
        <v>56</v>
      </c>
      <c r="H3610" t="s">
        <v>122</v>
      </c>
      <c r="I3610" t="s">
        <v>45</v>
      </c>
      <c r="J3610" t="s">
        <v>109</v>
      </c>
      <c r="K3610" t="s">
        <v>58</v>
      </c>
      <c r="L3610">
        <v>4.3</v>
      </c>
      <c r="M3610" t="s">
        <v>152</v>
      </c>
      <c r="N3610" t="s">
        <v>34</v>
      </c>
      <c r="O3610" t="s">
        <v>47</v>
      </c>
      <c r="P3610" t="s">
        <v>152</v>
      </c>
      <c r="Q3610" t="s">
        <v>152</v>
      </c>
      <c r="R3610">
        <v>2</v>
      </c>
      <c r="S3610" t="s">
        <v>35</v>
      </c>
      <c r="T3610" t="str">
        <f t="shared" si="112"/>
        <v>Quarterly</v>
      </c>
      <c r="U3610">
        <f>VLOOKUP(T3610,[1]tablescore!$B$3:$C$8, 2,FALSE)</f>
        <v>4</v>
      </c>
      <c r="V3610" t="str">
        <f t="shared" si="113"/>
        <v>Low Loyalty</v>
      </c>
      <c r="W3610" t="s">
        <v>97</v>
      </c>
    </row>
    <row r="3611" spans="1:23" x14ac:dyDescent="0.25">
      <c r="A3611">
        <v>3610</v>
      </c>
      <c r="B3611">
        <v>21</v>
      </c>
      <c r="C3611" t="str" cm="1">
        <f t="array" ref="C3611">_xlfn.IFS(
  AND(B3611&gt;=18, B3611&lt;=24), "18-24",
  AND(B3611&gt;=25, B3611&lt;=34), "25-34",
  AND(B3611&gt;=35, B3611&lt;=44), "35-44",
  AND(B3611&gt;=45, B3611&lt;=54), "45-54",
  B3611&gt;=55, "55+"
)</f>
        <v>18-24</v>
      </c>
      <c r="D3611" t="s">
        <v>153</v>
      </c>
      <c r="E3611" t="s">
        <v>131</v>
      </c>
      <c r="F3611" t="s">
        <v>21</v>
      </c>
      <c r="G3611">
        <v>39</v>
      </c>
      <c r="H3611" t="s">
        <v>123</v>
      </c>
      <c r="I3611" t="s">
        <v>45</v>
      </c>
      <c r="J3611" t="s">
        <v>109</v>
      </c>
      <c r="K3611" t="s">
        <v>54</v>
      </c>
      <c r="L3611">
        <v>3</v>
      </c>
      <c r="M3611" t="s">
        <v>152</v>
      </c>
      <c r="N3611" t="s">
        <v>59</v>
      </c>
      <c r="O3611" t="s">
        <v>72</v>
      </c>
      <c r="P3611" t="s">
        <v>152</v>
      </c>
      <c r="Q3611" t="s">
        <v>152</v>
      </c>
      <c r="R3611">
        <v>31</v>
      </c>
      <c r="S3611" t="s">
        <v>59</v>
      </c>
      <c r="T3611" t="str">
        <f t="shared" si="112"/>
        <v>Month</v>
      </c>
      <c r="U3611">
        <f>VLOOKUP(T3611,[1]tablescore!$B$3:$C$8, 2,FALSE)</f>
        <v>12</v>
      </c>
      <c r="V3611" t="str">
        <f t="shared" si="113"/>
        <v>Moderate</v>
      </c>
      <c r="W3611" t="s">
        <v>88</v>
      </c>
    </row>
    <row r="3612" spans="1:23" x14ac:dyDescent="0.25">
      <c r="A3612">
        <v>3611</v>
      </c>
      <c r="B3612">
        <v>18</v>
      </c>
      <c r="C3612" t="str" cm="1">
        <f t="array" ref="C3612">_xlfn.IFS(
  AND(B3612&gt;=18, B3612&lt;=24), "18-24",
  AND(B3612&gt;=25, B3612&lt;=34), "25-34",
  AND(B3612&gt;=35, B3612&lt;=44), "35-44",
  AND(B3612&gt;=45, B3612&lt;=54), "45-54",
  B3612&gt;=55, "55+"
)</f>
        <v>18-24</v>
      </c>
      <c r="D3612" t="s">
        <v>153</v>
      </c>
      <c r="E3612" t="s">
        <v>102</v>
      </c>
      <c r="F3612" t="s">
        <v>65</v>
      </c>
      <c r="G3612">
        <v>86</v>
      </c>
      <c r="H3612" t="s">
        <v>105</v>
      </c>
      <c r="I3612" t="s">
        <v>92</v>
      </c>
      <c r="J3612" t="s">
        <v>96</v>
      </c>
      <c r="K3612" t="s">
        <v>58</v>
      </c>
      <c r="L3612">
        <v>4.8</v>
      </c>
      <c r="M3612" t="s">
        <v>152</v>
      </c>
      <c r="N3612" t="s">
        <v>27</v>
      </c>
      <c r="O3612" t="s">
        <v>72</v>
      </c>
      <c r="P3612" t="s">
        <v>152</v>
      </c>
      <c r="Q3612" t="s">
        <v>152</v>
      </c>
      <c r="R3612">
        <v>23</v>
      </c>
      <c r="S3612" t="s">
        <v>34</v>
      </c>
      <c r="T3612" t="str">
        <f t="shared" si="112"/>
        <v>2-week</v>
      </c>
      <c r="U3612">
        <f>VLOOKUP(T3612,[1]tablescore!$B$3:$C$8, 2,FALSE)</f>
        <v>26</v>
      </c>
      <c r="V3612" t="str">
        <f t="shared" si="113"/>
        <v>Loyal</v>
      </c>
      <c r="W3612" t="s">
        <v>30</v>
      </c>
    </row>
    <row r="3613" spans="1:23" x14ac:dyDescent="0.25">
      <c r="A3613">
        <v>3612</v>
      </c>
      <c r="B3613">
        <v>63</v>
      </c>
      <c r="C3613" t="str" cm="1">
        <f t="array" ref="C3613">_xlfn.IFS(
  AND(B3613&gt;=18, B3613&lt;=24), "18-24",
  AND(B3613&gt;=25, B3613&lt;=34), "25-34",
  AND(B3613&gt;=35, B3613&lt;=44), "35-44",
  AND(B3613&gt;=45, B3613&lt;=54), "45-54",
  B3613&gt;=55, "55+"
)</f>
        <v>55+</v>
      </c>
      <c r="D3613" t="s">
        <v>153</v>
      </c>
      <c r="E3613" t="s">
        <v>113</v>
      </c>
      <c r="F3613" t="s">
        <v>21</v>
      </c>
      <c r="G3613">
        <v>82</v>
      </c>
      <c r="H3613" t="s">
        <v>140</v>
      </c>
      <c r="I3613" t="s">
        <v>45</v>
      </c>
      <c r="J3613" t="s">
        <v>67</v>
      </c>
      <c r="K3613" t="s">
        <v>39</v>
      </c>
      <c r="L3613">
        <v>2.9</v>
      </c>
      <c r="M3613" t="s">
        <v>152</v>
      </c>
      <c r="N3613" t="s">
        <v>46</v>
      </c>
      <c r="O3613" t="s">
        <v>55</v>
      </c>
      <c r="P3613" t="s">
        <v>152</v>
      </c>
      <c r="Q3613" t="s">
        <v>152</v>
      </c>
      <c r="R3613">
        <v>30</v>
      </c>
      <c r="S3613" t="s">
        <v>27</v>
      </c>
      <c r="T3613" t="str">
        <f t="shared" si="112"/>
        <v>Annually</v>
      </c>
      <c r="U3613">
        <f>VLOOKUP(T3613,[1]tablescore!$B$3:$C$8, 2,FALSE)</f>
        <v>1</v>
      </c>
      <c r="V3613" t="str">
        <f t="shared" si="113"/>
        <v>Low Loyalty</v>
      </c>
      <c r="W3613" t="s">
        <v>50</v>
      </c>
    </row>
    <row r="3614" spans="1:23" x14ac:dyDescent="0.25">
      <c r="A3614">
        <v>3613</v>
      </c>
      <c r="B3614">
        <v>47</v>
      </c>
      <c r="C3614" t="str" cm="1">
        <f t="array" ref="C3614">_xlfn.IFS(
  AND(B3614&gt;=18, B3614&lt;=24), "18-24",
  AND(B3614&gt;=25, B3614&lt;=34), "25-34",
  AND(B3614&gt;=35, B3614&lt;=44), "35-44",
  AND(B3614&gt;=45, B3614&lt;=54), "45-54",
  B3614&gt;=55, "55+"
)</f>
        <v>45-54</v>
      </c>
      <c r="D3614" t="s">
        <v>153</v>
      </c>
      <c r="E3614" t="s">
        <v>42</v>
      </c>
      <c r="F3614" t="s">
        <v>43</v>
      </c>
      <c r="G3614">
        <v>29</v>
      </c>
      <c r="H3614" t="s">
        <v>151</v>
      </c>
      <c r="I3614" t="s">
        <v>45</v>
      </c>
      <c r="J3614" t="s">
        <v>86</v>
      </c>
      <c r="K3614" t="s">
        <v>54</v>
      </c>
      <c r="L3614">
        <v>3.6</v>
      </c>
      <c r="M3614" t="s">
        <v>152</v>
      </c>
      <c r="N3614" t="s">
        <v>27</v>
      </c>
      <c r="O3614" t="s">
        <v>55</v>
      </c>
      <c r="P3614" t="s">
        <v>152</v>
      </c>
      <c r="Q3614" t="s">
        <v>152</v>
      </c>
      <c r="R3614">
        <v>26</v>
      </c>
      <c r="S3614" t="s">
        <v>35</v>
      </c>
      <c r="T3614" t="str">
        <f t="shared" si="112"/>
        <v>Quarterly</v>
      </c>
      <c r="U3614">
        <f>VLOOKUP(T3614,[1]tablescore!$B$3:$C$8, 2,FALSE)</f>
        <v>4</v>
      </c>
      <c r="V3614" t="str">
        <f t="shared" si="113"/>
        <v>Low Loyalty</v>
      </c>
      <c r="W3614" t="s">
        <v>97</v>
      </c>
    </row>
    <row r="3615" spans="1:23" x14ac:dyDescent="0.25">
      <c r="A3615">
        <v>3614</v>
      </c>
      <c r="B3615">
        <v>58</v>
      </c>
      <c r="C3615" t="str" cm="1">
        <f t="array" ref="C3615">_xlfn.IFS(
  AND(B3615&gt;=18, B3615&lt;=24), "18-24",
  AND(B3615&gt;=25, B3615&lt;=34), "25-34",
  AND(B3615&gt;=35, B3615&lt;=44), "35-44",
  AND(B3615&gt;=45, B3615&lt;=54), "45-54",
  B3615&gt;=55, "55+"
)</f>
        <v>55+</v>
      </c>
      <c r="D3615" t="s">
        <v>153</v>
      </c>
      <c r="E3615" t="s">
        <v>125</v>
      </c>
      <c r="F3615" t="s">
        <v>69</v>
      </c>
      <c r="G3615">
        <v>27</v>
      </c>
      <c r="H3615" t="s">
        <v>134</v>
      </c>
      <c r="I3615" t="s">
        <v>45</v>
      </c>
      <c r="J3615" t="s">
        <v>147</v>
      </c>
      <c r="K3615" t="s">
        <v>58</v>
      </c>
      <c r="L3615">
        <v>3.5</v>
      </c>
      <c r="M3615" t="s">
        <v>152</v>
      </c>
      <c r="N3615" t="s">
        <v>35</v>
      </c>
      <c r="O3615" t="s">
        <v>76</v>
      </c>
      <c r="P3615" t="s">
        <v>152</v>
      </c>
      <c r="Q3615" t="s">
        <v>152</v>
      </c>
      <c r="R3615">
        <v>40</v>
      </c>
      <c r="S3615" t="s">
        <v>29</v>
      </c>
      <c r="T3615" t="str">
        <f t="shared" si="112"/>
        <v>Annually</v>
      </c>
      <c r="U3615">
        <f>VLOOKUP(T3615,[1]tablescore!$B$3:$C$8, 2,FALSE)</f>
        <v>1</v>
      </c>
      <c r="V3615" t="str">
        <f t="shared" si="113"/>
        <v>Low Loyalty</v>
      </c>
      <c r="W3615" t="s">
        <v>50</v>
      </c>
    </row>
    <row r="3616" spans="1:23" x14ac:dyDescent="0.25">
      <c r="A3616">
        <v>3615</v>
      </c>
      <c r="B3616">
        <v>46</v>
      </c>
      <c r="C3616" t="str" cm="1">
        <f t="array" ref="C3616">_xlfn.IFS(
  AND(B3616&gt;=18, B3616&lt;=24), "18-24",
  AND(B3616&gt;=25, B3616&lt;=34), "25-34",
  AND(B3616&gt;=35, B3616&lt;=44), "35-44",
  AND(B3616&gt;=45, B3616&lt;=54), "45-54",
  B3616&gt;=55, "55+"
)</f>
        <v>45-54</v>
      </c>
      <c r="D3616" t="s">
        <v>153</v>
      </c>
      <c r="E3616" t="s">
        <v>127</v>
      </c>
      <c r="F3616" t="s">
        <v>69</v>
      </c>
      <c r="G3616">
        <v>25</v>
      </c>
      <c r="H3616" t="s">
        <v>80</v>
      </c>
      <c r="I3616" t="s">
        <v>23</v>
      </c>
      <c r="J3616" t="s">
        <v>33</v>
      </c>
      <c r="K3616" t="s">
        <v>39</v>
      </c>
      <c r="L3616">
        <v>4.7</v>
      </c>
      <c r="M3616" t="s">
        <v>152</v>
      </c>
      <c r="N3616" t="s">
        <v>34</v>
      </c>
      <c r="O3616" t="s">
        <v>72</v>
      </c>
      <c r="P3616" t="s">
        <v>152</v>
      </c>
      <c r="Q3616" t="s">
        <v>152</v>
      </c>
      <c r="R3616">
        <v>19</v>
      </c>
      <c r="S3616" t="s">
        <v>34</v>
      </c>
      <c r="T3616" t="str">
        <f t="shared" si="112"/>
        <v>Annually</v>
      </c>
      <c r="U3616">
        <f>VLOOKUP(T3616,[1]tablescore!$B$3:$C$8, 2,FALSE)</f>
        <v>1</v>
      </c>
      <c r="V3616" t="str">
        <f t="shared" si="113"/>
        <v>Low Loyalty</v>
      </c>
      <c r="W3616" t="s">
        <v>50</v>
      </c>
    </row>
    <row r="3617" spans="1:23" x14ac:dyDescent="0.25">
      <c r="A3617">
        <v>3616</v>
      </c>
      <c r="B3617">
        <v>35</v>
      </c>
      <c r="C3617" t="str" cm="1">
        <f t="array" ref="C3617">_xlfn.IFS(
  AND(B3617&gt;=18, B3617&lt;=24), "18-24",
  AND(B3617&gt;=25, B3617&lt;=34), "25-34",
  AND(B3617&gt;=35, B3617&lt;=44), "35-44",
  AND(B3617&gt;=45, B3617&lt;=54), "45-54",
  B3617&gt;=55, "55+"
)</f>
        <v>35-44</v>
      </c>
      <c r="D3617" t="s">
        <v>153</v>
      </c>
      <c r="E3617" t="s">
        <v>82</v>
      </c>
      <c r="F3617" t="s">
        <v>21</v>
      </c>
      <c r="G3617">
        <v>31</v>
      </c>
      <c r="H3617" t="s">
        <v>99</v>
      </c>
      <c r="I3617" t="s">
        <v>45</v>
      </c>
      <c r="J3617" t="s">
        <v>81</v>
      </c>
      <c r="K3617" t="s">
        <v>25</v>
      </c>
      <c r="L3617">
        <v>4.4000000000000004</v>
      </c>
      <c r="M3617" t="s">
        <v>152</v>
      </c>
      <c r="N3617" t="s">
        <v>34</v>
      </c>
      <c r="O3617" t="s">
        <v>40</v>
      </c>
      <c r="P3617" t="s">
        <v>152</v>
      </c>
      <c r="Q3617" t="s">
        <v>152</v>
      </c>
      <c r="R3617">
        <v>4</v>
      </c>
      <c r="S3617" t="s">
        <v>27</v>
      </c>
      <c r="T3617" t="str">
        <f t="shared" si="112"/>
        <v>Month</v>
      </c>
      <c r="U3617">
        <f>VLOOKUP(T3617,[1]tablescore!$B$3:$C$8, 2,FALSE)</f>
        <v>12</v>
      </c>
      <c r="V3617" t="str">
        <f t="shared" si="113"/>
        <v>Moderate</v>
      </c>
      <c r="W3617" t="s">
        <v>88</v>
      </c>
    </row>
    <row r="3618" spans="1:23" x14ac:dyDescent="0.25">
      <c r="A3618">
        <v>3617</v>
      </c>
      <c r="B3618">
        <v>42</v>
      </c>
      <c r="C3618" t="str" cm="1">
        <f t="array" ref="C3618">_xlfn.IFS(
  AND(B3618&gt;=18, B3618&lt;=24), "18-24",
  AND(B3618&gt;=25, B3618&lt;=34), "25-34",
  AND(B3618&gt;=35, B3618&lt;=44), "35-44",
  AND(B3618&gt;=45, B3618&lt;=54), "45-54",
  B3618&gt;=55, "55+"
)</f>
        <v>35-44</v>
      </c>
      <c r="D3618" t="s">
        <v>153</v>
      </c>
      <c r="E3618" t="s">
        <v>104</v>
      </c>
      <c r="F3618" t="s">
        <v>21</v>
      </c>
      <c r="G3618">
        <v>23</v>
      </c>
      <c r="H3618" t="s">
        <v>148</v>
      </c>
      <c r="I3618" t="s">
        <v>23</v>
      </c>
      <c r="J3618" t="s">
        <v>75</v>
      </c>
      <c r="K3618" t="s">
        <v>25</v>
      </c>
      <c r="L3618">
        <v>3.3</v>
      </c>
      <c r="M3618" t="s">
        <v>152</v>
      </c>
      <c r="N3618" t="s">
        <v>35</v>
      </c>
      <c r="O3618" t="s">
        <v>76</v>
      </c>
      <c r="P3618" t="s">
        <v>152</v>
      </c>
      <c r="Q3618" t="s">
        <v>152</v>
      </c>
      <c r="R3618">
        <v>33</v>
      </c>
      <c r="S3618" t="s">
        <v>59</v>
      </c>
      <c r="T3618" t="str">
        <f t="shared" si="112"/>
        <v>2-week</v>
      </c>
      <c r="U3618">
        <f>VLOOKUP(T3618,[1]tablescore!$B$3:$C$8, 2,FALSE)</f>
        <v>26</v>
      </c>
      <c r="V3618" t="str">
        <f t="shared" si="113"/>
        <v>Loyal</v>
      </c>
      <c r="W3618" t="s">
        <v>30</v>
      </c>
    </row>
    <row r="3619" spans="1:23" x14ac:dyDescent="0.25">
      <c r="A3619">
        <v>3618</v>
      </c>
      <c r="B3619">
        <v>48</v>
      </c>
      <c r="C3619" t="str" cm="1">
        <f t="array" ref="C3619">_xlfn.IFS(
  AND(B3619&gt;=18, B3619&lt;=24), "18-24",
  AND(B3619&gt;=25, B3619&lt;=34), "25-34",
  AND(B3619&gt;=35, B3619&lt;=44), "35-44",
  AND(B3619&gt;=45, B3619&lt;=54), "45-54",
  B3619&gt;=55, "55+"
)</f>
        <v>45-54</v>
      </c>
      <c r="D3619" t="s">
        <v>153</v>
      </c>
      <c r="E3619" t="s">
        <v>136</v>
      </c>
      <c r="F3619" t="s">
        <v>69</v>
      </c>
      <c r="G3619">
        <v>47</v>
      </c>
      <c r="H3619" t="s">
        <v>22</v>
      </c>
      <c r="I3619" t="s">
        <v>45</v>
      </c>
      <c r="J3619" t="s">
        <v>93</v>
      </c>
      <c r="K3619" t="s">
        <v>58</v>
      </c>
      <c r="L3619">
        <v>4.3</v>
      </c>
      <c r="M3619" t="s">
        <v>152</v>
      </c>
      <c r="N3619" t="s">
        <v>59</v>
      </c>
      <c r="O3619" t="s">
        <v>28</v>
      </c>
      <c r="P3619" t="s">
        <v>152</v>
      </c>
      <c r="Q3619" t="s">
        <v>152</v>
      </c>
      <c r="R3619">
        <v>29</v>
      </c>
      <c r="S3619" t="s">
        <v>59</v>
      </c>
      <c r="T3619" t="str">
        <f t="shared" si="112"/>
        <v>Month</v>
      </c>
      <c r="U3619">
        <f>VLOOKUP(T3619,[1]tablescore!$B$3:$C$8, 2,FALSE)</f>
        <v>12</v>
      </c>
      <c r="V3619" t="str">
        <f t="shared" si="113"/>
        <v>Moderate</v>
      </c>
      <c r="W3619" t="s">
        <v>88</v>
      </c>
    </row>
    <row r="3620" spans="1:23" x14ac:dyDescent="0.25">
      <c r="A3620">
        <v>3619</v>
      </c>
      <c r="B3620">
        <v>28</v>
      </c>
      <c r="C3620" t="str" cm="1">
        <f t="array" ref="C3620">_xlfn.IFS(
  AND(B3620&gt;=18, B3620&lt;=24), "18-24",
  AND(B3620&gt;=25, B3620&lt;=34), "25-34",
  AND(B3620&gt;=35, B3620&lt;=44), "35-44",
  AND(B3620&gt;=45, B3620&lt;=54), "45-54",
  B3620&gt;=55, "55+"
)</f>
        <v>25-34</v>
      </c>
      <c r="D3620" t="s">
        <v>153</v>
      </c>
      <c r="E3620" t="s">
        <v>127</v>
      </c>
      <c r="F3620" t="s">
        <v>69</v>
      </c>
      <c r="G3620">
        <v>67</v>
      </c>
      <c r="H3620" t="s">
        <v>107</v>
      </c>
      <c r="I3620" t="s">
        <v>45</v>
      </c>
      <c r="J3620" t="s">
        <v>33</v>
      </c>
      <c r="K3620" t="s">
        <v>58</v>
      </c>
      <c r="L3620">
        <v>4</v>
      </c>
      <c r="M3620" t="s">
        <v>152</v>
      </c>
      <c r="N3620" t="s">
        <v>29</v>
      </c>
      <c r="O3620" t="s">
        <v>72</v>
      </c>
      <c r="P3620" t="s">
        <v>152</v>
      </c>
      <c r="Q3620" t="s">
        <v>152</v>
      </c>
      <c r="R3620">
        <v>47</v>
      </c>
      <c r="S3620" t="s">
        <v>46</v>
      </c>
      <c r="T3620" t="str">
        <f t="shared" si="112"/>
        <v>2-week</v>
      </c>
      <c r="U3620">
        <f>VLOOKUP(T3620,[1]tablescore!$B$3:$C$8, 2,FALSE)</f>
        <v>26</v>
      </c>
      <c r="V3620" t="str">
        <f t="shared" si="113"/>
        <v>Loyal</v>
      </c>
      <c r="W3620" t="s">
        <v>77</v>
      </c>
    </row>
    <row r="3621" spans="1:23" x14ac:dyDescent="0.25">
      <c r="A3621">
        <v>3620</v>
      </c>
      <c r="B3621">
        <v>44</v>
      </c>
      <c r="C3621" t="str" cm="1">
        <f t="array" ref="C3621">_xlfn.IFS(
  AND(B3621&gt;=18, B3621&lt;=24), "18-24",
  AND(B3621&gt;=25, B3621&lt;=34), "25-34",
  AND(B3621&gt;=35, B3621&lt;=44), "35-44",
  AND(B3621&gt;=45, B3621&lt;=54), "45-54",
  B3621&gt;=55, "55+"
)</f>
        <v>35-44</v>
      </c>
      <c r="D3621" t="s">
        <v>153</v>
      </c>
      <c r="E3621" t="s">
        <v>119</v>
      </c>
      <c r="F3621" t="s">
        <v>69</v>
      </c>
      <c r="G3621">
        <v>75</v>
      </c>
      <c r="H3621" t="s">
        <v>98</v>
      </c>
      <c r="I3621" t="s">
        <v>38</v>
      </c>
      <c r="J3621" t="s">
        <v>147</v>
      </c>
      <c r="K3621" t="s">
        <v>25</v>
      </c>
      <c r="L3621">
        <v>4.9000000000000004</v>
      </c>
      <c r="M3621" t="s">
        <v>152</v>
      </c>
      <c r="N3621" t="s">
        <v>35</v>
      </c>
      <c r="O3621" t="s">
        <v>72</v>
      </c>
      <c r="P3621" t="s">
        <v>152</v>
      </c>
      <c r="Q3621" t="s">
        <v>152</v>
      </c>
      <c r="R3621">
        <v>50</v>
      </c>
      <c r="S3621" t="s">
        <v>29</v>
      </c>
      <c r="T3621" t="str">
        <f t="shared" si="112"/>
        <v>Daily</v>
      </c>
      <c r="U3621">
        <f>VLOOKUP(T3621,[1]tablescore!$B$3:$C$8, 2,FALSE)</f>
        <v>30</v>
      </c>
      <c r="V3621" t="str">
        <f t="shared" si="113"/>
        <v>Highly Loyal</v>
      </c>
      <c r="W3621" t="s">
        <v>41</v>
      </c>
    </row>
    <row r="3622" spans="1:23" x14ac:dyDescent="0.25">
      <c r="A3622">
        <v>3621</v>
      </c>
      <c r="B3622">
        <v>60</v>
      </c>
      <c r="C3622" t="str" cm="1">
        <f t="array" ref="C3622">_xlfn.IFS(
  AND(B3622&gt;=18, B3622&lt;=24), "18-24",
  AND(B3622&gt;=25, B3622&lt;=34), "25-34",
  AND(B3622&gt;=35, B3622&lt;=44), "35-44",
  AND(B3622&gt;=45, B3622&lt;=54), "45-54",
  B3622&gt;=55, "55+"
)</f>
        <v>55+</v>
      </c>
      <c r="D3622" t="s">
        <v>153</v>
      </c>
      <c r="E3622" t="s">
        <v>42</v>
      </c>
      <c r="F3622" t="s">
        <v>43</v>
      </c>
      <c r="G3622">
        <v>82</v>
      </c>
      <c r="H3622" t="s">
        <v>62</v>
      </c>
      <c r="I3622" t="s">
        <v>45</v>
      </c>
      <c r="J3622" t="s">
        <v>49</v>
      </c>
      <c r="K3622" t="s">
        <v>54</v>
      </c>
      <c r="L3622">
        <v>2.9</v>
      </c>
      <c r="M3622" t="s">
        <v>152</v>
      </c>
      <c r="N3622" t="s">
        <v>27</v>
      </c>
      <c r="O3622" t="s">
        <v>28</v>
      </c>
      <c r="P3622" t="s">
        <v>152</v>
      </c>
      <c r="Q3622" t="s">
        <v>152</v>
      </c>
      <c r="R3622">
        <v>28</v>
      </c>
      <c r="S3622" t="s">
        <v>27</v>
      </c>
      <c r="T3622" t="str">
        <f t="shared" si="112"/>
        <v>2-week</v>
      </c>
      <c r="U3622">
        <f>VLOOKUP(T3622,[1]tablescore!$B$3:$C$8, 2,FALSE)</f>
        <v>26</v>
      </c>
      <c r="V3622" t="str">
        <f t="shared" si="113"/>
        <v>Loyal</v>
      </c>
      <c r="W3622" t="s">
        <v>30</v>
      </c>
    </row>
    <row r="3623" spans="1:23" x14ac:dyDescent="0.25">
      <c r="A3623">
        <v>3622</v>
      </c>
      <c r="B3623">
        <v>38</v>
      </c>
      <c r="C3623" t="str" cm="1">
        <f t="array" ref="C3623">_xlfn.IFS(
  AND(B3623&gt;=18, B3623&lt;=24), "18-24",
  AND(B3623&gt;=25, B3623&lt;=34), "25-34",
  AND(B3623&gt;=35, B3623&lt;=44), "35-44",
  AND(B3623&gt;=45, B3623&lt;=54), "45-54",
  B3623&gt;=55, "55+"
)</f>
        <v>35-44</v>
      </c>
      <c r="D3623" t="s">
        <v>153</v>
      </c>
      <c r="E3623" t="s">
        <v>51</v>
      </c>
      <c r="F3623" t="s">
        <v>43</v>
      </c>
      <c r="G3623">
        <v>32</v>
      </c>
      <c r="H3623" t="s">
        <v>137</v>
      </c>
      <c r="I3623" t="s">
        <v>92</v>
      </c>
      <c r="J3623" t="s">
        <v>67</v>
      </c>
      <c r="K3623" t="s">
        <v>54</v>
      </c>
      <c r="L3623">
        <v>4</v>
      </c>
      <c r="M3623" t="s">
        <v>152</v>
      </c>
      <c r="N3623" t="s">
        <v>29</v>
      </c>
      <c r="O3623" t="s">
        <v>72</v>
      </c>
      <c r="P3623" t="s">
        <v>152</v>
      </c>
      <c r="Q3623" t="s">
        <v>152</v>
      </c>
      <c r="R3623">
        <v>5</v>
      </c>
      <c r="S3623" t="s">
        <v>35</v>
      </c>
      <c r="T3623" t="str">
        <f t="shared" si="112"/>
        <v>2-week</v>
      </c>
      <c r="U3623">
        <f>VLOOKUP(T3623,[1]tablescore!$B$3:$C$8, 2,FALSE)</f>
        <v>26</v>
      </c>
      <c r="V3623" t="str">
        <f t="shared" si="113"/>
        <v>Loyal</v>
      </c>
      <c r="W3623" t="s">
        <v>30</v>
      </c>
    </row>
    <row r="3624" spans="1:23" x14ac:dyDescent="0.25">
      <c r="A3624">
        <v>3623</v>
      </c>
      <c r="B3624">
        <v>46</v>
      </c>
      <c r="C3624" t="str" cm="1">
        <f t="array" ref="C3624">_xlfn.IFS(
  AND(B3624&gt;=18, B3624&lt;=24), "18-24",
  AND(B3624&gt;=25, B3624&lt;=34), "25-34",
  AND(B3624&gt;=35, B3624&lt;=44), "35-44",
  AND(B3624&gt;=45, B3624&lt;=54), "45-54",
  B3624&gt;=55, "55+"
)</f>
        <v>45-54</v>
      </c>
      <c r="D3624" t="s">
        <v>153</v>
      </c>
      <c r="E3624" t="s">
        <v>82</v>
      </c>
      <c r="F3624" t="s">
        <v>21</v>
      </c>
      <c r="G3624">
        <v>41</v>
      </c>
      <c r="H3624" t="s">
        <v>148</v>
      </c>
      <c r="I3624" t="s">
        <v>45</v>
      </c>
      <c r="J3624" t="s">
        <v>75</v>
      </c>
      <c r="K3624" t="s">
        <v>58</v>
      </c>
      <c r="L3624">
        <v>4.3</v>
      </c>
      <c r="M3624" t="s">
        <v>152</v>
      </c>
      <c r="N3624" t="s">
        <v>34</v>
      </c>
      <c r="O3624" t="s">
        <v>76</v>
      </c>
      <c r="P3624" t="s">
        <v>152</v>
      </c>
      <c r="Q3624" t="s">
        <v>152</v>
      </c>
      <c r="R3624">
        <v>12</v>
      </c>
      <c r="S3624" t="s">
        <v>27</v>
      </c>
      <c r="T3624" t="str">
        <f t="shared" si="112"/>
        <v>Annually</v>
      </c>
      <c r="U3624">
        <f>VLOOKUP(T3624,[1]tablescore!$B$3:$C$8, 2,FALSE)</f>
        <v>1</v>
      </c>
      <c r="V3624" t="str">
        <f t="shared" si="113"/>
        <v>Low Loyalty</v>
      </c>
      <c r="W3624" t="s">
        <v>50</v>
      </c>
    </row>
    <row r="3625" spans="1:23" x14ac:dyDescent="0.25">
      <c r="A3625">
        <v>3624</v>
      </c>
      <c r="B3625">
        <v>39</v>
      </c>
      <c r="C3625" t="str" cm="1">
        <f t="array" ref="C3625">_xlfn.IFS(
  AND(B3625&gt;=18, B3625&lt;=24), "18-24",
  AND(B3625&gt;=25, B3625&lt;=34), "25-34",
  AND(B3625&gt;=35, B3625&lt;=44), "35-44",
  AND(B3625&gt;=45, B3625&lt;=54), "45-54",
  B3625&gt;=55, "55+"
)</f>
        <v>35-44</v>
      </c>
      <c r="D3625" t="s">
        <v>153</v>
      </c>
      <c r="E3625" t="s">
        <v>106</v>
      </c>
      <c r="F3625" t="s">
        <v>69</v>
      </c>
      <c r="G3625">
        <v>89</v>
      </c>
      <c r="H3625" t="s">
        <v>74</v>
      </c>
      <c r="I3625" t="s">
        <v>45</v>
      </c>
      <c r="J3625" t="s">
        <v>84</v>
      </c>
      <c r="K3625" t="s">
        <v>25</v>
      </c>
      <c r="L3625">
        <v>2.7</v>
      </c>
      <c r="M3625" t="s">
        <v>152</v>
      </c>
      <c r="N3625" t="s">
        <v>29</v>
      </c>
      <c r="O3625" t="s">
        <v>72</v>
      </c>
      <c r="P3625" t="s">
        <v>152</v>
      </c>
      <c r="Q3625" t="s">
        <v>152</v>
      </c>
      <c r="R3625">
        <v>4</v>
      </c>
      <c r="S3625" t="s">
        <v>46</v>
      </c>
      <c r="T3625" t="str">
        <f t="shared" si="112"/>
        <v>Daily</v>
      </c>
      <c r="U3625">
        <f>VLOOKUP(T3625,[1]tablescore!$B$3:$C$8, 2,FALSE)</f>
        <v>30</v>
      </c>
      <c r="V3625" t="str">
        <f t="shared" si="113"/>
        <v>Highly Loyal</v>
      </c>
      <c r="W3625" t="s">
        <v>41</v>
      </c>
    </row>
    <row r="3626" spans="1:23" x14ac:dyDescent="0.25">
      <c r="A3626">
        <v>3625</v>
      </c>
      <c r="B3626">
        <v>22</v>
      </c>
      <c r="C3626" t="str" cm="1">
        <f t="array" ref="C3626">_xlfn.IFS(
  AND(B3626&gt;=18, B3626&lt;=24), "18-24",
  AND(B3626&gt;=25, B3626&lt;=34), "25-34",
  AND(B3626&gt;=35, B3626&lt;=44), "35-44",
  AND(B3626&gt;=45, B3626&lt;=54), "45-54",
  B3626&gt;=55, "55+"
)</f>
        <v>18-24</v>
      </c>
      <c r="D3626" t="s">
        <v>153</v>
      </c>
      <c r="E3626" t="s">
        <v>125</v>
      </c>
      <c r="F3626" t="s">
        <v>69</v>
      </c>
      <c r="G3626">
        <v>82</v>
      </c>
      <c r="H3626" t="s">
        <v>105</v>
      </c>
      <c r="I3626" t="s">
        <v>92</v>
      </c>
      <c r="J3626" t="s">
        <v>100</v>
      </c>
      <c r="K3626" t="s">
        <v>58</v>
      </c>
      <c r="L3626">
        <v>5</v>
      </c>
      <c r="M3626" t="s">
        <v>152</v>
      </c>
      <c r="N3626" t="s">
        <v>46</v>
      </c>
      <c r="O3626" t="s">
        <v>76</v>
      </c>
      <c r="P3626" t="s">
        <v>152</v>
      </c>
      <c r="Q3626" t="s">
        <v>152</v>
      </c>
      <c r="R3626">
        <v>22</v>
      </c>
      <c r="S3626" t="s">
        <v>34</v>
      </c>
      <c r="T3626" t="str">
        <f t="shared" si="112"/>
        <v>2-week</v>
      </c>
      <c r="U3626">
        <f>VLOOKUP(T3626,[1]tablescore!$B$3:$C$8, 2,FALSE)</f>
        <v>26</v>
      </c>
      <c r="V3626" t="str">
        <f t="shared" si="113"/>
        <v>Loyal</v>
      </c>
      <c r="W3626" t="s">
        <v>77</v>
      </c>
    </row>
    <row r="3627" spans="1:23" x14ac:dyDescent="0.25">
      <c r="A3627">
        <v>3626</v>
      </c>
      <c r="B3627">
        <v>44</v>
      </c>
      <c r="C3627" t="str" cm="1">
        <f t="array" ref="C3627">_xlfn.IFS(
  AND(B3627&gt;=18, B3627&lt;=24), "18-24",
  AND(B3627&gt;=25, B3627&lt;=34), "25-34",
  AND(B3627&gt;=35, B3627&lt;=44), "35-44",
  AND(B3627&gt;=45, B3627&lt;=54), "45-54",
  B3627&gt;=55, "55+"
)</f>
        <v>35-44</v>
      </c>
      <c r="D3627" t="s">
        <v>153</v>
      </c>
      <c r="E3627" t="s">
        <v>119</v>
      </c>
      <c r="F3627" t="s">
        <v>69</v>
      </c>
      <c r="G3627">
        <v>99</v>
      </c>
      <c r="H3627" t="s">
        <v>115</v>
      </c>
      <c r="I3627" t="s">
        <v>23</v>
      </c>
      <c r="J3627" t="s">
        <v>96</v>
      </c>
      <c r="K3627" t="s">
        <v>25</v>
      </c>
      <c r="L3627">
        <v>4.4000000000000004</v>
      </c>
      <c r="M3627" t="s">
        <v>152</v>
      </c>
      <c r="N3627" t="s">
        <v>59</v>
      </c>
      <c r="O3627" t="s">
        <v>28</v>
      </c>
      <c r="P3627" t="s">
        <v>152</v>
      </c>
      <c r="Q3627" t="s">
        <v>152</v>
      </c>
      <c r="R3627">
        <v>32</v>
      </c>
      <c r="S3627" t="s">
        <v>46</v>
      </c>
      <c r="T3627" t="str">
        <f t="shared" si="112"/>
        <v>Daily</v>
      </c>
      <c r="U3627">
        <f>VLOOKUP(T3627,[1]tablescore!$B$3:$C$8, 2,FALSE)</f>
        <v>30</v>
      </c>
      <c r="V3627" t="str">
        <f t="shared" si="113"/>
        <v>Highly Loyal</v>
      </c>
      <c r="W3627" t="s">
        <v>41</v>
      </c>
    </row>
    <row r="3628" spans="1:23" x14ac:dyDescent="0.25">
      <c r="A3628">
        <v>3627</v>
      </c>
      <c r="B3628">
        <v>69</v>
      </c>
      <c r="C3628" t="str" cm="1">
        <f t="array" ref="C3628">_xlfn.IFS(
  AND(B3628&gt;=18, B3628&lt;=24), "18-24",
  AND(B3628&gt;=25, B3628&lt;=34), "25-34",
  AND(B3628&gt;=35, B3628&lt;=44), "35-44",
  AND(B3628&gt;=45, B3628&lt;=54), "45-54",
  B3628&gt;=55, "55+"
)</f>
        <v>55+</v>
      </c>
      <c r="D3628" t="s">
        <v>153</v>
      </c>
      <c r="E3628" t="s">
        <v>20</v>
      </c>
      <c r="F3628" t="s">
        <v>21</v>
      </c>
      <c r="G3628">
        <v>98</v>
      </c>
      <c r="H3628" t="s">
        <v>91</v>
      </c>
      <c r="I3628" t="s">
        <v>23</v>
      </c>
      <c r="J3628" t="s">
        <v>86</v>
      </c>
      <c r="K3628" t="s">
        <v>58</v>
      </c>
      <c r="L3628">
        <v>3.5</v>
      </c>
      <c r="M3628" t="s">
        <v>152</v>
      </c>
      <c r="N3628" t="s">
        <v>34</v>
      </c>
      <c r="O3628" t="s">
        <v>28</v>
      </c>
      <c r="P3628" t="s">
        <v>152</v>
      </c>
      <c r="Q3628" t="s">
        <v>152</v>
      </c>
      <c r="R3628">
        <v>32</v>
      </c>
      <c r="S3628" t="s">
        <v>29</v>
      </c>
      <c r="T3628" t="str">
        <f t="shared" si="112"/>
        <v>Quarterly</v>
      </c>
      <c r="U3628">
        <f>VLOOKUP(T3628,[1]tablescore!$B$3:$C$8, 2,FALSE)</f>
        <v>4</v>
      </c>
      <c r="V3628" t="str">
        <f t="shared" si="113"/>
        <v>Low Loyalty</v>
      </c>
      <c r="W3628" t="s">
        <v>60</v>
      </c>
    </row>
    <row r="3629" spans="1:23" x14ac:dyDescent="0.25">
      <c r="A3629">
        <v>3628</v>
      </c>
      <c r="B3629">
        <v>39</v>
      </c>
      <c r="C3629" t="str" cm="1">
        <f t="array" ref="C3629">_xlfn.IFS(
  AND(B3629&gt;=18, B3629&lt;=24), "18-24",
  AND(B3629&gt;=25, B3629&lt;=34), "25-34",
  AND(B3629&gt;=35, B3629&lt;=44), "35-44",
  AND(B3629&gt;=45, B3629&lt;=54), "45-54",
  B3629&gt;=55, "55+"
)</f>
        <v>35-44</v>
      </c>
      <c r="D3629" t="s">
        <v>153</v>
      </c>
      <c r="E3629" t="s">
        <v>136</v>
      </c>
      <c r="F3629" t="s">
        <v>69</v>
      </c>
      <c r="G3629">
        <v>54</v>
      </c>
      <c r="H3629" t="s">
        <v>80</v>
      </c>
      <c r="I3629" t="s">
        <v>45</v>
      </c>
      <c r="J3629" t="s">
        <v>67</v>
      </c>
      <c r="K3629" t="s">
        <v>25</v>
      </c>
      <c r="L3629">
        <v>3.3</v>
      </c>
      <c r="M3629" t="s">
        <v>152</v>
      </c>
      <c r="N3629" t="s">
        <v>27</v>
      </c>
      <c r="O3629" t="s">
        <v>47</v>
      </c>
      <c r="P3629" t="s">
        <v>152</v>
      </c>
      <c r="Q3629" t="s">
        <v>152</v>
      </c>
      <c r="R3629">
        <v>48</v>
      </c>
      <c r="S3629" t="s">
        <v>35</v>
      </c>
      <c r="T3629" t="str">
        <f t="shared" si="112"/>
        <v>Quarterly</v>
      </c>
      <c r="U3629">
        <f>VLOOKUP(T3629,[1]tablescore!$B$3:$C$8, 2,FALSE)</f>
        <v>4</v>
      </c>
      <c r="V3629" t="str">
        <f t="shared" si="113"/>
        <v>Low Loyalty</v>
      </c>
      <c r="W3629" t="s">
        <v>97</v>
      </c>
    </row>
    <row r="3630" spans="1:23" x14ac:dyDescent="0.25">
      <c r="A3630">
        <v>3629</v>
      </c>
      <c r="B3630">
        <v>53</v>
      </c>
      <c r="C3630" t="str" cm="1">
        <f t="array" ref="C3630">_xlfn.IFS(
  AND(B3630&gt;=18, B3630&lt;=24), "18-24",
  AND(B3630&gt;=25, B3630&lt;=34), "25-34",
  AND(B3630&gt;=35, B3630&lt;=44), "35-44",
  AND(B3630&gt;=45, B3630&lt;=54), "45-54",
  B3630&gt;=55, "55+"
)</f>
        <v>45-54</v>
      </c>
      <c r="D3630" t="s">
        <v>153</v>
      </c>
      <c r="E3630" t="s">
        <v>20</v>
      </c>
      <c r="F3630" t="s">
        <v>21</v>
      </c>
      <c r="G3630">
        <v>88</v>
      </c>
      <c r="H3630" t="s">
        <v>142</v>
      </c>
      <c r="I3630" t="s">
        <v>23</v>
      </c>
      <c r="J3630" t="s">
        <v>75</v>
      </c>
      <c r="K3630" t="s">
        <v>54</v>
      </c>
      <c r="L3630">
        <v>3.8</v>
      </c>
      <c r="M3630" t="s">
        <v>152</v>
      </c>
      <c r="N3630" t="s">
        <v>35</v>
      </c>
      <c r="O3630" t="s">
        <v>40</v>
      </c>
      <c r="P3630" t="s">
        <v>152</v>
      </c>
      <c r="Q3630" t="s">
        <v>152</v>
      </c>
      <c r="R3630">
        <v>35</v>
      </c>
      <c r="S3630" t="s">
        <v>27</v>
      </c>
      <c r="T3630" t="str">
        <f t="shared" si="112"/>
        <v>Month</v>
      </c>
      <c r="U3630">
        <f>VLOOKUP(T3630,[1]tablescore!$B$3:$C$8, 2,FALSE)</f>
        <v>12</v>
      </c>
      <c r="V3630" t="str">
        <f t="shared" si="113"/>
        <v>Moderate</v>
      </c>
      <c r="W3630" t="s">
        <v>88</v>
      </c>
    </row>
    <row r="3631" spans="1:23" x14ac:dyDescent="0.25">
      <c r="A3631">
        <v>3630</v>
      </c>
      <c r="B3631">
        <v>52</v>
      </c>
      <c r="C3631" t="str" cm="1">
        <f t="array" ref="C3631">_xlfn.IFS(
  AND(B3631&gt;=18, B3631&lt;=24), "18-24",
  AND(B3631&gt;=25, B3631&lt;=34), "25-34",
  AND(B3631&gt;=35, B3631&lt;=44), "35-44",
  AND(B3631&gt;=45, B3631&lt;=54), "45-54",
  B3631&gt;=55, "55+"
)</f>
        <v>45-54</v>
      </c>
      <c r="D3631" t="s">
        <v>153</v>
      </c>
      <c r="E3631" t="s">
        <v>113</v>
      </c>
      <c r="F3631" t="s">
        <v>21</v>
      </c>
      <c r="G3631">
        <v>43</v>
      </c>
      <c r="H3631" t="s">
        <v>111</v>
      </c>
      <c r="I3631" t="s">
        <v>23</v>
      </c>
      <c r="J3631" t="s">
        <v>93</v>
      </c>
      <c r="K3631" t="s">
        <v>54</v>
      </c>
      <c r="L3631">
        <v>4.5</v>
      </c>
      <c r="M3631" t="s">
        <v>152</v>
      </c>
      <c r="N3631" t="s">
        <v>27</v>
      </c>
      <c r="O3631" t="s">
        <v>55</v>
      </c>
      <c r="P3631" t="s">
        <v>152</v>
      </c>
      <c r="Q3631" t="s">
        <v>152</v>
      </c>
      <c r="R3631">
        <v>44</v>
      </c>
      <c r="S3631" t="s">
        <v>59</v>
      </c>
      <c r="T3631" t="str">
        <f t="shared" si="112"/>
        <v>2-week</v>
      </c>
      <c r="U3631">
        <f>VLOOKUP(T3631,[1]tablescore!$B$3:$C$8, 2,FALSE)</f>
        <v>26</v>
      </c>
      <c r="V3631" t="str">
        <f t="shared" si="113"/>
        <v>Loyal</v>
      </c>
      <c r="W3631" t="s">
        <v>30</v>
      </c>
    </row>
    <row r="3632" spans="1:23" x14ac:dyDescent="0.25">
      <c r="A3632">
        <v>3631</v>
      </c>
      <c r="B3632">
        <v>65</v>
      </c>
      <c r="C3632" t="str" cm="1">
        <f t="array" ref="C3632">_xlfn.IFS(
  AND(B3632&gt;=18, B3632&lt;=24), "18-24",
  AND(B3632&gt;=25, B3632&lt;=34), "25-34",
  AND(B3632&gt;=35, B3632&lt;=44), "35-44",
  AND(B3632&gt;=45, B3632&lt;=54), "45-54",
  B3632&gt;=55, "55+"
)</f>
        <v>55+</v>
      </c>
      <c r="D3632" t="s">
        <v>153</v>
      </c>
      <c r="E3632" t="s">
        <v>125</v>
      </c>
      <c r="F3632" t="s">
        <v>69</v>
      </c>
      <c r="G3632">
        <v>73</v>
      </c>
      <c r="H3632" t="s">
        <v>101</v>
      </c>
      <c r="I3632" t="s">
        <v>45</v>
      </c>
      <c r="J3632" t="s">
        <v>93</v>
      </c>
      <c r="K3632" t="s">
        <v>25</v>
      </c>
      <c r="L3632">
        <v>4.8</v>
      </c>
      <c r="M3632" t="s">
        <v>152</v>
      </c>
      <c r="N3632" t="s">
        <v>27</v>
      </c>
      <c r="O3632" t="s">
        <v>76</v>
      </c>
      <c r="P3632" t="s">
        <v>152</v>
      </c>
      <c r="Q3632" t="s">
        <v>152</v>
      </c>
      <c r="R3632">
        <v>29</v>
      </c>
      <c r="S3632" t="s">
        <v>35</v>
      </c>
      <c r="T3632" t="str">
        <f t="shared" si="112"/>
        <v>Daily</v>
      </c>
      <c r="U3632">
        <f>VLOOKUP(T3632,[1]tablescore!$B$3:$C$8, 2,FALSE)</f>
        <v>30</v>
      </c>
      <c r="V3632" t="str">
        <f t="shared" si="113"/>
        <v>Highly Loyal</v>
      </c>
      <c r="W3632" t="s">
        <v>41</v>
      </c>
    </row>
    <row r="3633" spans="1:23" x14ac:dyDescent="0.25">
      <c r="A3633">
        <v>3632</v>
      </c>
      <c r="B3633">
        <v>48</v>
      </c>
      <c r="C3633" t="str" cm="1">
        <f t="array" ref="C3633">_xlfn.IFS(
  AND(B3633&gt;=18, B3633&lt;=24), "18-24",
  AND(B3633&gt;=25, B3633&lt;=34), "25-34",
  AND(B3633&gt;=35, B3633&lt;=44), "35-44",
  AND(B3633&gt;=45, B3633&lt;=54), "45-54",
  B3633&gt;=55, "55+"
)</f>
        <v>45-54</v>
      </c>
      <c r="D3633" t="s">
        <v>153</v>
      </c>
      <c r="E3633" t="s">
        <v>125</v>
      </c>
      <c r="F3633" t="s">
        <v>69</v>
      </c>
      <c r="G3633">
        <v>50</v>
      </c>
      <c r="H3633" t="s">
        <v>137</v>
      </c>
      <c r="I3633" t="s">
        <v>45</v>
      </c>
      <c r="J3633" t="s">
        <v>100</v>
      </c>
      <c r="K3633" t="s">
        <v>58</v>
      </c>
      <c r="L3633">
        <v>2.9</v>
      </c>
      <c r="M3633" t="s">
        <v>152</v>
      </c>
      <c r="N3633" t="s">
        <v>59</v>
      </c>
      <c r="O3633" t="s">
        <v>76</v>
      </c>
      <c r="P3633" t="s">
        <v>152</v>
      </c>
      <c r="Q3633" t="s">
        <v>152</v>
      </c>
      <c r="R3633">
        <v>26</v>
      </c>
      <c r="S3633" t="s">
        <v>27</v>
      </c>
      <c r="T3633" t="str">
        <f t="shared" si="112"/>
        <v>Month</v>
      </c>
      <c r="U3633">
        <f>VLOOKUP(T3633,[1]tablescore!$B$3:$C$8, 2,FALSE)</f>
        <v>12</v>
      </c>
      <c r="V3633" t="str">
        <f t="shared" si="113"/>
        <v>Moderate</v>
      </c>
      <c r="W3633" t="s">
        <v>88</v>
      </c>
    </row>
    <row r="3634" spans="1:23" x14ac:dyDescent="0.25">
      <c r="A3634">
        <v>3633</v>
      </c>
      <c r="B3634">
        <v>27</v>
      </c>
      <c r="C3634" t="str" cm="1">
        <f t="array" ref="C3634">_xlfn.IFS(
  AND(B3634&gt;=18, B3634&lt;=24), "18-24",
  AND(B3634&gt;=25, B3634&lt;=34), "25-34",
  AND(B3634&gt;=35, B3634&lt;=44), "35-44",
  AND(B3634&gt;=45, B3634&lt;=54), "45-54",
  B3634&gt;=55, "55+"
)</f>
        <v>25-34</v>
      </c>
      <c r="D3634" t="s">
        <v>153</v>
      </c>
      <c r="E3634" t="s">
        <v>51</v>
      </c>
      <c r="F3634" t="s">
        <v>43</v>
      </c>
      <c r="G3634">
        <v>73</v>
      </c>
      <c r="H3634" t="s">
        <v>149</v>
      </c>
      <c r="I3634" t="s">
        <v>23</v>
      </c>
      <c r="J3634" t="s">
        <v>96</v>
      </c>
      <c r="K3634" t="s">
        <v>39</v>
      </c>
      <c r="L3634">
        <v>3.2</v>
      </c>
      <c r="M3634" t="s">
        <v>152</v>
      </c>
      <c r="N3634" t="s">
        <v>46</v>
      </c>
      <c r="O3634" t="s">
        <v>28</v>
      </c>
      <c r="P3634" t="s">
        <v>152</v>
      </c>
      <c r="Q3634" t="s">
        <v>152</v>
      </c>
      <c r="R3634">
        <v>3</v>
      </c>
      <c r="S3634" t="s">
        <v>59</v>
      </c>
      <c r="T3634" t="str">
        <f t="shared" si="112"/>
        <v>Quarterly</v>
      </c>
      <c r="U3634">
        <f>VLOOKUP(T3634,[1]tablescore!$B$3:$C$8, 2,FALSE)</f>
        <v>4</v>
      </c>
      <c r="V3634" t="str">
        <f t="shared" si="113"/>
        <v>Low Loyalty</v>
      </c>
      <c r="W3634" t="s">
        <v>60</v>
      </c>
    </row>
    <row r="3635" spans="1:23" x14ac:dyDescent="0.25">
      <c r="A3635">
        <v>3634</v>
      </c>
      <c r="B3635">
        <v>39</v>
      </c>
      <c r="C3635" t="str" cm="1">
        <f t="array" ref="C3635">_xlfn.IFS(
  AND(B3635&gt;=18, B3635&lt;=24), "18-24",
  AND(B3635&gt;=25, B3635&lt;=34), "25-34",
  AND(B3635&gt;=35, B3635&lt;=44), "35-44",
  AND(B3635&gt;=45, B3635&lt;=54), "45-54",
  B3635&gt;=55, "55+"
)</f>
        <v>35-44</v>
      </c>
      <c r="D3635" t="s">
        <v>153</v>
      </c>
      <c r="E3635" t="s">
        <v>127</v>
      </c>
      <c r="F3635" t="s">
        <v>69</v>
      </c>
      <c r="G3635">
        <v>51</v>
      </c>
      <c r="H3635" t="s">
        <v>57</v>
      </c>
      <c r="I3635" t="s">
        <v>45</v>
      </c>
      <c r="J3635" t="s">
        <v>121</v>
      </c>
      <c r="K3635" t="s">
        <v>39</v>
      </c>
      <c r="L3635">
        <v>2.8</v>
      </c>
      <c r="M3635" t="s">
        <v>152</v>
      </c>
      <c r="N3635" t="s">
        <v>29</v>
      </c>
      <c r="O3635" t="s">
        <v>40</v>
      </c>
      <c r="P3635" t="s">
        <v>152</v>
      </c>
      <c r="Q3635" t="s">
        <v>152</v>
      </c>
      <c r="R3635">
        <v>1</v>
      </c>
      <c r="S3635" t="s">
        <v>34</v>
      </c>
      <c r="T3635" t="str">
        <f t="shared" si="112"/>
        <v>2-week</v>
      </c>
      <c r="U3635">
        <f>VLOOKUP(T3635,[1]tablescore!$B$3:$C$8, 2,FALSE)</f>
        <v>26</v>
      </c>
      <c r="V3635" t="str">
        <f t="shared" si="113"/>
        <v>Loyal</v>
      </c>
      <c r="W3635" t="s">
        <v>77</v>
      </c>
    </row>
    <row r="3636" spans="1:23" x14ac:dyDescent="0.25">
      <c r="A3636">
        <v>3635</v>
      </c>
      <c r="B3636">
        <v>59</v>
      </c>
      <c r="C3636" t="str" cm="1">
        <f t="array" ref="C3636">_xlfn.IFS(
  AND(B3636&gt;=18, B3636&lt;=24), "18-24",
  AND(B3636&gt;=25, B3636&lt;=34), "25-34",
  AND(B3636&gt;=35, B3636&lt;=44), "35-44",
  AND(B3636&gt;=45, B3636&lt;=54), "45-54",
  B3636&gt;=55, "55+"
)</f>
        <v>55+</v>
      </c>
      <c r="D3636" t="s">
        <v>153</v>
      </c>
      <c r="E3636" t="s">
        <v>131</v>
      </c>
      <c r="F3636" t="s">
        <v>21</v>
      </c>
      <c r="G3636">
        <v>22</v>
      </c>
      <c r="H3636" t="s">
        <v>124</v>
      </c>
      <c r="I3636" t="s">
        <v>45</v>
      </c>
      <c r="J3636" t="s">
        <v>71</v>
      </c>
      <c r="K3636" t="s">
        <v>25</v>
      </c>
      <c r="L3636">
        <v>3.3</v>
      </c>
      <c r="M3636" t="s">
        <v>152</v>
      </c>
      <c r="N3636" t="s">
        <v>34</v>
      </c>
      <c r="O3636" t="s">
        <v>55</v>
      </c>
      <c r="P3636" t="s">
        <v>152</v>
      </c>
      <c r="Q3636" t="s">
        <v>152</v>
      </c>
      <c r="R3636">
        <v>17</v>
      </c>
      <c r="S3636" t="s">
        <v>46</v>
      </c>
      <c r="T3636" t="str">
        <f t="shared" si="112"/>
        <v>Annually</v>
      </c>
      <c r="U3636">
        <f>VLOOKUP(T3636,[1]tablescore!$B$3:$C$8, 2,FALSE)</f>
        <v>1</v>
      </c>
      <c r="V3636" t="str">
        <f t="shared" si="113"/>
        <v>Low Loyalty</v>
      </c>
      <c r="W3636" t="s">
        <v>50</v>
      </c>
    </row>
    <row r="3637" spans="1:23" x14ac:dyDescent="0.25">
      <c r="A3637">
        <v>3636</v>
      </c>
      <c r="B3637">
        <v>52</v>
      </c>
      <c r="C3637" t="str" cm="1">
        <f t="array" ref="C3637">_xlfn.IFS(
  AND(B3637&gt;=18, B3637&lt;=24), "18-24",
  AND(B3637&gt;=25, B3637&lt;=34), "25-34",
  AND(B3637&gt;=35, B3637&lt;=44), "35-44",
  AND(B3637&gt;=45, B3637&lt;=54), "45-54",
  B3637&gt;=55, "55+"
)</f>
        <v>45-54</v>
      </c>
      <c r="D3637" t="s">
        <v>153</v>
      </c>
      <c r="E3637" t="s">
        <v>42</v>
      </c>
      <c r="F3637" t="s">
        <v>43</v>
      </c>
      <c r="G3637">
        <v>32</v>
      </c>
      <c r="H3637" t="s">
        <v>112</v>
      </c>
      <c r="I3637" t="s">
        <v>23</v>
      </c>
      <c r="J3637" t="s">
        <v>109</v>
      </c>
      <c r="K3637" t="s">
        <v>58</v>
      </c>
      <c r="L3637">
        <v>3.3</v>
      </c>
      <c r="M3637" t="s">
        <v>152</v>
      </c>
      <c r="N3637" t="s">
        <v>35</v>
      </c>
      <c r="O3637" t="s">
        <v>40</v>
      </c>
      <c r="P3637" t="s">
        <v>152</v>
      </c>
      <c r="Q3637" t="s">
        <v>152</v>
      </c>
      <c r="R3637">
        <v>17</v>
      </c>
      <c r="S3637" t="s">
        <v>27</v>
      </c>
      <c r="T3637" t="str">
        <f t="shared" si="112"/>
        <v>2-week</v>
      </c>
      <c r="U3637">
        <f>VLOOKUP(T3637,[1]tablescore!$B$3:$C$8, 2,FALSE)</f>
        <v>26</v>
      </c>
      <c r="V3637" t="str">
        <f t="shared" si="113"/>
        <v>Loyal</v>
      </c>
      <c r="W3637" t="s">
        <v>30</v>
      </c>
    </row>
    <row r="3638" spans="1:23" x14ac:dyDescent="0.25">
      <c r="A3638">
        <v>3637</v>
      </c>
      <c r="B3638">
        <v>50</v>
      </c>
      <c r="C3638" t="str" cm="1">
        <f t="array" ref="C3638">_xlfn.IFS(
  AND(B3638&gt;=18, B3638&lt;=24), "18-24",
  AND(B3638&gt;=25, B3638&lt;=34), "25-34",
  AND(B3638&gt;=35, B3638&lt;=44), "35-44",
  AND(B3638&gt;=45, B3638&lt;=54), "45-54",
  B3638&gt;=55, "55+"
)</f>
        <v>45-54</v>
      </c>
      <c r="D3638" t="s">
        <v>153</v>
      </c>
      <c r="E3638" t="s">
        <v>42</v>
      </c>
      <c r="F3638" t="s">
        <v>43</v>
      </c>
      <c r="G3638">
        <v>38</v>
      </c>
      <c r="H3638" t="s">
        <v>99</v>
      </c>
      <c r="I3638" t="s">
        <v>23</v>
      </c>
      <c r="J3638" t="s">
        <v>93</v>
      </c>
      <c r="K3638" t="s">
        <v>54</v>
      </c>
      <c r="L3638">
        <v>4.2</v>
      </c>
      <c r="M3638" t="s">
        <v>152</v>
      </c>
      <c r="N3638" t="s">
        <v>46</v>
      </c>
      <c r="O3638" t="s">
        <v>72</v>
      </c>
      <c r="P3638" t="s">
        <v>152</v>
      </c>
      <c r="Q3638" t="s">
        <v>152</v>
      </c>
      <c r="R3638">
        <v>36</v>
      </c>
      <c r="S3638" t="s">
        <v>35</v>
      </c>
      <c r="T3638" t="str">
        <f t="shared" si="112"/>
        <v>Daily</v>
      </c>
      <c r="U3638">
        <f>VLOOKUP(T3638,[1]tablescore!$B$3:$C$8, 2,FALSE)</f>
        <v>30</v>
      </c>
      <c r="V3638" t="str">
        <f t="shared" si="113"/>
        <v>Highly Loyal</v>
      </c>
      <c r="W3638" t="s">
        <v>41</v>
      </c>
    </row>
    <row r="3639" spans="1:23" x14ac:dyDescent="0.25">
      <c r="A3639">
        <v>3638</v>
      </c>
      <c r="B3639">
        <v>32</v>
      </c>
      <c r="C3639" t="str" cm="1">
        <f t="array" ref="C3639">_xlfn.IFS(
  AND(B3639&gt;=18, B3639&lt;=24), "18-24",
  AND(B3639&gt;=25, B3639&lt;=34), "25-34",
  AND(B3639&gt;=35, B3639&lt;=44), "35-44",
  AND(B3639&gt;=45, B3639&lt;=54), "45-54",
  B3639&gt;=55, "55+"
)</f>
        <v>25-34</v>
      </c>
      <c r="D3639" t="s">
        <v>153</v>
      </c>
      <c r="E3639" t="s">
        <v>132</v>
      </c>
      <c r="F3639" t="s">
        <v>43</v>
      </c>
      <c r="G3639">
        <v>66</v>
      </c>
      <c r="H3639" t="s">
        <v>149</v>
      </c>
      <c r="I3639" t="s">
        <v>23</v>
      </c>
      <c r="J3639" t="s">
        <v>139</v>
      </c>
      <c r="K3639" t="s">
        <v>25</v>
      </c>
      <c r="L3639">
        <v>3.6</v>
      </c>
      <c r="M3639" t="s">
        <v>152</v>
      </c>
      <c r="N3639" t="s">
        <v>46</v>
      </c>
      <c r="O3639" t="s">
        <v>28</v>
      </c>
      <c r="P3639" t="s">
        <v>152</v>
      </c>
      <c r="Q3639" t="s">
        <v>152</v>
      </c>
      <c r="R3639">
        <v>32</v>
      </c>
      <c r="S3639" t="s">
        <v>27</v>
      </c>
      <c r="T3639" t="str">
        <f t="shared" si="112"/>
        <v>2-week</v>
      </c>
      <c r="U3639">
        <f>VLOOKUP(T3639,[1]tablescore!$B$3:$C$8, 2,FALSE)</f>
        <v>26</v>
      </c>
      <c r="V3639" t="str">
        <f t="shared" si="113"/>
        <v>Loyal</v>
      </c>
      <c r="W3639" t="s">
        <v>30</v>
      </c>
    </row>
    <row r="3640" spans="1:23" x14ac:dyDescent="0.25">
      <c r="A3640">
        <v>3639</v>
      </c>
      <c r="B3640">
        <v>40</v>
      </c>
      <c r="C3640" t="str" cm="1">
        <f t="array" ref="C3640">_xlfn.IFS(
  AND(B3640&gt;=18, B3640&lt;=24), "18-24",
  AND(B3640&gt;=25, B3640&lt;=34), "25-34",
  AND(B3640&gt;=35, B3640&lt;=44), "35-44",
  AND(B3640&gt;=45, B3640&lt;=54), "45-54",
  B3640&gt;=55, "55+"
)</f>
        <v>35-44</v>
      </c>
      <c r="D3640" t="s">
        <v>153</v>
      </c>
      <c r="E3640" t="s">
        <v>133</v>
      </c>
      <c r="F3640" t="s">
        <v>69</v>
      </c>
      <c r="G3640">
        <v>20</v>
      </c>
      <c r="H3640" t="s">
        <v>111</v>
      </c>
      <c r="I3640" t="s">
        <v>45</v>
      </c>
      <c r="J3640" t="s">
        <v>79</v>
      </c>
      <c r="K3640" t="s">
        <v>39</v>
      </c>
      <c r="L3640">
        <v>4.5999999999999996</v>
      </c>
      <c r="M3640" t="s">
        <v>152</v>
      </c>
      <c r="N3640" t="s">
        <v>27</v>
      </c>
      <c r="O3640" t="s">
        <v>28</v>
      </c>
      <c r="P3640" t="s">
        <v>152</v>
      </c>
      <c r="Q3640" t="s">
        <v>152</v>
      </c>
      <c r="R3640">
        <v>50</v>
      </c>
      <c r="S3640" t="s">
        <v>46</v>
      </c>
      <c r="T3640" t="str">
        <f t="shared" si="112"/>
        <v>2-week</v>
      </c>
      <c r="U3640">
        <f>VLOOKUP(T3640,[1]tablescore!$B$3:$C$8, 2,FALSE)</f>
        <v>26</v>
      </c>
      <c r="V3640" t="str">
        <f t="shared" si="113"/>
        <v>Loyal</v>
      </c>
      <c r="W3640" t="s">
        <v>77</v>
      </c>
    </row>
    <row r="3641" spans="1:23" x14ac:dyDescent="0.25">
      <c r="A3641">
        <v>3640</v>
      </c>
      <c r="B3641">
        <v>26</v>
      </c>
      <c r="C3641" t="str" cm="1">
        <f t="array" ref="C3641">_xlfn.IFS(
  AND(B3641&gt;=18, B3641&lt;=24), "18-24",
  AND(B3641&gt;=25, B3641&lt;=34), "25-34",
  AND(B3641&gt;=35, B3641&lt;=44), "35-44",
  AND(B3641&gt;=45, B3641&lt;=54), "45-54",
  B3641&gt;=55, "55+"
)</f>
        <v>25-34</v>
      </c>
      <c r="D3641" t="s">
        <v>153</v>
      </c>
      <c r="E3641" t="s">
        <v>64</v>
      </c>
      <c r="F3641" t="s">
        <v>65</v>
      </c>
      <c r="G3641">
        <v>44</v>
      </c>
      <c r="H3641" t="s">
        <v>115</v>
      </c>
      <c r="I3641" t="s">
        <v>45</v>
      </c>
      <c r="J3641" t="s">
        <v>110</v>
      </c>
      <c r="K3641" t="s">
        <v>54</v>
      </c>
      <c r="L3641">
        <v>3.6</v>
      </c>
      <c r="M3641" t="s">
        <v>152</v>
      </c>
      <c r="N3641" t="s">
        <v>29</v>
      </c>
      <c r="O3641" t="s">
        <v>72</v>
      </c>
      <c r="P3641" t="s">
        <v>152</v>
      </c>
      <c r="Q3641" t="s">
        <v>152</v>
      </c>
      <c r="R3641">
        <v>39</v>
      </c>
      <c r="S3641" t="s">
        <v>29</v>
      </c>
      <c r="T3641" t="str">
        <f t="shared" si="112"/>
        <v>Annually</v>
      </c>
      <c r="U3641">
        <f>VLOOKUP(T3641,[1]tablescore!$B$3:$C$8, 2,FALSE)</f>
        <v>1</v>
      </c>
      <c r="V3641" t="str">
        <f t="shared" si="113"/>
        <v>Low Loyalty</v>
      </c>
      <c r="W3641" t="s">
        <v>50</v>
      </c>
    </row>
    <row r="3642" spans="1:23" x14ac:dyDescent="0.25">
      <c r="A3642">
        <v>3641</v>
      </c>
      <c r="B3642">
        <v>47</v>
      </c>
      <c r="C3642" t="str" cm="1">
        <f t="array" ref="C3642">_xlfn.IFS(
  AND(B3642&gt;=18, B3642&lt;=24), "18-24",
  AND(B3642&gt;=25, B3642&lt;=34), "25-34",
  AND(B3642&gt;=35, B3642&lt;=44), "35-44",
  AND(B3642&gt;=45, B3642&lt;=54), "45-54",
  B3642&gt;=55, "55+"
)</f>
        <v>45-54</v>
      </c>
      <c r="D3642" t="s">
        <v>153</v>
      </c>
      <c r="E3642" t="s">
        <v>89</v>
      </c>
      <c r="F3642" t="s">
        <v>69</v>
      </c>
      <c r="G3642">
        <v>31</v>
      </c>
      <c r="H3642" t="s">
        <v>134</v>
      </c>
      <c r="I3642" t="s">
        <v>23</v>
      </c>
      <c r="J3642" t="s">
        <v>71</v>
      </c>
      <c r="K3642" t="s">
        <v>39</v>
      </c>
      <c r="L3642">
        <v>4</v>
      </c>
      <c r="M3642" t="s">
        <v>152</v>
      </c>
      <c r="N3642" t="s">
        <v>27</v>
      </c>
      <c r="O3642" t="s">
        <v>47</v>
      </c>
      <c r="P3642" t="s">
        <v>152</v>
      </c>
      <c r="Q3642" t="s">
        <v>152</v>
      </c>
      <c r="R3642">
        <v>17</v>
      </c>
      <c r="S3642" t="s">
        <v>46</v>
      </c>
      <c r="T3642" t="str">
        <f t="shared" si="112"/>
        <v>Month</v>
      </c>
      <c r="U3642">
        <f>VLOOKUP(T3642,[1]tablescore!$B$3:$C$8, 2,FALSE)</f>
        <v>12</v>
      </c>
      <c r="V3642" t="str">
        <f t="shared" si="113"/>
        <v>Moderate</v>
      </c>
      <c r="W3642" t="s">
        <v>88</v>
      </c>
    </row>
    <row r="3643" spans="1:23" x14ac:dyDescent="0.25">
      <c r="A3643">
        <v>3642</v>
      </c>
      <c r="B3643">
        <v>51</v>
      </c>
      <c r="C3643" t="str" cm="1">
        <f t="array" ref="C3643">_xlfn.IFS(
  AND(B3643&gt;=18, B3643&lt;=24), "18-24",
  AND(B3643&gt;=25, B3643&lt;=34), "25-34",
  AND(B3643&gt;=35, B3643&lt;=44), "35-44",
  AND(B3643&gt;=45, B3643&lt;=54), "45-54",
  B3643&gt;=55, "55+"
)</f>
        <v>45-54</v>
      </c>
      <c r="D3643" t="s">
        <v>153</v>
      </c>
      <c r="E3643" t="s">
        <v>102</v>
      </c>
      <c r="F3643" t="s">
        <v>65</v>
      </c>
      <c r="G3643">
        <v>45</v>
      </c>
      <c r="H3643" t="s">
        <v>85</v>
      </c>
      <c r="I3643" t="s">
        <v>45</v>
      </c>
      <c r="J3643" t="s">
        <v>109</v>
      </c>
      <c r="K3643" t="s">
        <v>58</v>
      </c>
      <c r="L3643">
        <v>2.7</v>
      </c>
      <c r="M3643" t="s">
        <v>152</v>
      </c>
      <c r="N3643" t="s">
        <v>59</v>
      </c>
      <c r="O3643" t="s">
        <v>40</v>
      </c>
      <c r="P3643" t="s">
        <v>152</v>
      </c>
      <c r="Q3643" t="s">
        <v>152</v>
      </c>
      <c r="R3643">
        <v>39</v>
      </c>
      <c r="S3643" t="s">
        <v>34</v>
      </c>
      <c r="T3643" t="str">
        <f t="shared" si="112"/>
        <v>Quarterly</v>
      </c>
      <c r="U3643">
        <f>VLOOKUP(T3643,[1]tablescore!$B$3:$C$8, 2,FALSE)</f>
        <v>4</v>
      </c>
      <c r="V3643" t="str">
        <f t="shared" si="113"/>
        <v>Low Loyalty</v>
      </c>
      <c r="W3643" t="s">
        <v>97</v>
      </c>
    </row>
    <row r="3644" spans="1:23" x14ac:dyDescent="0.25">
      <c r="A3644">
        <v>3643</v>
      </c>
      <c r="B3644">
        <v>47</v>
      </c>
      <c r="C3644" t="str" cm="1">
        <f t="array" ref="C3644">_xlfn.IFS(
  AND(B3644&gt;=18, B3644&lt;=24), "18-24",
  AND(B3644&gt;=25, B3644&lt;=34), "25-34",
  AND(B3644&gt;=35, B3644&lt;=44), "35-44",
  AND(B3644&gt;=45, B3644&lt;=54), "45-54",
  B3644&gt;=55, "55+"
)</f>
        <v>45-54</v>
      </c>
      <c r="D3644" t="s">
        <v>153</v>
      </c>
      <c r="E3644" t="s">
        <v>82</v>
      </c>
      <c r="F3644" t="s">
        <v>21</v>
      </c>
      <c r="G3644">
        <v>71</v>
      </c>
      <c r="H3644" t="s">
        <v>117</v>
      </c>
      <c r="I3644" t="s">
        <v>23</v>
      </c>
      <c r="J3644" t="s">
        <v>33</v>
      </c>
      <c r="K3644" t="s">
        <v>54</v>
      </c>
      <c r="L3644">
        <v>4.4000000000000004</v>
      </c>
      <c r="M3644" t="s">
        <v>152</v>
      </c>
      <c r="N3644" t="s">
        <v>27</v>
      </c>
      <c r="O3644" t="s">
        <v>76</v>
      </c>
      <c r="P3644" t="s">
        <v>152</v>
      </c>
      <c r="Q3644" t="s">
        <v>152</v>
      </c>
      <c r="R3644">
        <v>5</v>
      </c>
      <c r="S3644" t="s">
        <v>46</v>
      </c>
      <c r="T3644" t="str">
        <f t="shared" si="112"/>
        <v>Annually</v>
      </c>
      <c r="U3644">
        <f>VLOOKUP(T3644,[1]tablescore!$B$3:$C$8, 2,FALSE)</f>
        <v>1</v>
      </c>
      <c r="V3644" t="str">
        <f t="shared" si="113"/>
        <v>Low Loyalty</v>
      </c>
      <c r="W3644" t="s">
        <v>50</v>
      </c>
    </row>
    <row r="3645" spans="1:23" x14ac:dyDescent="0.25">
      <c r="A3645">
        <v>3644</v>
      </c>
      <c r="B3645">
        <v>53</v>
      </c>
      <c r="C3645" t="str" cm="1">
        <f t="array" ref="C3645">_xlfn.IFS(
  AND(B3645&gt;=18, B3645&lt;=24), "18-24",
  AND(B3645&gt;=25, B3645&lt;=34), "25-34",
  AND(B3645&gt;=35, B3645&lt;=44), "35-44",
  AND(B3645&gt;=45, B3645&lt;=54), "45-54",
  B3645&gt;=55, "55+"
)</f>
        <v>45-54</v>
      </c>
      <c r="D3645" t="s">
        <v>153</v>
      </c>
      <c r="E3645" t="s">
        <v>119</v>
      </c>
      <c r="F3645" t="s">
        <v>69</v>
      </c>
      <c r="G3645">
        <v>96</v>
      </c>
      <c r="H3645" t="s">
        <v>122</v>
      </c>
      <c r="I3645" t="s">
        <v>92</v>
      </c>
      <c r="J3645" t="s">
        <v>147</v>
      </c>
      <c r="K3645" t="s">
        <v>58</v>
      </c>
      <c r="L3645">
        <v>3.2</v>
      </c>
      <c r="M3645" t="s">
        <v>152</v>
      </c>
      <c r="N3645" t="s">
        <v>34</v>
      </c>
      <c r="O3645" t="s">
        <v>55</v>
      </c>
      <c r="P3645" t="s">
        <v>152</v>
      </c>
      <c r="Q3645" t="s">
        <v>152</v>
      </c>
      <c r="R3645">
        <v>47</v>
      </c>
      <c r="S3645" t="s">
        <v>59</v>
      </c>
      <c r="T3645" t="str">
        <f t="shared" si="112"/>
        <v>Annually</v>
      </c>
      <c r="U3645">
        <f>VLOOKUP(T3645,[1]tablescore!$B$3:$C$8, 2,FALSE)</f>
        <v>1</v>
      </c>
      <c r="V3645" t="str">
        <f t="shared" si="113"/>
        <v>Low Loyalty</v>
      </c>
      <c r="W3645" t="s">
        <v>50</v>
      </c>
    </row>
    <row r="3646" spans="1:23" x14ac:dyDescent="0.25">
      <c r="A3646">
        <v>3645</v>
      </c>
      <c r="B3646">
        <v>35</v>
      </c>
      <c r="C3646" t="str" cm="1">
        <f t="array" ref="C3646">_xlfn.IFS(
  AND(B3646&gt;=18, B3646&lt;=24), "18-24",
  AND(B3646&gt;=25, B3646&lt;=34), "25-34",
  AND(B3646&gt;=35, B3646&lt;=44), "35-44",
  AND(B3646&gt;=45, B3646&lt;=54), "45-54",
  B3646&gt;=55, "55+"
)</f>
        <v>35-44</v>
      </c>
      <c r="D3646" t="s">
        <v>153</v>
      </c>
      <c r="E3646" t="s">
        <v>20</v>
      </c>
      <c r="F3646" t="s">
        <v>21</v>
      </c>
      <c r="G3646">
        <v>32</v>
      </c>
      <c r="H3646" t="s">
        <v>74</v>
      </c>
      <c r="I3646" t="s">
        <v>45</v>
      </c>
      <c r="J3646" t="s">
        <v>84</v>
      </c>
      <c r="K3646" t="s">
        <v>25</v>
      </c>
      <c r="L3646">
        <v>2.6</v>
      </c>
      <c r="M3646" t="s">
        <v>152</v>
      </c>
      <c r="N3646" t="s">
        <v>35</v>
      </c>
      <c r="O3646" t="s">
        <v>47</v>
      </c>
      <c r="P3646" t="s">
        <v>152</v>
      </c>
      <c r="Q3646" t="s">
        <v>152</v>
      </c>
      <c r="R3646">
        <v>18</v>
      </c>
      <c r="S3646" t="s">
        <v>29</v>
      </c>
      <c r="T3646" t="str">
        <f t="shared" si="112"/>
        <v>Daily</v>
      </c>
      <c r="U3646">
        <f>VLOOKUP(T3646,[1]tablescore!$B$3:$C$8, 2,FALSE)</f>
        <v>30</v>
      </c>
      <c r="V3646" t="str">
        <f t="shared" si="113"/>
        <v>Highly Loyal</v>
      </c>
      <c r="W3646" t="s">
        <v>41</v>
      </c>
    </row>
    <row r="3647" spans="1:23" x14ac:dyDescent="0.25">
      <c r="A3647">
        <v>3646</v>
      </c>
      <c r="B3647">
        <v>38</v>
      </c>
      <c r="C3647" t="str" cm="1">
        <f t="array" ref="C3647">_xlfn.IFS(
  AND(B3647&gt;=18, B3647&lt;=24), "18-24",
  AND(B3647&gt;=25, B3647&lt;=34), "25-34",
  AND(B3647&gt;=35, B3647&lt;=44), "35-44",
  AND(B3647&gt;=45, B3647&lt;=54), "45-54",
  B3647&gt;=55, "55+"
)</f>
        <v>35-44</v>
      </c>
      <c r="D3647" t="s">
        <v>153</v>
      </c>
      <c r="E3647" t="s">
        <v>133</v>
      </c>
      <c r="F3647" t="s">
        <v>69</v>
      </c>
      <c r="G3647">
        <v>90</v>
      </c>
      <c r="H3647" t="s">
        <v>112</v>
      </c>
      <c r="I3647" t="s">
        <v>23</v>
      </c>
      <c r="J3647" t="s">
        <v>67</v>
      </c>
      <c r="K3647" t="s">
        <v>54</v>
      </c>
      <c r="L3647">
        <v>3.4</v>
      </c>
      <c r="M3647" t="s">
        <v>152</v>
      </c>
      <c r="N3647" t="s">
        <v>27</v>
      </c>
      <c r="O3647" t="s">
        <v>40</v>
      </c>
      <c r="P3647" t="s">
        <v>152</v>
      </c>
      <c r="Q3647" t="s">
        <v>152</v>
      </c>
      <c r="R3647">
        <v>31</v>
      </c>
      <c r="S3647" t="s">
        <v>27</v>
      </c>
      <c r="T3647" t="str">
        <f t="shared" si="112"/>
        <v>Quarterly</v>
      </c>
      <c r="U3647">
        <f>VLOOKUP(T3647,[1]tablescore!$B$3:$C$8, 2,FALSE)</f>
        <v>4</v>
      </c>
      <c r="V3647" t="str">
        <f t="shared" si="113"/>
        <v>Low Loyalty</v>
      </c>
      <c r="W3647" t="s">
        <v>97</v>
      </c>
    </row>
    <row r="3648" spans="1:23" x14ac:dyDescent="0.25">
      <c r="A3648">
        <v>3647</v>
      </c>
      <c r="B3648">
        <v>69</v>
      </c>
      <c r="C3648" t="str" cm="1">
        <f t="array" ref="C3648">_xlfn.IFS(
  AND(B3648&gt;=18, B3648&lt;=24), "18-24",
  AND(B3648&gt;=25, B3648&lt;=34), "25-34",
  AND(B3648&gt;=35, B3648&lt;=44), "35-44",
  AND(B3648&gt;=45, B3648&lt;=54), "45-54",
  B3648&gt;=55, "55+"
)</f>
        <v>55+</v>
      </c>
      <c r="D3648" t="s">
        <v>153</v>
      </c>
      <c r="E3648" t="s">
        <v>106</v>
      </c>
      <c r="F3648" t="s">
        <v>69</v>
      </c>
      <c r="G3648">
        <v>68</v>
      </c>
      <c r="H3648" t="s">
        <v>107</v>
      </c>
      <c r="I3648" t="s">
        <v>45</v>
      </c>
      <c r="J3648" t="s">
        <v>33</v>
      </c>
      <c r="K3648" t="s">
        <v>39</v>
      </c>
      <c r="L3648">
        <v>5</v>
      </c>
      <c r="M3648" t="s">
        <v>152</v>
      </c>
      <c r="N3648" t="s">
        <v>27</v>
      </c>
      <c r="O3648" t="s">
        <v>72</v>
      </c>
      <c r="P3648" t="s">
        <v>152</v>
      </c>
      <c r="Q3648" t="s">
        <v>152</v>
      </c>
      <c r="R3648">
        <v>39</v>
      </c>
      <c r="S3648" t="s">
        <v>59</v>
      </c>
      <c r="T3648" t="str">
        <f t="shared" si="112"/>
        <v>2-week</v>
      </c>
      <c r="U3648">
        <f>VLOOKUP(T3648,[1]tablescore!$B$3:$C$8, 2,FALSE)</f>
        <v>26</v>
      </c>
      <c r="V3648" t="str">
        <f t="shared" si="113"/>
        <v>Loyal</v>
      </c>
      <c r="W3648" t="s">
        <v>30</v>
      </c>
    </row>
    <row r="3649" spans="1:23" x14ac:dyDescent="0.25">
      <c r="A3649">
        <v>3648</v>
      </c>
      <c r="B3649">
        <v>47</v>
      </c>
      <c r="C3649" t="str" cm="1">
        <f t="array" ref="C3649">_xlfn.IFS(
  AND(B3649&gt;=18, B3649&lt;=24), "18-24",
  AND(B3649&gt;=25, B3649&lt;=34), "25-34",
  AND(B3649&gt;=35, B3649&lt;=44), "35-44",
  AND(B3649&gt;=45, B3649&lt;=54), "45-54",
  B3649&gt;=55, "55+"
)</f>
        <v>45-54</v>
      </c>
      <c r="D3649" t="s">
        <v>153</v>
      </c>
      <c r="E3649" t="s">
        <v>61</v>
      </c>
      <c r="F3649" t="s">
        <v>21</v>
      </c>
      <c r="G3649">
        <v>45</v>
      </c>
      <c r="H3649" t="s">
        <v>111</v>
      </c>
      <c r="I3649" t="s">
        <v>45</v>
      </c>
      <c r="J3649" t="s">
        <v>24</v>
      </c>
      <c r="K3649" t="s">
        <v>25</v>
      </c>
      <c r="L3649">
        <v>2.9</v>
      </c>
      <c r="M3649" t="s">
        <v>152</v>
      </c>
      <c r="N3649" t="s">
        <v>35</v>
      </c>
      <c r="O3649" t="s">
        <v>76</v>
      </c>
      <c r="P3649" t="s">
        <v>152</v>
      </c>
      <c r="Q3649" t="s">
        <v>152</v>
      </c>
      <c r="R3649">
        <v>12</v>
      </c>
      <c r="S3649" t="s">
        <v>34</v>
      </c>
      <c r="T3649" t="str">
        <f t="shared" si="112"/>
        <v>Daily</v>
      </c>
      <c r="U3649">
        <f>VLOOKUP(T3649,[1]tablescore!$B$3:$C$8, 2,FALSE)</f>
        <v>30</v>
      </c>
      <c r="V3649" t="str">
        <f t="shared" si="113"/>
        <v>Highly Loyal</v>
      </c>
      <c r="W3649" t="s">
        <v>41</v>
      </c>
    </row>
    <row r="3650" spans="1:23" x14ac:dyDescent="0.25">
      <c r="A3650">
        <v>3649</v>
      </c>
      <c r="B3650">
        <v>31</v>
      </c>
      <c r="C3650" t="str" cm="1">
        <f t="array" ref="C3650">_xlfn.IFS(
  AND(B3650&gt;=18, B3650&lt;=24), "18-24",
  AND(B3650&gt;=25, B3650&lt;=34), "25-34",
  AND(B3650&gt;=35, B3650&lt;=44), "35-44",
  AND(B3650&gt;=45, B3650&lt;=54), "45-54",
  B3650&gt;=55, "55+"
)</f>
        <v>25-34</v>
      </c>
      <c r="D3650" t="s">
        <v>153</v>
      </c>
      <c r="E3650" t="s">
        <v>87</v>
      </c>
      <c r="F3650" t="s">
        <v>21</v>
      </c>
      <c r="G3650">
        <v>67</v>
      </c>
      <c r="H3650" t="s">
        <v>85</v>
      </c>
      <c r="I3650" t="s">
        <v>45</v>
      </c>
      <c r="J3650" t="s">
        <v>53</v>
      </c>
      <c r="K3650" t="s">
        <v>25</v>
      </c>
      <c r="L3650">
        <v>5</v>
      </c>
      <c r="M3650" t="s">
        <v>152</v>
      </c>
      <c r="N3650" t="s">
        <v>35</v>
      </c>
      <c r="O3650" t="s">
        <v>40</v>
      </c>
      <c r="P3650" t="s">
        <v>152</v>
      </c>
      <c r="Q3650" t="s">
        <v>152</v>
      </c>
      <c r="R3650">
        <v>45</v>
      </c>
      <c r="S3650" t="s">
        <v>35</v>
      </c>
      <c r="T3650" t="str">
        <f t="shared" si="112"/>
        <v>2-week</v>
      </c>
      <c r="U3650">
        <f>VLOOKUP(T3650,[1]tablescore!$B$3:$C$8, 2,FALSE)</f>
        <v>26</v>
      </c>
      <c r="V3650" t="str">
        <f t="shared" si="113"/>
        <v>Loyal</v>
      </c>
      <c r="W3650" t="s">
        <v>77</v>
      </c>
    </row>
    <row r="3651" spans="1:23" x14ac:dyDescent="0.25">
      <c r="A3651">
        <v>3650</v>
      </c>
      <c r="B3651">
        <v>68</v>
      </c>
      <c r="C3651" t="str" cm="1">
        <f t="array" ref="C3651">_xlfn.IFS(
  AND(B3651&gt;=18, B3651&lt;=24), "18-24",
  AND(B3651&gt;=25, B3651&lt;=34), "25-34",
  AND(B3651&gt;=35, B3651&lt;=44), "35-44",
  AND(B3651&gt;=45, B3651&lt;=54), "45-54",
  B3651&gt;=55, "55+"
)</f>
        <v>55+</v>
      </c>
      <c r="D3651" t="s">
        <v>153</v>
      </c>
      <c r="E3651" t="s">
        <v>87</v>
      </c>
      <c r="F3651" t="s">
        <v>21</v>
      </c>
      <c r="G3651">
        <v>57</v>
      </c>
      <c r="H3651" t="s">
        <v>134</v>
      </c>
      <c r="I3651" t="s">
        <v>45</v>
      </c>
      <c r="J3651" t="s">
        <v>110</v>
      </c>
      <c r="K3651" t="s">
        <v>58</v>
      </c>
      <c r="L3651">
        <v>4.4000000000000004</v>
      </c>
      <c r="M3651" t="s">
        <v>152</v>
      </c>
      <c r="N3651" t="s">
        <v>59</v>
      </c>
      <c r="O3651" t="s">
        <v>55</v>
      </c>
      <c r="P3651" t="s">
        <v>152</v>
      </c>
      <c r="Q3651" t="s">
        <v>152</v>
      </c>
      <c r="R3651">
        <v>33</v>
      </c>
      <c r="S3651" t="s">
        <v>27</v>
      </c>
      <c r="T3651" t="str">
        <f t="shared" ref="T3651:T3714" si="114">IF(TRIM(W3651)="Every 3 months","Quarterly",IF(TRIM(W3651)="Fortnightly","2-week",IF(TRIM(W3651)="Bi-Weekly","2-week",IF(TRIM(W3651)="Weekly","Daily",IF(TRIM(W3651)="Monthly","Month",TRIM(W3651))))))</f>
        <v>2-week</v>
      </c>
      <c r="U3651">
        <f>VLOOKUP(T3651,[1]tablescore!$B$3:$C$8, 2,FALSE)</f>
        <v>26</v>
      </c>
      <c r="V3651" t="str">
        <f t="shared" ref="V3651:V3714" si="115">_xlfn.IFS(U3651&gt;=30, "Highly Loyal", U3651&gt;=26, "Loyal", U3651&gt;=12, "Moderate", U3651&lt;5, "Low Loyalty")</f>
        <v>Loyal</v>
      </c>
      <c r="W3651" t="s">
        <v>30</v>
      </c>
    </row>
    <row r="3652" spans="1:23" x14ac:dyDescent="0.25">
      <c r="A3652">
        <v>3651</v>
      </c>
      <c r="B3652">
        <v>51</v>
      </c>
      <c r="C3652" t="str" cm="1">
        <f t="array" ref="C3652">_xlfn.IFS(
  AND(B3652&gt;=18, B3652&lt;=24), "18-24",
  AND(B3652&gt;=25, B3652&lt;=34), "25-34",
  AND(B3652&gt;=35, B3652&lt;=44), "35-44",
  AND(B3652&gt;=45, B3652&lt;=54), "45-54",
  B3652&gt;=55, "55+"
)</f>
        <v>45-54</v>
      </c>
      <c r="D3652" t="s">
        <v>153</v>
      </c>
      <c r="E3652" t="s">
        <v>36</v>
      </c>
      <c r="F3652" t="s">
        <v>21</v>
      </c>
      <c r="G3652">
        <v>60</v>
      </c>
      <c r="H3652" t="s">
        <v>124</v>
      </c>
      <c r="I3652" t="s">
        <v>45</v>
      </c>
      <c r="J3652" t="s">
        <v>67</v>
      </c>
      <c r="K3652" t="s">
        <v>54</v>
      </c>
      <c r="L3652">
        <v>3.5</v>
      </c>
      <c r="M3652" t="s">
        <v>152</v>
      </c>
      <c r="N3652" t="s">
        <v>35</v>
      </c>
      <c r="O3652" t="s">
        <v>72</v>
      </c>
      <c r="P3652" t="s">
        <v>152</v>
      </c>
      <c r="Q3652" t="s">
        <v>152</v>
      </c>
      <c r="R3652">
        <v>3</v>
      </c>
      <c r="S3652" t="s">
        <v>46</v>
      </c>
      <c r="T3652" t="str">
        <f t="shared" si="114"/>
        <v>Annually</v>
      </c>
      <c r="U3652">
        <f>VLOOKUP(T3652,[1]tablescore!$B$3:$C$8, 2,FALSE)</f>
        <v>1</v>
      </c>
      <c r="V3652" t="str">
        <f t="shared" si="115"/>
        <v>Low Loyalty</v>
      </c>
      <c r="W3652" t="s">
        <v>50</v>
      </c>
    </row>
    <row r="3653" spans="1:23" x14ac:dyDescent="0.25">
      <c r="A3653">
        <v>3652</v>
      </c>
      <c r="B3653">
        <v>20</v>
      </c>
      <c r="C3653" t="str" cm="1">
        <f t="array" ref="C3653">_xlfn.IFS(
  AND(B3653&gt;=18, B3653&lt;=24), "18-24",
  AND(B3653&gt;=25, B3653&lt;=34), "25-34",
  AND(B3653&gt;=35, B3653&lt;=44), "35-44",
  AND(B3653&gt;=45, B3653&lt;=54), "45-54",
  B3653&gt;=55, "55+"
)</f>
        <v>18-24</v>
      </c>
      <c r="D3653" t="s">
        <v>153</v>
      </c>
      <c r="E3653" t="s">
        <v>68</v>
      </c>
      <c r="F3653" t="s">
        <v>69</v>
      </c>
      <c r="G3653">
        <v>32</v>
      </c>
      <c r="H3653" t="s">
        <v>117</v>
      </c>
      <c r="I3653" t="s">
        <v>45</v>
      </c>
      <c r="J3653" t="s">
        <v>139</v>
      </c>
      <c r="K3653" t="s">
        <v>39</v>
      </c>
      <c r="L3653">
        <v>3.8</v>
      </c>
      <c r="M3653" t="s">
        <v>152</v>
      </c>
      <c r="N3653" t="s">
        <v>34</v>
      </c>
      <c r="O3653" t="s">
        <v>28</v>
      </c>
      <c r="P3653" t="s">
        <v>152</v>
      </c>
      <c r="Q3653" t="s">
        <v>152</v>
      </c>
      <c r="R3653">
        <v>5</v>
      </c>
      <c r="S3653" t="s">
        <v>29</v>
      </c>
      <c r="T3653" t="str">
        <f t="shared" si="114"/>
        <v>Quarterly</v>
      </c>
      <c r="U3653">
        <f>VLOOKUP(T3653,[1]tablescore!$B$3:$C$8, 2,FALSE)</f>
        <v>4</v>
      </c>
      <c r="V3653" t="str">
        <f t="shared" si="115"/>
        <v>Low Loyalty</v>
      </c>
      <c r="W3653" t="s">
        <v>97</v>
      </c>
    </row>
    <row r="3654" spans="1:23" x14ac:dyDescent="0.25">
      <c r="A3654">
        <v>3653</v>
      </c>
      <c r="B3654">
        <v>27</v>
      </c>
      <c r="C3654" t="str" cm="1">
        <f t="array" ref="C3654">_xlfn.IFS(
  AND(B3654&gt;=18, B3654&lt;=24), "18-24",
  AND(B3654&gt;=25, B3654&lt;=34), "25-34",
  AND(B3654&gt;=35, B3654&lt;=44), "35-44",
  AND(B3654&gt;=45, B3654&lt;=54), "45-54",
  B3654&gt;=55, "55+"
)</f>
        <v>25-34</v>
      </c>
      <c r="D3654" t="s">
        <v>153</v>
      </c>
      <c r="E3654" t="s">
        <v>68</v>
      </c>
      <c r="F3654" t="s">
        <v>69</v>
      </c>
      <c r="G3654">
        <v>29</v>
      </c>
      <c r="H3654" t="s">
        <v>22</v>
      </c>
      <c r="I3654" t="s">
        <v>38</v>
      </c>
      <c r="J3654" t="s">
        <v>147</v>
      </c>
      <c r="K3654" t="s">
        <v>58</v>
      </c>
      <c r="L3654">
        <v>3.8</v>
      </c>
      <c r="M3654" t="s">
        <v>152</v>
      </c>
      <c r="N3654" t="s">
        <v>29</v>
      </c>
      <c r="O3654" t="s">
        <v>76</v>
      </c>
      <c r="P3654" t="s">
        <v>152</v>
      </c>
      <c r="Q3654" t="s">
        <v>152</v>
      </c>
      <c r="R3654">
        <v>23</v>
      </c>
      <c r="S3654" t="s">
        <v>59</v>
      </c>
      <c r="T3654" t="str">
        <f t="shared" si="114"/>
        <v>Month</v>
      </c>
      <c r="U3654">
        <f>VLOOKUP(T3654,[1]tablescore!$B$3:$C$8, 2,FALSE)</f>
        <v>12</v>
      </c>
      <c r="V3654" t="str">
        <f t="shared" si="115"/>
        <v>Moderate</v>
      </c>
      <c r="W3654" t="s">
        <v>88</v>
      </c>
    </row>
    <row r="3655" spans="1:23" x14ac:dyDescent="0.25">
      <c r="A3655">
        <v>3654</v>
      </c>
      <c r="B3655">
        <v>67</v>
      </c>
      <c r="C3655" t="str" cm="1">
        <f t="array" ref="C3655">_xlfn.IFS(
  AND(B3655&gt;=18, B3655&lt;=24), "18-24",
  AND(B3655&gt;=25, B3655&lt;=34), "25-34",
  AND(B3655&gt;=35, B3655&lt;=44), "35-44",
  AND(B3655&gt;=45, B3655&lt;=54), "45-54",
  B3655&gt;=55, "55+"
)</f>
        <v>55+</v>
      </c>
      <c r="D3655" t="s">
        <v>153</v>
      </c>
      <c r="E3655" t="s">
        <v>64</v>
      </c>
      <c r="F3655" t="s">
        <v>65</v>
      </c>
      <c r="G3655">
        <v>20</v>
      </c>
      <c r="H3655" t="s">
        <v>134</v>
      </c>
      <c r="I3655" t="s">
        <v>45</v>
      </c>
      <c r="J3655" t="s">
        <v>138</v>
      </c>
      <c r="K3655" t="s">
        <v>39</v>
      </c>
      <c r="L3655">
        <v>3.9</v>
      </c>
      <c r="M3655" t="s">
        <v>152</v>
      </c>
      <c r="N3655" t="s">
        <v>59</v>
      </c>
      <c r="O3655" t="s">
        <v>47</v>
      </c>
      <c r="P3655" t="s">
        <v>152</v>
      </c>
      <c r="Q3655" t="s">
        <v>152</v>
      </c>
      <c r="R3655">
        <v>39</v>
      </c>
      <c r="S3655" t="s">
        <v>27</v>
      </c>
      <c r="T3655" t="str">
        <f t="shared" si="114"/>
        <v>2-week</v>
      </c>
      <c r="U3655">
        <f>VLOOKUP(T3655,[1]tablescore!$B$3:$C$8, 2,FALSE)</f>
        <v>26</v>
      </c>
      <c r="V3655" t="str">
        <f t="shared" si="115"/>
        <v>Loyal</v>
      </c>
      <c r="W3655" t="s">
        <v>30</v>
      </c>
    </row>
    <row r="3656" spans="1:23" x14ac:dyDescent="0.25">
      <c r="A3656">
        <v>3655</v>
      </c>
      <c r="B3656">
        <v>21</v>
      </c>
      <c r="C3656" t="str" cm="1">
        <f t="array" ref="C3656">_xlfn.IFS(
  AND(B3656&gt;=18, B3656&lt;=24), "18-24",
  AND(B3656&gt;=25, B3656&lt;=34), "25-34",
  AND(B3656&gt;=35, B3656&lt;=44), "35-44",
  AND(B3656&gt;=45, B3656&lt;=54), "45-54",
  B3656&gt;=55, "55+"
)</f>
        <v>18-24</v>
      </c>
      <c r="D3656" t="s">
        <v>153</v>
      </c>
      <c r="E3656" t="s">
        <v>106</v>
      </c>
      <c r="F3656" t="s">
        <v>69</v>
      </c>
      <c r="G3656">
        <v>98</v>
      </c>
      <c r="H3656" t="s">
        <v>74</v>
      </c>
      <c r="I3656" t="s">
        <v>45</v>
      </c>
      <c r="J3656" t="s">
        <v>96</v>
      </c>
      <c r="K3656" t="s">
        <v>25</v>
      </c>
      <c r="L3656">
        <v>3.3</v>
      </c>
      <c r="M3656" t="s">
        <v>152</v>
      </c>
      <c r="N3656" t="s">
        <v>59</v>
      </c>
      <c r="O3656" t="s">
        <v>47</v>
      </c>
      <c r="P3656" t="s">
        <v>152</v>
      </c>
      <c r="Q3656" t="s">
        <v>152</v>
      </c>
      <c r="R3656">
        <v>10</v>
      </c>
      <c r="S3656" t="s">
        <v>27</v>
      </c>
      <c r="T3656" t="str">
        <f t="shared" si="114"/>
        <v>Annually</v>
      </c>
      <c r="U3656">
        <f>VLOOKUP(T3656,[1]tablescore!$B$3:$C$8, 2,FALSE)</f>
        <v>1</v>
      </c>
      <c r="V3656" t="str">
        <f t="shared" si="115"/>
        <v>Low Loyalty</v>
      </c>
      <c r="W3656" t="s">
        <v>50</v>
      </c>
    </row>
    <row r="3657" spans="1:23" x14ac:dyDescent="0.25">
      <c r="A3657">
        <v>3656</v>
      </c>
      <c r="B3657">
        <v>20</v>
      </c>
      <c r="C3657" t="str" cm="1">
        <f t="array" ref="C3657">_xlfn.IFS(
  AND(B3657&gt;=18, B3657&lt;=24), "18-24",
  AND(B3657&gt;=25, B3657&lt;=34), "25-34",
  AND(B3657&gt;=35, B3657&lt;=44), "35-44",
  AND(B3657&gt;=45, B3657&lt;=54), "45-54",
  B3657&gt;=55, "55+"
)</f>
        <v>18-24</v>
      </c>
      <c r="D3657" t="s">
        <v>153</v>
      </c>
      <c r="E3657" t="s">
        <v>31</v>
      </c>
      <c r="F3657" t="s">
        <v>21</v>
      </c>
      <c r="G3657">
        <v>27</v>
      </c>
      <c r="H3657" t="s">
        <v>52</v>
      </c>
      <c r="I3657" t="s">
        <v>45</v>
      </c>
      <c r="J3657" t="s">
        <v>139</v>
      </c>
      <c r="K3657" t="s">
        <v>58</v>
      </c>
      <c r="L3657">
        <v>2.9</v>
      </c>
      <c r="M3657" t="s">
        <v>152</v>
      </c>
      <c r="N3657" t="s">
        <v>29</v>
      </c>
      <c r="O3657" t="s">
        <v>47</v>
      </c>
      <c r="P3657" t="s">
        <v>152</v>
      </c>
      <c r="Q3657" t="s">
        <v>152</v>
      </c>
      <c r="R3657">
        <v>4</v>
      </c>
      <c r="S3657" t="s">
        <v>27</v>
      </c>
      <c r="T3657" t="str">
        <f t="shared" si="114"/>
        <v>2-week</v>
      </c>
      <c r="U3657">
        <f>VLOOKUP(T3657,[1]tablescore!$B$3:$C$8, 2,FALSE)</f>
        <v>26</v>
      </c>
      <c r="V3657" t="str">
        <f t="shared" si="115"/>
        <v>Loyal</v>
      </c>
      <c r="W3657" t="s">
        <v>77</v>
      </c>
    </row>
    <row r="3658" spans="1:23" x14ac:dyDescent="0.25">
      <c r="A3658">
        <v>3657</v>
      </c>
      <c r="B3658">
        <v>35</v>
      </c>
      <c r="C3658" t="str" cm="1">
        <f t="array" ref="C3658">_xlfn.IFS(
  AND(B3658&gt;=18, B3658&lt;=24), "18-24",
  AND(B3658&gt;=25, B3658&lt;=34), "25-34",
  AND(B3658&gt;=35, B3658&lt;=44), "35-44",
  AND(B3658&gt;=45, B3658&lt;=54), "45-54",
  B3658&gt;=55, "55+"
)</f>
        <v>35-44</v>
      </c>
      <c r="D3658" t="s">
        <v>153</v>
      </c>
      <c r="E3658" t="s">
        <v>102</v>
      </c>
      <c r="F3658" t="s">
        <v>65</v>
      </c>
      <c r="G3658">
        <v>67</v>
      </c>
      <c r="H3658" t="s">
        <v>114</v>
      </c>
      <c r="I3658" t="s">
        <v>92</v>
      </c>
      <c r="J3658" t="s">
        <v>109</v>
      </c>
      <c r="K3658" t="s">
        <v>39</v>
      </c>
      <c r="L3658">
        <v>3.7</v>
      </c>
      <c r="M3658" t="s">
        <v>152</v>
      </c>
      <c r="N3658" t="s">
        <v>59</v>
      </c>
      <c r="O3658" t="s">
        <v>72</v>
      </c>
      <c r="P3658" t="s">
        <v>152</v>
      </c>
      <c r="Q3658" t="s">
        <v>152</v>
      </c>
      <c r="R3658">
        <v>18</v>
      </c>
      <c r="S3658" t="s">
        <v>27</v>
      </c>
      <c r="T3658" t="str">
        <f t="shared" si="114"/>
        <v>Month</v>
      </c>
      <c r="U3658">
        <f>VLOOKUP(T3658,[1]tablescore!$B$3:$C$8, 2,FALSE)</f>
        <v>12</v>
      </c>
      <c r="V3658" t="str">
        <f t="shared" si="115"/>
        <v>Moderate</v>
      </c>
      <c r="W3658" t="s">
        <v>88</v>
      </c>
    </row>
    <row r="3659" spans="1:23" x14ac:dyDescent="0.25">
      <c r="A3659">
        <v>3658</v>
      </c>
      <c r="B3659">
        <v>58</v>
      </c>
      <c r="C3659" t="str" cm="1">
        <f t="array" ref="C3659">_xlfn.IFS(
  AND(B3659&gt;=18, B3659&lt;=24), "18-24",
  AND(B3659&gt;=25, B3659&lt;=34), "25-34",
  AND(B3659&gt;=35, B3659&lt;=44), "35-44",
  AND(B3659&gt;=45, B3659&lt;=54), "45-54",
  B3659&gt;=55, "55+"
)</f>
        <v>55+</v>
      </c>
      <c r="D3659" t="s">
        <v>153</v>
      </c>
      <c r="E3659" t="s">
        <v>73</v>
      </c>
      <c r="F3659" t="s">
        <v>43</v>
      </c>
      <c r="G3659">
        <v>82</v>
      </c>
      <c r="H3659" t="s">
        <v>90</v>
      </c>
      <c r="I3659" t="s">
        <v>23</v>
      </c>
      <c r="J3659" t="s">
        <v>81</v>
      </c>
      <c r="K3659" t="s">
        <v>25</v>
      </c>
      <c r="L3659">
        <v>3.7</v>
      </c>
      <c r="M3659" t="s">
        <v>152</v>
      </c>
      <c r="N3659" t="s">
        <v>34</v>
      </c>
      <c r="O3659" t="s">
        <v>28</v>
      </c>
      <c r="P3659" t="s">
        <v>152</v>
      </c>
      <c r="Q3659" t="s">
        <v>152</v>
      </c>
      <c r="R3659">
        <v>1</v>
      </c>
      <c r="S3659" t="s">
        <v>59</v>
      </c>
      <c r="T3659" t="str">
        <f t="shared" si="114"/>
        <v>Quarterly</v>
      </c>
      <c r="U3659">
        <f>VLOOKUP(T3659,[1]tablescore!$B$3:$C$8, 2,FALSE)</f>
        <v>4</v>
      </c>
      <c r="V3659" t="str">
        <f t="shared" si="115"/>
        <v>Low Loyalty</v>
      </c>
      <c r="W3659" t="s">
        <v>97</v>
      </c>
    </row>
    <row r="3660" spans="1:23" x14ac:dyDescent="0.25">
      <c r="A3660">
        <v>3659</v>
      </c>
      <c r="B3660">
        <v>28</v>
      </c>
      <c r="C3660" t="str" cm="1">
        <f t="array" ref="C3660">_xlfn.IFS(
  AND(B3660&gt;=18, B3660&lt;=24), "18-24",
  AND(B3660&gt;=25, B3660&lt;=34), "25-34",
  AND(B3660&gt;=35, B3660&lt;=44), "35-44",
  AND(B3660&gt;=45, B3660&lt;=54), "45-54",
  B3660&gt;=55, "55+"
)</f>
        <v>25-34</v>
      </c>
      <c r="D3660" t="s">
        <v>153</v>
      </c>
      <c r="E3660" t="s">
        <v>113</v>
      </c>
      <c r="F3660" t="s">
        <v>21</v>
      </c>
      <c r="G3660">
        <v>72</v>
      </c>
      <c r="H3660" t="s">
        <v>91</v>
      </c>
      <c r="I3660" t="s">
        <v>45</v>
      </c>
      <c r="J3660" t="s">
        <v>147</v>
      </c>
      <c r="K3660" t="s">
        <v>58</v>
      </c>
      <c r="L3660">
        <v>4.5999999999999996</v>
      </c>
      <c r="M3660" t="s">
        <v>152</v>
      </c>
      <c r="N3660" t="s">
        <v>35</v>
      </c>
      <c r="O3660" t="s">
        <v>55</v>
      </c>
      <c r="P3660" t="s">
        <v>152</v>
      </c>
      <c r="Q3660" t="s">
        <v>152</v>
      </c>
      <c r="R3660">
        <v>18</v>
      </c>
      <c r="S3660" t="s">
        <v>46</v>
      </c>
      <c r="T3660" t="str">
        <f t="shared" si="114"/>
        <v>2-week</v>
      </c>
      <c r="U3660">
        <f>VLOOKUP(T3660,[1]tablescore!$B$3:$C$8, 2,FALSE)</f>
        <v>26</v>
      </c>
      <c r="V3660" t="str">
        <f t="shared" si="115"/>
        <v>Loyal</v>
      </c>
      <c r="W3660" t="s">
        <v>30</v>
      </c>
    </row>
    <row r="3661" spans="1:23" x14ac:dyDescent="0.25">
      <c r="A3661">
        <v>3660</v>
      </c>
      <c r="B3661">
        <v>27</v>
      </c>
      <c r="C3661" t="str" cm="1">
        <f t="array" ref="C3661">_xlfn.IFS(
  AND(B3661&gt;=18, B3661&lt;=24), "18-24",
  AND(B3661&gt;=25, B3661&lt;=34), "25-34",
  AND(B3661&gt;=35, B3661&lt;=44), "35-44",
  AND(B3661&gt;=45, B3661&lt;=54), "45-54",
  B3661&gt;=55, "55+"
)</f>
        <v>25-34</v>
      </c>
      <c r="D3661" t="s">
        <v>153</v>
      </c>
      <c r="E3661" t="s">
        <v>42</v>
      </c>
      <c r="F3661" t="s">
        <v>43</v>
      </c>
      <c r="G3661">
        <v>77</v>
      </c>
      <c r="H3661" t="s">
        <v>115</v>
      </c>
      <c r="I3661" t="s">
        <v>38</v>
      </c>
      <c r="J3661" t="s">
        <v>24</v>
      </c>
      <c r="K3661" t="s">
        <v>58</v>
      </c>
      <c r="L3661">
        <v>4.9000000000000004</v>
      </c>
      <c r="M3661" t="s">
        <v>152</v>
      </c>
      <c r="N3661" t="s">
        <v>34</v>
      </c>
      <c r="O3661" t="s">
        <v>76</v>
      </c>
      <c r="P3661" t="s">
        <v>152</v>
      </c>
      <c r="Q3661" t="s">
        <v>152</v>
      </c>
      <c r="R3661">
        <v>46</v>
      </c>
      <c r="S3661" t="s">
        <v>34</v>
      </c>
      <c r="T3661" t="str">
        <f t="shared" si="114"/>
        <v>Annually</v>
      </c>
      <c r="U3661">
        <f>VLOOKUP(T3661,[1]tablescore!$B$3:$C$8, 2,FALSE)</f>
        <v>1</v>
      </c>
      <c r="V3661" t="str">
        <f t="shared" si="115"/>
        <v>Low Loyalty</v>
      </c>
      <c r="W3661" t="s">
        <v>50</v>
      </c>
    </row>
    <row r="3662" spans="1:23" x14ac:dyDescent="0.25">
      <c r="A3662">
        <v>3661</v>
      </c>
      <c r="B3662">
        <v>19</v>
      </c>
      <c r="C3662" t="str" cm="1">
        <f t="array" ref="C3662">_xlfn.IFS(
  AND(B3662&gt;=18, B3662&lt;=24), "18-24",
  AND(B3662&gt;=25, B3662&lt;=34), "25-34",
  AND(B3662&gt;=35, B3662&lt;=44), "35-44",
  AND(B3662&gt;=45, B3662&lt;=54), "45-54",
  B3662&gt;=55, "55+"
)</f>
        <v>18-24</v>
      </c>
      <c r="D3662" t="s">
        <v>153</v>
      </c>
      <c r="E3662" t="s">
        <v>73</v>
      </c>
      <c r="F3662" t="s">
        <v>43</v>
      </c>
      <c r="G3662">
        <v>74</v>
      </c>
      <c r="H3662" t="s">
        <v>74</v>
      </c>
      <c r="I3662" t="s">
        <v>23</v>
      </c>
      <c r="J3662" t="s">
        <v>129</v>
      </c>
      <c r="K3662" t="s">
        <v>25</v>
      </c>
      <c r="L3662">
        <v>3.1</v>
      </c>
      <c r="M3662" t="s">
        <v>152</v>
      </c>
      <c r="N3662" t="s">
        <v>29</v>
      </c>
      <c r="O3662" t="s">
        <v>72</v>
      </c>
      <c r="P3662" t="s">
        <v>152</v>
      </c>
      <c r="Q3662" t="s">
        <v>152</v>
      </c>
      <c r="R3662">
        <v>13</v>
      </c>
      <c r="S3662" t="s">
        <v>34</v>
      </c>
      <c r="T3662" t="str">
        <f t="shared" si="114"/>
        <v>2-week</v>
      </c>
      <c r="U3662">
        <f>VLOOKUP(T3662,[1]tablescore!$B$3:$C$8, 2,FALSE)</f>
        <v>26</v>
      </c>
      <c r="V3662" t="str">
        <f t="shared" si="115"/>
        <v>Loyal</v>
      </c>
      <c r="W3662" t="s">
        <v>30</v>
      </c>
    </row>
    <row r="3663" spans="1:23" x14ac:dyDescent="0.25">
      <c r="A3663">
        <v>3662</v>
      </c>
      <c r="B3663">
        <v>63</v>
      </c>
      <c r="C3663" t="str" cm="1">
        <f t="array" ref="C3663">_xlfn.IFS(
  AND(B3663&gt;=18, B3663&lt;=24), "18-24",
  AND(B3663&gt;=25, B3663&lt;=34), "25-34",
  AND(B3663&gt;=35, B3663&lt;=44), "35-44",
  AND(B3663&gt;=45, B3663&lt;=54), "45-54",
  B3663&gt;=55, "55+"
)</f>
        <v>55+</v>
      </c>
      <c r="D3663" t="s">
        <v>153</v>
      </c>
      <c r="E3663" t="s">
        <v>42</v>
      </c>
      <c r="F3663" t="s">
        <v>43</v>
      </c>
      <c r="G3663">
        <v>39</v>
      </c>
      <c r="H3663" t="s">
        <v>111</v>
      </c>
      <c r="I3663" t="s">
        <v>38</v>
      </c>
      <c r="J3663" t="s">
        <v>53</v>
      </c>
      <c r="K3663" t="s">
        <v>25</v>
      </c>
      <c r="L3663">
        <v>3.5</v>
      </c>
      <c r="M3663" t="s">
        <v>152</v>
      </c>
      <c r="N3663" t="s">
        <v>35</v>
      </c>
      <c r="O3663" t="s">
        <v>47</v>
      </c>
      <c r="P3663" t="s">
        <v>152</v>
      </c>
      <c r="Q3663" t="s">
        <v>152</v>
      </c>
      <c r="R3663">
        <v>5</v>
      </c>
      <c r="S3663" t="s">
        <v>27</v>
      </c>
      <c r="T3663" t="str">
        <f t="shared" si="114"/>
        <v>2-week</v>
      </c>
      <c r="U3663">
        <f>VLOOKUP(T3663,[1]tablescore!$B$3:$C$8, 2,FALSE)</f>
        <v>26</v>
      </c>
      <c r="V3663" t="str">
        <f t="shared" si="115"/>
        <v>Loyal</v>
      </c>
      <c r="W3663" t="s">
        <v>30</v>
      </c>
    </row>
    <row r="3664" spans="1:23" x14ac:dyDescent="0.25">
      <c r="A3664">
        <v>3663</v>
      </c>
      <c r="B3664">
        <v>69</v>
      </c>
      <c r="C3664" t="str" cm="1">
        <f t="array" ref="C3664">_xlfn.IFS(
  AND(B3664&gt;=18, B3664&lt;=24), "18-24",
  AND(B3664&gt;=25, B3664&lt;=34), "25-34",
  AND(B3664&gt;=35, B3664&lt;=44), "35-44",
  AND(B3664&gt;=45, B3664&lt;=54), "45-54",
  B3664&gt;=55, "55+"
)</f>
        <v>55+</v>
      </c>
      <c r="D3664" t="s">
        <v>153</v>
      </c>
      <c r="E3664" t="s">
        <v>61</v>
      </c>
      <c r="F3664" t="s">
        <v>21</v>
      </c>
      <c r="G3664">
        <v>80</v>
      </c>
      <c r="H3664" t="s">
        <v>44</v>
      </c>
      <c r="I3664" t="s">
        <v>45</v>
      </c>
      <c r="J3664" t="s">
        <v>129</v>
      </c>
      <c r="K3664" t="s">
        <v>39</v>
      </c>
      <c r="L3664">
        <v>4.9000000000000004</v>
      </c>
      <c r="M3664" t="s">
        <v>152</v>
      </c>
      <c r="N3664" t="s">
        <v>29</v>
      </c>
      <c r="O3664" t="s">
        <v>47</v>
      </c>
      <c r="P3664" t="s">
        <v>152</v>
      </c>
      <c r="Q3664" t="s">
        <v>152</v>
      </c>
      <c r="R3664">
        <v>11</v>
      </c>
      <c r="S3664" t="s">
        <v>59</v>
      </c>
      <c r="T3664" t="str">
        <f t="shared" si="114"/>
        <v>Daily</v>
      </c>
      <c r="U3664">
        <f>VLOOKUP(T3664,[1]tablescore!$B$3:$C$8, 2,FALSE)</f>
        <v>30</v>
      </c>
      <c r="V3664" t="str">
        <f t="shared" si="115"/>
        <v>Highly Loyal</v>
      </c>
      <c r="W3664" t="s">
        <v>41</v>
      </c>
    </row>
    <row r="3665" spans="1:23" x14ac:dyDescent="0.25">
      <c r="A3665">
        <v>3664</v>
      </c>
      <c r="B3665">
        <v>65</v>
      </c>
      <c r="C3665" t="str" cm="1">
        <f t="array" ref="C3665">_xlfn.IFS(
  AND(B3665&gt;=18, B3665&lt;=24), "18-24",
  AND(B3665&gt;=25, B3665&lt;=34), "25-34",
  AND(B3665&gt;=35, B3665&lt;=44), "35-44",
  AND(B3665&gt;=45, B3665&lt;=54), "45-54",
  B3665&gt;=55, "55+"
)</f>
        <v>55+</v>
      </c>
      <c r="D3665" t="s">
        <v>153</v>
      </c>
      <c r="E3665" t="s">
        <v>133</v>
      </c>
      <c r="F3665" t="s">
        <v>69</v>
      </c>
      <c r="G3665">
        <v>59</v>
      </c>
      <c r="H3665" t="s">
        <v>103</v>
      </c>
      <c r="I3665" t="s">
        <v>45</v>
      </c>
      <c r="J3665" t="s">
        <v>96</v>
      </c>
      <c r="K3665" t="s">
        <v>54</v>
      </c>
      <c r="L3665">
        <v>4.4000000000000004</v>
      </c>
      <c r="M3665" t="s">
        <v>152</v>
      </c>
      <c r="N3665" t="s">
        <v>35</v>
      </c>
      <c r="O3665" t="s">
        <v>28</v>
      </c>
      <c r="P3665" t="s">
        <v>152</v>
      </c>
      <c r="Q3665" t="s">
        <v>152</v>
      </c>
      <c r="R3665">
        <v>49</v>
      </c>
      <c r="S3665" t="s">
        <v>27</v>
      </c>
      <c r="T3665" t="str">
        <f t="shared" si="114"/>
        <v>Daily</v>
      </c>
      <c r="U3665">
        <f>VLOOKUP(T3665,[1]tablescore!$B$3:$C$8, 2,FALSE)</f>
        <v>30</v>
      </c>
      <c r="V3665" t="str">
        <f t="shared" si="115"/>
        <v>Highly Loyal</v>
      </c>
      <c r="W3665" t="s">
        <v>41</v>
      </c>
    </row>
    <row r="3666" spans="1:23" x14ac:dyDescent="0.25">
      <c r="A3666">
        <v>3665</v>
      </c>
      <c r="B3666">
        <v>63</v>
      </c>
      <c r="C3666" t="str" cm="1">
        <f t="array" ref="C3666">_xlfn.IFS(
  AND(B3666&gt;=18, B3666&lt;=24), "18-24",
  AND(B3666&gt;=25, B3666&lt;=34), "25-34",
  AND(B3666&gt;=35, B3666&lt;=44), "35-44",
  AND(B3666&gt;=45, B3666&lt;=54), "45-54",
  B3666&gt;=55, "55+"
)</f>
        <v>55+</v>
      </c>
      <c r="D3666" t="s">
        <v>153</v>
      </c>
      <c r="E3666" t="s">
        <v>102</v>
      </c>
      <c r="F3666" t="s">
        <v>65</v>
      </c>
      <c r="G3666">
        <v>68</v>
      </c>
      <c r="H3666" t="s">
        <v>70</v>
      </c>
      <c r="I3666" t="s">
        <v>45</v>
      </c>
      <c r="J3666" t="s">
        <v>49</v>
      </c>
      <c r="K3666" t="s">
        <v>58</v>
      </c>
      <c r="L3666">
        <v>4.4000000000000004</v>
      </c>
      <c r="M3666" t="s">
        <v>152</v>
      </c>
      <c r="N3666" t="s">
        <v>35</v>
      </c>
      <c r="O3666" t="s">
        <v>76</v>
      </c>
      <c r="P3666" t="s">
        <v>152</v>
      </c>
      <c r="Q3666" t="s">
        <v>152</v>
      </c>
      <c r="R3666">
        <v>1</v>
      </c>
      <c r="S3666" t="s">
        <v>59</v>
      </c>
      <c r="T3666" t="str">
        <f t="shared" si="114"/>
        <v>2-week</v>
      </c>
      <c r="U3666">
        <f>VLOOKUP(T3666,[1]tablescore!$B$3:$C$8, 2,FALSE)</f>
        <v>26</v>
      </c>
      <c r="V3666" t="str">
        <f t="shared" si="115"/>
        <v>Loyal</v>
      </c>
      <c r="W3666" t="s">
        <v>30</v>
      </c>
    </row>
    <row r="3667" spans="1:23" x14ac:dyDescent="0.25">
      <c r="A3667">
        <v>3666</v>
      </c>
      <c r="B3667">
        <v>28</v>
      </c>
      <c r="C3667" t="str" cm="1">
        <f t="array" ref="C3667">_xlfn.IFS(
  AND(B3667&gt;=18, B3667&lt;=24), "18-24",
  AND(B3667&gt;=25, B3667&lt;=34), "25-34",
  AND(B3667&gt;=35, B3667&lt;=44), "35-44",
  AND(B3667&gt;=45, B3667&lt;=54), "45-54",
  B3667&gt;=55, "55+"
)</f>
        <v>25-34</v>
      </c>
      <c r="D3667" t="s">
        <v>153</v>
      </c>
      <c r="E3667" t="s">
        <v>131</v>
      </c>
      <c r="F3667" t="s">
        <v>21</v>
      </c>
      <c r="G3667">
        <v>77</v>
      </c>
      <c r="H3667" t="s">
        <v>98</v>
      </c>
      <c r="I3667" t="s">
        <v>45</v>
      </c>
      <c r="J3667" t="s">
        <v>100</v>
      </c>
      <c r="K3667" t="s">
        <v>58</v>
      </c>
      <c r="L3667">
        <v>3.4</v>
      </c>
      <c r="M3667" t="s">
        <v>152</v>
      </c>
      <c r="N3667" t="s">
        <v>27</v>
      </c>
      <c r="O3667" t="s">
        <v>47</v>
      </c>
      <c r="P3667" t="s">
        <v>152</v>
      </c>
      <c r="Q3667" t="s">
        <v>152</v>
      </c>
      <c r="R3667">
        <v>11</v>
      </c>
      <c r="S3667" t="s">
        <v>27</v>
      </c>
      <c r="T3667" t="str">
        <f t="shared" si="114"/>
        <v>Quarterly</v>
      </c>
      <c r="U3667">
        <f>VLOOKUP(T3667,[1]tablescore!$B$3:$C$8, 2,FALSE)</f>
        <v>4</v>
      </c>
      <c r="V3667" t="str">
        <f t="shared" si="115"/>
        <v>Low Loyalty</v>
      </c>
      <c r="W3667" t="s">
        <v>60</v>
      </c>
    </row>
    <row r="3668" spans="1:23" x14ac:dyDescent="0.25">
      <c r="A3668">
        <v>3667</v>
      </c>
      <c r="B3668">
        <v>67</v>
      </c>
      <c r="C3668" t="str" cm="1">
        <f t="array" ref="C3668">_xlfn.IFS(
  AND(B3668&gt;=18, B3668&lt;=24), "18-24",
  AND(B3668&gt;=25, B3668&lt;=34), "25-34",
  AND(B3668&gt;=35, B3668&lt;=44), "35-44",
  AND(B3668&gt;=45, B3668&lt;=54), "45-54",
  B3668&gt;=55, "55+"
)</f>
        <v>55+</v>
      </c>
      <c r="D3668" t="s">
        <v>153</v>
      </c>
      <c r="E3668" t="s">
        <v>106</v>
      </c>
      <c r="F3668" t="s">
        <v>69</v>
      </c>
      <c r="G3668">
        <v>50</v>
      </c>
      <c r="H3668" t="s">
        <v>90</v>
      </c>
      <c r="I3668" t="s">
        <v>45</v>
      </c>
      <c r="J3668" t="s">
        <v>79</v>
      </c>
      <c r="K3668" t="s">
        <v>25</v>
      </c>
      <c r="L3668">
        <v>3</v>
      </c>
      <c r="M3668" t="s">
        <v>152</v>
      </c>
      <c r="N3668" t="s">
        <v>27</v>
      </c>
      <c r="O3668" t="s">
        <v>72</v>
      </c>
      <c r="P3668" t="s">
        <v>152</v>
      </c>
      <c r="Q3668" t="s">
        <v>152</v>
      </c>
      <c r="R3668">
        <v>47</v>
      </c>
      <c r="S3668" t="s">
        <v>35</v>
      </c>
      <c r="T3668" t="str">
        <f t="shared" si="114"/>
        <v>Quarterly</v>
      </c>
      <c r="U3668">
        <f>VLOOKUP(T3668,[1]tablescore!$B$3:$C$8, 2,FALSE)</f>
        <v>4</v>
      </c>
      <c r="V3668" t="str">
        <f t="shared" si="115"/>
        <v>Low Loyalty</v>
      </c>
      <c r="W3668" t="s">
        <v>97</v>
      </c>
    </row>
    <row r="3669" spans="1:23" x14ac:dyDescent="0.25">
      <c r="A3669">
        <v>3668</v>
      </c>
      <c r="B3669">
        <v>51</v>
      </c>
      <c r="C3669" t="str" cm="1">
        <f t="array" ref="C3669">_xlfn.IFS(
  AND(B3669&gt;=18, B3669&lt;=24), "18-24",
  AND(B3669&gt;=25, B3669&lt;=34), "25-34",
  AND(B3669&gt;=35, B3669&lt;=44), "35-44",
  AND(B3669&gt;=45, B3669&lt;=54), "45-54",
  B3669&gt;=55, "55+"
)</f>
        <v>45-54</v>
      </c>
      <c r="D3669" t="s">
        <v>153</v>
      </c>
      <c r="E3669" t="s">
        <v>95</v>
      </c>
      <c r="F3669" t="s">
        <v>21</v>
      </c>
      <c r="G3669">
        <v>45</v>
      </c>
      <c r="H3669" t="s">
        <v>140</v>
      </c>
      <c r="I3669" t="s">
        <v>23</v>
      </c>
      <c r="J3669" t="s">
        <v>109</v>
      </c>
      <c r="K3669" t="s">
        <v>58</v>
      </c>
      <c r="L3669">
        <v>2.6</v>
      </c>
      <c r="M3669" t="s">
        <v>152</v>
      </c>
      <c r="N3669" t="s">
        <v>27</v>
      </c>
      <c r="O3669" t="s">
        <v>47</v>
      </c>
      <c r="P3669" t="s">
        <v>152</v>
      </c>
      <c r="Q3669" t="s">
        <v>152</v>
      </c>
      <c r="R3669">
        <v>20</v>
      </c>
      <c r="S3669" t="s">
        <v>29</v>
      </c>
      <c r="T3669" t="str">
        <f t="shared" si="114"/>
        <v>Month</v>
      </c>
      <c r="U3669">
        <f>VLOOKUP(T3669,[1]tablescore!$B$3:$C$8, 2,FALSE)</f>
        <v>12</v>
      </c>
      <c r="V3669" t="str">
        <f t="shared" si="115"/>
        <v>Moderate</v>
      </c>
      <c r="W3669" t="s">
        <v>88</v>
      </c>
    </row>
    <row r="3670" spans="1:23" x14ac:dyDescent="0.25">
      <c r="A3670">
        <v>3669</v>
      </c>
      <c r="B3670">
        <v>59</v>
      </c>
      <c r="C3670" t="str" cm="1">
        <f t="array" ref="C3670">_xlfn.IFS(
  AND(B3670&gt;=18, B3670&lt;=24), "18-24",
  AND(B3670&gt;=25, B3670&lt;=34), "25-34",
  AND(B3670&gt;=35, B3670&lt;=44), "35-44",
  AND(B3670&gt;=45, B3670&lt;=54), "45-54",
  B3670&gt;=55, "55+"
)</f>
        <v>55+</v>
      </c>
      <c r="D3670" t="s">
        <v>153</v>
      </c>
      <c r="E3670" t="s">
        <v>20</v>
      </c>
      <c r="F3670" t="s">
        <v>21</v>
      </c>
      <c r="G3670">
        <v>71</v>
      </c>
      <c r="H3670" t="s">
        <v>151</v>
      </c>
      <c r="I3670" t="s">
        <v>92</v>
      </c>
      <c r="J3670" t="s">
        <v>147</v>
      </c>
      <c r="K3670" t="s">
        <v>54</v>
      </c>
      <c r="L3670">
        <v>3.2</v>
      </c>
      <c r="M3670" t="s">
        <v>152</v>
      </c>
      <c r="N3670" t="s">
        <v>46</v>
      </c>
      <c r="O3670" t="s">
        <v>76</v>
      </c>
      <c r="P3670" t="s">
        <v>152</v>
      </c>
      <c r="Q3670" t="s">
        <v>152</v>
      </c>
      <c r="R3670">
        <v>18</v>
      </c>
      <c r="S3670" t="s">
        <v>29</v>
      </c>
      <c r="T3670" t="str">
        <f t="shared" si="114"/>
        <v>Annually</v>
      </c>
      <c r="U3670">
        <f>VLOOKUP(T3670,[1]tablescore!$B$3:$C$8, 2,FALSE)</f>
        <v>1</v>
      </c>
      <c r="V3670" t="str">
        <f t="shared" si="115"/>
        <v>Low Loyalty</v>
      </c>
      <c r="W3670" t="s">
        <v>50</v>
      </c>
    </row>
    <row r="3671" spans="1:23" x14ac:dyDescent="0.25">
      <c r="A3671">
        <v>3670</v>
      </c>
      <c r="B3671">
        <v>25</v>
      </c>
      <c r="C3671" t="str" cm="1">
        <f t="array" ref="C3671">_xlfn.IFS(
  AND(B3671&gt;=18, B3671&lt;=24), "18-24",
  AND(B3671&gt;=25, B3671&lt;=34), "25-34",
  AND(B3671&gt;=35, B3671&lt;=44), "35-44",
  AND(B3671&gt;=45, B3671&lt;=54), "45-54",
  B3671&gt;=55, "55+"
)</f>
        <v>25-34</v>
      </c>
      <c r="D3671" t="s">
        <v>153</v>
      </c>
      <c r="E3671" t="s">
        <v>131</v>
      </c>
      <c r="F3671" t="s">
        <v>21</v>
      </c>
      <c r="G3671">
        <v>52</v>
      </c>
      <c r="H3671" t="s">
        <v>140</v>
      </c>
      <c r="I3671" t="s">
        <v>38</v>
      </c>
      <c r="J3671" t="s">
        <v>67</v>
      </c>
      <c r="K3671" t="s">
        <v>58</v>
      </c>
      <c r="L3671">
        <v>4.5999999999999996</v>
      </c>
      <c r="M3671" t="s">
        <v>152</v>
      </c>
      <c r="N3671" t="s">
        <v>27</v>
      </c>
      <c r="O3671" t="s">
        <v>76</v>
      </c>
      <c r="P3671" t="s">
        <v>152</v>
      </c>
      <c r="Q3671" t="s">
        <v>152</v>
      </c>
      <c r="R3671">
        <v>43</v>
      </c>
      <c r="S3671" t="s">
        <v>46</v>
      </c>
      <c r="T3671" t="str">
        <f t="shared" si="114"/>
        <v>Quarterly</v>
      </c>
      <c r="U3671">
        <f>VLOOKUP(T3671,[1]tablescore!$B$3:$C$8, 2,FALSE)</f>
        <v>4</v>
      </c>
      <c r="V3671" t="str">
        <f t="shared" si="115"/>
        <v>Low Loyalty</v>
      </c>
      <c r="W3671" t="s">
        <v>60</v>
      </c>
    </row>
    <row r="3672" spans="1:23" x14ac:dyDescent="0.25">
      <c r="A3672">
        <v>3671</v>
      </c>
      <c r="B3672">
        <v>31</v>
      </c>
      <c r="C3672" t="str" cm="1">
        <f t="array" ref="C3672">_xlfn.IFS(
  AND(B3672&gt;=18, B3672&lt;=24), "18-24",
  AND(B3672&gt;=25, B3672&lt;=34), "25-34",
  AND(B3672&gt;=35, B3672&lt;=44), "35-44",
  AND(B3672&gt;=45, B3672&lt;=54), "45-54",
  B3672&gt;=55, "55+"
)</f>
        <v>25-34</v>
      </c>
      <c r="D3672" t="s">
        <v>153</v>
      </c>
      <c r="E3672" t="s">
        <v>73</v>
      </c>
      <c r="F3672" t="s">
        <v>43</v>
      </c>
      <c r="G3672">
        <v>50</v>
      </c>
      <c r="H3672" t="s">
        <v>145</v>
      </c>
      <c r="I3672" t="s">
        <v>38</v>
      </c>
      <c r="J3672" t="s">
        <v>53</v>
      </c>
      <c r="K3672" t="s">
        <v>25</v>
      </c>
      <c r="L3672">
        <v>3.8</v>
      </c>
      <c r="M3672" t="s">
        <v>152</v>
      </c>
      <c r="N3672" t="s">
        <v>35</v>
      </c>
      <c r="O3672" t="s">
        <v>40</v>
      </c>
      <c r="P3672" t="s">
        <v>152</v>
      </c>
      <c r="Q3672" t="s">
        <v>152</v>
      </c>
      <c r="R3672">
        <v>4</v>
      </c>
      <c r="S3672" t="s">
        <v>46</v>
      </c>
      <c r="T3672" t="str">
        <f t="shared" si="114"/>
        <v>Quarterly</v>
      </c>
      <c r="U3672">
        <f>VLOOKUP(T3672,[1]tablescore!$B$3:$C$8, 2,FALSE)</f>
        <v>4</v>
      </c>
      <c r="V3672" t="str">
        <f t="shared" si="115"/>
        <v>Low Loyalty</v>
      </c>
      <c r="W3672" t="s">
        <v>97</v>
      </c>
    </row>
    <row r="3673" spans="1:23" x14ac:dyDescent="0.25">
      <c r="A3673">
        <v>3672</v>
      </c>
      <c r="B3673">
        <v>62</v>
      </c>
      <c r="C3673" t="str" cm="1">
        <f t="array" ref="C3673">_xlfn.IFS(
  AND(B3673&gt;=18, B3673&lt;=24), "18-24",
  AND(B3673&gt;=25, B3673&lt;=34), "25-34",
  AND(B3673&gt;=35, B3673&lt;=44), "35-44",
  AND(B3673&gt;=45, B3673&lt;=54), "45-54",
  B3673&gt;=55, "55+"
)</f>
        <v>55+</v>
      </c>
      <c r="D3673" t="s">
        <v>153</v>
      </c>
      <c r="E3673" t="s">
        <v>68</v>
      </c>
      <c r="F3673" t="s">
        <v>69</v>
      </c>
      <c r="G3673">
        <v>66</v>
      </c>
      <c r="H3673" t="s">
        <v>115</v>
      </c>
      <c r="I3673" t="s">
        <v>23</v>
      </c>
      <c r="J3673" t="s">
        <v>71</v>
      </c>
      <c r="K3673" t="s">
        <v>54</v>
      </c>
      <c r="L3673">
        <v>4.8</v>
      </c>
      <c r="M3673" t="s">
        <v>152</v>
      </c>
      <c r="N3673" t="s">
        <v>34</v>
      </c>
      <c r="O3673" t="s">
        <v>72</v>
      </c>
      <c r="P3673" t="s">
        <v>152</v>
      </c>
      <c r="Q3673" t="s">
        <v>152</v>
      </c>
      <c r="R3673">
        <v>20</v>
      </c>
      <c r="S3673" t="s">
        <v>29</v>
      </c>
      <c r="T3673" t="str">
        <f t="shared" si="114"/>
        <v>Quarterly</v>
      </c>
      <c r="U3673">
        <f>VLOOKUP(T3673,[1]tablescore!$B$3:$C$8, 2,FALSE)</f>
        <v>4</v>
      </c>
      <c r="V3673" t="str">
        <f t="shared" si="115"/>
        <v>Low Loyalty</v>
      </c>
      <c r="W3673" t="s">
        <v>60</v>
      </c>
    </row>
    <row r="3674" spans="1:23" x14ac:dyDescent="0.25">
      <c r="A3674">
        <v>3673</v>
      </c>
      <c r="B3674">
        <v>51</v>
      </c>
      <c r="C3674" t="str" cm="1">
        <f t="array" ref="C3674">_xlfn.IFS(
  AND(B3674&gt;=18, B3674&lt;=24), "18-24",
  AND(B3674&gt;=25, B3674&lt;=34), "25-34",
  AND(B3674&gt;=35, B3674&lt;=44), "35-44",
  AND(B3674&gt;=45, B3674&lt;=54), "45-54",
  B3674&gt;=55, "55+"
)</f>
        <v>45-54</v>
      </c>
      <c r="D3674" t="s">
        <v>153</v>
      </c>
      <c r="E3674" t="s">
        <v>42</v>
      </c>
      <c r="F3674" t="s">
        <v>43</v>
      </c>
      <c r="G3674">
        <v>81</v>
      </c>
      <c r="H3674" t="s">
        <v>85</v>
      </c>
      <c r="I3674" t="s">
        <v>38</v>
      </c>
      <c r="J3674" t="s">
        <v>71</v>
      </c>
      <c r="K3674" t="s">
        <v>58</v>
      </c>
      <c r="L3674">
        <v>4.5</v>
      </c>
      <c r="M3674" t="s">
        <v>152</v>
      </c>
      <c r="N3674" t="s">
        <v>29</v>
      </c>
      <c r="O3674" t="s">
        <v>40</v>
      </c>
      <c r="P3674" t="s">
        <v>152</v>
      </c>
      <c r="Q3674" t="s">
        <v>152</v>
      </c>
      <c r="R3674">
        <v>7</v>
      </c>
      <c r="S3674" t="s">
        <v>46</v>
      </c>
      <c r="T3674" t="str">
        <f t="shared" si="114"/>
        <v>Month</v>
      </c>
      <c r="U3674">
        <f>VLOOKUP(T3674,[1]tablescore!$B$3:$C$8, 2,FALSE)</f>
        <v>12</v>
      </c>
      <c r="V3674" t="str">
        <f t="shared" si="115"/>
        <v>Moderate</v>
      </c>
      <c r="W3674" t="s">
        <v>88</v>
      </c>
    </row>
    <row r="3675" spans="1:23" x14ac:dyDescent="0.25">
      <c r="A3675">
        <v>3674</v>
      </c>
      <c r="B3675">
        <v>32</v>
      </c>
      <c r="C3675" t="str" cm="1">
        <f t="array" ref="C3675">_xlfn.IFS(
  AND(B3675&gt;=18, B3675&lt;=24), "18-24",
  AND(B3675&gt;=25, B3675&lt;=34), "25-34",
  AND(B3675&gt;=35, B3675&lt;=44), "35-44",
  AND(B3675&gt;=45, B3675&lt;=54), "45-54",
  B3675&gt;=55, "55+"
)</f>
        <v>25-34</v>
      </c>
      <c r="D3675" t="s">
        <v>153</v>
      </c>
      <c r="E3675" t="s">
        <v>131</v>
      </c>
      <c r="F3675" t="s">
        <v>21</v>
      </c>
      <c r="G3675">
        <v>28</v>
      </c>
      <c r="H3675" t="s">
        <v>44</v>
      </c>
      <c r="I3675" t="s">
        <v>45</v>
      </c>
      <c r="J3675" t="s">
        <v>71</v>
      </c>
      <c r="K3675" t="s">
        <v>54</v>
      </c>
      <c r="L3675">
        <v>4.2</v>
      </c>
      <c r="M3675" t="s">
        <v>152</v>
      </c>
      <c r="N3675" t="s">
        <v>59</v>
      </c>
      <c r="O3675" t="s">
        <v>72</v>
      </c>
      <c r="P3675" t="s">
        <v>152</v>
      </c>
      <c r="Q3675" t="s">
        <v>152</v>
      </c>
      <c r="R3675">
        <v>31</v>
      </c>
      <c r="S3675" t="s">
        <v>34</v>
      </c>
      <c r="T3675" t="str">
        <f t="shared" si="114"/>
        <v>2-week</v>
      </c>
      <c r="U3675">
        <f>VLOOKUP(T3675,[1]tablescore!$B$3:$C$8, 2,FALSE)</f>
        <v>26</v>
      </c>
      <c r="V3675" t="str">
        <f t="shared" si="115"/>
        <v>Loyal</v>
      </c>
      <c r="W3675" t="s">
        <v>30</v>
      </c>
    </row>
    <row r="3676" spans="1:23" x14ac:dyDescent="0.25">
      <c r="A3676">
        <v>3675</v>
      </c>
      <c r="B3676">
        <v>35</v>
      </c>
      <c r="C3676" t="str" cm="1">
        <f t="array" ref="C3676">_xlfn.IFS(
  AND(B3676&gt;=18, B3676&lt;=24), "18-24",
  AND(B3676&gt;=25, B3676&lt;=34), "25-34",
  AND(B3676&gt;=35, B3676&lt;=44), "35-44",
  AND(B3676&gt;=45, B3676&lt;=54), "45-54",
  B3676&gt;=55, "55+"
)</f>
        <v>35-44</v>
      </c>
      <c r="D3676" t="s">
        <v>153</v>
      </c>
      <c r="E3676" t="s">
        <v>68</v>
      </c>
      <c r="F3676" t="s">
        <v>69</v>
      </c>
      <c r="G3676">
        <v>65</v>
      </c>
      <c r="H3676" t="s">
        <v>140</v>
      </c>
      <c r="I3676" t="s">
        <v>45</v>
      </c>
      <c r="J3676" t="s">
        <v>138</v>
      </c>
      <c r="K3676" t="s">
        <v>25</v>
      </c>
      <c r="L3676">
        <v>2.7</v>
      </c>
      <c r="M3676" t="s">
        <v>152</v>
      </c>
      <c r="N3676" t="s">
        <v>29</v>
      </c>
      <c r="O3676" t="s">
        <v>72</v>
      </c>
      <c r="P3676" t="s">
        <v>152</v>
      </c>
      <c r="Q3676" t="s">
        <v>152</v>
      </c>
      <c r="R3676">
        <v>41</v>
      </c>
      <c r="S3676" t="s">
        <v>29</v>
      </c>
      <c r="T3676" t="str">
        <f t="shared" si="114"/>
        <v>2-week</v>
      </c>
      <c r="U3676">
        <f>VLOOKUP(T3676,[1]tablescore!$B$3:$C$8, 2,FALSE)</f>
        <v>26</v>
      </c>
      <c r="V3676" t="str">
        <f t="shared" si="115"/>
        <v>Loyal</v>
      </c>
      <c r="W3676" t="s">
        <v>30</v>
      </c>
    </row>
    <row r="3677" spans="1:23" x14ac:dyDescent="0.25">
      <c r="A3677">
        <v>3676</v>
      </c>
      <c r="B3677">
        <v>70</v>
      </c>
      <c r="C3677" t="str" cm="1">
        <f t="array" ref="C3677">_xlfn.IFS(
  AND(B3677&gt;=18, B3677&lt;=24), "18-24",
  AND(B3677&gt;=25, B3677&lt;=34), "25-34",
  AND(B3677&gt;=35, B3677&lt;=44), "35-44",
  AND(B3677&gt;=45, B3677&lt;=54), "45-54",
  B3677&gt;=55, "55+"
)</f>
        <v>55+</v>
      </c>
      <c r="D3677" t="s">
        <v>153</v>
      </c>
      <c r="E3677" t="s">
        <v>125</v>
      </c>
      <c r="F3677" t="s">
        <v>69</v>
      </c>
      <c r="G3677">
        <v>80</v>
      </c>
      <c r="H3677" t="s">
        <v>128</v>
      </c>
      <c r="I3677" t="s">
        <v>45</v>
      </c>
      <c r="J3677" t="s">
        <v>53</v>
      </c>
      <c r="K3677" t="s">
        <v>25</v>
      </c>
      <c r="L3677">
        <v>4.5</v>
      </c>
      <c r="M3677" t="s">
        <v>152</v>
      </c>
      <c r="N3677" t="s">
        <v>35</v>
      </c>
      <c r="O3677" t="s">
        <v>28</v>
      </c>
      <c r="P3677" t="s">
        <v>152</v>
      </c>
      <c r="Q3677" t="s">
        <v>152</v>
      </c>
      <c r="R3677">
        <v>3</v>
      </c>
      <c r="S3677" t="s">
        <v>34</v>
      </c>
      <c r="T3677" t="str">
        <f t="shared" si="114"/>
        <v>Month</v>
      </c>
      <c r="U3677">
        <f>VLOOKUP(T3677,[1]tablescore!$B$3:$C$8, 2,FALSE)</f>
        <v>12</v>
      </c>
      <c r="V3677" t="str">
        <f t="shared" si="115"/>
        <v>Moderate</v>
      </c>
      <c r="W3677" t="s">
        <v>88</v>
      </c>
    </row>
    <row r="3678" spans="1:23" x14ac:dyDescent="0.25">
      <c r="A3678">
        <v>3677</v>
      </c>
      <c r="B3678">
        <v>19</v>
      </c>
      <c r="C3678" t="str" cm="1">
        <f t="array" ref="C3678">_xlfn.IFS(
  AND(B3678&gt;=18, B3678&lt;=24), "18-24",
  AND(B3678&gt;=25, B3678&lt;=34), "25-34",
  AND(B3678&gt;=35, B3678&lt;=44), "35-44",
  AND(B3678&gt;=45, B3678&lt;=54), "45-54",
  B3678&gt;=55, "55+"
)</f>
        <v>18-24</v>
      </c>
      <c r="D3678" t="s">
        <v>153</v>
      </c>
      <c r="E3678" t="s">
        <v>106</v>
      </c>
      <c r="F3678" t="s">
        <v>69</v>
      </c>
      <c r="G3678">
        <v>94</v>
      </c>
      <c r="H3678" t="s">
        <v>148</v>
      </c>
      <c r="I3678" t="s">
        <v>38</v>
      </c>
      <c r="J3678" t="s">
        <v>86</v>
      </c>
      <c r="K3678" t="s">
        <v>39</v>
      </c>
      <c r="L3678">
        <v>4.9000000000000004</v>
      </c>
      <c r="M3678" t="s">
        <v>152</v>
      </c>
      <c r="N3678" t="s">
        <v>46</v>
      </c>
      <c r="O3678" t="s">
        <v>40</v>
      </c>
      <c r="P3678" t="s">
        <v>152</v>
      </c>
      <c r="Q3678" t="s">
        <v>152</v>
      </c>
      <c r="R3678">
        <v>16</v>
      </c>
      <c r="S3678" t="s">
        <v>46</v>
      </c>
      <c r="T3678" t="str">
        <f t="shared" si="114"/>
        <v>Month</v>
      </c>
      <c r="U3678">
        <f>VLOOKUP(T3678,[1]tablescore!$B$3:$C$8, 2,FALSE)</f>
        <v>12</v>
      </c>
      <c r="V3678" t="str">
        <f t="shared" si="115"/>
        <v>Moderate</v>
      </c>
      <c r="W3678" t="s">
        <v>88</v>
      </c>
    </row>
    <row r="3679" spans="1:23" x14ac:dyDescent="0.25">
      <c r="A3679">
        <v>3678</v>
      </c>
      <c r="B3679">
        <v>32</v>
      </c>
      <c r="C3679" t="str" cm="1">
        <f t="array" ref="C3679">_xlfn.IFS(
  AND(B3679&gt;=18, B3679&lt;=24), "18-24",
  AND(B3679&gt;=25, B3679&lt;=34), "25-34",
  AND(B3679&gt;=35, B3679&lt;=44), "35-44",
  AND(B3679&gt;=45, B3679&lt;=54), "45-54",
  B3679&gt;=55, "55+"
)</f>
        <v>25-34</v>
      </c>
      <c r="D3679" t="s">
        <v>153</v>
      </c>
      <c r="E3679" t="s">
        <v>133</v>
      </c>
      <c r="F3679" t="s">
        <v>69</v>
      </c>
      <c r="G3679">
        <v>30</v>
      </c>
      <c r="H3679" t="s">
        <v>151</v>
      </c>
      <c r="I3679" t="s">
        <v>45</v>
      </c>
      <c r="J3679" t="s">
        <v>24</v>
      </c>
      <c r="K3679" t="s">
        <v>58</v>
      </c>
      <c r="L3679">
        <v>2.8</v>
      </c>
      <c r="M3679" t="s">
        <v>152</v>
      </c>
      <c r="N3679" t="s">
        <v>35</v>
      </c>
      <c r="O3679" t="s">
        <v>55</v>
      </c>
      <c r="P3679" t="s">
        <v>152</v>
      </c>
      <c r="Q3679" t="s">
        <v>152</v>
      </c>
      <c r="R3679">
        <v>43</v>
      </c>
      <c r="S3679" t="s">
        <v>35</v>
      </c>
      <c r="T3679" t="str">
        <f t="shared" si="114"/>
        <v>Annually</v>
      </c>
      <c r="U3679">
        <f>VLOOKUP(T3679,[1]tablescore!$B$3:$C$8, 2,FALSE)</f>
        <v>1</v>
      </c>
      <c r="V3679" t="str">
        <f t="shared" si="115"/>
        <v>Low Loyalty</v>
      </c>
      <c r="W3679" t="s">
        <v>50</v>
      </c>
    </row>
    <row r="3680" spans="1:23" x14ac:dyDescent="0.25">
      <c r="A3680">
        <v>3679</v>
      </c>
      <c r="B3680">
        <v>56</v>
      </c>
      <c r="C3680" t="str" cm="1">
        <f t="array" ref="C3680">_xlfn.IFS(
  AND(B3680&gt;=18, B3680&lt;=24), "18-24",
  AND(B3680&gt;=25, B3680&lt;=34), "25-34",
  AND(B3680&gt;=35, B3680&lt;=44), "35-44",
  AND(B3680&gt;=45, B3680&lt;=54), "45-54",
  B3680&gt;=55, "55+"
)</f>
        <v>55+</v>
      </c>
      <c r="D3680" t="s">
        <v>153</v>
      </c>
      <c r="E3680" t="s">
        <v>56</v>
      </c>
      <c r="F3680" t="s">
        <v>21</v>
      </c>
      <c r="G3680">
        <v>45</v>
      </c>
      <c r="H3680" t="s">
        <v>105</v>
      </c>
      <c r="I3680" t="s">
        <v>38</v>
      </c>
      <c r="J3680" t="s">
        <v>118</v>
      </c>
      <c r="K3680" t="s">
        <v>58</v>
      </c>
      <c r="L3680">
        <v>3.5</v>
      </c>
      <c r="M3680" t="s">
        <v>152</v>
      </c>
      <c r="N3680" t="s">
        <v>59</v>
      </c>
      <c r="O3680" t="s">
        <v>55</v>
      </c>
      <c r="P3680" t="s">
        <v>152</v>
      </c>
      <c r="Q3680" t="s">
        <v>152</v>
      </c>
      <c r="R3680">
        <v>29</v>
      </c>
      <c r="S3680" t="s">
        <v>34</v>
      </c>
      <c r="T3680" t="str">
        <f t="shared" si="114"/>
        <v>2-week</v>
      </c>
      <c r="U3680">
        <f>VLOOKUP(T3680,[1]tablescore!$B$3:$C$8, 2,FALSE)</f>
        <v>26</v>
      </c>
      <c r="V3680" t="str">
        <f t="shared" si="115"/>
        <v>Loyal</v>
      </c>
      <c r="W3680" t="s">
        <v>30</v>
      </c>
    </row>
    <row r="3681" spans="1:23" x14ac:dyDescent="0.25">
      <c r="A3681">
        <v>3680</v>
      </c>
      <c r="B3681">
        <v>53</v>
      </c>
      <c r="C3681" t="str" cm="1">
        <f t="array" ref="C3681">_xlfn.IFS(
  AND(B3681&gt;=18, B3681&lt;=24), "18-24",
  AND(B3681&gt;=25, B3681&lt;=34), "25-34",
  AND(B3681&gt;=35, B3681&lt;=44), "35-44",
  AND(B3681&gt;=45, B3681&lt;=54), "45-54",
  B3681&gt;=55, "55+"
)</f>
        <v>45-54</v>
      </c>
      <c r="D3681" t="s">
        <v>153</v>
      </c>
      <c r="E3681" t="s">
        <v>64</v>
      </c>
      <c r="F3681" t="s">
        <v>65</v>
      </c>
      <c r="G3681">
        <v>91</v>
      </c>
      <c r="H3681" t="s">
        <v>144</v>
      </c>
      <c r="I3681" t="s">
        <v>45</v>
      </c>
      <c r="J3681" t="s">
        <v>84</v>
      </c>
      <c r="K3681" t="s">
        <v>54</v>
      </c>
      <c r="L3681">
        <v>2.5</v>
      </c>
      <c r="M3681" t="s">
        <v>152</v>
      </c>
      <c r="N3681" t="s">
        <v>46</v>
      </c>
      <c r="O3681" t="s">
        <v>76</v>
      </c>
      <c r="P3681" t="s">
        <v>152</v>
      </c>
      <c r="Q3681" t="s">
        <v>152</v>
      </c>
      <c r="R3681">
        <v>5</v>
      </c>
      <c r="S3681" t="s">
        <v>35</v>
      </c>
      <c r="T3681" t="str">
        <f t="shared" si="114"/>
        <v>2-week</v>
      </c>
      <c r="U3681">
        <f>VLOOKUP(T3681,[1]tablescore!$B$3:$C$8, 2,FALSE)</f>
        <v>26</v>
      </c>
      <c r="V3681" t="str">
        <f t="shared" si="115"/>
        <v>Loyal</v>
      </c>
      <c r="W3681" t="s">
        <v>77</v>
      </c>
    </row>
    <row r="3682" spans="1:23" x14ac:dyDescent="0.25">
      <c r="A3682">
        <v>3681</v>
      </c>
      <c r="B3682">
        <v>22</v>
      </c>
      <c r="C3682" t="str" cm="1">
        <f t="array" ref="C3682">_xlfn.IFS(
  AND(B3682&gt;=18, B3682&lt;=24), "18-24",
  AND(B3682&gt;=25, B3682&lt;=34), "25-34",
  AND(B3682&gt;=35, B3682&lt;=44), "35-44",
  AND(B3682&gt;=45, B3682&lt;=54), "45-54",
  B3682&gt;=55, "55+"
)</f>
        <v>18-24</v>
      </c>
      <c r="D3682" t="s">
        <v>153</v>
      </c>
      <c r="E3682" t="s">
        <v>89</v>
      </c>
      <c r="F3682" t="s">
        <v>69</v>
      </c>
      <c r="G3682">
        <v>36</v>
      </c>
      <c r="H3682" t="s">
        <v>150</v>
      </c>
      <c r="I3682" t="s">
        <v>38</v>
      </c>
      <c r="J3682" t="s">
        <v>138</v>
      </c>
      <c r="K3682" t="s">
        <v>25</v>
      </c>
      <c r="L3682">
        <v>2.9</v>
      </c>
      <c r="M3682" t="s">
        <v>152</v>
      </c>
      <c r="N3682" t="s">
        <v>29</v>
      </c>
      <c r="O3682" t="s">
        <v>55</v>
      </c>
      <c r="P3682" t="s">
        <v>152</v>
      </c>
      <c r="Q3682" t="s">
        <v>152</v>
      </c>
      <c r="R3682">
        <v>30</v>
      </c>
      <c r="S3682" t="s">
        <v>59</v>
      </c>
      <c r="T3682" t="str">
        <f t="shared" si="114"/>
        <v>Quarterly</v>
      </c>
      <c r="U3682">
        <f>VLOOKUP(T3682,[1]tablescore!$B$3:$C$8, 2,FALSE)</f>
        <v>4</v>
      </c>
      <c r="V3682" t="str">
        <f t="shared" si="115"/>
        <v>Low Loyalty</v>
      </c>
      <c r="W3682" t="s">
        <v>60</v>
      </c>
    </row>
    <row r="3683" spans="1:23" x14ac:dyDescent="0.25">
      <c r="A3683">
        <v>3682</v>
      </c>
      <c r="B3683">
        <v>26</v>
      </c>
      <c r="C3683" t="str" cm="1">
        <f t="array" ref="C3683">_xlfn.IFS(
  AND(B3683&gt;=18, B3683&lt;=24), "18-24",
  AND(B3683&gt;=25, B3683&lt;=34), "25-34",
  AND(B3683&gt;=35, B3683&lt;=44), "35-44",
  AND(B3683&gt;=45, B3683&lt;=54), "45-54",
  B3683&gt;=55, "55+"
)</f>
        <v>25-34</v>
      </c>
      <c r="D3683" t="s">
        <v>153</v>
      </c>
      <c r="E3683" t="s">
        <v>127</v>
      </c>
      <c r="F3683" t="s">
        <v>69</v>
      </c>
      <c r="G3683">
        <v>73</v>
      </c>
      <c r="H3683" t="s">
        <v>146</v>
      </c>
      <c r="I3683" t="s">
        <v>92</v>
      </c>
      <c r="J3683" t="s">
        <v>147</v>
      </c>
      <c r="K3683" t="s">
        <v>58</v>
      </c>
      <c r="L3683">
        <v>4.2</v>
      </c>
      <c r="M3683" t="s">
        <v>152</v>
      </c>
      <c r="N3683" t="s">
        <v>46</v>
      </c>
      <c r="O3683" t="s">
        <v>47</v>
      </c>
      <c r="P3683" t="s">
        <v>152</v>
      </c>
      <c r="Q3683" t="s">
        <v>152</v>
      </c>
      <c r="R3683">
        <v>33</v>
      </c>
      <c r="S3683" t="s">
        <v>59</v>
      </c>
      <c r="T3683" t="str">
        <f t="shared" si="114"/>
        <v>Month</v>
      </c>
      <c r="U3683">
        <f>VLOOKUP(T3683,[1]tablescore!$B$3:$C$8, 2,FALSE)</f>
        <v>12</v>
      </c>
      <c r="V3683" t="str">
        <f t="shared" si="115"/>
        <v>Moderate</v>
      </c>
      <c r="W3683" t="s">
        <v>88</v>
      </c>
    </row>
    <row r="3684" spans="1:23" x14ac:dyDescent="0.25">
      <c r="A3684">
        <v>3683</v>
      </c>
      <c r="B3684">
        <v>42</v>
      </c>
      <c r="C3684" t="str" cm="1">
        <f t="array" ref="C3684">_xlfn.IFS(
  AND(B3684&gt;=18, B3684&lt;=24), "18-24",
  AND(B3684&gt;=25, B3684&lt;=34), "25-34",
  AND(B3684&gt;=35, B3684&lt;=44), "35-44",
  AND(B3684&gt;=45, B3684&lt;=54), "45-54",
  B3684&gt;=55, "55+"
)</f>
        <v>35-44</v>
      </c>
      <c r="D3684" t="s">
        <v>153</v>
      </c>
      <c r="E3684" t="s">
        <v>56</v>
      </c>
      <c r="F3684" t="s">
        <v>21</v>
      </c>
      <c r="G3684">
        <v>60</v>
      </c>
      <c r="H3684" t="s">
        <v>52</v>
      </c>
      <c r="I3684" t="s">
        <v>45</v>
      </c>
      <c r="J3684" t="s">
        <v>33</v>
      </c>
      <c r="K3684" t="s">
        <v>58</v>
      </c>
      <c r="L3684">
        <v>4.5999999999999996</v>
      </c>
      <c r="M3684" t="s">
        <v>152</v>
      </c>
      <c r="N3684" t="s">
        <v>29</v>
      </c>
      <c r="O3684" t="s">
        <v>76</v>
      </c>
      <c r="P3684" t="s">
        <v>152</v>
      </c>
      <c r="Q3684" t="s">
        <v>152</v>
      </c>
      <c r="R3684">
        <v>46</v>
      </c>
      <c r="S3684" t="s">
        <v>29</v>
      </c>
      <c r="T3684" t="str">
        <f t="shared" si="114"/>
        <v>2-week</v>
      </c>
      <c r="U3684">
        <f>VLOOKUP(T3684,[1]tablescore!$B$3:$C$8, 2,FALSE)</f>
        <v>26</v>
      </c>
      <c r="V3684" t="str">
        <f t="shared" si="115"/>
        <v>Loyal</v>
      </c>
      <c r="W3684" t="s">
        <v>77</v>
      </c>
    </row>
    <row r="3685" spans="1:23" x14ac:dyDescent="0.25">
      <c r="A3685">
        <v>3684</v>
      </c>
      <c r="B3685">
        <v>30</v>
      </c>
      <c r="C3685" t="str" cm="1">
        <f t="array" ref="C3685">_xlfn.IFS(
  AND(B3685&gt;=18, B3685&lt;=24), "18-24",
  AND(B3685&gt;=25, B3685&lt;=34), "25-34",
  AND(B3685&gt;=35, B3685&lt;=44), "35-44",
  AND(B3685&gt;=45, B3685&lt;=54), "45-54",
  B3685&gt;=55, "55+"
)</f>
        <v>25-34</v>
      </c>
      <c r="D3685" t="s">
        <v>153</v>
      </c>
      <c r="E3685" t="s">
        <v>131</v>
      </c>
      <c r="F3685" t="s">
        <v>21</v>
      </c>
      <c r="G3685">
        <v>77</v>
      </c>
      <c r="H3685" t="s">
        <v>91</v>
      </c>
      <c r="I3685" t="s">
        <v>45</v>
      </c>
      <c r="J3685" t="s">
        <v>75</v>
      </c>
      <c r="K3685" t="s">
        <v>25</v>
      </c>
      <c r="L3685">
        <v>3</v>
      </c>
      <c r="M3685" t="s">
        <v>152</v>
      </c>
      <c r="N3685" t="s">
        <v>34</v>
      </c>
      <c r="O3685" t="s">
        <v>40</v>
      </c>
      <c r="P3685" t="s">
        <v>152</v>
      </c>
      <c r="Q3685" t="s">
        <v>152</v>
      </c>
      <c r="R3685">
        <v>17</v>
      </c>
      <c r="S3685" t="s">
        <v>29</v>
      </c>
      <c r="T3685" t="str">
        <f t="shared" si="114"/>
        <v>2-week</v>
      </c>
      <c r="U3685">
        <f>VLOOKUP(T3685,[1]tablescore!$B$3:$C$8, 2,FALSE)</f>
        <v>26</v>
      </c>
      <c r="V3685" t="str">
        <f t="shared" si="115"/>
        <v>Loyal</v>
      </c>
      <c r="W3685" t="s">
        <v>30</v>
      </c>
    </row>
    <row r="3686" spans="1:23" x14ac:dyDescent="0.25">
      <c r="A3686">
        <v>3685</v>
      </c>
      <c r="B3686">
        <v>29</v>
      </c>
      <c r="C3686" t="str" cm="1">
        <f t="array" ref="C3686">_xlfn.IFS(
  AND(B3686&gt;=18, B3686&lt;=24), "18-24",
  AND(B3686&gt;=25, B3686&lt;=34), "25-34",
  AND(B3686&gt;=35, B3686&lt;=44), "35-44",
  AND(B3686&gt;=45, B3686&lt;=54), "45-54",
  B3686&gt;=55, "55+"
)</f>
        <v>25-34</v>
      </c>
      <c r="D3686" t="s">
        <v>153</v>
      </c>
      <c r="E3686" t="s">
        <v>87</v>
      </c>
      <c r="F3686" t="s">
        <v>21</v>
      </c>
      <c r="G3686">
        <v>86</v>
      </c>
      <c r="H3686" t="s">
        <v>141</v>
      </c>
      <c r="I3686" t="s">
        <v>23</v>
      </c>
      <c r="J3686" t="s">
        <v>63</v>
      </c>
      <c r="K3686" t="s">
        <v>39</v>
      </c>
      <c r="L3686">
        <v>4.4000000000000004</v>
      </c>
      <c r="M3686" t="s">
        <v>152</v>
      </c>
      <c r="N3686" t="s">
        <v>46</v>
      </c>
      <c r="O3686" t="s">
        <v>40</v>
      </c>
      <c r="P3686" t="s">
        <v>152</v>
      </c>
      <c r="Q3686" t="s">
        <v>152</v>
      </c>
      <c r="R3686">
        <v>47</v>
      </c>
      <c r="S3686" t="s">
        <v>27</v>
      </c>
      <c r="T3686" t="str">
        <f t="shared" si="114"/>
        <v>2-week</v>
      </c>
      <c r="U3686">
        <f>VLOOKUP(T3686,[1]tablescore!$B$3:$C$8, 2,FALSE)</f>
        <v>26</v>
      </c>
      <c r="V3686" t="str">
        <f t="shared" si="115"/>
        <v>Loyal</v>
      </c>
      <c r="W3686" t="s">
        <v>77</v>
      </c>
    </row>
    <row r="3687" spans="1:23" x14ac:dyDescent="0.25">
      <c r="A3687">
        <v>3686</v>
      </c>
      <c r="B3687">
        <v>47</v>
      </c>
      <c r="C3687" t="str" cm="1">
        <f t="array" ref="C3687">_xlfn.IFS(
  AND(B3687&gt;=18, B3687&lt;=24), "18-24",
  AND(B3687&gt;=25, B3687&lt;=34), "25-34",
  AND(B3687&gt;=35, B3687&lt;=44), "35-44",
  AND(B3687&gt;=45, B3687&lt;=54), "45-54",
  B3687&gt;=55, "55+"
)</f>
        <v>45-54</v>
      </c>
      <c r="D3687" t="s">
        <v>153</v>
      </c>
      <c r="E3687" t="s">
        <v>61</v>
      </c>
      <c r="F3687" t="s">
        <v>21</v>
      </c>
      <c r="G3687">
        <v>42</v>
      </c>
      <c r="H3687" t="s">
        <v>122</v>
      </c>
      <c r="I3687" t="s">
        <v>23</v>
      </c>
      <c r="J3687" t="s">
        <v>108</v>
      </c>
      <c r="K3687" t="s">
        <v>54</v>
      </c>
      <c r="L3687">
        <v>2.6</v>
      </c>
      <c r="M3687" t="s">
        <v>152</v>
      </c>
      <c r="N3687" t="s">
        <v>46</v>
      </c>
      <c r="O3687" t="s">
        <v>55</v>
      </c>
      <c r="P3687" t="s">
        <v>152</v>
      </c>
      <c r="Q3687" t="s">
        <v>152</v>
      </c>
      <c r="R3687">
        <v>17</v>
      </c>
      <c r="S3687" t="s">
        <v>35</v>
      </c>
      <c r="T3687" t="str">
        <f t="shared" si="114"/>
        <v>2-week</v>
      </c>
      <c r="U3687">
        <f>VLOOKUP(T3687,[1]tablescore!$B$3:$C$8, 2,FALSE)</f>
        <v>26</v>
      </c>
      <c r="V3687" t="str">
        <f t="shared" si="115"/>
        <v>Loyal</v>
      </c>
      <c r="W3687" t="s">
        <v>77</v>
      </c>
    </row>
    <row r="3688" spans="1:23" x14ac:dyDescent="0.25">
      <c r="A3688">
        <v>3687</v>
      </c>
      <c r="B3688">
        <v>59</v>
      </c>
      <c r="C3688" t="str" cm="1">
        <f t="array" ref="C3688">_xlfn.IFS(
  AND(B3688&gt;=18, B3688&lt;=24), "18-24",
  AND(B3688&gt;=25, B3688&lt;=34), "25-34",
  AND(B3688&gt;=35, B3688&lt;=44), "35-44",
  AND(B3688&gt;=45, B3688&lt;=54), "45-54",
  B3688&gt;=55, "55+"
)</f>
        <v>55+</v>
      </c>
      <c r="D3688" t="s">
        <v>153</v>
      </c>
      <c r="E3688" t="s">
        <v>42</v>
      </c>
      <c r="F3688" t="s">
        <v>43</v>
      </c>
      <c r="G3688">
        <v>70</v>
      </c>
      <c r="H3688" t="s">
        <v>62</v>
      </c>
      <c r="I3688" t="s">
        <v>45</v>
      </c>
      <c r="J3688" t="s">
        <v>63</v>
      </c>
      <c r="K3688" t="s">
        <v>39</v>
      </c>
      <c r="L3688">
        <v>4.8</v>
      </c>
      <c r="M3688" t="s">
        <v>152</v>
      </c>
      <c r="N3688" t="s">
        <v>46</v>
      </c>
      <c r="O3688" t="s">
        <v>40</v>
      </c>
      <c r="P3688" t="s">
        <v>152</v>
      </c>
      <c r="Q3688" t="s">
        <v>152</v>
      </c>
      <c r="R3688">
        <v>17</v>
      </c>
      <c r="S3688" t="s">
        <v>35</v>
      </c>
      <c r="T3688" t="str">
        <f t="shared" si="114"/>
        <v>2-week</v>
      </c>
      <c r="U3688">
        <f>VLOOKUP(T3688,[1]tablescore!$B$3:$C$8, 2,FALSE)</f>
        <v>26</v>
      </c>
      <c r="V3688" t="str">
        <f t="shared" si="115"/>
        <v>Loyal</v>
      </c>
      <c r="W3688" t="s">
        <v>77</v>
      </c>
    </row>
    <row r="3689" spans="1:23" x14ac:dyDescent="0.25">
      <c r="A3689">
        <v>3688</v>
      </c>
      <c r="B3689">
        <v>34</v>
      </c>
      <c r="C3689" t="str" cm="1">
        <f t="array" ref="C3689">_xlfn.IFS(
  AND(B3689&gt;=18, B3689&lt;=24), "18-24",
  AND(B3689&gt;=25, B3689&lt;=34), "25-34",
  AND(B3689&gt;=35, B3689&lt;=44), "35-44",
  AND(B3689&gt;=45, B3689&lt;=54), "45-54",
  B3689&gt;=55, "55+"
)</f>
        <v>25-34</v>
      </c>
      <c r="D3689" t="s">
        <v>153</v>
      </c>
      <c r="E3689" t="s">
        <v>56</v>
      </c>
      <c r="F3689" t="s">
        <v>21</v>
      </c>
      <c r="G3689">
        <v>44</v>
      </c>
      <c r="H3689" t="s">
        <v>74</v>
      </c>
      <c r="I3689" t="s">
        <v>23</v>
      </c>
      <c r="J3689" t="s">
        <v>93</v>
      </c>
      <c r="K3689" t="s">
        <v>54</v>
      </c>
      <c r="L3689">
        <v>2.9</v>
      </c>
      <c r="M3689" t="s">
        <v>152</v>
      </c>
      <c r="N3689" t="s">
        <v>46</v>
      </c>
      <c r="O3689" t="s">
        <v>47</v>
      </c>
      <c r="P3689" t="s">
        <v>152</v>
      </c>
      <c r="Q3689" t="s">
        <v>152</v>
      </c>
      <c r="R3689">
        <v>28</v>
      </c>
      <c r="S3689" t="s">
        <v>34</v>
      </c>
      <c r="T3689" t="str">
        <f t="shared" si="114"/>
        <v>Quarterly</v>
      </c>
      <c r="U3689">
        <f>VLOOKUP(T3689,[1]tablescore!$B$3:$C$8, 2,FALSE)</f>
        <v>4</v>
      </c>
      <c r="V3689" t="str">
        <f t="shared" si="115"/>
        <v>Low Loyalty</v>
      </c>
      <c r="W3689" t="s">
        <v>97</v>
      </c>
    </row>
    <row r="3690" spans="1:23" x14ac:dyDescent="0.25">
      <c r="A3690">
        <v>3689</v>
      </c>
      <c r="B3690">
        <v>52</v>
      </c>
      <c r="C3690" t="str" cm="1">
        <f t="array" ref="C3690">_xlfn.IFS(
  AND(B3690&gt;=18, B3690&lt;=24), "18-24",
  AND(B3690&gt;=25, B3690&lt;=34), "25-34",
  AND(B3690&gt;=35, B3690&lt;=44), "35-44",
  AND(B3690&gt;=45, B3690&lt;=54), "45-54",
  B3690&gt;=55, "55+"
)</f>
        <v>45-54</v>
      </c>
      <c r="D3690" t="s">
        <v>153</v>
      </c>
      <c r="E3690" t="s">
        <v>89</v>
      </c>
      <c r="F3690" t="s">
        <v>69</v>
      </c>
      <c r="G3690">
        <v>91</v>
      </c>
      <c r="H3690" t="s">
        <v>66</v>
      </c>
      <c r="I3690" t="s">
        <v>23</v>
      </c>
      <c r="J3690" t="s">
        <v>53</v>
      </c>
      <c r="K3690" t="s">
        <v>39</v>
      </c>
      <c r="L3690">
        <v>3</v>
      </c>
      <c r="M3690" t="s">
        <v>152</v>
      </c>
      <c r="N3690" t="s">
        <v>29</v>
      </c>
      <c r="O3690" t="s">
        <v>47</v>
      </c>
      <c r="P3690" t="s">
        <v>152</v>
      </c>
      <c r="Q3690" t="s">
        <v>152</v>
      </c>
      <c r="R3690">
        <v>8</v>
      </c>
      <c r="S3690" t="s">
        <v>35</v>
      </c>
      <c r="T3690" t="str">
        <f t="shared" si="114"/>
        <v>Month</v>
      </c>
      <c r="U3690">
        <f>VLOOKUP(T3690,[1]tablescore!$B$3:$C$8, 2,FALSE)</f>
        <v>12</v>
      </c>
      <c r="V3690" t="str">
        <f t="shared" si="115"/>
        <v>Moderate</v>
      </c>
      <c r="W3690" t="s">
        <v>88</v>
      </c>
    </row>
    <row r="3691" spans="1:23" x14ac:dyDescent="0.25">
      <c r="A3691">
        <v>3690</v>
      </c>
      <c r="B3691">
        <v>47</v>
      </c>
      <c r="C3691" t="str" cm="1">
        <f t="array" ref="C3691">_xlfn.IFS(
  AND(B3691&gt;=18, B3691&lt;=24), "18-24",
  AND(B3691&gt;=25, B3691&lt;=34), "25-34",
  AND(B3691&gt;=35, B3691&lt;=44), "35-44",
  AND(B3691&gt;=45, B3691&lt;=54), "45-54",
  B3691&gt;=55, "55+"
)</f>
        <v>45-54</v>
      </c>
      <c r="D3691" t="s">
        <v>153</v>
      </c>
      <c r="E3691" t="s">
        <v>106</v>
      </c>
      <c r="F3691" t="s">
        <v>69</v>
      </c>
      <c r="G3691">
        <v>30</v>
      </c>
      <c r="H3691" t="s">
        <v>126</v>
      </c>
      <c r="I3691" t="s">
        <v>23</v>
      </c>
      <c r="J3691" t="s">
        <v>108</v>
      </c>
      <c r="K3691" t="s">
        <v>58</v>
      </c>
      <c r="L3691">
        <v>4.5</v>
      </c>
      <c r="M3691" t="s">
        <v>152</v>
      </c>
      <c r="N3691" t="s">
        <v>35</v>
      </c>
      <c r="O3691" t="s">
        <v>55</v>
      </c>
      <c r="P3691" t="s">
        <v>152</v>
      </c>
      <c r="Q3691" t="s">
        <v>152</v>
      </c>
      <c r="R3691">
        <v>8</v>
      </c>
      <c r="S3691" t="s">
        <v>34</v>
      </c>
      <c r="T3691" t="str">
        <f t="shared" si="114"/>
        <v>Quarterly</v>
      </c>
      <c r="U3691">
        <f>VLOOKUP(T3691,[1]tablescore!$B$3:$C$8, 2,FALSE)</f>
        <v>4</v>
      </c>
      <c r="V3691" t="str">
        <f t="shared" si="115"/>
        <v>Low Loyalty</v>
      </c>
      <c r="W3691" t="s">
        <v>60</v>
      </c>
    </row>
    <row r="3692" spans="1:23" x14ac:dyDescent="0.25">
      <c r="A3692">
        <v>3691</v>
      </c>
      <c r="B3692">
        <v>24</v>
      </c>
      <c r="C3692" t="str" cm="1">
        <f t="array" ref="C3692">_xlfn.IFS(
  AND(B3692&gt;=18, B3692&lt;=24), "18-24",
  AND(B3692&gt;=25, B3692&lt;=34), "25-34",
  AND(B3692&gt;=35, B3692&lt;=44), "35-44",
  AND(B3692&gt;=45, B3692&lt;=54), "45-54",
  B3692&gt;=55, "55+"
)</f>
        <v>18-24</v>
      </c>
      <c r="D3692" t="s">
        <v>153</v>
      </c>
      <c r="E3692" t="s">
        <v>20</v>
      </c>
      <c r="F3692" t="s">
        <v>21</v>
      </c>
      <c r="G3692">
        <v>23</v>
      </c>
      <c r="H3692" t="s">
        <v>111</v>
      </c>
      <c r="I3692" t="s">
        <v>38</v>
      </c>
      <c r="J3692" t="s">
        <v>84</v>
      </c>
      <c r="K3692" t="s">
        <v>58</v>
      </c>
      <c r="L3692">
        <v>3.7</v>
      </c>
      <c r="M3692" t="s">
        <v>152</v>
      </c>
      <c r="N3692" t="s">
        <v>29</v>
      </c>
      <c r="O3692" t="s">
        <v>76</v>
      </c>
      <c r="P3692" t="s">
        <v>152</v>
      </c>
      <c r="Q3692" t="s">
        <v>152</v>
      </c>
      <c r="R3692">
        <v>4</v>
      </c>
      <c r="S3692" t="s">
        <v>34</v>
      </c>
      <c r="T3692" t="str">
        <f t="shared" si="114"/>
        <v>2-week</v>
      </c>
      <c r="U3692">
        <f>VLOOKUP(T3692,[1]tablescore!$B$3:$C$8, 2,FALSE)</f>
        <v>26</v>
      </c>
      <c r="V3692" t="str">
        <f t="shared" si="115"/>
        <v>Loyal</v>
      </c>
      <c r="W3692" t="s">
        <v>77</v>
      </c>
    </row>
    <row r="3693" spans="1:23" x14ac:dyDescent="0.25">
      <c r="A3693">
        <v>3692</v>
      </c>
      <c r="B3693">
        <v>63</v>
      </c>
      <c r="C3693" t="str" cm="1">
        <f t="array" ref="C3693">_xlfn.IFS(
  AND(B3693&gt;=18, B3693&lt;=24), "18-24",
  AND(B3693&gt;=25, B3693&lt;=34), "25-34",
  AND(B3693&gt;=35, B3693&lt;=44), "35-44",
  AND(B3693&gt;=45, B3693&lt;=54), "45-54",
  B3693&gt;=55, "55+"
)</f>
        <v>55+</v>
      </c>
      <c r="D3693" t="s">
        <v>153</v>
      </c>
      <c r="E3693" t="s">
        <v>42</v>
      </c>
      <c r="F3693" t="s">
        <v>43</v>
      </c>
      <c r="G3693">
        <v>21</v>
      </c>
      <c r="H3693" t="s">
        <v>151</v>
      </c>
      <c r="I3693" t="s">
        <v>92</v>
      </c>
      <c r="J3693" t="s">
        <v>121</v>
      </c>
      <c r="K3693" t="s">
        <v>54</v>
      </c>
      <c r="L3693">
        <v>4.8</v>
      </c>
      <c r="M3693" t="s">
        <v>152</v>
      </c>
      <c r="N3693" t="s">
        <v>27</v>
      </c>
      <c r="O3693" t="s">
        <v>47</v>
      </c>
      <c r="P3693" t="s">
        <v>152</v>
      </c>
      <c r="Q3693" t="s">
        <v>152</v>
      </c>
      <c r="R3693">
        <v>24</v>
      </c>
      <c r="S3693" t="s">
        <v>46</v>
      </c>
      <c r="T3693" t="str">
        <f t="shared" si="114"/>
        <v>Daily</v>
      </c>
      <c r="U3693">
        <f>VLOOKUP(T3693,[1]tablescore!$B$3:$C$8, 2,FALSE)</f>
        <v>30</v>
      </c>
      <c r="V3693" t="str">
        <f t="shared" si="115"/>
        <v>Highly Loyal</v>
      </c>
      <c r="W3693" t="s">
        <v>41</v>
      </c>
    </row>
    <row r="3694" spans="1:23" x14ac:dyDescent="0.25">
      <c r="A3694">
        <v>3693</v>
      </c>
      <c r="B3694">
        <v>59</v>
      </c>
      <c r="C3694" t="str" cm="1">
        <f t="array" ref="C3694">_xlfn.IFS(
  AND(B3694&gt;=18, B3694&lt;=24), "18-24",
  AND(B3694&gt;=25, B3694&lt;=34), "25-34",
  AND(B3694&gt;=35, B3694&lt;=44), "35-44",
  AND(B3694&gt;=45, B3694&lt;=54), "45-54",
  B3694&gt;=55, "55+"
)</f>
        <v>55+</v>
      </c>
      <c r="D3694" t="s">
        <v>153</v>
      </c>
      <c r="E3694" t="s">
        <v>64</v>
      </c>
      <c r="F3694" t="s">
        <v>65</v>
      </c>
      <c r="G3694">
        <v>34</v>
      </c>
      <c r="H3694" t="s">
        <v>90</v>
      </c>
      <c r="I3694" t="s">
        <v>23</v>
      </c>
      <c r="J3694" t="s">
        <v>49</v>
      </c>
      <c r="K3694" t="s">
        <v>39</v>
      </c>
      <c r="L3694">
        <v>4.8</v>
      </c>
      <c r="M3694" t="s">
        <v>152</v>
      </c>
      <c r="N3694" t="s">
        <v>29</v>
      </c>
      <c r="O3694" t="s">
        <v>40</v>
      </c>
      <c r="P3694" t="s">
        <v>152</v>
      </c>
      <c r="Q3694" t="s">
        <v>152</v>
      </c>
      <c r="R3694">
        <v>29</v>
      </c>
      <c r="S3694" t="s">
        <v>35</v>
      </c>
      <c r="T3694" t="str">
        <f t="shared" si="114"/>
        <v>2-week</v>
      </c>
      <c r="U3694">
        <f>VLOOKUP(T3694,[1]tablescore!$B$3:$C$8, 2,FALSE)</f>
        <v>26</v>
      </c>
      <c r="V3694" t="str">
        <f t="shared" si="115"/>
        <v>Loyal</v>
      </c>
      <c r="W3694" t="s">
        <v>30</v>
      </c>
    </row>
    <row r="3695" spans="1:23" x14ac:dyDescent="0.25">
      <c r="A3695">
        <v>3694</v>
      </c>
      <c r="B3695">
        <v>66</v>
      </c>
      <c r="C3695" t="str" cm="1">
        <f t="array" ref="C3695">_xlfn.IFS(
  AND(B3695&gt;=18, B3695&lt;=24), "18-24",
  AND(B3695&gt;=25, B3695&lt;=34), "25-34",
  AND(B3695&gt;=35, B3695&lt;=44), "35-44",
  AND(B3695&gt;=45, B3695&lt;=54), "45-54",
  B3695&gt;=55, "55+"
)</f>
        <v>55+</v>
      </c>
      <c r="D3695" t="s">
        <v>153</v>
      </c>
      <c r="E3695" t="s">
        <v>20</v>
      </c>
      <c r="F3695" t="s">
        <v>21</v>
      </c>
      <c r="G3695">
        <v>46</v>
      </c>
      <c r="H3695" t="s">
        <v>130</v>
      </c>
      <c r="I3695" t="s">
        <v>45</v>
      </c>
      <c r="J3695" t="s">
        <v>84</v>
      </c>
      <c r="K3695" t="s">
        <v>54</v>
      </c>
      <c r="L3695">
        <v>4.7</v>
      </c>
      <c r="M3695" t="s">
        <v>152</v>
      </c>
      <c r="N3695" t="s">
        <v>59</v>
      </c>
      <c r="O3695" t="s">
        <v>72</v>
      </c>
      <c r="P3695" t="s">
        <v>152</v>
      </c>
      <c r="Q3695" t="s">
        <v>152</v>
      </c>
      <c r="R3695">
        <v>10</v>
      </c>
      <c r="S3695" t="s">
        <v>29</v>
      </c>
      <c r="T3695" t="str">
        <f t="shared" si="114"/>
        <v>Daily</v>
      </c>
      <c r="U3695">
        <f>VLOOKUP(T3695,[1]tablescore!$B$3:$C$8, 2,FALSE)</f>
        <v>30</v>
      </c>
      <c r="V3695" t="str">
        <f t="shared" si="115"/>
        <v>Highly Loyal</v>
      </c>
      <c r="W3695" t="s">
        <v>41</v>
      </c>
    </row>
    <row r="3696" spans="1:23" x14ac:dyDescent="0.25">
      <c r="A3696">
        <v>3695</v>
      </c>
      <c r="B3696">
        <v>45</v>
      </c>
      <c r="C3696" t="str" cm="1">
        <f t="array" ref="C3696">_xlfn.IFS(
  AND(B3696&gt;=18, B3696&lt;=24), "18-24",
  AND(B3696&gt;=25, B3696&lt;=34), "25-34",
  AND(B3696&gt;=35, B3696&lt;=44), "35-44",
  AND(B3696&gt;=45, B3696&lt;=54), "45-54",
  B3696&gt;=55, "55+"
)</f>
        <v>45-54</v>
      </c>
      <c r="D3696" t="s">
        <v>153</v>
      </c>
      <c r="E3696" t="s">
        <v>31</v>
      </c>
      <c r="F3696" t="s">
        <v>21</v>
      </c>
      <c r="G3696">
        <v>41</v>
      </c>
      <c r="H3696" t="s">
        <v>44</v>
      </c>
      <c r="I3696" t="s">
        <v>45</v>
      </c>
      <c r="J3696" t="s">
        <v>138</v>
      </c>
      <c r="K3696" t="s">
        <v>25</v>
      </c>
      <c r="L3696">
        <v>2.6</v>
      </c>
      <c r="M3696" t="s">
        <v>152</v>
      </c>
      <c r="N3696" t="s">
        <v>29</v>
      </c>
      <c r="O3696" t="s">
        <v>28</v>
      </c>
      <c r="P3696" t="s">
        <v>152</v>
      </c>
      <c r="Q3696" t="s">
        <v>152</v>
      </c>
      <c r="R3696">
        <v>11</v>
      </c>
      <c r="S3696" t="s">
        <v>46</v>
      </c>
      <c r="T3696" t="str">
        <f t="shared" si="114"/>
        <v>2-week</v>
      </c>
      <c r="U3696">
        <f>VLOOKUP(T3696,[1]tablescore!$B$3:$C$8, 2,FALSE)</f>
        <v>26</v>
      </c>
      <c r="V3696" t="str">
        <f t="shared" si="115"/>
        <v>Loyal</v>
      </c>
      <c r="W3696" t="s">
        <v>77</v>
      </c>
    </row>
    <row r="3697" spans="1:23" x14ac:dyDescent="0.25">
      <c r="A3697">
        <v>3696</v>
      </c>
      <c r="B3697">
        <v>38</v>
      </c>
      <c r="C3697" t="str" cm="1">
        <f t="array" ref="C3697">_xlfn.IFS(
  AND(B3697&gt;=18, B3697&lt;=24), "18-24",
  AND(B3697&gt;=25, B3697&lt;=34), "25-34",
  AND(B3697&gt;=35, B3697&lt;=44), "35-44",
  AND(B3697&gt;=45, B3697&lt;=54), "45-54",
  B3697&gt;=55, "55+"
)</f>
        <v>35-44</v>
      </c>
      <c r="D3697" t="s">
        <v>153</v>
      </c>
      <c r="E3697" t="s">
        <v>87</v>
      </c>
      <c r="F3697" t="s">
        <v>21</v>
      </c>
      <c r="G3697">
        <v>33</v>
      </c>
      <c r="H3697" t="s">
        <v>103</v>
      </c>
      <c r="I3697" t="s">
        <v>45</v>
      </c>
      <c r="J3697" t="s">
        <v>53</v>
      </c>
      <c r="K3697" t="s">
        <v>58</v>
      </c>
      <c r="L3697">
        <v>4.5999999999999996</v>
      </c>
      <c r="M3697" t="s">
        <v>152</v>
      </c>
      <c r="N3697" t="s">
        <v>34</v>
      </c>
      <c r="O3697" t="s">
        <v>55</v>
      </c>
      <c r="P3697" t="s">
        <v>152</v>
      </c>
      <c r="Q3697" t="s">
        <v>152</v>
      </c>
      <c r="R3697">
        <v>18</v>
      </c>
      <c r="S3697" t="s">
        <v>34</v>
      </c>
      <c r="T3697" t="str">
        <f t="shared" si="114"/>
        <v>2-week</v>
      </c>
      <c r="U3697">
        <f>VLOOKUP(T3697,[1]tablescore!$B$3:$C$8, 2,FALSE)</f>
        <v>26</v>
      </c>
      <c r="V3697" t="str">
        <f t="shared" si="115"/>
        <v>Loyal</v>
      </c>
      <c r="W3697" t="s">
        <v>30</v>
      </c>
    </row>
    <row r="3698" spans="1:23" x14ac:dyDescent="0.25">
      <c r="A3698">
        <v>3697</v>
      </c>
      <c r="B3698">
        <v>63</v>
      </c>
      <c r="C3698" t="str" cm="1">
        <f t="array" ref="C3698">_xlfn.IFS(
  AND(B3698&gt;=18, B3698&lt;=24), "18-24",
  AND(B3698&gt;=25, B3698&lt;=34), "25-34",
  AND(B3698&gt;=35, B3698&lt;=44), "35-44",
  AND(B3698&gt;=45, B3698&lt;=54), "45-54",
  B3698&gt;=55, "55+"
)</f>
        <v>55+</v>
      </c>
      <c r="D3698" t="s">
        <v>153</v>
      </c>
      <c r="E3698" t="s">
        <v>20</v>
      </c>
      <c r="F3698" t="s">
        <v>21</v>
      </c>
      <c r="G3698">
        <v>48</v>
      </c>
      <c r="H3698" t="s">
        <v>146</v>
      </c>
      <c r="I3698" t="s">
        <v>23</v>
      </c>
      <c r="J3698" t="s">
        <v>49</v>
      </c>
      <c r="K3698" t="s">
        <v>58</v>
      </c>
      <c r="L3698">
        <v>3.4</v>
      </c>
      <c r="M3698" t="s">
        <v>152</v>
      </c>
      <c r="N3698" t="s">
        <v>29</v>
      </c>
      <c r="O3698" t="s">
        <v>47</v>
      </c>
      <c r="P3698" t="s">
        <v>152</v>
      </c>
      <c r="Q3698" t="s">
        <v>152</v>
      </c>
      <c r="R3698">
        <v>26</v>
      </c>
      <c r="S3698" t="s">
        <v>34</v>
      </c>
      <c r="T3698" t="str">
        <f t="shared" si="114"/>
        <v>Annually</v>
      </c>
      <c r="U3698">
        <f>VLOOKUP(T3698,[1]tablescore!$B$3:$C$8, 2,FALSE)</f>
        <v>1</v>
      </c>
      <c r="V3698" t="str">
        <f t="shared" si="115"/>
        <v>Low Loyalty</v>
      </c>
      <c r="W3698" t="s">
        <v>50</v>
      </c>
    </row>
    <row r="3699" spans="1:23" x14ac:dyDescent="0.25">
      <c r="A3699">
        <v>3698</v>
      </c>
      <c r="B3699">
        <v>55</v>
      </c>
      <c r="C3699" t="str" cm="1">
        <f t="array" ref="C3699">_xlfn.IFS(
  AND(B3699&gt;=18, B3699&lt;=24), "18-24",
  AND(B3699&gt;=25, B3699&lt;=34), "25-34",
  AND(B3699&gt;=35, B3699&lt;=44), "35-44",
  AND(B3699&gt;=45, B3699&lt;=54), "45-54",
  B3699&gt;=55, "55+"
)</f>
        <v>55+</v>
      </c>
      <c r="D3699" t="s">
        <v>153</v>
      </c>
      <c r="E3699" t="s">
        <v>104</v>
      </c>
      <c r="F3699" t="s">
        <v>21</v>
      </c>
      <c r="G3699">
        <v>66</v>
      </c>
      <c r="H3699" t="s">
        <v>141</v>
      </c>
      <c r="I3699" t="s">
        <v>23</v>
      </c>
      <c r="J3699" t="s">
        <v>71</v>
      </c>
      <c r="K3699" t="s">
        <v>25</v>
      </c>
      <c r="L3699">
        <v>3</v>
      </c>
      <c r="M3699" t="s">
        <v>152</v>
      </c>
      <c r="N3699" t="s">
        <v>46</v>
      </c>
      <c r="O3699" t="s">
        <v>55</v>
      </c>
      <c r="P3699" t="s">
        <v>152</v>
      </c>
      <c r="Q3699" t="s">
        <v>152</v>
      </c>
      <c r="R3699">
        <v>39</v>
      </c>
      <c r="S3699" t="s">
        <v>35</v>
      </c>
      <c r="T3699" t="str">
        <f t="shared" si="114"/>
        <v>Daily</v>
      </c>
      <c r="U3699">
        <f>VLOOKUP(T3699,[1]tablescore!$B$3:$C$8, 2,FALSE)</f>
        <v>30</v>
      </c>
      <c r="V3699" t="str">
        <f t="shared" si="115"/>
        <v>Highly Loyal</v>
      </c>
      <c r="W3699" t="s">
        <v>41</v>
      </c>
    </row>
    <row r="3700" spans="1:23" x14ac:dyDescent="0.25">
      <c r="A3700">
        <v>3699</v>
      </c>
      <c r="B3700">
        <v>25</v>
      </c>
      <c r="C3700" t="str" cm="1">
        <f t="array" ref="C3700">_xlfn.IFS(
  AND(B3700&gt;=18, B3700&lt;=24), "18-24",
  AND(B3700&gt;=25, B3700&lt;=34), "25-34",
  AND(B3700&gt;=35, B3700&lt;=44), "35-44",
  AND(B3700&gt;=45, B3700&lt;=54), "45-54",
  B3700&gt;=55, "55+"
)</f>
        <v>25-34</v>
      </c>
      <c r="D3700" t="s">
        <v>153</v>
      </c>
      <c r="E3700" t="s">
        <v>87</v>
      </c>
      <c r="F3700" t="s">
        <v>21</v>
      </c>
      <c r="G3700">
        <v>54</v>
      </c>
      <c r="H3700" t="s">
        <v>99</v>
      </c>
      <c r="I3700" t="s">
        <v>92</v>
      </c>
      <c r="J3700" t="s">
        <v>33</v>
      </c>
      <c r="K3700" t="s">
        <v>39</v>
      </c>
      <c r="L3700">
        <v>4</v>
      </c>
      <c r="M3700" t="s">
        <v>152</v>
      </c>
      <c r="N3700" t="s">
        <v>27</v>
      </c>
      <c r="O3700" t="s">
        <v>72</v>
      </c>
      <c r="P3700" t="s">
        <v>152</v>
      </c>
      <c r="Q3700" t="s">
        <v>152</v>
      </c>
      <c r="R3700">
        <v>4</v>
      </c>
      <c r="S3700" t="s">
        <v>29</v>
      </c>
      <c r="T3700" t="str">
        <f t="shared" si="114"/>
        <v>Annually</v>
      </c>
      <c r="U3700">
        <f>VLOOKUP(T3700,[1]tablescore!$B$3:$C$8, 2,FALSE)</f>
        <v>1</v>
      </c>
      <c r="V3700" t="str">
        <f t="shared" si="115"/>
        <v>Low Loyalty</v>
      </c>
      <c r="W3700" t="s">
        <v>50</v>
      </c>
    </row>
    <row r="3701" spans="1:23" x14ac:dyDescent="0.25">
      <c r="A3701">
        <v>3700</v>
      </c>
      <c r="B3701">
        <v>51</v>
      </c>
      <c r="C3701" t="str" cm="1">
        <f t="array" ref="C3701">_xlfn.IFS(
  AND(B3701&gt;=18, B3701&lt;=24), "18-24",
  AND(B3701&gt;=25, B3701&lt;=34), "25-34",
  AND(B3701&gt;=35, B3701&lt;=44), "35-44",
  AND(B3701&gt;=45, B3701&lt;=54), "45-54",
  B3701&gt;=55, "55+"
)</f>
        <v>45-54</v>
      </c>
      <c r="D3701" t="s">
        <v>153</v>
      </c>
      <c r="E3701" t="s">
        <v>133</v>
      </c>
      <c r="F3701" t="s">
        <v>69</v>
      </c>
      <c r="G3701">
        <v>55</v>
      </c>
      <c r="H3701" t="s">
        <v>101</v>
      </c>
      <c r="I3701" t="s">
        <v>45</v>
      </c>
      <c r="J3701" t="s">
        <v>79</v>
      </c>
      <c r="K3701" t="s">
        <v>58</v>
      </c>
      <c r="L3701">
        <v>2.6</v>
      </c>
      <c r="M3701" t="s">
        <v>152</v>
      </c>
      <c r="N3701" t="s">
        <v>35</v>
      </c>
      <c r="O3701" t="s">
        <v>76</v>
      </c>
      <c r="P3701" t="s">
        <v>152</v>
      </c>
      <c r="Q3701" t="s">
        <v>152</v>
      </c>
      <c r="R3701">
        <v>24</v>
      </c>
      <c r="S3701" t="s">
        <v>34</v>
      </c>
      <c r="T3701" t="str">
        <f t="shared" si="114"/>
        <v>Daily</v>
      </c>
      <c r="U3701">
        <f>VLOOKUP(T3701,[1]tablescore!$B$3:$C$8, 2,FALSE)</f>
        <v>30</v>
      </c>
      <c r="V3701" t="str">
        <f t="shared" si="115"/>
        <v>Highly Loyal</v>
      </c>
      <c r="W3701" t="s">
        <v>41</v>
      </c>
    </row>
    <row r="3702" spans="1:23" x14ac:dyDescent="0.25">
      <c r="A3702">
        <v>3701</v>
      </c>
      <c r="B3702">
        <v>28</v>
      </c>
      <c r="C3702" t="str" cm="1">
        <f t="array" ref="C3702">_xlfn.IFS(
  AND(B3702&gt;=18, B3702&lt;=24), "18-24",
  AND(B3702&gt;=25, B3702&lt;=34), "25-34",
  AND(B3702&gt;=35, B3702&lt;=44), "35-44",
  AND(B3702&gt;=45, B3702&lt;=54), "45-54",
  B3702&gt;=55, "55+"
)</f>
        <v>25-34</v>
      </c>
      <c r="D3702" t="s">
        <v>153</v>
      </c>
      <c r="E3702" t="s">
        <v>68</v>
      </c>
      <c r="F3702" t="s">
        <v>69</v>
      </c>
      <c r="G3702">
        <v>84</v>
      </c>
      <c r="H3702" t="s">
        <v>114</v>
      </c>
      <c r="I3702" t="s">
        <v>92</v>
      </c>
      <c r="J3702" t="s">
        <v>63</v>
      </c>
      <c r="K3702" t="s">
        <v>54</v>
      </c>
      <c r="L3702">
        <v>3.4</v>
      </c>
      <c r="M3702" t="s">
        <v>152</v>
      </c>
      <c r="N3702" t="s">
        <v>27</v>
      </c>
      <c r="O3702" t="s">
        <v>76</v>
      </c>
      <c r="P3702" t="s">
        <v>152</v>
      </c>
      <c r="Q3702" t="s">
        <v>152</v>
      </c>
      <c r="R3702">
        <v>2</v>
      </c>
      <c r="S3702" t="s">
        <v>34</v>
      </c>
      <c r="T3702" t="str">
        <f t="shared" si="114"/>
        <v>Quarterly</v>
      </c>
      <c r="U3702">
        <f>VLOOKUP(T3702,[1]tablescore!$B$3:$C$8, 2,FALSE)</f>
        <v>4</v>
      </c>
      <c r="V3702" t="str">
        <f t="shared" si="115"/>
        <v>Low Loyalty</v>
      </c>
      <c r="W3702" t="s">
        <v>97</v>
      </c>
    </row>
    <row r="3703" spans="1:23" x14ac:dyDescent="0.25">
      <c r="A3703">
        <v>3702</v>
      </c>
      <c r="B3703">
        <v>46</v>
      </c>
      <c r="C3703" t="str" cm="1">
        <f t="array" ref="C3703">_xlfn.IFS(
  AND(B3703&gt;=18, B3703&lt;=24), "18-24",
  AND(B3703&gt;=25, B3703&lt;=34), "25-34",
  AND(B3703&gt;=35, B3703&lt;=44), "35-44",
  AND(B3703&gt;=45, B3703&lt;=54), "45-54",
  B3703&gt;=55, "55+"
)</f>
        <v>45-54</v>
      </c>
      <c r="D3703" t="s">
        <v>153</v>
      </c>
      <c r="E3703" t="s">
        <v>42</v>
      </c>
      <c r="F3703" t="s">
        <v>43</v>
      </c>
      <c r="G3703">
        <v>66</v>
      </c>
      <c r="H3703" t="s">
        <v>123</v>
      </c>
      <c r="I3703" t="s">
        <v>45</v>
      </c>
      <c r="J3703" t="s">
        <v>63</v>
      </c>
      <c r="K3703" t="s">
        <v>39</v>
      </c>
      <c r="L3703">
        <v>4.5</v>
      </c>
      <c r="M3703" t="s">
        <v>152</v>
      </c>
      <c r="N3703" t="s">
        <v>35</v>
      </c>
      <c r="O3703" t="s">
        <v>76</v>
      </c>
      <c r="P3703" t="s">
        <v>152</v>
      </c>
      <c r="Q3703" t="s">
        <v>152</v>
      </c>
      <c r="R3703">
        <v>36</v>
      </c>
      <c r="S3703" t="s">
        <v>35</v>
      </c>
      <c r="T3703" t="str">
        <f t="shared" si="114"/>
        <v>Annually</v>
      </c>
      <c r="U3703">
        <f>VLOOKUP(T3703,[1]tablescore!$B$3:$C$8, 2,FALSE)</f>
        <v>1</v>
      </c>
      <c r="V3703" t="str">
        <f t="shared" si="115"/>
        <v>Low Loyalty</v>
      </c>
      <c r="W3703" t="s">
        <v>50</v>
      </c>
    </row>
    <row r="3704" spans="1:23" x14ac:dyDescent="0.25">
      <c r="A3704">
        <v>3703</v>
      </c>
      <c r="B3704">
        <v>58</v>
      </c>
      <c r="C3704" t="str" cm="1">
        <f t="array" ref="C3704">_xlfn.IFS(
  AND(B3704&gt;=18, B3704&lt;=24), "18-24",
  AND(B3704&gt;=25, B3704&lt;=34), "25-34",
  AND(B3704&gt;=35, B3704&lt;=44), "35-44",
  AND(B3704&gt;=45, B3704&lt;=54), "45-54",
  B3704&gt;=55, "55+"
)</f>
        <v>55+</v>
      </c>
      <c r="D3704" t="s">
        <v>153</v>
      </c>
      <c r="E3704" t="s">
        <v>73</v>
      </c>
      <c r="F3704" t="s">
        <v>43</v>
      </c>
      <c r="G3704">
        <v>65</v>
      </c>
      <c r="H3704" t="s">
        <v>126</v>
      </c>
      <c r="I3704" t="s">
        <v>45</v>
      </c>
      <c r="J3704" t="s">
        <v>129</v>
      </c>
      <c r="K3704" t="s">
        <v>39</v>
      </c>
      <c r="L3704">
        <v>2.7</v>
      </c>
      <c r="M3704" t="s">
        <v>152</v>
      </c>
      <c r="N3704" t="s">
        <v>46</v>
      </c>
      <c r="O3704" t="s">
        <v>76</v>
      </c>
      <c r="P3704" t="s">
        <v>152</v>
      </c>
      <c r="Q3704" t="s">
        <v>152</v>
      </c>
      <c r="R3704">
        <v>36</v>
      </c>
      <c r="S3704" t="s">
        <v>29</v>
      </c>
      <c r="T3704" t="str">
        <f t="shared" si="114"/>
        <v>Daily</v>
      </c>
      <c r="U3704">
        <f>VLOOKUP(T3704,[1]tablescore!$B$3:$C$8, 2,FALSE)</f>
        <v>30</v>
      </c>
      <c r="V3704" t="str">
        <f t="shared" si="115"/>
        <v>Highly Loyal</v>
      </c>
      <c r="W3704" t="s">
        <v>41</v>
      </c>
    </row>
    <row r="3705" spans="1:23" x14ac:dyDescent="0.25">
      <c r="A3705">
        <v>3704</v>
      </c>
      <c r="B3705">
        <v>30</v>
      </c>
      <c r="C3705" t="str" cm="1">
        <f t="array" ref="C3705">_xlfn.IFS(
  AND(B3705&gt;=18, B3705&lt;=24), "18-24",
  AND(B3705&gt;=25, B3705&lt;=34), "25-34",
  AND(B3705&gt;=35, B3705&lt;=44), "35-44",
  AND(B3705&gt;=45, B3705&lt;=54), "45-54",
  B3705&gt;=55, "55+"
)</f>
        <v>25-34</v>
      </c>
      <c r="D3705" t="s">
        <v>153</v>
      </c>
      <c r="E3705" t="s">
        <v>42</v>
      </c>
      <c r="F3705" t="s">
        <v>43</v>
      </c>
      <c r="G3705">
        <v>83</v>
      </c>
      <c r="H3705" t="s">
        <v>151</v>
      </c>
      <c r="I3705" t="s">
        <v>38</v>
      </c>
      <c r="J3705" t="s">
        <v>86</v>
      </c>
      <c r="K3705" t="s">
        <v>58</v>
      </c>
      <c r="L3705">
        <v>2.9</v>
      </c>
      <c r="M3705" t="s">
        <v>152</v>
      </c>
      <c r="N3705" t="s">
        <v>34</v>
      </c>
      <c r="O3705" t="s">
        <v>55</v>
      </c>
      <c r="P3705" t="s">
        <v>152</v>
      </c>
      <c r="Q3705" t="s">
        <v>152</v>
      </c>
      <c r="R3705">
        <v>23</v>
      </c>
      <c r="S3705" t="s">
        <v>46</v>
      </c>
      <c r="T3705" t="str">
        <f t="shared" si="114"/>
        <v>Quarterly</v>
      </c>
      <c r="U3705">
        <f>VLOOKUP(T3705,[1]tablescore!$B$3:$C$8, 2,FALSE)</f>
        <v>4</v>
      </c>
      <c r="V3705" t="str">
        <f t="shared" si="115"/>
        <v>Low Loyalty</v>
      </c>
      <c r="W3705" t="s">
        <v>97</v>
      </c>
    </row>
    <row r="3706" spans="1:23" x14ac:dyDescent="0.25">
      <c r="A3706">
        <v>3705</v>
      </c>
      <c r="B3706">
        <v>68</v>
      </c>
      <c r="C3706" t="str" cm="1">
        <f t="array" ref="C3706">_xlfn.IFS(
  AND(B3706&gt;=18, B3706&lt;=24), "18-24",
  AND(B3706&gt;=25, B3706&lt;=34), "25-34",
  AND(B3706&gt;=35, B3706&lt;=44), "35-44",
  AND(B3706&gt;=45, B3706&lt;=54), "45-54",
  B3706&gt;=55, "55+"
)</f>
        <v>55+</v>
      </c>
      <c r="D3706" t="s">
        <v>153</v>
      </c>
      <c r="E3706" t="s">
        <v>89</v>
      </c>
      <c r="F3706" t="s">
        <v>69</v>
      </c>
      <c r="G3706">
        <v>61</v>
      </c>
      <c r="H3706" t="s">
        <v>70</v>
      </c>
      <c r="I3706" t="s">
        <v>23</v>
      </c>
      <c r="J3706" t="s">
        <v>94</v>
      </c>
      <c r="K3706" t="s">
        <v>25</v>
      </c>
      <c r="L3706">
        <v>4</v>
      </c>
      <c r="M3706" t="s">
        <v>152</v>
      </c>
      <c r="N3706" t="s">
        <v>46</v>
      </c>
      <c r="O3706" t="s">
        <v>76</v>
      </c>
      <c r="P3706" t="s">
        <v>152</v>
      </c>
      <c r="Q3706" t="s">
        <v>152</v>
      </c>
      <c r="R3706">
        <v>36</v>
      </c>
      <c r="S3706" t="s">
        <v>27</v>
      </c>
      <c r="T3706" t="str">
        <f t="shared" si="114"/>
        <v>Quarterly</v>
      </c>
      <c r="U3706">
        <f>VLOOKUP(T3706,[1]tablescore!$B$3:$C$8, 2,FALSE)</f>
        <v>4</v>
      </c>
      <c r="V3706" t="str">
        <f t="shared" si="115"/>
        <v>Low Loyalty</v>
      </c>
      <c r="W3706" t="s">
        <v>60</v>
      </c>
    </row>
    <row r="3707" spans="1:23" x14ac:dyDescent="0.25">
      <c r="A3707">
        <v>3706</v>
      </c>
      <c r="B3707">
        <v>28</v>
      </c>
      <c r="C3707" t="str" cm="1">
        <f t="array" ref="C3707">_xlfn.IFS(
  AND(B3707&gt;=18, B3707&lt;=24), "18-24",
  AND(B3707&gt;=25, B3707&lt;=34), "25-34",
  AND(B3707&gt;=35, B3707&lt;=44), "35-44",
  AND(B3707&gt;=45, B3707&lt;=54), "45-54",
  B3707&gt;=55, "55+"
)</f>
        <v>25-34</v>
      </c>
      <c r="D3707" t="s">
        <v>153</v>
      </c>
      <c r="E3707" t="s">
        <v>87</v>
      </c>
      <c r="F3707" t="s">
        <v>21</v>
      </c>
      <c r="G3707">
        <v>65</v>
      </c>
      <c r="H3707" t="s">
        <v>112</v>
      </c>
      <c r="I3707" t="s">
        <v>23</v>
      </c>
      <c r="J3707" t="s">
        <v>86</v>
      </c>
      <c r="K3707" t="s">
        <v>54</v>
      </c>
      <c r="L3707">
        <v>3.2</v>
      </c>
      <c r="M3707" t="s">
        <v>152</v>
      </c>
      <c r="N3707" t="s">
        <v>46</v>
      </c>
      <c r="O3707" t="s">
        <v>40</v>
      </c>
      <c r="P3707" t="s">
        <v>152</v>
      </c>
      <c r="Q3707" t="s">
        <v>152</v>
      </c>
      <c r="R3707">
        <v>2</v>
      </c>
      <c r="S3707" t="s">
        <v>59</v>
      </c>
      <c r="T3707" t="str">
        <f t="shared" si="114"/>
        <v>Annually</v>
      </c>
      <c r="U3707">
        <f>VLOOKUP(T3707,[1]tablescore!$B$3:$C$8, 2,FALSE)</f>
        <v>1</v>
      </c>
      <c r="V3707" t="str">
        <f t="shared" si="115"/>
        <v>Low Loyalty</v>
      </c>
      <c r="W3707" t="s">
        <v>50</v>
      </c>
    </row>
    <row r="3708" spans="1:23" x14ac:dyDescent="0.25">
      <c r="A3708">
        <v>3707</v>
      </c>
      <c r="B3708">
        <v>26</v>
      </c>
      <c r="C3708" t="str" cm="1">
        <f t="array" ref="C3708">_xlfn.IFS(
  AND(B3708&gt;=18, B3708&lt;=24), "18-24",
  AND(B3708&gt;=25, B3708&lt;=34), "25-34",
  AND(B3708&gt;=35, B3708&lt;=44), "35-44",
  AND(B3708&gt;=45, B3708&lt;=54), "45-54",
  B3708&gt;=55, "55+"
)</f>
        <v>25-34</v>
      </c>
      <c r="D3708" t="s">
        <v>153</v>
      </c>
      <c r="E3708" t="s">
        <v>42</v>
      </c>
      <c r="F3708" t="s">
        <v>43</v>
      </c>
      <c r="G3708">
        <v>55</v>
      </c>
      <c r="H3708" t="s">
        <v>111</v>
      </c>
      <c r="I3708" t="s">
        <v>45</v>
      </c>
      <c r="J3708" t="s">
        <v>96</v>
      </c>
      <c r="K3708" t="s">
        <v>39</v>
      </c>
      <c r="L3708">
        <v>4</v>
      </c>
      <c r="M3708" t="s">
        <v>152</v>
      </c>
      <c r="N3708" t="s">
        <v>27</v>
      </c>
      <c r="O3708" t="s">
        <v>76</v>
      </c>
      <c r="P3708" t="s">
        <v>152</v>
      </c>
      <c r="Q3708" t="s">
        <v>152</v>
      </c>
      <c r="R3708">
        <v>17</v>
      </c>
      <c r="S3708" t="s">
        <v>35</v>
      </c>
      <c r="T3708" t="str">
        <f t="shared" si="114"/>
        <v>2-week</v>
      </c>
      <c r="U3708">
        <f>VLOOKUP(T3708,[1]tablescore!$B$3:$C$8, 2,FALSE)</f>
        <v>26</v>
      </c>
      <c r="V3708" t="str">
        <f t="shared" si="115"/>
        <v>Loyal</v>
      </c>
      <c r="W3708" t="s">
        <v>77</v>
      </c>
    </row>
    <row r="3709" spans="1:23" x14ac:dyDescent="0.25">
      <c r="A3709">
        <v>3708</v>
      </c>
      <c r="B3709">
        <v>35</v>
      </c>
      <c r="C3709" t="str" cm="1">
        <f t="array" ref="C3709">_xlfn.IFS(
  AND(B3709&gt;=18, B3709&lt;=24), "18-24",
  AND(B3709&gt;=25, B3709&lt;=34), "25-34",
  AND(B3709&gt;=35, B3709&lt;=44), "35-44",
  AND(B3709&gt;=45, B3709&lt;=54), "45-54",
  B3709&gt;=55, "55+"
)</f>
        <v>35-44</v>
      </c>
      <c r="D3709" t="s">
        <v>153</v>
      </c>
      <c r="E3709" t="s">
        <v>127</v>
      </c>
      <c r="F3709" t="s">
        <v>69</v>
      </c>
      <c r="G3709">
        <v>79</v>
      </c>
      <c r="H3709" t="s">
        <v>115</v>
      </c>
      <c r="I3709" t="s">
        <v>45</v>
      </c>
      <c r="J3709" t="s">
        <v>81</v>
      </c>
      <c r="K3709" t="s">
        <v>58</v>
      </c>
      <c r="L3709">
        <v>3.4</v>
      </c>
      <c r="M3709" t="s">
        <v>152</v>
      </c>
      <c r="N3709" t="s">
        <v>34</v>
      </c>
      <c r="O3709" t="s">
        <v>72</v>
      </c>
      <c r="P3709" t="s">
        <v>152</v>
      </c>
      <c r="Q3709" t="s">
        <v>152</v>
      </c>
      <c r="R3709">
        <v>19</v>
      </c>
      <c r="S3709" t="s">
        <v>29</v>
      </c>
      <c r="T3709" t="str">
        <f t="shared" si="114"/>
        <v>Daily</v>
      </c>
      <c r="U3709">
        <f>VLOOKUP(T3709,[1]tablescore!$B$3:$C$8, 2,FALSE)</f>
        <v>30</v>
      </c>
      <c r="V3709" t="str">
        <f t="shared" si="115"/>
        <v>Highly Loyal</v>
      </c>
      <c r="W3709" t="s">
        <v>41</v>
      </c>
    </row>
    <row r="3710" spans="1:23" x14ac:dyDescent="0.25">
      <c r="A3710">
        <v>3709</v>
      </c>
      <c r="B3710">
        <v>40</v>
      </c>
      <c r="C3710" t="str" cm="1">
        <f t="array" ref="C3710">_xlfn.IFS(
  AND(B3710&gt;=18, B3710&lt;=24), "18-24",
  AND(B3710&gt;=25, B3710&lt;=34), "25-34",
  AND(B3710&gt;=35, B3710&lt;=44), "35-44",
  AND(B3710&gt;=45, B3710&lt;=54), "45-54",
  B3710&gt;=55, "55+"
)</f>
        <v>35-44</v>
      </c>
      <c r="D3710" t="s">
        <v>153</v>
      </c>
      <c r="E3710" t="s">
        <v>104</v>
      </c>
      <c r="F3710" t="s">
        <v>21</v>
      </c>
      <c r="G3710">
        <v>96</v>
      </c>
      <c r="H3710" t="s">
        <v>126</v>
      </c>
      <c r="I3710" t="s">
        <v>45</v>
      </c>
      <c r="J3710" t="s">
        <v>108</v>
      </c>
      <c r="K3710" t="s">
        <v>58</v>
      </c>
      <c r="L3710">
        <v>4.9000000000000004</v>
      </c>
      <c r="M3710" t="s">
        <v>152</v>
      </c>
      <c r="N3710" t="s">
        <v>34</v>
      </c>
      <c r="O3710" t="s">
        <v>28</v>
      </c>
      <c r="P3710" t="s">
        <v>152</v>
      </c>
      <c r="Q3710" t="s">
        <v>152</v>
      </c>
      <c r="R3710">
        <v>41</v>
      </c>
      <c r="S3710" t="s">
        <v>46</v>
      </c>
      <c r="T3710" t="str">
        <f t="shared" si="114"/>
        <v>Month</v>
      </c>
      <c r="U3710">
        <f>VLOOKUP(T3710,[1]tablescore!$B$3:$C$8, 2,FALSE)</f>
        <v>12</v>
      </c>
      <c r="V3710" t="str">
        <f t="shared" si="115"/>
        <v>Moderate</v>
      </c>
      <c r="W3710" t="s">
        <v>88</v>
      </c>
    </row>
    <row r="3711" spans="1:23" x14ac:dyDescent="0.25">
      <c r="A3711">
        <v>3710</v>
      </c>
      <c r="B3711">
        <v>31</v>
      </c>
      <c r="C3711" t="str" cm="1">
        <f t="array" ref="C3711">_xlfn.IFS(
  AND(B3711&gt;=18, B3711&lt;=24), "18-24",
  AND(B3711&gt;=25, B3711&lt;=34), "25-34",
  AND(B3711&gt;=35, B3711&lt;=44), "35-44",
  AND(B3711&gt;=45, B3711&lt;=54), "45-54",
  B3711&gt;=55, "55+"
)</f>
        <v>25-34</v>
      </c>
      <c r="D3711" t="s">
        <v>153</v>
      </c>
      <c r="E3711" t="s">
        <v>131</v>
      </c>
      <c r="F3711" t="s">
        <v>21</v>
      </c>
      <c r="G3711">
        <v>43</v>
      </c>
      <c r="H3711" t="s">
        <v>149</v>
      </c>
      <c r="I3711" t="s">
        <v>45</v>
      </c>
      <c r="J3711" t="s">
        <v>67</v>
      </c>
      <c r="K3711" t="s">
        <v>58</v>
      </c>
      <c r="L3711">
        <v>3.6</v>
      </c>
      <c r="M3711" t="s">
        <v>152</v>
      </c>
      <c r="N3711" t="s">
        <v>59</v>
      </c>
      <c r="O3711" t="s">
        <v>40</v>
      </c>
      <c r="P3711" t="s">
        <v>152</v>
      </c>
      <c r="Q3711" t="s">
        <v>152</v>
      </c>
      <c r="R3711">
        <v>27</v>
      </c>
      <c r="S3711" t="s">
        <v>46</v>
      </c>
      <c r="T3711" t="str">
        <f t="shared" si="114"/>
        <v>Quarterly</v>
      </c>
      <c r="U3711">
        <f>VLOOKUP(T3711,[1]tablescore!$B$3:$C$8, 2,FALSE)</f>
        <v>4</v>
      </c>
      <c r="V3711" t="str">
        <f t="shared" si="115"/>
        <v>Low Loyalty</v>
      </c>
      <c r="W3711" t="s">
        <v>60</v>
      </c>
    </row>
    <row r="3712" spans="1:23" x14ac:dyDescent="0.25">
      <c r="A3712">
        <v>3711</v>
      </c>
      <c r="B3712">
        <v>60</v>
      </c>
      <c r="C3712" t="str" cm="1">
        <f t="array" ref="C3712">_xlfn.IFS(
  AND(B3712&gt;=18, B3712&lt;=24), "18-24",
  AND(B3712&gt;=25, B3712&lt;=34), "25-34",
  AND(B3712&gt;=35, B3712&lt;=44), "35-44",
  AND(B3712&gt;=45, B3712&lt;=54), "45-54",
  B3712&gt;=55, "55+"
)</f>
        <v>55+</v>
      </c>
      <c r="D3712" t="s">
        <v>153</v>
      </c>
      <c r="E3712" t="s">
        <v>106</v>
      </c>
      <c r="F3712" t="s">
        <v>69</v>
      </c>
      <c r="G3712">
        <v>40</v>
      </c>
      <c r="H3712" t="s">
        <v>78</v>
      </c>
      <c r="I3712" t="s">
        <v>45</v>
      </c>
      <c r="J3712" t="s">
        <v>139</v>
      </c>
      <c r="K3712" t="s">
        <v>54</v>
      </c>
      <c r="L3712">
        <v>3.6</v>
      </c>
      <c r="M3712" t="s">
        <v>152</v>
      </c>
      <c r="N3712" t="s">
        <v>46</v>
      </c>
      <c r="O3712" t="s">
        <v>72</v>
      </c>
      <c r="P3712" t="s">
        <v>152</v>
      </c>
      <c r="Q3712" t="s">
        <v>152</v>
      </c>
      <c r="R3712">
        <v>32</v>
      </c>
      <c r="S3712" t="s">
        <v>34</v>
      </c>
      <c r="T3712" t="str">
        <f t="shared" si="114"/>
        <v>2-week</v>
      </c>
      <c r="U3712">
        <f>VLOOKUP(T3712,[1]tablescore!$B$3:$C$8, 2,FALSE)</f>
        <v>26</v>
      </c>
      <c r="V3712" t="str">
        <f t="shared" si="115"/>
        <v>Loyal</v>
      </c>
      <c r="W3712" t="s">
        <v>30</v>
      </c>
    </row>
    <row r="3713" spans="1:23" x14ac:dyDescent="0.25">
      <c r="A3713">
        <v>3712</v>
      </c>
      <c r="B3713">
        <v>69</v>
      </c>
      <c r="C3713" t="str" cm="1">
        <f t="array" ref="C3713">_xlfn.IFS(
  AND(B3713&gt;=18, B3713&lt;=24), "18-24",
  AND(B3713&gt;=25, B3713&lt;=34), "25-34",
  AND(B3713&gt;=35, B3713&lt;=44), "35-44",
  AND(B3713&gt;=45, B3713&lt;=54), "45-54",
  B3713&gt;=55, "55+"
)</f>
        <v>55+</v>
      </c>
      <c r="D3713" t="s">
        <v>153</v>
      </c>
      <c r="E3713" t="s">
        <v>125</v>
      </c>
      <c r="F3713" t="s">
        <v>69</v>
      </c>
      <c r="G3713">
        <v>62</v>
      </c>
      <c r="H3713" t="s">
        <v>105</v>
      </c>
      <c r="I3713" t="s">
        <v>92</v>
      </c>
      <c r="J3713" t="s">
        <v>100</v>
      </c>
      <c r="K3713" t="s">
        <v>58</v>
      </c>
      <c r="L3713">
        <v>3.2</v>
      </c>
      <c r="M3713" t="s">
        <v>152</v>
      </c>
      <c r="N3713" t="s">
        <v>35</v>
      </c>
      <c r="O3713" t="s">
        <v>40</v>
      </c>
      <c r="P3713" t="s">
        <v>152</v>
      </c>
      <c r="Q3713" t="s">
        <v>152</v>
      </c>
      <c r="R3713">
        <v>33</v>
      </c>
      <c r="S3713" t="s">
        <v>35</v>
      </c>
      <c r="T3713" t="str">
        <f t="shared" si="114"/>
        <v>Annually</v>
      </c>
      <c r="U3713">
        <f>VLOOKUP(T3713,[1]tablescore!$B$3:$C$8, 2,FALSE)</f>
        <v>1</v>
      </c>
      <c r="V3713" t="str">
        <f t="shared" si="115"/>
        <v>Low Loyalty</v>
      </c>
      <c r="W3713" t="s">
        <v>50</v>
      </c>
    </row>
    <row r="3714" spans="1:23" x14ac:dyDescent="0.25">
      <c r="A3714">
        <v>3713</v>
      </c>
      <c r="B3714">
        <v>51</v>
      </c>
      <c r="C3714" t="str" cm="1">
        <f t="array" ref="C3714">_xlfn.IFS(
  AND(B3714&gt;=18, B3714&lt;=24), "18-24",
  AND(B3714&gt;=25, B3714&lt;=34), "25-34",
  AND(B3714&gt;=35, B3714&lt;=44), "35-44",
  AND(B3714&gt;=45, B3714&lt;=54), "45-54",
  B3714&gt;=55, "55+"
)</f>
        <v>45-54</v>
      </c>
      <c r="D3714" t="s">
        <v>153</v>
      </c>
      <c r="E3714" t="s">
        <v>20</v>
      </c>
      <c r="F3714" t="s">
        <v>21</v>
      </c>
      <c r="G3714">
        <v>72</v>
      </c>
      <c r="H3714" t="s">
        <v>48</v>
      </c>
      <c r="I3714" t="s">
        <v>45</v>
      </c>
      <c r="J3714" t="s">
        <v>49</v>
      </c>
      <c r="K3714" t="s">
        <v>39</v>
      </c>
      <c r="L3714">
        <v>3.7</v>
      </c>
      <c r="M3714" t="s">
        <v>152</v>
      </c>
      <c r="N3714" t="s">
        <v>29</v>
      </c>
      <c r="O3714" t="s">
        <v>72</v>
      </c>
      <c r="P3714" t="s">
        <v>152</v>
      </c>
      <c r="Q3714" t="s">
        <v>152</v>
      </c>
      <c r="R3714">
        <v>24</v>
      </c>
      <c r="S3714" t="s">
        <v>46</v>
      </c>
      <c r="T3714" t="str">
        <f t="shared" si="114"/>
        <v>Quarterly</v>
      </c>
      <c r="U3714">
        <f>VLOOKUP(T3714,[1]tablescore!$B$3:$C$8, 2,FALSE)</f>
        <v>4</v>
      </c>
      <c r="V3714" t="str">
        <f t="shared" si="115"/>
        <v>Low Loyalty</v>
      </c>
      <c r="W3714" t="s">
        <v>60</v>
      </c>
    </row>
    <row r="3715" spans="1:23" x14ac:dyDescent="0.25">
      <c r="A3715">
        <v>3714</v>
      </c>
      <c r="B3715">
        <v>49</v>
      </c>
      <c r="C3715" t="str" cm="1">
        <f t="array" ref="C3715">_xlfn.IFS(
  AND(B3715&gt;=18, B3715&lt;=24), "18-24",
  AND(B3715&gt;=25, B3715&lt;=34), "25-34",
  AND(B3715&gt;=35, B3715&lt;=44), "35-44",
  AND(B3715&gt;=45, B3715&lt;=54), "45-54",
  B3715&gt;=55, "55+"
)</f>
        <v>45-54</v>
      </c>
      <c r="D3715" t="s">
        <v>153</v>
      </c>
      <c r="E3715" t="s">
        <v>73</v>
      </c>
      <c r="F3715" t="s">
        <v>43</v>
      </c>
      <c r="G3715">
        <v>87</v>
      </c>
      <c r="H3715" t="s">
        <v>117</v>
      </c>
      <c r="I3715" t="s">
        <v>45</v>
      </c>
      <c r="J3715" t="s">
        <v>100</v>
      </c>
      <c r="K3715" t="s">
        <v>39</v>
      </c>
      <c r="L3715">
        <v>2.6</v>
      </c>
      <c r="M3715" t="s">
        <v>152</v>
      </c>
      <c r="N3715" t="s">
        <v>35</v>
      </c>
      <c r="O3715" t="s">
        <v>28</v>
      </c>
      <c r="P3715" t="s">
        <v>152</v>
      </c>
      <c r="Q3715" t="s">
        <v>152</v>
      </c>
      <c r="R3715">
        <v>31</v>
      </c>
      <c r="S3715" t="s">
        <v>59</v>
      </c>
      <c r="T3715" t="str">
        <f t="shared" ref="T3715:T3778" si="116">IF(TRIM(W3715)="Every 3 months","Quarterly",IF(TRIM(W3715)="Fortnightly","2-week",IF(TRIM(W3715)="Bi-Weekly","2-week",IF(TRIM(W3715)="Weekly","Daily",IF(TRIM(W3715)="Monthly","Month",TRIM(W3715))))))</f>
        <v>Quarterly</v>
      </c>
      <c r="U3715">
        <f>VLOOKUP(T3715,[1]tablescore!$B$3:$C$8, 2,FALSE)</f>
        <v>4</v>
      </c>
      <c r="V3715" t="str">
        <f t="shared" ref="V3715:V3778" si="117">_xlfn.IFS(U3715&gt;=30, "Highly Loyal", U3715&gt;=26, "Loyal", U3715&gt;=12, "Moderate", U3715&lt;5, "Low Loyalty")</f>
        <v>Low Loyalty</v>
      </c>
      <c r="W3715" t="s">
        <v>97</v>
      </c>
    </row>
    <row r="3716" spans="1:23" x14ac:dyDescent="0.25">
      <c r="A3716">
        <v>3715</v>
      </c>
      <c r="B3716">
        <v>18</v>
      </c>
      <c r="C3716" t="str" cm="1">
        <f t="array" ref="C3716">_xlfn.IFS(
  AND(B3716&gt;=18, B3716&lt;=24), "18-24",
  AND(B3716&gt;=25, B3716&lt;=34), "25-34",
  AND(B3716&gt;=35, B3716&lt;=44), "35-44",
  AND(B3716&gt;=45, B3716&lt;=54), "45-54",
  B3716&gt;=55, "55+"
)</f>
        <v>18-24</v>
      </c>
      <c r="D3716" t="s">
        <v>153</v>
      </c>
      <c r="E3716" t="s">
        <v>125</v>
      </c>
      <c r="F3716" t="s">
        <v>69</v>
      </c>
      <c r="G3716">
        <v>31</v>
      </c>
      <c r="H3716" t="s">
        <v>85</v>
      </c>
      <c r="I3716" t="s">
        <v>38</v>
      </c>
      <c r="J3716" t="s">
        <v>100</v>
      </c>
      <c r="K3716" t="s">
        <v>25</v>
      </c>
      <c r="L3716">
        <v>3.9</v>
      </c>
      <c r="M3716" t="s">
        <v>152</v>
      </c>
      <c r="N3716" t="s">
        <v>35</v>
      </c>
      <c r="O3716" t="s">
        <v>28</v>
      </c>
      <c r="P3716" t="s">
        <v>152</v>
      </c>
      <c r="Q3716" t="s">
        <v>152</v>
      </c>
      <c r="R3716">
        <v>35</v>
      </c>
      <c r="S3716" t="s">
        <v>27</v>
      </c>
      <c r="T3716" t="str">
        <f t="shared" si="116"/>
        <v>Daily</v>
      </c>
      <c r="U3716">
        <f>VLOOKUP(T3716,[1]tablescore!$B$3:$C$8, 2,FALSE)</f>
        <v>30</v>
      </c>
      <c r="V3716" t="str">
        <f t="shared" si="117"/>
        <v>Highly Loyal</v>
      </c>
      <c r="W3716" t="s">
        <v>41</v>
      </c>
    </row>
    <row r="3717" spans="1:23" x14ac:dyDescent="0.25">
      <c r="A3717">
        <v>3716</v>
      </c>
      <c r="B3717">
        <v>63</v>
      </c>
      <c r="C3717" t="str" cm="1">
        <f t="array" ref="C3717">_xlfn.IFS(
  AND(B3717&gt;=18, B3717&lt;=24), "18-24",
  AND(B3717&gt;=25, B3717&lt;=34), "25-34",
  AND(B3717&gt;=35, B3717&lt;=44), "35-44",
  AND(B3717&gt;=45, B3717&lt;=54), "45-54",
  B3717&gt;=55, "55+"
)</f>
        <v>55+</v>
      </c>
      <c r="D3717" t="s">
        <v>153</v>
      </c>
      <c r="E3717" t="s">
        <v>89</v>
      </c>
      <c r="F3717" t="s">
        <v>69</v>
      </c>
      <c r="G3717">
        <v>34</v>
      </c>
      <c r="H3717" t="s">
        <v>143</v>
      </c>
      <c r="I3717" t="s">
        <v>38</v>
      </c>
      <c r="J3717" t="s">
        <v>121</v>
      </c>
      <c r="K3717" t="s">
        <v>58</v>
      </c>
      <c r="L3717">
        <v>3.4</v>
      </c>
      <c r="M3717" t="s">
        <v>152</v>
      </c>
      <c r="N3717" t="s">
        <v>27</v>
      </c>
      <c r="O3717" t="s">
        <v>40</v>
      </c>
      <c r="P3717" t="s">
        <v>152</v>
      </c>
      <c r="Q3717" t="s">
        <v>152</v>
      </c>
      <c r="R3717">
        <v>2</v>
      </c>
      <c r="S3717" t="s">
        <v>34</v>
      </c>
      <c r="T3717" t="str">
        <f t="shared" si="116"/>
        <v>Month</v>
      </c>
      <c r="U3717">
        <f>VLOOKUP(T3717,[1]tablescore!$B$3:$C$8, 2,FALSE)</f>
        <v>12</v>
      </c>
      <c r="V3717" t="str">
        <f t="shared" si="117"/>
        <v>Moderate</v>
      </c>
      <c r="W3717" t="s">
        <v>88</v>
      </c>
    </row>
    <row r="3718" spans="1:23" x14ac:dyDescent="0.25">
      <c r="A3718">
        <v>3717</v>
      </c>
      <c r="B3718">
        <v>57</v>
      </c>
      <c r="C3718" t="str" cm="1">
        <f t="array" ref="C3718">_xlfn.IFS(
  AND(B3718&gt;=18, B3718&lt;=24), "18-24",
  AND(B3718&gt;=25, B3718&lt;=34), "25-34",
  AND(B3718&gt;=35, B3718&lt;=44), "35-44",
  AND(B3718&gt;=45, B3718&lt;=54), "45-54",
  B3718&gt;=55, "55+"
)</f>
        <v>55+</v>
      </c>
      <c r="D3718" t="s">
        <v>153</v>
      </c>
      <c r="E3718" t="s">
        <v>56</v>
      </c>
      <c r="F3718" t="s">
        <v>21</v>
      </c>
      <c r="G3718">
        <v>53</v>
      </c>
      <c r="H3718" t="s">
        <v>145</v>
      </c>
      <c r="I3718" t="s">
        <v>45</v>
      </c>
      <c r="J3718" t="s">
        <v>63</v>
      </c>
      <c r="K3718" t="s">
        <v>58</v>
      </c>
      <c r="L3718">
        <v>3.4</v>
      </c>
      <c r="M3718" t="s">
        <v>152</v>
      </c>
      <c r="N3718" t="s">
        <v>34</v>
      </c>
      <c r="O3718" t="s">
        <v>47</v>
      </c>
      <c r="P3718" t="s">
        <v>152</v>
      </c>
      <c r="Q3718" t="s">
        <v>152</v>
      </c>
      <c r="R3718">
        <v>42</v>
      </c>
      <c r="S3718" t="s">
        <v>59</v>
      </c>
      <c r="T3718" t="str">
        <f t="shared" si="116"/>
        <v>Quarterly</v>
      </c>
      <c r="U3718">
        <f>VLOOKUP(T3718,[1]tablescore!$B$3:$C$8, 2,FALSE)</f>
        <v>4</v>
      </c>
      <c r="V3718" t="str">
        <f t="shared" si="117"/>
        <v>Low Loyalty</v>
      </c>
      <c r="W3718" t="s">
        <v>97</v>
      </c>
    </row>
    <row r="3719" spans="1:23" x14ac:dyDescent="0.25">
      <c r="A3719">
        <v>3718</v>
      </c>
      <c r="B3719">
        <v>45</v>
      </c>
      <c r="C3719" t="str" cm="1">
        <f t="array" ref="C3719">_xlfn.IFS(
  AND(B3719&gt;=18, B3719&lt;=24), "18-24",
  AND(B3719&gt;=25, B3719&lt;=34), "25-34",
  AND(B3719&gt;=35, B3719&lt;=44), "35-44",
  AND(B3719&gt;=45, B3719&lt;=54), "45-54",
  B3719&gt;=55, "55+"
)</f>
        <v>45-54</v>
      </c>
      <c r="D3719" t="s">
        <v>153</v>
      </c>
      <c r="E3719" t="s">
        <v>113</v>
      </c>
      <c r="F3719" t="s">
        <v>21</v>
      </c>
      <c r="G3719">
        <v>85</v>
      </c>
      <c r="H3719" t="s">
        <v>135</v>
      </c>
      <c r="I3719" t="s">
        <v>92</v>
      </c>
      <c r="J3719" t="s">
        <v>53</v>
      </c>
      <c r="K3719" t="s">
        <v>54</v>
      </c>
      <c r="L3719">
        <v>4.2</v>
      </c>
      <c r="M3719" t="s">
        <v>152</v>
      </c>
      <c r="N3719" t="s">
        <v>29</v>
      </c>
      <c r="O3719" t="s">
        <v>28</v>
      </c>
      <c r="P3719" t="s">
        <v>152</v>
      </c>
      <c r="Q3719" t="s">
        <v>152</v>
      </c>
      <c r="R3719">
        <v>47</v>
      </c>
      <c r="S3719" t="s">
        <v>34</v>
      </c>
      <c r="T3719" t="str">
        <f t="shared" si="116"/>
        <v>Quarterly</v>
      </c>
      <c r="U3719">
        <f>VLOOKUP(T3719,[1]tablescore!$B$3:$C$8, 2,FALSE)</f>
        <v>4</v>
      </c>
      <c r="V3719" t="str">
        <f t="shared" si="117"/>
        <v>Low Loyalty</v>
      </c>
      <c r="W3719" t="s">
        <v>97</v>
      </c>
    </row>
    <row r="3720" spans="1:23" x14ac:dyDescent="0.25">
      <c r="A3720">
        <v>3719</v>
      </c>
      <c r="B3720">
        <v>36</v>
      </c>
      <c r="C3720" t="str" cm="1">
        <f t="array" ref="C3720">_xlfn.IFS(
  AND(B3720&gt;=18, B3720&lt;=24), "18-24",
  AND(B3720&gt;=25, B3720&lt;=34), "25-34",
  AND(B3720&gt;=35, B3720&lt;=44), "35-44",
  AND(B3720&gt;=45, B3720&lt;=54), "45-54",
  B3720&gt;=55, "55+"
)</f>
        <v>35-44</v>
      </c>
      <c r="D3720" t="s">
        <v>153</v>
      </c>
      <c r="E3720" t="s">
        <v>95</v>
      </c>
      <c r="F3720" t="s">
        <v>21</v>
      </c>
      <c r="G3720">
        <v>50</v>
      </c>
      <c r="H3720" t="s">
        <v>122</v>
      </c>
      <c r="I3720" t="s">
        <v>23</v>
      </c>
      <c r="J3720" t="s">
        <v>49</v>
      </c>
      <c r="K3720" t="s">
        <v>58</v>
      </c>
      <c r="L3720">
        <v>2.9</v>
      </c>
      <c r="M3720" t="s">
        <v>152</v>
      </c>
      <c r="N3720" t="s">
        <v>27</v>
      </c>
      <c r="O3720" t="s">
        <v>55</v>
      </c>
      <c r="P3720" t="s">
        <v>152</v>
      </c>
      <c r="Q3720" t="s">
        <v>152</v>
      </c>
      <c r="R3720">
        <v>44</v>
      </c>
      <c r="S3720" t="s">
        <v>34</v>
      </c>
      <c r="T3720" t="str">
        <f t="shared" si="116"/>
        <v>2-week</v>
      </c>
      <c r="U3720">
        <f>VLOOKUP(T3720,[1]tablescore!$B$3:$C$8, 2,FALSE)</f>
        <v>26</v>
      </c>
      <c r="V3720" t="str">
        <f t="shared" si="117"/>
        <v>Loyal</v>
      </c>
      <c r="W3720" t="s">
        <v>77</v>
      </c>
    </row>
    <row r="3721" spans="1:23" x14ac:dyDescent="0.25">
      <c r="A3721">
        <v>3720</v>
      </c>
      <c r="B3721">
        <v>20</v>
      </c>
      <c r="C3721" t="str" cm="1">
        <f t="array" ref="C3721">_xlfn.IFS(
  AND(B3721&gt;=18, B3721&lt;=24), "18-24",
  AND(B3721&gt;=25, B3721&lt;=34), "25-34",
  AND(B3721&gt;=35, B3721&lt;=44), "35-44",
  AND(B3721&gt;=45, B3721&lt;=54), "45-54",
  B3721&gt;=55, "55+"
)</f>
        <v>18-24</v>
      </c>
      <c r="D3721" t="s">
        <v>153</v>
      </c>
      <c r="E3721" t="s">
        <v>95</v>
      </c>
      <c r="F3721" t="s">
        <v>21</v>
      </c>
      <c r="G3721">
        <v>91</v>
      </c>
      <c r="H3721" t="s">
        <v>141</v>
      </c>
      <c r="I3721" t="s">
        <v>45</v>
      </c>
      <c r="J3721" t="s">
        <v>108</v>
      </c>
      <c r="K3721" t="s">
        <v>54</v>
      </c>
      <c r="L3721">
        <v>4.0999999999999996</v>
      </c>
      <c r="M3721" t="s">
        <v>152</v>
      </c>
      <c r="N3721" t="s">
        <v>35</v>
      </c>
      <c r="O3721" t="s">
        <v>40</v>
      </c>
      <c r="P3721" t="s">
        <v>152</v>
      </c>
      <c r="Q3721" t="s">
        <v>152</v>
      </c>
      <c r="R3721">
        <v>8</v>
      </c>
      <c r="S3721" t="s">
        <v>34</v>
      </c>
      <c r="T3721" t="str">
        <f t="shared" si="116"/>
        <v>Quarterly</v>
      </c>
      <c r="U3721">
        <f>VLOOKUP(T3721,[1]tablescore!$B$3:$C$8, 2,FALSE)</f>
        <v>4</v>
      </c>
      <c r="V3721" t="str">
        <f t="shared" si="117"/>
        <v>Low Loyalty</v>
      </c>
      <c r="W3721" t="s">
        <v>97</v>
      </c>
    </row>
    <row r="3722" spans="1:23" x14ac:dyDescent="0.25">
      <c r="A3722">
        <v>3721</v>
      </c>
      <c r="B3722">
        <v>21</v>
      </c>
      <c r="C3722" t="str" cm="1">
        <f t="array" ref="C3722">_xlfn.IFS(
  AND(B3722&gt;=18, B3722&lt;=24), "18-24",
  AND(B3722&gt;=25, B3722&lt;=34), "25-34",
  AND(B3722&gt;=35, B3722&lt;=44), "35-44",
  AND(B3722&gt;=45, B3722&lt;=54), "45-54",
  B3722&gt;=55, "55+"
)</f>
        <v>18-24</v>
      </c>
      <c r="D3722" t="s">
        <v>153</v>
      </c>
      <c r="E3722" t="s">
        <v>125</v>
      </c>
      <c r="F3722" t="s">
        <v>69</v>
      </c>
      <c r="G3722">
        <v>56</v>
      </c>
      <c r="H3722" t="s">
        <v>126</v>
      </c>
      <c r="I3722" t="s">
        <v>45</v>
      </c>
      <c r="J3722" t="s">
        <v>100</v>
      </c>
      <c r="K3722" t="s">
        <v>58</v>
      </c>
      <c r="L3722">
        <v>3.6</v>
      </c>
      <c r="M3722" t="s">
        <v>152</v>
      </c>
      <c r="N3722" t="s">
        <v>59</v>
      </c>
      <c r="O3722" t="s">
        <v>40</v>
      </c>
      <c r="P3722" t="s">
        <v>152</v>
      </c>
      <c r="Q3722" t="s">
        <v>152</v>
      </c>
      <c r="R3722">
        <v>13</v>
      </c>
      <c r="S3722" t="s">
        <v>27</v>
      </c>
      <c r="T3722" t="str">
        <f t="shared" si="116"/>
        <v>Quarterly</v>
      </c>
      <c r="U3722">
        <f>VLOOKUP(T3722,[1]tablescore!$B$3:$C$8, 2,FALSE)</f>
        <v>4</v>
      </c>
      <c r="V3722" t="str">
        <f t="shared" si="117"/>
        <v>Low Loyalty</v>
      </c>
      <c r="W3722" t="s">
        <v>60</v>
      </c>
    </row>
    <row r="3723" spans="1:23" x14ac:dyDescent="0.25">
      <c r="A3723">
        <v>3722</v>
      </c>
      <c r="B3723">
        <v>62</v>
      </c>
      <c r="C3723" t="str" cm="1">
        <f t="array" ref="C3723">_xlfn.IFS(
  AND(B3723&gt;=18, B3723&lt;=24), "18-24",
  AND(B3723&gt;=25, B3723&lt;=34), "25-34",
  AND(B3723&gt;=35, B3723&lt;=44), "35-44",
  AND(B3723&gt;=45, B3723&lt;=54), "45-54",
  B3723&gt;=55, "55+"
)</f>
        <v>55+</v>
      </c>
      <c r="D3723" t="s">
        <v>153</v>
      </c>
      <c r="E3723" t="s">
        <v>64</v>
      </c>
      <c r="F3723" t="s">
        <v>65</v>
      </c>
      <c r="G3723">
        <v>60</v>
      </c>
      <c r="H3723" t="s">
        <v>146</v>
      </c>
      <c r="I3723" t="s">
        <v>23</v>
      </c>
      <c r="J3723" t="s">
        <v>71</v>
      </c>
      <c r="K3723" t="s">
        <v>58</v>
      </c>
      <c r="L3723">
        <v>4</v>
      </c>
      <c r="M3723" t="s">
        <v>152</v>
      </c>
      <c r="N3723" t="s">
        <v>27</v>
      </c>
      <c r="O3723" t="s">
        <v>47</v>
      </c>
      <c r="P3723" t="s">
        <v>152</v>
      </c>
      <c r="Q3723" t="s">
        <v>152</v>
      </c>
      <c r="R3723">
        <v>10</v>
      </c>
      <c r="S3723" t="s">
        <v>35</v>
      </c>
      <c r="T3723" t="str">
        <f t="shared" si="116"/>
        <v>Annually</v>
      </c>
      <c r="U3723">
        <f>VLOOKUP(T3723,[1]tablescore!$B$3:$C$8, 2,FALSE)</f>
        <v>1</v>
      </c>
      <c r="V3723" t="str">
        <f t="shared" si="117"/>
        <v>Low Loyalty</v>
      </c>
      <c r="W3723" t="s">
        <v>50</v>
      </c>
    </row>
    <row r="3724" spans="1:23" x14ac:dyDescent="0.25">
      <c r="A3724">
        <v>3723</v>
      </c>
      <c r="B3724">
        <v>23</v>
      </c>
      <c r="C3724" t="str" cm="1">
        <f t="array" ref="C3724">_xlfn.IFS(
  AND(B3724&gt;=18, B3724&lt;=24), "18-24",
  AND(B3724&gt;=25, B3724&lt;=34), "25-34",
  AND(B3724&gt;=35, B3724&lt;=44), "35-44",
  AND(B3724&gt;=45, B3724&lt;=54), "45-54",
  B3724&gt;=55, "55+"
)</f>
        <v>18-24</v>
      </c>
      <c r="D3724" t="s">
        <v>153</v>
      </c>
      <c r="E3724" t="s">
        <v>102</v>
      </c>
      <c r="F3724" t="s">
        <v>65</v>
      </c>
      <c r="G3724">
        <v>34</v>
      </c>
      <c r="H3724" t="s">
        <v>22</v>
      </c>
      <c r="I3724" t="s">
        <v>92</v>
      </c>
      <c r="J3724" t="s">
        <v>139</v>
      </c>
      <c r="K3724" t="s">
        <v>58</v>
      </c>
      <c r="L3724">
        <v>4</v>
      </c>
      <c r="M3724" t="s">
        <v>152</v>
      </c>
      <c r="N3724" t="s">
        <v>46</v>
      </c>
      <c r="O3724" t="s">
        <v>55</v>
      </c>
      <c r="P3724" t="s">
        <v>152</v>
      </c>
      <c r="Q3724" t="s">
        <v>152</v>
      </c>
      <c r="R3724">
        <v>1</v>
      </c>
      <c r="S3724" t="s">
        <v>27</v>
      </c>
      <c r="T3724" t="str">
        <f t="shared" si="116"/>
        <v>2-week</v>
      </c>
      <c r="U3724">
        <f>VLOOKUP(T3724,[1]tablescore!$B$3:$C$8, 2,FALSE)</f>
        <v>26</v>
      </c>
      <c r="V3724" t="str">
        <f t="shared" si="117"/>
        <v>Loyal</v>
      </c>
      <c r="W3724" t="s">
        <v>30</v>
      </c>
    </row>
    <row r="3725" spans="1:23" x14ac:dyDescent="0.25">
      <c r="A3725">
        <v>3724</v>
      </c>
      <c r="B3725">
        <v>26</v>
      </c>
      <c r="C3725" t="str" cm="1">
        <f t="array" ref="C3725">_xlfn.IFS(
  AND(B3725&gt;=18, B3725&lt;=24), "18-24",
  AND(B3725&gt;=25, B3725&lt;=34), "25-34",
  AND(B3725&gt;=35, B3725&lt;=44), "35-44",
  AND(B3725&gt;=45, B3725&lt;=54), "45-54",
  B3725&gt;=55, "55+"
)</f>
        <v>25-34</v>
      </c>
      <c r="D3725" t="s">
        <v>153</v>
      </c>
      <c r="E3725" t="s">
        <v>42</v>
      </c>
      <c r="F3725" t="s">
        <v>43</v>
      </c>
      <c r="G3725">
        <v>30</v>
      </c>
      <c r="H3725" t="s">
        <v>44</v>
      </c>
      <c r="I3725" t="s">
        <v>45</v>
      </c>
      <c r="J3725" t="s">
        <v>118</v>
      </c>
      <c r="K3725" t="s">
        <v>39</v>
      </c>
      <c r="L3725">
        <v>3.6</v>
      </c>
      <c r="M3725" t="s">
        <v>152</v>
      </c>
      <c r="N3725" t="s">
        <v>29</v>
      </c>
      <c r="O3725" t="s">
        <v>40</v>
      </c>
      <c r="P3725" t="s">
        <v>152</v>
      </c>
      <c r="Q3725" t="s">
        <v>152</v>
      </c>
      <c r="R3725">
        <v>1</v>
      </c>
      <c r="S3725" t="s">
        <v>59</v>
      </c>
      <c r="T3725" t="str">
        <f t="shared" si="116"/>
        <v>Month</v>
      </c>
      <c r="U3725">
        <f>VLOOKUP(T3725,[1]tablescore!$B$3:$C$8, 2,FALSE)</f>
        <v>12</v>
      </c>
      <c r="V3725" t="str">
        <f t="shared" si="117"/>
        <v>Moderate</v>
      </c>
      <c r="W3725" t="s">
        <v>88</v>
      </c>
    </row>
    <row r="3726" spans="1:23" x14ac:dyDescent="0.25">
      <c r="A3726">
        <v>3725</v>
      </c>
      <c r="B3726">
        <v>30</v>
      </c>
      <c r="C3726" t="str" cm="1">
        <f t="array" ref="C3726">_xlfn.IFS(
  AND(B3726&gt;=18, B3726&lt;=24), "18-24",
  AND(B3726&gt;=25, B3726&lt;=34), "25-34",
  AND(B3726&gt;=35, B3726&lt;=44), "35-44",
  AND(B3726&gt;=45, B3726&lt;=54), "45-54",
  B3726&gt;=55, "55+"
)</f>
        <v>25-34</v>
      </c>
      <c r="D3726" t="s">
        <v>153</v>
      </c>
      <c r="E3726" t="s">
        <v>127</v>
      </c>
      <c r="F3726" t="s">
        <v>69</v>
      </c>
      <c r="G3726">
        <v>71</v>
      </c>
      <c r="H3726" t="s">
        <v>112</v>
      </c>
      <c r="I3726" t="s">
        <v>23</v>
      </c>
      <c r="J3726" t="s">
        <v>96</v>
      </c>
      <c r="K3726" t="s">
        <v>25</v>
      </c>
      <c r="L3726">
        <v>3.1</v>
      </c>
      <c r="M3726" t="s">
        <v>152</v>
      </c>
      <c r="N3726" t="s">
        <v>46</v>
      </c>
      <c r="O3726" t="s">
        <v>28</v>
      </c>
      <c r="P3726" t="s">
        <v>152</v>
      </c>
      <c r="Q3726" t="s">
        <v>152</v>
      </c>
      <c r="R3726">
        <v>18</v>
      </c>
      <c r="S3726" t="s">
        <v>34</v>
      </c>
      <c r="T3726" t="str">
        <f t="shared" si="116"/>
        <v>Annually</v>
      </c>
      <c r="U3726">
        <f>VLOOKUP(T3726,[1]tablescore!$B$3:$C$8, 2,FALSE)</f>
        <v>1</v>
      </c>
      <c r="V3726" t="str">
        <f t="shared" si="117"/>
        <v>Low Loyalty</v>
      </c>
      <c r="W3726" t="s">
        <v>50</v>
      </c>
    </row>
    <row r="3727" spans="1:23" x14ac:dyDescent="0.25">
      <c r="A3727">
        <v>3726</v>
      </c>
      <c r="B3727">
        <v>18</v>
      </c>
      <c r="C3727" t="str" cm="1">
        <f t="array" ref="C3727">_xlfn.IFS(
  AND(B3727&gt;=18, B3727&lt;=24), "18-24",
  AND(B3727&gt;=25, B3727&lt;=34), "25-34",
  AND(B3727&gt;=35, B3727&lt;=44), "35-44",
  AND(B3727&gt;=45, B3727&lt;=54), "45-54",
  B3727&gt;=55, "55+"
)</f>
        <v>18-24</v>
      </c>
      <c r="D3727" t="s">
        <v>153</v>
      </c>
      <c r="E3727" t="s">
        <v>82</v>
      </c>
      <c r="F3727" t="s">
        <v>21</v>
      </c>
      <c r="G3727">
        <v>100</v>
      </c>
      <c r="H3727" t="s">
        <v>101</v>
      </c>
      <c r="I3727" t="s">
        <v>38</v>
      </c>
      <c r="J3727" t="s">
        <v>49</v>
      </c>
      <c r="K3727" t="s">
        <v>25</v>
      </c>
      <c r="L3727">
        <v>4.4000000000000004</v>
      </c>
      <c r="M3727" t="s">
        <v>152</v>
      </c>
      <c r="N3727" t="s">
        <v>34</v>
      </c>
      <c r="O3727" t="s">
        <v>47</v>
      </c>
      <c r="P3727" t="s">
        <v>152</v>
      </c>
      <c r="Q3727" t="s">
        <v>152</v>
      </c>
      <c r="R3727">
        <v>2</v>
      </c>
      <c r="S3727" t="s">
        <v>46</v>
      </c>
      <c r="T3727" t="str">
        <f t="shared" si="116"/>
        <v>Annually</v>
      </c>
      <c r="U3727">
        <f>VLOOKUP(T3727,[1]tablescore!$B$3:$C$8, 2,FALSE)</f>
        <v>1</v>
      </c>
      <c r="V3727" t="str">
        <f t="shared" si="117"/>
        <v>Low Loyalty</v>
      </c>
      <c r="W3727" t="s">
        <v>50</v>
      </c>
    </row>
    <row r="3728" spans="1:23" x14ac:dyDescent="0.25">
      <c r="A3728">
        <v>3727</v>
      </c>
      <c r="B3728">
        <v>47</v>
      </c>
      <c r="C3728" t="str" cm="1">
        <f t="array" ref="C3728">_xlfn.IFS(
  AND(B3728&gt;=18, B3728&lt;=24), "18-24",
  AND(B3728&gt;=25, B3728&lt;=34), "25-34",
  AND(B3728&gt;=35, B3728&lt;=44), "35-44",
  AND(B3728&gt;=45, B3728&lt;=54), "45-54",
  B3728&gt;=55, "55+"
)</f>
        <v>45-54</v>
      </c>
      <c r="D3728" t="s">
        <v>153</v>
      </c>
      <c r="E3728" t="s">
        <v>136</v>
      </c>
      <c r="F3728" t="s">
        <v>69</v>
      </c>
      <c r="G3728">
        <v>85</v>
      </c>
      <c r="H3728" t="s">
        <v>144</v>
      </c>
      <c r="I3728" t="s">
        <v>92</v>
      </c>
      <c r="J3728" t="s">
        <v>121</v>
      </c>
      <c r="K3728" t="s">
        <v>58</v>
      </c>
      <c r="L3728">
        <v>4.3</v>
      </c>
      <c r="M3728" t="s">
        <v>152</v>
      </c>
      <c r="N3728" t="s">
        <v>59</v>
      </c>
      <c r="O3728" t="s">
        <v>47</v>
      </c>
      <c r="P3728" t="s">
        <v>152</v>
      </c>
      <c r="Q3728" t="s">
        <v>152</v>
      </c>
      <c r="R3728">
        <v>36</v>
      </c>
      <c r="S3728" t="s">
        <v>59</v>
      </c>
      <c r="T3728" t="str">
        <f t="shared" si="116"/>
        <v>Quarterly</v>
      </c>
      <c r="U3728">
        <f>VLOOKUP(T3728,[1]tablescore!$B$3:$C$8, 2,FALSE)</f>
        <v>4</v>
      </c>
      <c r="V3728" t="str">
        <f t="shared" si="117"/>
        <v>Low Loyalty</v>
      </c>
      <c r="W3728" t="s">
        <v>97</v>
      </c>
    </row>
    <row r="3729" spans="1:23" x14ac:dyDescent="0.25">
      <c r="A3729">
        <v>3728</v>
      </c>
      <c r="B3729">
        <v>41</v>
      </c>
      <c r="C3729" t="str" cm="1">
        <f t="array" ref="C3729">_xlfn.IFS(
  AND(B3729&gt;=18, B3729&lt;=24), "18-24",
  AND(B3729&gt;=25, B3729&lt;=34), "25-34",
  AND(B3729&gt;=35, B3729&lt;=44), "35-44",
  AND(B3729&gt;=45, B3729&lt;=54), "45-54",
  B3729&gt;=55, "55+"
)</f>
        <v>35-44</v>
      </c>
      <c r="D3729" t="s">
        <v>153</v>
      </c>
      <c r="E3729" t="s">
        <v>131</v>
      </c>
      <c r="F3729" t="s">
        <v>21</v>
      </c>
      <c r="G3729">
        <v>83</v>
      </c>
      <c r="H3729" t="s">
        <v>32</v>
      </c>
      <c r="I3729" t="s">
        <v>45</v>
      </c>
      <c r="J3729" t="s">
        <v>81</v>
      </c>
      <c r="K3729" t="s">
        <v>54</v>
      </c>
      <c r="L3729">
        <v>3.5</v>
      </c>
      <c r="M3729" t="s">
        <v>152</v>
      </c>
      <c r="N3729" t="s">
        <v>27</v>
      </c>
      <c r="O3729" t="s">
        <v>47</v>
      </c>
      <c r="P3729" t="s">
        <v>152</v>
      </c>
      <c r="Q3729" t="s">
        <v>152</v>
      </c>
      <c r="R3729">
        <v>17</v>
      </c>
      <c r="S3729" t="s">
        <v>59</v>
      </c>
      <c r="T3729" t="str">
        <f t="shared" si="116"/>
        <v>2-week</v>
      </c>
      <c r="U3729">
        <f>VLOOKUP(T3729,[1]tablescore!$B$3:$C$8, 2,FALSE)</f>
        <v>26</v>
      </c>
      <c r="V3729" t="str">
        <f t="shared" si="117"/>
        <v>Loyal</v>
      </c>
      <c r="W3729" t="s">
        <v>77</v>
      </c>
    </row>
    <row r="3730" spans="1:23" x14ac:dyDescent="0.25">
      <c r="A3730">
        <v>3729</v>
      </c>
      <c r="B3730">
        <v>62</v>
      </c>
      <c r="C3730" t="str" cm="1">
        <f t="array" ref="C3730">_xlfn.IFS(
  AND(B3730&gt;=18, B3730&lt;=24), "18-24",
  AND(B3730&gt;=25, B3730&lt;=34), "25-34",
  AND(B3730&gt;=35, B3730&lt;=44), "35-44",
  AND(B3730&gt;=45, B3730&lt;=54), "45-54",
  B3730&gt;=55, "55+"
)</f>
        <v>55+</v>
      </c>
      <c r="D3730" t="s">
        <v>153</v>
      </c>
      <c r="E3730" t="s">
        <v>102</v>
      </c>
      <c r="F3730" t="s">
        <v>65</v>
      </c>
      <c r="G3730">
        <v>31</v>
      </c>
      <c r="H3730" t="s">
        <v>145</v>
      </c>
      <c r="I3730" t="s">
        <v>23</v>
      </c>
      <c r="J3730" t="s">
        <v>108</v>
      </c>
      <c r="K3730" t="s">
        <v>25</v>
      </c>
      <c r="L3730">
        <v>3</v>
      </c>
      <c r="M3730" t="s">
        <v>152</v>
      </c>
      <c r="N3730" t="s">
        <v>27</v>
      </c>
      <c r="O3730" t="s">
        <v>55</v>
      </c>
      <c r="P3730" t="s">
        <v>152</v>
      </c>
      <c r="Q3730" t="s">
        <v>152</v>
      </c>
      <c r="R3730">
        <v>1</v>
      </c>
      <c r="S3730" t="s">
        <v>59</v>
      </c>
      <c r="T3730" t="str">
        <f t="shared" si="116"/>
        <v>Annually</v>
      </c>
      <c r="U3730">
        <f>VLOOKUP(T3730,[1]tablescore!$B$3:$C$8, 2,FALSE)</f>
        <v>1</v>
      </c>
      <c r="V3730" t="str">
        <f t="shared" si="117"/>
        <v>Low Loyalty</v>
      </c>
      <c r="W3730" t="s">
        <v>50</v>
      </c>
    </row>
    <row r="3731" spans="1:23" x14ac:dyDescent="0.25">
      <c r="A3731">
        <v>3730</v>
      </c>
      <c r="B3731">
        <v>28</v>
      </c>
      <c r="C3731" t="str" cm="1">
        <f t="array" ref="C3731">_xlfn.IFS(
  AND(B3731&gt;=18, B3731&lt;=24), "18-24",
  AND(B3731&gt;=25, B3731&lt;=34), "25-34",
  AND(B3731&gt;=35, B3731&lt;=44), "35-44",
  AND(B3731&gt;=45, B3731&lt;=54), "45-54",
  B3731&gt;=55, "55+"
)</f>
        <v>25-34</v>
      </c>
      <c r="D3731" t="s">
        <v>153</v>
      </c>
      <c r="E3731" t="s">
        <v>132</v>
      </c>
      <c r="F3731" t="s">
        <v>43</v>
      </c>
      <c r="G3731">
        <v>82</v>
      </c>
      <c r="H3731" t="s">
        <v>44</v>
      </c>
      <c r="I3731" t="s">
        <v>45</v>
      </c>
      <c r="J3731" t="s">
        <v>86</v>
      </c>
      <c r="K3731" t="s">
        <v>39</v>
      </c>
      <c r="L3731">
        <v>4.7</v>
      </c>
      <c r="M3731" t="s">
        <v>152</v>
      </c>
      <c r="N3731" t="s">
        <v>34</v>
      </c>
      <c r="O3731" t="s">
        <v>72</v>
      </c>
      <c r="P3731" t="s">
        <v>152</v>
      </c>
      <c r="Q3731" t="s">
        <v>152</v>
      </c>
      <c r="R3731">
        <v>50</v>
      </c>
      <c r="S3731" t="s">
        <v>35</v>
      </c>
      <c r="T3731" t="str">
        <f t="shared" si="116"/>
        <v>Quarterly</v>
      </c>
      <c r="U3731">
        <f>VLOOKUP(T3731,[1]tablescore!$B$3:$C$8, 2,FALSE)</f>
        <v>4</v>
      </c>
      <c r="V3731" t="str">
        <f t="shared" si="117"/>
        <v>Low Loyalty</v>
      </c>
      <c r="W3731" t="s">
        <v>60</v>
      </c>
    </row>
    <row r="3732" spans="1:23" x14ac:dyDescent="0.25">
      <c r="A3732">
        <v>3731</v>
      </c>
      <c r="B3732">
        <v>46</v>
      </c>
      <c r="C3732" t="str" cm="1">
        <f t="array" ref="C3732">_xlfn.IFS(
  AND(B3732&gt;=18, B3732&lt;=24), "18-24",
  AND(B3732&gt;=25, B3732&lt;=34), "25-34",
  AND(B3732&gt;=35, B3732&lt;=44), "35-44",
  AND(B3732&gt;=45, B3732&lt;=54), "45-54",
  B3732&gt;=55, "55+"
)</f>
        <v>45-54</v>
      </c>
      <c r="D3732" t="s">
        <v>153</v>
      </c>
      <c r="E3732" t="s">
        <v>56</v>
      </c>
      <c r="F3732" t="s">
        <v>21</v>
      </c>
      <c r="G3732">
        <v>79</v>
      </c>
      <c r="H3732" t="s">
        <v>103</v>
      </c>
      <c r="I3732" t="s">
        <v>45</v>
      </c>
      <c r="J3732" t="s">
        <v>86</v>
      </c>
      <c r="K3732" t="s">
        <v>54</v>
      </c>
      <c r="L3732">
        <v>2.5</v>
      </c>
      <c r="M3732" t="s">
        <v>152</v>
      </c>
      <c r="N3732" t="s">
        <v>34</v>
      </c>
      <c r="O3732" t="s">
        <v>72</v>
      </c>
      <c r="P3732" t="s">
        <v>152</v>
      </c>
      <c r="Q3732" t="s">
        <v>152</v>
      </c>
      <c r="R3732">
        <v>3</v>
      </c>
      <c r="S3732" t="s">
        <v>27</v>
      </c>
      <c r="T3732" t="str">
        <f t="shared" si="116"/>
        <v>2-week</v>
      </c>
      <c r="U3732">
        <f>VLOOKUP(T3732,[1]tablescore!$B$3:$C$8, 2,FALSE)</f>
        <v>26</v>
      </c>
      <c r="V3732" t="str">
        <f t="shared" si="117"/>
        <v>Loyal</v>
      </c>
      <c r="W3732" t="s">
        <v>77</v>
      </c>
    </row>
    <row r="3733" spans="1:23" x14ac:dyDescent="0.25">
      <c r="A3733">
        <v>3732</v>
      </c>
      <c r="B3733">
        <v>54</v>
      </c>
      <c r="C3733" t="str" cm="1">
        <f t="array" ref="C3733">_xlfn.IFS(
  AND(B3733&gt;=18, B3733&lt;=24), "18-24",
  AND(B3733&gt;=25, B3733&lt;=34), "25-34",
  AND(B3733&gt;=35, B3733&lt;=44), "35-44",
  AND(B3733&gt;=45, B3733&lt;=54), "45-54",
  B3733&gt;=55, "55+"
)</f>
        <v>45-54</v>
      </c>
      <c r="D3733" t="s">
        <v>153</v>
      </c>
      <c r="E3733" t="s">
        <v>125</v>
      </c>
      <c r="F3733" t="s">
        <v>69</v>
      </c>
      <c r="G3733">
        <v>62</v>
      </c>
      <c r="H3733" t="s">
        <v>66</v>
      </c>
      <c r="I3733" t="s">
        <v>45</v>
      </c>
      <c r="J3733" t="s">
        <v>93</v>
      </c>
      <c r="K3733" t="s">
        <v>39</v>
      </c>
      <c r="L3733">
        <v>3.1</v>
      </c>
      <c r="M3733" t="s">
        <v>152</v>
      </c>
      <c r="N3733" t="s">
        <v>27</v>
      </c>
      <c r="O3733" t="s">
        <v>72</v>
      </c>
      <c r="P3733" t="s">
        <v>152</v>
      </c>
      <c r="Q3733" t="s">
        <v>152</v>
      </c>
      <c r="R3733">
        <v>45</v>
      </c>
      <c r="S3733" t="s">
        <v>46</v>
      </c>
      <c r="T3733" t="str">
        <f t="shared" si="116"/>
        <v>Quarterly</v>
      </c>
      <c r="U3733">
        <f>VLOOKUP(T3733,[1]tablescore!$B$3:$C$8, 2,FALSE)</f>
        <v>4</v>
      </c>
      <c r="V3733" t="str">
        <f t="shared" si="117"/>
        <v>Low Loyalty</v>
      </c>
      <c r="W3733" t="s">
        <v>60</v>
      </c>
    </row>
    <row r="3734" spans="1:23" x14ac:dyDescent="0.25">
      <c r="A3734">
        <v>3733</v>
      </c>
      <c r="B3734">
        <v>36</v>
      </c>
      <c r="C3734" t="str" cm="1">
        <f t="array" ref="C3734">_xlfn.IFS(
  AND(B3734&gt;=18, B3734&lt;=24), "18-24",
  AND(B3734&gt;=25, B3734&lt;=34), "25-34",
  AND(B3734&gt;=35, B3734&lt;=44), "35-44",
  AND(B3734&gt;=45, B3734&lt;=54), "45-54",
  B3734&gt;=55, "55+"
)</f>
        <v>35-44</v>
      </c>
      <c r="D3734" t="s">
        <v>153</v>
      </c>
      <c r="E3734" t="s">
        <v>73</v>
      </c>
      <c r="F3734" t="s">
        <v>43</v>
      </c>
      <c r="G3734">
        <v>92</v>
      </c>
      <c r="H3734" t="s">
        <v>116</v>
      </c>
      <c r="I3734" t="s">
        <v>23</v>
      </c>
      <c r="J3734" t="s">
        <v>71</v>
      </c>
      <c r="K3734" t="s">
        <v>39</v>
      </c>
      <c r="L3734">
        <v>3.3</v>
      </c>
      <c r="M3734" t="s">
        <v>152</v>
      </c>
      <c r="N3734" t="s">
        <v>46</v>
      </c>
      <c r="O3734" t="s">
        <v>40</v>
      </c>
      <c r="P3734" t="s">
        <v>152</v>
      </c>
      <c r="Q3734" t="s">
        <v>152</v>
      </c>
      <c r="R3734">
        <v>28</v>
      </c>
      <c r="S3734" t="s">
        <v>46</v>
      </c>
      <c r="T3734" t="str">
        <f t="shared" si="116"/>
        <v>Annually</v>
      </c>
      <c r="U3734">
        <f>VLOOKUP(T3734,[1]tablescore!$B$3:$C$8, 2,FALSE)</f>
        <v>1</v>
      </c>
      <c r="V3734" t="str">
        <f t="shared" si="117"/>
        <v>Low Loyalty</v>
      </c>
      <c r="W3734" t="s">
        <v>50</v>
      </c>
    </row>
    <row r="3735" spans="1:23" x14ac:dyDescent="0.25">
      <c r="A3735">
        <v>3734</v>
      </c>
      <c r="B3735">
        <v>25</v>
      </c>
      <c r="C3735" t="str" cm="1">
        <f t="array" ref="C3735">_xlfn.IFS(
  AND(B3735&gt;=18, B3735&lt;=24), "18-24",
  AND(B3735&gt;=25, B3735&lt;=34), "25-34",
  AND(B3735&gt;=35, B3735&lt;=44), "35-44",
  AND(B3735&gt;=45, B3735&lt;=54), "45-54",
  B3735&gt;=55, "55+"
)</f>
        <v>25-34</v>
      </c>
      <c r="D3735" t="s">
        <v>153</v>
      </c>
      <c r="E3735" t="s">
        <v>131</v>
      </c>
      <c r="F3735" t="s">
        <v>21</v>
      </c>
      <c r="G3735">
        <v>58</v>
      </c>
      <c r="H3735" t="s">
        <v>115</v>
      </c>
      <c r="I3735" t="s">
        <v>45</v>
      </c>
      <c r="J3735" t="s">
        <v>33</v>
      </c>
      <c r="K3735" t="s">
        <v>58</v>
      </c>
      <c r="L3735">
        <v>4.7</v>
      </c>
      <c r="M3735" t="s">
        <v>152</v>
      </c>
      <c r="N3735" t="s">
        <v>34</v>
      </c>
      <c r="O3735" t="s">
        <v>47</v>
      </c>
      <c r="P3735" t="s">
        <v>152</v>
      </c>
      <c r="Q3735" t="s">
        <v>152</v>
      </c>
      <c r="R3735">
        <v>6</v>
      </c>
      <c r="S3735" t="s">
        <v>59</v>
      </c>
      <c r="T3735" t="str">
        <f t="shared" si="116"/>
        <v>Quarterly</v>
      </c>
      <c r="U3735">
        <f>VLOOKUP(T3735,[1]tablescore!$B$3:$C$8, 2,FALSE)</f>
        <v>4</v>
      </c>
      <c r="V3735" t="str">
        <f t="shared" si="117"/>
        <v>Low Loyalty</v>
      </c>
      <c r="W3735" t="s">
        <v>97</v>
      </c>
    </row>
    <row r="3736" spans="1:23" x14ac:dyDescent="0.25">
      <c r="A3736">
        <v>3735</v>
      </c>
      <c r="B3736">
        <v>38</v>
      </c>
      <c r="C3736" t="str" cm="1">
        <f t="array" ref="C3736">_xlfn.IFS(
  AND(B3736&gt;=18, B3736&lt;=24), "18-24",
  AND(B3736&gt;=25, B3736&lt;=34), "25-34",
  AND(B3736&gt;=35, B3736&lt;=44), "35-44",
  AND(B3736&gt;=45, B3736&lt;=54), "45-54",
  B3736&gt;=55, "55+"
)</f>
        <v>35-44</v>
      </c>
      <c r="D3736" t="s">
        <v>153</v>
      </c>
      <c r="E3736" t="s">
        <v>104</v>
      </c>
      <c r="F3736" t="s">
        <v>21</v>
      </c>
      <c r="G3736">
        <v>88</v>
      </c>
      <c r="H3736" t="s">
        <v>99</v>
      </c>
      <c r="I3736" t="s">
        <v>45</v>
      </c>
      <c r="J3736" t="s">
        <v>118</v>
      </c>
      <c r="K3736" t="s">
        <v>39</v>
      </c>
      <c r="L3736">
        <v>3.4</v>
      </c>
      <c r="M3736" t="s">
        <v>152</v>
      </c>
      <c r="N3736" t="s">
        <v>29</v>
      </c>
      <c r="O3736" t="s">
        <v>47</v>
      </c>
      <c r="P3736" t="s">
        <v>152</v>
      </c>
      <c r="Q3736" t="s">
        <v>152</v>
      </c>
      <c r="R3736">
        <v>33</v>
      </c>
      <c r="S3736" t="s">
        <v>59</v>
      </c>
      <c r="T3736" t="str">
        <f t="shared" si="116"/>
        <v>Quarterly</v>
      </c>
      <c r="U3736">
        <f>VLOOKUP(T3736,[1]tablescore!$B$3:$C$8, 2,FALSE)</f>
        <v>4</v>
      </c>
      <c r="V3736" t="str">
        <f t="shared" si="117"/>
        <v>Low Loyalty</v>
      </c>
      <c r="W3736" t="s">
        <v>97</v>
      </c>
    </row>
    <row r="3737" spans="1:23" x14ac:dyDescent="0.25">
      <c r="A3737">
        <v>3736</v>
      </c>
      <c r="B3737">
        <v>38</v>
      </c>
      <c r="C3737" t="str" cm="1">
        <f t="array" ref="C3737">_xlfn.IFS(
  AND(B3737&gt;=18, B3737&lt;=24), "18-24",
  AND(B3737&gt;=25, B3737&lt;=34), "25-34",
  AND(B3737&gt;=35, B3737&lt;=44), "35-44",
  AND(B3737&gt;=45, B3737&lt;=54), "45-54",
  B3737&gt;=55, "55+"
)</f>
        <v>35-44</v>
      </c>
      <c r="D3737" t="s">
        <v>153</v>
      </c>
      <c r="E3737" t="s">
        <v>42</v>
      </c>
      <c r="F3737" t="s">
        <v>43</v>
      </c>
      <c r="G3737">
        <v>44</v>
      </c>
      <c r="H3737" t="s">
        <v>37</v>
      </c>
      <c r="I3737" t="s">
        <v>23</v>
      </c>
      <c r="J3737" t="s">
        <v>121</v>
      </c>
      <c r="K3737" t="s">
        <v>39</v>
      </c>
      <c r="L3737">
        <v>3.1</v>
      </c>
      <c r="M3737" t="s">
        <v>152</v>
      </c>
      <c r="N3737" t="s">
        <v>35</v>
      </c>
      <c r="O3737" t="s">
        <v>72</v>
      </c>
      <c r="P3737" t="s">
        <v>152</v>
      </c>
      <c r="Q3737" t="s">
        <v>152</v>
      </c>
      <c r="R3737">
        <v>29</v>
      </c>
      <c r="S3737" t="s">
        <v>46</v>
      </c>
      <c r="T3737" t="str">
        <f t="shared" si="116"/>
        <v>Annually</v>
      </c>
      <c r="U3737">
        <f>VLOOKUP(T3737,[1]tablescore!$B$3:$C$8, 2,FALSE)</f>
        <v>1</v>
      </c>
      <c r="V3737" t="str">
        <f t="shared" si="117"/>
        <v>Low Loyalty</v>
      </c>
      <c r="W3737" t="s">
        <v>50</v>
      </c>
    </row>
    <row r="3738" spans="1:23" x14ac:dyDescent="0.25">
      <c r="A3738">
        <v>3737</v>
      </c>
      <c r="B3738">
        <v>42</v>
      </c>
      <c r="C3738" t="str" cm="1">
        <f t="array" ref="C3738">_xlfn.IFS(
  AND(B3738&gt;=18, B3738&lt;=24), "18-24",
  AND(B3738&gt;=25, B3738&lt;=34), "25-34",
  AND(B3738&gt;=35, B3738&lt;=44), "35-44",
  AND(B3738&gt;=45, B3738&lt;=54), "45-54",
  B3738&gt;=55, "55+"
)</f>
        <v>35-44</v>
      </c>
      <c r="D3738" t="s">
        <v>153</v>
      </c>
      <c r="E3738" t="s">
        <v>36</v>
      </c>
      <c r="F3738" t="s">
        <v>21</v>
      </c>
      <c r="G3738">
        <v>56</v>
      </c>
      <c r="H3738" t="s">
        <v>144</v>
      </c>
      <c r="I3738" t="s">
        <v>45</v>
      </c>
      <c r="J3738" t="s">
        <v>108</v>
      </c>
      <c r="K3738" t="s">
        <v>39</v>
      </c>
      <c r="L3738">
        <v>4.5999999999999996</v>
      </c>
      <c r="M3738" t="s">
        <v>152</v>
      </c>
      <c r="N3738" t="s">
        <v>35</v>
      </c>
      <c r="O3738" t="s">
        <v>76</v>
      </c>
      <c r="P3738" t="s">
        <v>152</v>
      </c>
      <c r="Q3738" t="s">
        <v>152</v>
      </c>
      <c r="R3738">
        <v>2</v>
      </c>
      <c r="S3738" t="s">
        <v>46</v>
      </c>
      <c r="T3738" t="str">
        <f t="shared" si="116"/>
        <v>Quarterly</v>
      </c>
      <c r="U3738">
        <f>VLOOKUP(T3738,[1]tablescore!$B$3:$C$8, 2,FALSE)</f>
        <v>4</v>
      </c>
      <c r="V3738" t="str">
        <f t="shared" si="117"/>
        <v>Low Loyalty</v>
      </c>
      <c r="W3738" t="s">
        <v>97</v>
      </c>
    </row>
    <row r="3739" spans="1:23" x14ac:dyDescent="0.25">
      <c r="A3739">
        <v>3738</v>
      </c>
      <c r="B3739">
        <v>19</v>
      </c>
      <c r="C3739" t="str" cm="1">
        <f t="array" ref="C3739">_xlfn.IFS(
  AND(B3739&gt;=18, B3739&lt;=24), "18-24",
  AND(B3739&gt;=25, B3739&lt;=34), "25-34",
  AND(B3739&gt;=35, B3739&lt;=44), "35-44",
  AND(B3739&gt;=45, B3739&lt;=54), "45-54",
  B3739&gt;=55, "55+"
)</f>
        <v>18-24</v>
      </c>
      <c r="D3739" t="s">
        <v>153</v>
      </c>
      <c r="E3739" t="s">
        <v>106</v>
      </c>
      <c r="F3739" t="s">
        <v>69</v>
      </c>
      <c r="G3739">
        <v>23</v>
      </c>
      <c r="H3739" t="s">
        <v>22</v>
      </c>
      <c r="I3739" t="s">
        <v>38</v>
      </c>
      <c r="J3739" t="s">
        <v>33</v>
      </c>
      <c r="K3739" t="s">
        <v>25</v>
      </c>
      <c r="L3739">
        <v>4.9000000000000004</v>
      </c>
      <c r="M3739" t="s">
        <v>152</v>
      </c>
      <c r="N3739" t="s">
        <v>59</v>
      </c>
      <c r="O3739" t="s">
        <v>40</v>
      </c>
      <c r="P3739" t="s">
        <v>152</v>
      </c>
      <c r="Q3739" t="s">
        <v>152</v>
      </c>
      <c r="R3739">
        <v>43</v>
      </c>
      <c r="S3739" t="s">
        <v>46</v>
      </c>
      <c r="T3739" t="str">
        <f t="shared" si="116"/>
        <v>2-week</v>
      </c>
      <c r="U3739">
        <f>VLOOKUP(T3739,[1]tablescore!$B$3:$C$8, 2,FALSE)</f>
        <v>26</v>
      </c>
      <c r="V3739" t="str">
        <f t="shared" si="117"/>
        <v>Loyal</v>
      </c>
      <c r="W3739" t="s">
        <v>77</v>
      </c>
    </row>
    <row r="3740" spans="1:23" x14ac:dyDescent="0.25">
      <c r="A3740">
        <v>3739</v>
      </c>
      <c r="B3740">
        <v>34</v>
      </c>
      <c r="C3740" t="str" cm="1">
        <f t="array" ref="C3740">_xlfn.IFS(
  AND(B3740&gt;=18, B3740&lt;=24), "18-24",
  AND(B3740&gt;=25, B3740&lt;=34), "25-34",
  AND(B3740&gt;=35, B3740&lt;=44), "35-44",
  AND(B3740&gt;=45, B3740&lt;=54), "45-54",
  B3740&gt;=55, "55+"
)</f>
        <v>25-34</v>
      </c>
      <c r="D3740" t="s">
        <v>153</v>
      </c>
      <c r="E3740" t="s">
        <v>61</v>
      </c>
      <c r="F3740" t="s">
        <v>21</v>
      </c>
      <c r="G3740">
        <v>45</v>
      </c>
      <c r="H3740" t="s">
        <v>80</v>
      </c>
      <c r="I3740" t="s">
        <v>45</v>
      </c>
      <c r="J3740" t="s">
        <v>110</v>
      </c>
      <c r="K3740" t="s">
        <v>39</v>
      </c>
      <c r="L3740">
        <v>2.7</v>
      </c>
      <c r="M3740" t="s">
        <v>152</v>
      </c>
      <c r="N3740" t="s">
        <v>27</v>
      </c>
      <c r="O3740" t="s">
        <v>40</v>
      </c>
      <c r="P3740" t="s">
        <v>152</v>
      </c>
      <c r="Q3740" t="s">
        <v>152</v>
      </c>
      <c r="R3740">
        <v>48</v>
      </c>
      <c r="S3740" t="s">
        <v>35</v>
      </c>
      <c r="T3740" t="str">
        <f t="shared" si="116"/>
        <v>2-week</v>
      </c>
      <c r="U3740">
        <f>VLOOKUP(T3740,[1]tablescore!$B$3:$C$8, 2,FALSE)</f>
        <v>26</v>
      </c>
      <c r="V3740" t="str">
        <f t="shared" si="117"/>
        <v>Loyal</v>
      </c>
      <c r="W3740" t="s">
        <v>30</v>
      </c>
    </row>
    <row r="3741" spans="1:23" x14ac:dyDescent="0.25">
      <c r="A3741">
        <v>3740</v>
      </c>
      <c r="B3741">
        <v>38</v>
      </c>
      <c r="C3741" t="str" cm="1">
        <f t="array" ref="C3741">_xlfn.IFS(
  AND(B3741&gt;=18, B3741&lt;=24), "18-24",
  AND(B3741&gt;=25, B3741&lt;=34), "25-34",
  AND(B3741&gt;=35, B3741&lt;=44), "35-44",
  AND(B3741&gt;=45, B3741&lt;=54), "45-54",
  B3741&gt;=55, "55+"
)</f>
        <v>35-44</v>
      </c>
      <c r="D3741" t="s">
        <v>153</v>
      </c>
      <c r="E3741" t="s">
        <v>89</v>
      </c>
      <c r="F3741" t="s">
        <v>69</v>
      </c>
      <c r="G3741">
        <v>31</v>
      </c>
      <c r="H3741" t="s">
        <v>144</v>
      </c>
      <c r="I3741" t="s">
        <v>45</v>
      </c>
      <c r="J3741" t="s">
        <v>79</v>
      </c>
      <c r="K3741" t="s">
        <v>58</v>
      </c>
      <c r="L3741">
        <v>4.2</v>
      </c>
      <c r="M3741" t="s">
        <v>152</v>
      </c>
      <c r="N3741" t="s">
        <v>34</v>
      </c>
      <c r="O3741" t="s">
        <v>40</v>
      </c>
      <c r="P3741" t="s">
        <v>152</v>
      </c>
      <c r="Q3741" t="s">
        <v>152</v>
      </c>
      <c r="R3741">
        <v>43</v>
      </c>
      <c r="S3741" t="s">
        <v>27</v>
      </c>
      <c r="T3741" t="str">
        <f t="shared" si="116"/>
        <v>Daily</v>
      </c>
      <c r="U3741">
        <f>VLOOKUP(T3741,[1]tablescore!$B$3:$C$8, 2,FALSE)</f>
        <v>30</v>
      </c>
      <c r="V3741" t="str">
        <f t="shared" si="117"/>
        <v>Highly Loyal</v>
      </c>
      <c r="W3741" t="s">
        <v>41</v>
      </c>
    </row>
    <row r="3742" spans="1:23" x14ac:dyDescent="0.25">
      <c r="A3742">
        <v>3741</v>
      </c>
      <c r="B3742">
        <v>42</v>
      </c>
      <c r="C3742" t="str" cm="1">
        <f t="array" ref="C3742">_xlfn.IFS(
  AND(B3742&gt;=18, B3742&lt;=24), "18-24",
  AND(B3742&gt;=25, B3742&lt;=34), "25-34",
  AND(B3742&gt;=35, B3742&lt;=44), "35-44",
  AND(B3742&gt;=45, B3742&lt;=54), "45-54",
  B3742&gt;=55, "55+"
)</f>
        <v>35-44</v>
      </c>
      <c r="D3742" t="s">
        <v>153</v>
      </c>
      <c r="E3742" t="s">
        <v>95</v>
      </c>
      <c r="F3742" t="s">
        <v>21</v>
      </c>
      <c r="G3742">
        <v>96</v>
      </c>
      <c r="H3742" t="s">
        <v>128</v>
      </c>
      <c r="I3742" t="s">
        <v>45</v>
      </c>
      <c r="J3742" t="s">
        <v>67</v>
      </c>
      <c r="K3742" t="s">
        <v>54</v>
      </c>
      <c r="L3742">
        <v>2.6</v>
      </c>
      <c r="M3742" t="s">
        <v>152</v>
      </c>
      <c r="N3742" t="s">
        <v>35</v>
      </c>
      <c r="O3742" t="s">
        <v>76</v>
      </c>
      <c r="P3742" t="s">
        <v>152</v>
      </c>
      <c r="Q3742" t="s">
        <v>152</v>
      </c>
      <c r="R3742">
        <v>26</v>
      </c>
      <c r="S3742" t="s">
        <v>59</v>
      </c>
      <c r="T3742" t="str">
        <f t="shared" si="116"/>
        <v>2-week</v>
      </c>
      <c r="U3742">
        <f>VLOOKUP(T3742,[1]tablescore!$B$3:$C$8, 2,FALSE)</f>
        <v>26</v>
      </c>
      <c r="V3742" t="str">
        <f t="shared" si="117"/>
        <v>Loyal</v>
      </c>
      <c r="W3742" t="s">
        <v>77</v>
      </c>
    </row>
    <row r="3743" spans="1:23" x14ac:dyDescent="0.25">
      <c r="A3743">
        <v>3742</v>
      </c>
      <c r="B3743">
        <v>58</v>
      </c>
      <c r="C3743" t="str" cm="1">
        <f t="array" ref="C3743">_xlfn.IFS(
  AND(B3743&gt;=18, B3743&lt;=24), "18-24",
  AND(B3743&gt;=25, B3743&lt;=34), "25-34",
  AND(B3743&gt;=35, B3743&lt;=44), "35-44",
  AND(B3743&gt;=45, B3743&lt;=54), "45-54",
  B3743&gt;=55, "55+"
)</f>
        <v>55+</v>
      </c>
      <c r="D3743" t="s">
        <v>153</v>
      </c>
      <c r="E3743" t="s">
        <v>56</v>
      </c>
      <c r="F3743" t="s">
        <v>21</v>
      </c>
      <c r="G3743">
        <v>96</v>
      </c>
      <c r="H3743" t="s">
        <v>117</v>
      </c>
      <c r="I3743" t="s">
        <v>45</v>
      </c>
      <c r="J3743" t="s">
        <v>75</v>
      </c>
      <c r="K3743" t="s">
        <v>39</v>
      </c>
      <c r="L3743">
        <v>3.2</v>
      </c>
      <c r="M3743" t="s">
        <v>152</v>
      </c>
      <c r="N3743" t="s">
        <v>29</v>
      </c>
      <c r="O3743" t="s">
        <v>72</v>
      </c>
      <c r="P3743" t="s">
        <v>152</v>
      </c>
      <c r="Q3743" t="s">
        <v>152</v>
      </c>
      <c r="R3743">
        <v>26</v>
      </c>
      <c r="S3743" t="s">
        <v>59</v>
      </c>
      <c r="T3743" t="str">
        <f t="shared" si="116"/>
        <v>2-week</v>
      </c>
      <c r="U3743">
        <f>VLOOKUP(T3743,[1]tablescore!$B$3:$C$8, 2,FALSE)</f>
        <v>26</v>
      </c>
      <c r="V3743" t="str">
        <f t="shared" si="117"/>
        <v>Loyal</v>
      </c>
      <c r="W3743" t="s">
        <v>77</v>
      </c>
    </row>
    <row r="3744" spans="1:23" x14ac:dyDescent="0.25">
      <c r="A3744">
        <v>3743</v>
      </c>
      <c r="B3744">
        <v>56</v>
      </c>
      <c r="C3744" t="str" cm="1">
        <f t="array" ref="C3744">_xlfn.IFS(
  AND(B3744&gt;=18, B3744&lt;=24), "18-24",
  AND(B3744&gt;=25, B3744&lt;=34), "25-34",
  AND(B3744&gt;=35, B3744&lt;=44), "35-44",
  AND(B3744&gt;=45, B3744&lt;=54), "45-54",
  B3744&gt;=55, "55+"
)</f>
        <v>55+</v>
      </c>
      <c r="D3744" t="s">
        <v>153</v>
      </c>
      <c r="E3744" t="s">
        <v>56</v>
      </c>
      <c r="F3744" t="s">
        <v>21</v>
      </c>
      <c r="G3744">
        <v>80</v>
      </c>
      <c r="H3744" t="s">
        <v>135</v>
      </c>
      <c r="I3744" t="s">
        <v>45</v>
      </c>
      <c r="J3744" t="s">
        <v>24</v>
      </c>
      <c r="K3744" t="s">
        <v>58</v>
      </c>
      <c r="L3744">
        <v>4.4000000000000004</v>
      </c>
      <c r="M3744" t="s">
        <v>152</v>
      </c>
      <c r="N3744" t="s">
        <v>59</v>
      </c>
      <c r="O3744" t="s">
        <v>55</v>
      </c>
      <c r="P3744" t="s">
        <v>152</v>
      </c>
      <c r="Q3744" t="s">
        <v>152</v>
      </c>
      <c r="R3744">
        <v>50</v>
      </c>
      <c r="S3744" t="s">
        <v>27</v>
      </c>
      <c r="T3744" t="str">
        <f t="shared" si="116"/>
        <v>2-week</v>
      </c>
      <c r="U3744">
        <f>VLOOKUP(T3744,[1]tablescore!$B$3:$C$8, 2,FALSE)</f>
        <v>26</v>
      </c>
      <c r="V3744" t="str">
        <f t="shared" si="117"/>
        <v>Loyal</v>
      </c>
      <c r="W3744" t="s">
        <v>77</v>
      </c>
    </row>
    <row r="3745" spans="1:23" x14ac:dyDescent="0.25">
      <c r="A3745">
        <v>3744</v>
      </c>
      <c r="B3745">
        <v>62</v>
      </c>
      <c r="C3745" t="str" cm="1">
        <f t="array" ref="C3745">_xlfn.IFS(
  AND(B3745&gt;=18, B3745&lt;=24), "18-24",
  AND(B3745&gt;=25, B3745&lt;=34), "25-34",
  AND(B3745&gt;=35, B3745&lt;=44), "35-44",
  AND(B3745&gt;=45, B3745&lt;=54), "45-54",
  B3745&gt;=55, "55+"
)</f>
        <v>55+</v>
      </c>
      <c r="D3745" t="s">
        <v>153</v>
      </c>
      <c r="E3745" t="s">
        <v>95</v>
      </c>
      <c r="F3745" t="s">
        <v>21</v>
      </c>
      <c r="G3745">
        <v>28</v>
      </c>
      <c r="H3745" t="s">
        <v>144</v>
      </c>
      <c r="I3745" t="s">
        <v>23</v>
      </c>
      <c r="J3745" t="s">
        <v>109</v>
      </c>
      <c r="K3745" t="s">
        <v>58</v>
      </c>
      <c r="L3745">
        <v>3.6</v>
      </c>
      <c r="M3745" t="s">
        <v>152</v>
      </c>
      <c r="N3745" t="s">
        <v>27</v>
      </c>
      <c r="O3745" t="s">
        <v>40</v>
      </c>
      <c r="P3745" t="s">
        <v>152</v>
      </c>
      <c r="Q3745" t="s">
        <v>152</v>
      </c>
      <c r="R3745">
        <v>36</v>
      </c>
      <c r="S3745" t="s">
        <v>59</v>
      </c>
      <c r="T3745" t="str">
        <f t="shared" si="116"/>
        <v>Quarterly</v>
      </c>
      <c r="U3745">
        <f>VLOOKUP(T3745,[1]tablescore!$B$3:$C$8, 2,FALSE)</f>
        <v>4</v>
      </c>
      <c r="V3745" t="str">
        <f t="shared" si="117"/>
        <v>Low Loyalty</v>
      </c>
      <c r="W3745" t="s">
        <v>60</v>
      </c>
    </row>
    <row r="3746" spans="1:23" x14ac:dyDescent="0.25">
      <c r="A3746">
        <v>3745</v>
      </c>
      <c r="B3746">
        <v>24</v>
      </c>
      <c r="C3746" t="str" cm="1">
        <f t="array" ref="C3746">_xlfn.IFS(
  AND(B3746&gt;=18, B3746&lt;=24), "18-24",
  AND(B3746&gt;=25, B3746&lt;=34), "25-34",
  AND(B3746&gt;=35, B3746&lt;=44), "35-44",
  AND(B3746&gt;=45, B3746&lt;=54), "45-54",
  B3746&gt;=55, "55+"
)</f>
        <v>18-24</v>
      </c>
      <c r="D3746" t="s">
        <v>153</v>
      </c>
      <c r="E3746" t="s">
        <v>104</v>
      </c>
      <c r="F3746" t="s">
        <v>21</v>
      </c>
      <c r="G3746">
        <v>51</v>
      </c>
      <c r="H3746" t="s">
        <v>137</v>
      </c>
      <c r="I3746" t="s">
        <v>45</v>
      </c>
      <c r="J3746" t="s">
        <v>24</v>
      </c>
      <c r="K3746" t="s">
        <v>54</v>
      </c>
      <c r="L3746">
        <v>2.7</v>
      </c>
      <c r="M3746" t="s">
        <v>152</v>
      </c>
      <c r="N3746" t="s">
        <v>29</v>
      </c>
      <c r="O3746" t="s">
        <v>47</v>
      </c>
      <c r="P3746" t="s">
        <v>152</v>
      </c>
      <c r="Q3746" t="s">
        <v>152</v>
      </c>
      <c r="R3746">
        <v>26</v>
      </c>
      <c r="S3746" t="s">
        <v>34</v>
      </c>
      <c r="T3746" t="str">
        <f t="shared" si="116"/>
        <v>2-week</v>
      </c>
      <c r="U3746">
        <f>VLOOKUP(T3746,[1]tablescore!$B$3:$C$8, 2,FALSE)</f>
        <v>26</v>
      </c>
      <c r="V3746" t="str">
        <f t="shared" si="117"/>
        <v>Loyal</v>
      </c>
      <c r="W3746" t="s">
        <v>30</v>
      </c>
    </row>
    <row r="3747" spans="1:23" x14ac:dyDescent="0.25">
      <c r="A3747">
        <v>3746</v>
      </c>
      <c r="B3747">
        <v>60</v>
      </c>
      <c r="C3747" t="str" cm="1">
        <f t="array" ref="C3747">_xlfn.IFS(
  AND(B3747&gt;=18, B3747&lt;=24), "18-24",
  AND(B3747&gt;=25, B3747&lt;=34), "25-34",
  AND(B3747&gt;=35, B3747&lt;=44), "35-44",
  AND(B3747&gt;=45, B3747&lt;=54), "45-54",
  B3747&gt;=55, "55+"
)</f>
        <v>55+</v>
      </c>
      <c r="D3747" t="s">
        <v>153</v>
      </c>
      <c r="E3747" t="s">
        <v>131</v>
      </c>
      <c r="F3747" t="s">
        <v>21</v>
      </c>
      <c r="G3747">
        <v>41</v>
      </c>
      <c r="H3747" t="s">
        <v>140</v>
      </c>
      <c r="I3747" t="s">
        <v>23</v>
      </c>
      <c r="J3747" t="s">
        <v>81</v>
      </c>
      <c r="K3747" t="s">
        <v>39</v>
      </c>
      <c r="L3747">
        <v>4.3</v>
      </c>
      <c r="M3747" t="s">
        <v>152</v>
      </c>
      <c r="N3747" t="s">
        <v>34</v>
      </c>
      <c r="O3747" t="s">
        <v>28</v>
      </c>
      <c r="P3747" t="s">
        <v>152</v>
      </c>
      <c r="Q3747" t="s">
        <v>152</v>
      </c>
      <c r="R3747">
        <v>2</v>
      </c>
      <c r="S3747" t="s">
        <v>59</v>
      </c>
      <c r="T3747" t="str">
        <f t="shared" si="116"/>
        <v>Month</v>
      </c>
      <c r="U3747">
        <f>VLOOKUP(T3747,[1]tablescore!$B$3:$C$8, 2,FALSE)</f>
        <v>12</v>
      </c>
      <c r="V3747" t="str">
        <f t="shared" si="117"/>
        <v>Moderate</v>
      </c>
      <c r="W3747" t="s">
        <v>88</v>
      </c>
    </row>
    <row r="3748" spans="1:23" x14ac:dyDescent="0.25">
      <c r="A3748">
        <v>3747</v>
      </c>
      <c r="B3748">
        <v>53</v>
      </c>
      <c r="C3748" t="str" cm="1">
        <f t="array" ref="C3748">_xlfn.IFS(
  AND(B3748&gt;=18, B3748&lt;=24), "18-24",
  AND(B3748&gt;=25, B3748&lt;=34), "25-34",
  AND(B3748&gt;=35, B3748&lt;=44), "35-44",
  AND(B3748&gt;=45, B3748&lt;=54), "45-54",
  B3748&gt;=55, "55+"
)</f>
        <v>45-54</v>
      </c>
      <c r="D3748" t="s">
        <v>153</v>
      </c>
      <c r="E3748" t="s">
        <v>64</v>
      </c>
      <c r="F3748" t="s">
        <v>65</v>
      </c>
      <c r="G3748">
        <v>99</v>
      </c>
      <c r="H3748" t="s">
        <v>144</v>
      </c>
      <c r="I3748" t="s">
        <v>92</v>
      </c>
      <c r="J3748" t="s">
        <v>109</v>
      </c>
      <c r="K3748" t="s">
        <v>54</v>
      </c>
      <c r="L3748">
        <v>2.6</v>
      </c>
      <c r="M3748" t="s">
        <v>152</v>
      </c>
      <c r="N3748" t="s">
        <v>59</v>
      </c>
      <c r="O3748" t="s">
        <v>47</v>
      </c>
      <c r="P3748" t="s">
        <v>152</v>
      </c>
      <c r="Q3748" t="s">
        <v>152</v>
      </c>
      <c r="R3748">
        <v>49</v>
      </c>
      <c r="S3748" t="s">
        <v>46</v>
      </c>
      <c r="T3748" t="str">
        <f t="shared" si="116"/>
        <v>Month</v>
      </c>
      <c r="U3748">
        <f>VLOOKUP(T3748,[1]tablescore!$B$3:$C$8, 2,FALSE)</f>
        <v>12</v>
      </c>
      <c r="V3748" t="str">
        <f t="shared" si="117"/>
        <v>Moderate</v>
      </c>
      <c r="W3748" t="s">
        <v>88</v>
      </c>
    </row>
    <row r="3749" spans="1:23" x14ac:dyDescent="0.25">
      <c r="A3749">
        <v>3748</v>
      </c>
      <c r="B3749">
        <v>26</v>
      </c>
      <c r="C3749" t="str" cm="1">
        <f t="array" ref="C3749">_xlfn.IFS(
  AND(B3749&gt;=18, B3749&lt;=24), "18-24",
  AND(B3749&gt;=25, B3749&lt;=34), "25-34",
  AND(B3749&gt;=35, B3749&lt;=44), "35-44",
  AND(B3749&gt;=45, B3749&lt;=54), "45-54",
  B3749&gt;=55, "55+"
)</f>
        <v>25-34</v>
      </c>
      <c r="D3749" t="s">
        <v>153</v>
      </c>
      <c r="E3749" t="s">
        <v>31</v>
      </c>
      <c r="F3749" t="s">
        <v>21</v>
      </c>
      <c r="G3749">
        <v>53</v>
      </c>
      <c r="H3749" t="s">
        <v>44</v>
      </c>
      <c r="I3749" t="s">
        <v>23</v>
      </c>
      <c r="J3749" t="s">
        <v>79</v>
      </c>
      <c r="K3749" t="s">
        <v>39</v>
      </c>
      <c r="L3749">
        <v>4.3</v>
      </c>
      <c r="M3749" t="s">
        <v>152</v>
      </c>
      <c r="N3749" t="s">
        <v>27</v>
      </c>
      <c r="O3749" t="s">
        <v>76</v>
      </c>
      <c r="P3749" t="s">
        <v>152</v>
      </c>
      <c r="Q3749" t="s">
        <v>152</v>
      </c>
      <c r="R3749">
        <v>32</v>
      </c>
      <c r="S3749" t="s">
        <v>34</v>
      </c>
      <c r="T3749" t="str">
        <f t="shared" si="116"/>
        <v>2-week</v>
      </c>
      <c r="U3749">
        <f>VLOOKUP(T3749,[1]tablescore!$B$3:$C$8, 2,FALSE)</f>
        <v>26</v>
      </c>
      <c r="V3749" t="str">
        <f t="shared" si="117"/>
        <v>Loyal</v>
      </c>
      <c r="W3749" t="s">
        <v>77</v>
      </c>
    </row>
    <row r="3750" spans="1:23" x14ac:dyDescent="0.25">
      <c r="A3750">
        <v>3749</v>
      </c>
      <c r="B3750">
        <v>34</v>
      </c>
      <c r="C3750" t="str" cm="1">
        <f t="array" ref="C3750">_xlfn.IFS(
  AND(B3750&gt;=18, B3750&lt;=24), "18-24",
  AND(B3750&gt;=25, B3750&lt;=34), "25-34",
  AND(B3750&gt;=35, B3750&lt;=44), "35-44",
  AND(B3750&gt;=45, B3750&lt;=54), "45-54",
  B3750&gt;=55, "55+"
)</f>
        <v>25-34</v>
      </c>
      <c r="D3750" t="s">
        <v>153</v>
      </c>
      <c r="E3750" t="s">
        <v>133</v>
      </c>
      <c r="F3750" t="s">
        <v>69</v>
      </c>
      <c r="G3750">
        <v>25</v>
      </c>
      <c r="H3750" t="s">
        <v>80</v>
      </c>
      <c r="I3750" t="s">
        <v>45</v>
      </c>
      <c r="J3750" t="s">
        <v>84</v>
      </c>
      <c r="K3750" t="s">
        <v>58</v>
      </c>
      <c r="L3750">
        <v>3.9</v>
      </c>
      <c r="M3750" t="s">
        <v>152</v>
      </c>
      <c r="N3750" t="s">
        <v>46</v>
      </c>
      <c r="O3750" t="s">
        <v>72</v>
      </c>
      <c r="P3750" t="s">
        <v>152</v>
      </c>
      <c r="Q3750" t="s">
        <v>152</v>
      </c>
      <c r="R3750">
        <v>3</v>
      </c>
      <c r="S3750" t="s">
        <v>29</v>
      </c>
      <c r="T3750" t="str">
        <f t="shared" si="116"/>
        <v>Annually</v>
      </c>
      <c r="U3750">
        <f>VLOOKUP(T3750,[1]tablescore!$B$3:$C$8, 2,FALSE)</f>
        <v>1</v>
      </c>
      <c r="V3750" t="str">
        <f t="shared" si="117"/>
        <v>Low Loyalty</v>
      </c>
      <c r="W3750" t="s">
        <v>50</v>
      </c>
    </row>
    <row r="3751" spans="1:23" x14ac:dyDescent="0.25">
      <c r="A3751">
        <v>3750</v>
      </c>
      <c r="B3751">
        <v>24</v>
      </c>
      <c r="C3751" t="str" cm="1">
        <f t="array" ref="C3751">_xlfn.IFS(
  AND(B3751&gt;=18, B3751&lt;=24), "18-24",
  AND(B3751&gt;=25, B3751&lt;=34), "25-34",
  AND(B3751&gt;=35, B3751&lt;=44), "35-44",
  AND(B3751&gt;=45, B3751&lt;=54), "45-54",
  B3751&gt;=55, "55+"
)</f>
        <v>18-24</v>
      </c>
      <c r="D3751" t="s">
        <v>153</v>
      </c>
      <c r="E3751" t="s">
        <v>20</v>
      </c>
      <c r="F3751" t="s">
        <v>21</v>
      </c>
      <c r="G3751">
        <v>95</v>
      </c>
      <c r="H3751" t="s">
        <v>120</v>
      </c>
      <c r="I3751" t="s">
        <v>23</v>
      </c>
      <c r="J3751" t="s">
        <v>139</v>
      </c>
      <c r="K3751" t="s">
        <v>25</v>
      </c>
      <c r="L3751">
        <v>2.9</v>
      </c>
      <c r="M3751" t="s">
        <v>152</v>
      </c>
      <c r="N3751" t="s">
        <v>59</v>
      </c>
      <c r="O3751" t="s">
        <v>72</v>
      </c>
      <c r="P3751" t="s">
        <v>152</v>
      </c>
      <c r="Q3751" t="s">
        <v>152</v>
      </c>
      <c r="R3751">
        <v>38</v>
      </c>
      <c r="S3751" t="s">
        <v>29</v>
      </c>
      <c r="T3751" t="str">
        <f t="shared" si="116"/>
        <v>Quarterly</v>
      </c>
      <c r="U3751">
        <f>VLOOKUP(T3751,[1]tablescore!$B$3:$C$8, 2,FALSE)</f>
        <v>4</v>
      </c>
      <c r="V3751" t="str">
        <f t="shared" si="117"/>
        <v>Low Loyalty</v>
      </c>
      <c r="W3751" t="s">
        <v>97</v>
      </c>
    </row>
    <row r="3752" spans="1:23" x14ac:dyDescent="0.25">
      <c r="A3752">
        <v>3751</v>
      </c>
      <c r="B3752">
        <v>42</v>
      </c>
      <c r="C3752" t="str" cm="1">
        <f t="array" ref="C3752">_xlfn.IFS(
  AND(B3752&gt;=18, B3752&lt;=24), "18-24",
  AND(B3752&gt;=25, B3752&lt;=34), "25-34",
  AND(B3752&gt;=35, B3752&lt;=44), "35-44",
  AND(B3752&gt;=45, B3752&lt;=54), "45-54",
  B3752&gt;=55, "55+"
)</f>
        <v>35-44</v>
      </c>
      <c r="D3752" t="s">
        <v>153</v>
      </c>
      <c r="E3752" t="s">
        <v>104</v>
      </c>
      <c r="F3752" t="s">
        <v>21</v>
      </c>
      <c r="G3752">
        <v>88</v>
      </c>
      <c r="H3752" t="s">
        <v>117</v>
      </c>
      <c r="I3752" t="s">
        <v>45</v>
      </c>
      <c r="J3752" t="s">
        <v>81</v>
      </c>
      <c r="K3752" t="s">
        <v>58</v>
      </c>
      <c r="L3752">
        <v>3.1</v>
      </c>
      <c r="M3752" t="s">
        <v>152</v>
      </c>
      <c r="N3752" t="s">
        <v>59</v>
      </c>
      <c r="O3752" t="s">
        <v>40</v>
      </c>
      <c r="P3752" t="s">
        <v>152</v>
      </c>
      <c r="Q3752" t="s">
        <v>152</v>
      </c>
      <c r="R3752">
        <v>5</v>
      </c>
      <c r="S3752" t="s">
        <v>46</v>
      </c>
      <c r="T3752" t="str">
        <f t="shared" si="116"/>
        <v>Month</v>
      </c>
      <c r="U3752">
        <f>VLOOKUP(T3752,[1]tablescore!$B$3:$C$8, 2,FALSE)</f>
        <v>12</v>
      </c>
      <c r="V3752" t="str">
        <f t="shared" si="117"/>
        <v>Moderate</v>
      </c>
      <c r="W3752" t="s">
        <v>88</v>
      </c>
    </row>
    <row r="3753" spans="1:23" x14ac:dyDescent="0.25">
      <c r="A3753">
        <v>3752</v>
      </c>
      <c r="B3753">
        <v>36</v>
      </c>
      <c r="C3753" t="str" cm="1">
        <f t="array" ref="C3753">_xlfn.IFS(
  AND(B3753&gt;=18, B3753&lt;=24), "18-24",
  AND(B3753&gt;=25, B3753&lt;=34), "25-34",
  AND(B3753&gt;=35, B3753&lt;=44), "35-44",
  AND(B3753&gt;=45, B3753&lt;=54), "45-54",
  B3753&gt;=55, "55+"
)</f>
        <v>35-44</v>
      </c>
      <c r="D3753" t="s">
        <v>153</v>
      </c>
      <c r="E3753" t="s">
        <v>106</v>
      </c>
      <c r="F3753" t="s">
        <v>69</v>
      </c>
      <c r="G3753">
        <v>97</v>
      </c>
      <c r="H3753" t="s">
        <v>90</v>
      </c>
      <c r="I3753" t="s">
        <v>38</v>
      </c>
      <c r="J3753" t="s">
        <v>67</v>
      </c>
      <c r="K3753" t="s">
        <v>58</v>
      </c>
      <c r="L3753">
        <v>4.2</v>
      </c>
      <c r="M3753" t="s">
        <v>152</v>
      </c>
      <c r="N3753" t="s">
        <v>35</v>
      </c>
      <c r="O3753" t="s">
        <v>40</v>
      </c>
      <c r="P3753" t="s">
        <v>152</v>
      </c>
      <c r="Q3753" t="s">
        <v>152</v>
      </c>
      <c r="R3753">
        <v>8</v>
      </c>
      <c r="S3753" t="s">
        <v>27</v>
      </c>
      <c r="T3753" t="str">
        <f t="shared" si="116"/>
        <v>Quarterly</v>
      </c>
      <c r="U3753">
        <f>VLOOKUP(T3753,[1]tablescore!$B$3:$C$8, 2,FALSE)</f>
        <v>4</v>
      </c>
      <c r="V3753" t="str">
        <f t="shared" si="117"/>
        <v>Low Loyalty</v>
      </c>
      <c r="W3753" t="s">
        <v>97</v>
      </c>
    </row>
    <row r="3754" spans="1:23" x14ac:dyDescent="0.25">
      <c r="A3754">
        <v>3753</v>
      </c>
      <c r="B3754">
        <v>24</v>
      </c>
      <c r="C3754" t="str" cm="1">
        <f t="array" ref="C3754">_xlfn.IFS(
  AND(B3754&gt;=18, B3754&lt;=24), "18-24",
  AND(B3754&gt;=25, B3754&lt;=34), "25-34",
  AND(B3754&gt;=35, B3754&lt;=44), "35-44",
  AND(B3754&gt;=45, B3754&lt;=54), "45-54",
  B3754&gt;=55, "55+"
)</f>
        <v>18-24</v>
      </c>
      <c r="D3754" t="s">
        <v>153</v>
      </c>
      <c r="E3754" t="s">
        <v>64</v>
      </c>
      <c r="F3754" t="s">
        <v>65</v>
      </c>
      <c r="G3754">
        <v>81</v>
      </c>
      <c r="H3754" t="s">
        <v>140</v>
      </c>
      <c r="I3754" t="s">
        <v>23</v>
      </c>
      <c r="J3754" t="s">
        <v>71</v>
      </c>
      <c r="K3754" t="s">
        <v>25</v>
      </c>
      <c r="L3754">
        <v>4.0999999999999996</v>
      </c>
      <c r="M3754" t="s">
        <v>152</v>
      </c>
      <c r="N3754" t="s">
        <v>59</v>
      </c>
      <c r="O3754" t="s">
        <v>72</v>
      </c>
      <c r="P3754" t="s">
        <v>152</v>
      </c>
      <c r="Q3754" t="s">
        <v>152</v>
      </c>
      <c r="R3754">
        <v>43</v>
      </c>
      <c r="S3754" t="s">
        <v>29</v>
      </c>
      <c r="T3754" t="str">
        <f t="shared" si="116"/>
        <v>Daily</v>
      </c>
      <c r="U3754">
        <f>VLOOKUP(T3754,[1]tablescore!$B$3:$C$8, 2,FALSE)</f>
        <v>30</v>
      </c>
      <c r="V3754" t="str">
        <f t="shared" si="117"/>
        <v>Highly Loyal</v>
      </c>
      <c r="W3754" t="s">
        <v>41</v>
      </c>
    </row>
    <row r="3755" spans="1:23" x14ac:dyDescent="0.25">
      <c r="A3755">
        <v>3754</v>
      </c>
      <c r="B3755">
        <v>39</v>
      </c>
      <c r="C3755" t="str" cm="1">
        <f t="array" ref="C3755">_xlfn.IFS(
  AND(B3755&gt;=18, B3755&lt;=24), "18-24",
  AND(B3755&gt;=25, B3755&lt;=34), "25-34",
  AND(B3755&gt;=35, B3755&lt;=44), "35-44",
  AND(B3755&gt;=45, B3755&lt;=54), "45-54",
  B3755&gt;=55, "55+"
)</f>
        <v>35-44</v>
      </c>
      <c r="D3755" t="s">
        <v>153</v>
      </c>
      <c r="E3755" t="s">
        <v>89</v>
      </c>
      <c r="F3755" t="s">
        <v>69</v>
      </c>
      <c r="G3755">
        <v>26</v>
      </c>
      <c r="H3755" t="s">
        <v>62</v>
      </c>
      <c r="I3755" t="s">
        <v>38</v>
      </c>
      <c r="J3755" t="s">
        <v>49</v>
      </c>
      <c r="K3755" t="s">
        <v>25</v>
      </c>
      <c r="L3755">
        <v>4.2</v>
      </c>
      <c r="M3755" t="s">
        <v>152</v>
      </c>
      <c r="N3755" t="s">
        <v>34</v>
      </c>
      <c r="O3755" t="s">
        <v>47</v>
      </c>
      <c r="P3755" t="s">
        <v>152</v>
      </c>
      <c r="Q3755" t="s">
        <v>152</v>
      </c>
      <c r="R3755">
        <v>22</v>
      </c>
      <c r="S3755" t="s">
        <v>34</v>
      </c>
      <c r="T3755" t="str">
        <f t="shared" si="116"/>
        <v>2-week</v>
      </c>
      <c r="U3755">
        <f>VLOOKUP(T3755,[1]tablescore!$B$3:$C$8, 2,FALSE)</f>
        <v>26</v>
      </c>
      <c r="V3755" t="str">
        <f t="shared" si="117"/>
        <v>Loyal</v>
      </c>
      <c r="W3755" t="s">
        <v>30</v>
      </c>
    </row>
    <row r="3756" spans="1:23" x14ac:dyDescent="0.25">
      <c r="A3756">
        <v>3755</v>
      </c>
      <c r="B3756">
        <v>46</v>
      </c>
      <c r="C3756" t="str" cm="1">
        <f t="array" ref="C3756">_xlfn.IFS(
  AND(B3756&gt;=18, B3756&lt;=24), "18-24",
  AND(B3756&gt;=25, B3756&lt;=34), "25-34",
  AND(B3756&gt;=35, B3756&lt;=44), "35-44",
  AND(B3756&gt;=45, B3756&lt;=54), "45-54",
  B3756&gt;=55, "55+"
)</f>
        <v>45-54</v>
      </c>
      <c r="D3756" t="s">
        <v>153</v>
      </c>
      <c r="E3756" t="s">
        <v>73</v>
      </c>
      <c r="F3756" t="s">
        <v>43</v>
      </c>
      <c r="G3756">
        <v>41</v>
      </c>
      <c r="H3756" t="s">
        <v>143</v>
      </c>
      <c r="I3756" t="s">
        <v>45</v>
      </c>
      <c r="J3756" t="s">
        <v>49</v>
      </c>
      <c r="K3756" t="s">
        <v>54</v>
      </c>
      <c r="L3756">
        <v>4.4000000000000004</v>
      </c>
      <c r="M3756" t="s">
        <v>152</v>
      </c>
      <c r="N3756" t="s">
        <v>46</v>
      </c>
      <c r="O3756" t="s">
        <v>28</v>
      </c>
      <c r="P3756" t="s">
        <v>152</v>
      </c>
      <c r="Q3756" t="s">
        <v>152</v>
      </c>
      <c r="R3756">
        <v>10</v>
      </c>
      <c r="S3756" t="s">
        <v>35</v>
      </c>
      <c r="T3756" t="str">
        <f t="shared" si="116"/>
        <v>Quarterly</v>
      </c>
      <c r="U3756">
        <f>VLOOKUP(T3756,[1]tablescore!$B$3:$C$8, 2,FALSE)</f>
        <v>4</v>
      </c>
      <c r="V3756" t="str">
        <f t="shared" si="117"/>
        <v>Low Loyalty</v>
      </c>
      <c r="W3756" t="s">
        <v>97</v>
      </c>
    </row>
    <row r="3757" spans="1:23" x14ac:dyDescent="0.25">
      <c r="A3757">
        <v>3756</v>
      </c>
      <c r="B3757">
        <v>64</v>
      </c>
      <c r="C3757" t="str" cm="1">
        <f t="array" ref="C3757">_xlfn.IFS(
  AND(B3757&gt;=18, B3757&lt;=24), "18-24",
  AND(B3757&gt;=25, B3757&lt;=34), "25-34",
  AND(B3757&gt;=35, B3757&lt;=44), "35-44",
  AND(B3757&gt;=45, B3757&lt;=54), "45-54",
  B3757&gt;=55, "55+"
)</f>
        <v>55+</v>
      </c>
      <c r="D3757" t="s">
        <v>153</v>
      </c>
      <c r="E3757" t="s">
        <v>87</v>
      </c>
      <c r="F3757" t="s">
        <v>21</v>
      </c>
      <c r="G3757">
        <v>93</v>
      </c>
      <c r="H3757" t="s">
        <v>141</v>
      </c>
      <c r="I3757" t="s">
        <v>45</v>
      </c>
      <c r="J3757" t="s">
        <v>100</v>
      </c>
      <c r="K3757" t="s">
        <v>58</v>
      </c>
      <c r="L3757">
        <v>3.4</v>
      </c>
      <c r="M3757" t="s">
        <v>152</v>
      </c>
      <c r="N3757" t="s">
        <v>34</v>
      </c>
      <c r="O3757" t="s">
        <v>40</v>
      </c>
      <c r="P3757" t="s">
        <v>152</v>
      </c>
      <c r="Q3757" t="s">
        <v>152</v>
      </c>
      <c r="R3757">
        <v>26</v>
      </c>
      <c r="S3757" t="s">
        <v>27</v>
      </c>
      <c r="T3757" t="str">
        <f t="shared" si="116"/>
        <v>Month</v>
      </c>
      <c r="U3757">
        <f>VLOOKUP(T3757,[1]tablescore!$B$3:$C$8, 2,FALSE)</f>
        <v>12</v>
      </c>
      <c r="V3757" t="str">
        <f t="shared" si="117"/>
        <v>Moderate</v>
      </c>
      <c r="W3757" t="s">
        <v>88</v>
      </c>
    </row>
    <row r="3758" spans="1:23" x14ac:dyDescent="0.25">
      <c r="A3758">
        <v>3757</v>
      </c>
      <c r="B3758">
        <v>64</v>
      </c>
      <c r="C3758" t="str" cm="1">
        <f t="array" ref="C3758">_xlfn.IFS(
  AND(B3758&gt;=18, B3758&lt;=24), "18-24",
  AND(B3758&gt;=25, B3758&lt;=34), "25-34",
  AND(B3758&gt;=35, B3758&lt;=44), "35-44",
  AND(B3758&gt;=45, B3758&lt;=54), "45-54",
  B3758&gt;=55, "55+"
)</f>
        <v>55+</v>
      </c>
      <c r="D3758" t="s">
        <v>153</v>
      </c>
      <c r="E3758" t="s">
        <v>87</v>
      </c>
      <c r="F3758" t="s">
        <v>21</v>
      </c>
      <c r="G3758">
        <v>69</v>
      </c>
      <c r="H3758" t="s">
        <v>126</v>
      </c>
      <c r="I3758" t="s">
        <v>23</v>
      </c>
      <c r="J3758" t="s">
        <v>86</v>
      </c>
      <c r="K3758" t="s">
        <v>39</v>
      </c>
      <c r="L3758">
        <v>4.8</v>
      </c>
      <c r="M3758" t="s">
        <v>152</v>
      </c>
      <c r="N3758" t="s">
        <v>27</v>
      </c>
      <c r="O3758" t="s">
        <v>28</v>
      </c>
      <c r="P3758" t="s">
        <v>152</v>
      </c>
      <c r="Q3758" t="s">
        <v>152</v>
      </c>
      <c r="R3758">
        <v>42</v>
      </c>
      <c r="S3758" t="s">
        <v>59</v>
      </c>
      <c r="T3758" t="str">
        <f t="shared" si="116"/>
        <v>2-week</v>
      </c>
      <c r="U3758">
        <f>VLOOKUP(T3758,[1]tablescore!$B$3:$C$8, 2,FALSE)</f>
        <v>26</v>
      </c>
      <c r="V3758" t="str">
        <f t="shared" si="117"/>
        <v>Loyal</v>
      </c>
      <c r="W3758" t="s">
        <v>77</v>
      </c>
    </row>
    <row r="3759" spans="1:23" x14ac:dyDescent="0.25">
      <c r="A3759">
        <v>3758</v>
      </c>
      <c r="B3759">
        <v>61</v>
      </c>
      <c r="C3759" t="str" cm="1">
        <f t="array" ref="C3759">_xlfn.IFS(
  AND(B3759&gt;=18, B3759&lt;=24), "18-24",
  AND(B3759&gt;=25, B3759&lt;=34), "25-34",
  AND(B3759&gt;=35, B3759&lt;=44), "35-44",
  AND(B3759&gt;=45, B3759&lt;=54), "45-54",
  B3759&gt;=55, "55+"
)</f>
        <v>55+</v>
      </c>
      <c r="D3759" t="s">
        <v>153</v>
      </c>
      <c r="E3759" t="s">
        <v>87</v>
      </c>
      <c r="F3759" t="s">
        <v>21</v>
      </c>
      <c r="G3759">
        <v>44</v>
      </c>
      <c r="H3759" t="s">
        <v>99</v>
      </c>
      <c r="I3759" t="s">
        <v>23</v>
      </c>
      <c r="J3759" t="s">
        <v>108</v>
      </c>
      <c r="K3759" t="s">
        <v>58</v>
      </c>
      <c r="L3759">
        <v>4.5</v>
      </c>
      <c r="M3759" t="s">
        <v>152</v>
      </c>
      <c r="N3759" t="s">
        <v>59</v>
      </c>
      <c r="O3759" t="s">
        <v>72</v>
      </c>
      <c r="P3759" t="s">
        <v>152</v>
      </c>
      <c r="Q3759" t="s">
        <v>152</v>
      </c>
      <c r="R3759">
        <v>33</v>
      </c>
      <c r="S3759" t="s">
        <v>35</v>
      </c>
      <c r="T3759" t="str">
        <f t="shared" si="116"/>
        <v>Daily</v>
      </c>
      <c r="U3759">
        <f>VLOOKUP(T3759,[1]tablescore!$B$3:$C$8, 2,FALSE)</f>
        <v>30</v>
      </c>
      <c r="V3759" t="str">
        <f t="shared" si="117"/>
        <v>Highly Loyal</v>
      </c>
      <c r="W3759" t="s">
        <v>41</v>
      </c>
    </row>
    <row r="3760" spans="1:23" x14ac:dyDescent="0.25">
      <c r="A3760">
        <v>3759</v>
      </c>
      <c r="B3760">
        <v>61</v>
      </c>
      <c r="C3760" t="str" cm="1">
        <f t="array" ref="C3760">_xlfn.IFS(
  AND(B3760&gt;=18, B3760&lt;=24), "18-24",
  AND(B3760&gt;=25, B3760&lt;=34), "25-34",
  AND(B3760&gt;=35, B3760&lt;=44), "35-44",
  AND(B3760&gt;=45, B3760&lt;=54), "45-54",
  B3760&gt;=55, "55+"
)</f>
        <v>55+</v>
      </c>
      <c r="D3760" t="s">
        <v>153</v>
      </c>
      <c r="E3760" t="s">
        <v>42</v>
      </c>
      <c r="F3760" t="s">
        <v>43</v>
      </c>
      <c r="G3760">
        <v>54</v>
      </c>
      <c r="H3760" t="s">
        <v>116</v>
      </c>
      <c r="I3760" t="s">
        <v>38</v>
      </c>
      <c r="J3760" t="s">
        <v>94</v>
      </c>
      <c r="K3760" t="s">
        <v>39</v>
      </c>
      <c r="L3760">
        <v>2.7</v>
      </c>
      <c r="M3760" t="s">
        <v>152</v>
      </c>
      <c r="N3760" t="s">
        <v>35</v>
      </c>
      <c r="O3760" t="s">
        <v>76</v>
      </c>
      <c r="P3760" t="s">
        <v>152</v>
      </c>
      <c r="Q3760" t="s">
        <v>152</v>
      </c>
      <c r="R3760">
        <v>23</v>
      </c>
      <c r="S3760" t="s">
        <v>34</v>
      </c>
      <c r="T3760" t="str">
        <f t="shared" si="116"/>
        <v>Quarterly</v>
      </c>
      <c r="U3760">
        <f>VLOOKUP(T3760,[1]tablescore!$B$3:$C$8, 2,FALSE)</f>
        <v>4</v>
      </c>
      <c r="V3760" t="str">
        <f t="shared" si="117"/>
        <v>Low Loyalty</v>
      </c>
      <c r="W3760" t="s">
        <v>60</v>
      </c>
    </row>
    <row r="3761" spans="1:23" x14ac:dyDescent="0.25">
      <c r="A3761">
        <v>3760</v>
      </c>
      <c r="B3761">
        <v>44</v>
      </c>
      <c r="C3761" t="str" cm="1">
        <f t="array" ref="C3761">_xlfn.IFS(
  AND(B3761&gt;=18, B3761&lt;=24), "18-24",
  AND(B3761&gt;=25, B3761&lt;=34), "25-34",
  AND(B3761&gt;=35, B3761&lt;=44), "35-44",
  AND(B3761&gt;=45, B3761&lt;=54), "45-54",
  B3761&gt;=55, "55+"
)</f>
        <v>35-44</v>
      </c>
      <c r="D3761" t="s">
        <v>153</v>
      </c>
      <c r="E3761" t="s">
        <v>51</v>
      </c>
      <c r="F3761" t="s">
        <v>43</v>
      </c>
      <c r="G3761">
        <v>61</v>
      </c>
      <c r="H3761" t="s">
        <v>70</v>
      </c>
      <c r="I3761" t="s">
        <v>45</v>
      </c>
      <c r="J3761" t="s">
        <v>71</v>
      </c>
      <c r="K3761" t="s">
        <v>39</v>
      </c>
      <c r="L3761">
        <v>3.5</v>
      </c>
      <c r="M3761" t="s">
        <v>152</v>
      </c>
      <c r="N3761" t="s">
        <v>27</v>
      </c>
      <c r="O3761" t="s">
        <v>76</v>
      </c>
      <c r="P3761" t="s">
        <v>152</v>
      </c>
      <c r="Q3761" t="s">
        <v>152</v>
      </c>
      <c r="R3761">
        <v>30</v>
      </c>
      <c r="S3761" t="s">
        <v>29</v>
      </c>
      <c r="T3761" t="str">
        <f t="shared" si="116"/>
        <v>Quarterly</v>
      </c>
      <c r="U3761">
        <f>VLOOKUP(T3761,[1]tablescore!$B$3:$C$8, 2,FALSE)</f>
        <v>4</v>
      </c>
      <c r="V3761" t="str">
        <f t="shared" si="117"/>
        <v>Low Loyalty</v>
      </c>
      <c r="W3761" t="s">
        <v>60</v>
      </c>
    </row>
    <row r="3762" spans="1:23" x14ac:dyDescent="0.25">
      <c r="A3762">
        <v>3761</v>
      </c>
      <c r="B3762">
        <v>65</v>
      </c>
      <c r="C3762" t="str" cm="1">
        <f t="array" ref="C3762">_xlfn.IFS(
  AND(B3762&gt;=18, B3762&lt;=24), "18-24",
  AND(B3762&gt;=25, B3762&lt;=34), "25-34",
  AND(B3762&gt;=35, B3762&lt;=44), "35-44",
  AND(B3762&gt;=45, B3762&lt;=54), "45-54",
  B3762&gt;=55, "55+"
)</f>
        <v>55+</v>
      </c>
      <c r="D3762" t="s">
        <v>153</v>
      </c>
      <c r="E3762" t="s">
        <v>131</v>
      </c>
      <c r="F3762" t="s">
        <v>21</v>
      </c>
      <c r="G3762">
        <v>80</v>
      </c>
      <c r="H3762" t="s">
        <v>146</v>
      </c>
      <c r="I3762" t="s">
        <v>45</v>
      </c>
      <c r="J3762" t="s">
        <v>100</v>
      </c>
      <c r="K3762" t="s">
        <v>58</v>
      </c>
      <c r="L3762">
        <v>3.1</v>
      </c>
      <c r="M3762" t="s">
        <v>152</v>
      </c>
      <c r="N3762" t="s">
        <v>46</v>
      </c>
      <c r="O3762" t="s">
        <v>47</v>
      </c>
      <c r="P3762" t="s">
        <v>152</v>
      </c>
      <c r="Q3762" t="s">
        <v>152</v>
      </c>
      <c r="R3762">
        <v>36</v>
      </c>
      <c r="S3762" t="s">
        <v>46</v>
      </c>
      <c r="T3762" t="str">
        <f t="shared" si="116"/>
        <v>Daily</v>
      </c>
      <c r="U3762">
        <f>VLOOKUP(T3762,[1]tablescore!$B$3:$C$8, 2,FALSE)</f>
        <v>30</v>
      </c>
      <c r="V3762" t="str">
        <f t="shared" si="117"/>
        <v>Highly Loyal</v>
      </c>
      <c r="W3762" t="s">
        <v>41</v>
      </c>
    </row>
    <row r="3763" spans="1:23" x14ac:dyDescent="0.25">
      <c r="A3763">
        <v>3762</v>
      </c>
      <c r="B3763">
        <v>60</v>
      </c>
      <c r="C3763" t="str" cm="1">
        <f t="array" ref="C3763">_xlfn.IFS(
  AND(B3763&gt;=18, B3763&lt;=24), "18-24",
  AND(B3763&gt;=25, B3763&lt;=34), "25-34",
  AND(B3763&gt;=35, B3763&lt;=44), "35-44",
  AND(B3763&gt;=45, B3763&lt;=54), "45-54",
  B3763&gt;=55, "55+"
)</f>
        <v>55+</v>
      </c>
      <c r="D3763" t="s">
        <v>153</v>
      </c>
      <c r="E3763" t="s">
        <v>133</v>
      </c>
      <c r="F3763" t="s">
        <v>69</v>
      </c>
      <c r="G3763">
        <v>30</v>
      </c>
      <c r="H3763" t="s">
        <v>107</v>
      </c>
      <c r="I3763" t="s">
        <v>45</v>
      </c>
      <c r="J3763" t="s">
        <v>96</v>
      </c>
      <c r="K3763" t="s">
        <v>54</v>
      </c>
      <c r="L3763">
        <v>2.8</v>
      </c>
      <c r="M3763" t="s">
        <v>152</v>
      </c>
      <c r="N3763" t="s">
        <v>29</v>
      </c>
      <c r="O3763" t="s">
        <v>47</v>
      </c>
      <c r="P3763" t="s">
        <v>152</v>
      </c>
      <c r="Q3763" t="s">
        <v>152</v>
      </c>
      <c r="R3763">
        <v>3</v>
      </c>
      <c r="S3763" t="s">
        <v>29</v>
      </c>
      <c r="T3763" t="str">
        <f t="shared" si="116"/>
        <v>Quarterly</v>
      </c>
      <c r="U3763">
        <f>VLOOKUP(T3763,[1]tablescore!$B$3:$C$8, 2,FALSE)</f>
        <v>4</v>
      </c>
      <c r="V3763" t="str">
        <f t="shared" si="117"/>
        <v>Low Loyalty</v>
      </c>
      <c r="W3763" t="s">
        <v>97</v>
      </c>
    </row>
    <row r="3764" spans="1:23" x14ac:dyDescent="0.25">
      <c r="A3764">
        <v>3763</v>
      </c>
      <c r="B3764">
        <v>65</v>
      </c>
      <c r="C3764" t="str" cm="1">
        <f t="array" ref="C3764">_xlfn.IFS(
  AND(B3764&gt;=18, B3764&lt;=24), "18-24",
  AND(B3764&gt;=25, B3764&lt;=34), "25-34",
  AND(B3764&gt;=35, B3764&lt;=44), "35-44",
  AND(B3764&gt;=45, B3764&lt;=54), "45-54",
  B3764&gt;=55, "55+"
)</f>
        <v>55+</v>
      </c>
      <c r="D3764" t="s">
        <v>153</v>
      </c>
      <c r="E3764" t="s">
        <v>61</v>
      </c>
      <c r="F3764" t="s">
        <v>21</v>
      </c>
      <c r="G3764">
        <v>94</v>
      </c>
      <c r="H3764" t="s">
        <v>85</v>
      </c>
      <c r="I3764" t="s">
        <v>23</v>
      </c>
      <c r="J3764" t="s">
        <v>96</v>
      </c>
      <c r="K3764" t="s">
        <v>58</v>
      </c>
      <c r="L3764">
        <v>2.9</v>
      </c>
      <c r="M3764" t="s">
        <v>152</v>
      </c>
      <c r="N3764" t="s">
        <v>29</v>
      </c>
      <c r="O3764" t="s">
        <v>76</v>
      </c>
      <c r="P3764" t="s">
        <v>152</v>
      </c>
      <c r="Q3764" t="s">
        <v>152</v>
      </c>
      <c r="R3764">
        <v>13</v>
      </c>
      <c r="S3764" t="s">
        <v>46</v>
      </c>
      <c r="T3764" t="str">
        <f t="shared" si="116"/>
        <v>Annually</v>
      </c>
      <c r="U3764">
        <f>VLOOKUP(T3764,[1]tablescore!$B$3:$C$8, 2,FALSE)</f>
        <v>1</v>
      </c>
      <c r="V3764" t="str">
        <f t="shared" si="117"/>
        <v>Low Loyalty</v>
      </c>
      <c r="W3764" t="s">
        <v>50</v>
      </c>
    </row>
    <row r="3765" spans="1:23" x14ac:dyDescent="0.25">
      <c r="A3765">
        <v>3764</v>
      </c>
      <c r="B3765">
        <v>27</v>
      </c>
      <c r="C3765" t="str" cm="1">
        <f t="array" ref="C3765">_xlfn.IFS(
  AND(B3765&gt;=18, B3765&lt;=24), "18-24",
  AND(B3765&gt;=25, B3765&lt;=34), "25-34",
  AND(B3765&gt;=35, B3765&lt;=44), "35-44",
  AND(B3765&gt;=45, B3765&lt;=54), "45-54",
  B3765&gt;=55, "55+"
)</f>
        <v>25-34</v>
      </c>
      <c r="D3765" t="s">
        <v>153</v>
      </c>
      <c r="E3765" t="s">
        <v>56</v>
      </c>
      <c r="F3765" t="s">
        <v>21</v>
      </c>
      <c r="G3765">
        <v>24</v>
      </c>
      <c r="H3765" t="s">
        <v>101</v>
      </c>
      <c r="I3765" t="s">
        <v>92</v>
      </c>
      <c r="J3765" t="s">
        <v>108</v>
      </c>
      <c r="K3765" t="s">
        <v>25</v>
      </c>
      <c r="L3765">
        <v>4.5</v>
      </c>
      <c r="M3765" t="s">
        <v>152</v>
      </c>
      <c r="N3765" t="s">
        <v>46</v>
      </c>
      <c r="O3765" t="s">
        <v>55</v>
      </c>
      <c r="P3765" t="s">
        <v>152</v>
      </c>
      <c r="Q3765" t="s">
        <v>152</v>
      </c>
      <c r="R3765">
        <v>38</v>
      </c>
      <c r="S3765" t="s">
        <v>35</v>
      </c>
      <c r="T3765" t="str">
        <f t="shared" si="116"/>
        <v>Quarterly</v>
      </c>
      <c r="U3765">
        <f>VLOOKUP(T3765,[1]tablescore!$B$3:$C$8, 2,FALSE)</f>
        <v>4</v>
      </c>
      <c r="V3765" t="str">
        <f t="shared" si="117"/>
        <v>Low Loyalty</v>
      </c>
      <c r="W3765" t="s">
        <v>97</v>
      </c>
    </row>
    <row r="3766" spans="1:23" x14ac:dyDescent="0.25">
      <c r="A3766">
        <v>3765</v>
      </c>
      <c r="B3766">
        <v>36</v>
      </c>
      <c r="C3766" t="str" cm="1">
        <f t="array" ref="C3766">_xlfn.IFS(
  AND(B3766&gt;=18, B3766&lt;=24), "18-24",
  AND(B3766&gt;=25, B3766&lt;=34), "25-34",
  AND(B3766&gt;=35, B3766&lt;=44), "35-44",
  AND(B3766&gt;=45, B3766&lt;=54), "45-54",
  B3766&gt;=55, "55+"
)</f>
        <v>35-44</v>
      </c>
      <c r="D3766" t="s">
        <v>153</v>
      </c>
      <c r="E3766" t="s">
        <v>131</v>
      </c>
      <c r="F3766" t="s">
        <v>21</v>
      </c>
      <c r="G3766">
        <v>21</v>
      </c>
      <c r="H3766" t="s">
        <v>130</v>
      </c>
      <c r="I3766" t="s">
        <v>45</v>
      </c>
      <c r="J3766" t="s">
        <v>33</v>
      </c>
      <c r="K3766" t="s">
        <v>58</v>
      </c>
      <c r="L3766">
        <v>3.5</v>
      </c>
      <c r="M3766" t="s">
        <v>152</v>
      </c>
      <c r="N3766" t="s">
        <v>46</v>
      </c>
      <c r="O3766" t="s">
        <v>47</v>
      </c>
      <c r="P3766" t="s">
        <v>152</v>
      </c>
      <c r="Q3766" t="s">
        <v>152</v>
      </c>
      <c r="R3766">
        <v>19</v>
      </c>
      <c r="S3766" t="s">
        <v>29</v>
      </c>
      <c r="T3766" t="str">
        <f t="shared" si="116"/>
        <v>Month</v>
      </c>
      <c r="U3766">
        <f>VLOOKUP(T3766,[1]tablescore!$B$3:$C$8, 2,FALSE)</f>
        <v>12</v>
      </c>
      <c r="V3766" t="str">
        <f t="shared" si="117"/>
        <v>Moderate</v>
      </c>
      <c r="W3766" t="s">
        <v>88</v>
      </c>
    </row>
    <row r="3767" spans="1:23" x14ac:dyDescent="0.25">
      <c r="A3767">
        <v>3766</v>
      </c>
      <c r="B3767">
        <v>22</v>
      </c>
      <c r="C3767" t="str" cm="1">
        <f t="array" ref="C3767">_xlfn.IFS(
  AND(B3767&gt;=18, B3767&lt;=24), "18-24",
  AND(B3767&gt;=25, B3767&lt;=34), "25-34",
  AND(B3767&gt;=35, B3767&lt;=44), "35-44",
  AND(B3767&gt;=45, B3767&lt;=54), "45-54",
  B3767&gt;=55, "55+"
)</f>
        <v>18-24</v>
      </c>
      <c r="D3767" t="s">
        <v>153</v>
      </c>
      <c r="E3767" t="s">
        <v>106</v>
      </c>
      <c r="F3767" t="s">
        <v>69</v>
      </c>
      <c r="G3767">
        <v>52</v>
      </c>
      <c r="H3767" t="s">
        <v>70</v>
      </c>
      <c r="I3767" t="s">
        <v>45</v>
      </c>
      <c r="J3767" t="s">
        <v>96</v>
      </c>
      <c r="K3767" t="s">
        <v>54</v>
      </c>
      <c r="L3767">
        <v>4.3</v>
      </c>
      <c r="M3767" t="s">
        <v>152</v>
      </c>
      <c r="N3767" t="s">
        <v>35</v>
      </c>
      <c r="O3767" t="s">
        <v>55</v>
      </c>
      <c r="P3767" t="s">
        <v>152</v>
      </c>
      <c r="Q3767" t="s">
        <v>152</v>
      </c>
      <c r="R3767">
        <v>14</v>
      </c>
      <c r="S3767" t="s">
        <v>34</v>
      </c>
      <c r="T3767" t="str">
        <f t="shared" si="116"/>
        <v>2-week</v>
      </c>
      <c r="U3767">
        <f>VLOOKUP(T3767,[1]tablescore!$B$3:$C$8, 2,FALSE)</f>
        <v>26</v>
      </c>
      <c r="V3767" t="str">
        <f t="shared" si="117"/>
        <v>Loyal</v>
      </c>
      <c r="W3767" t="s">
        <v>77</v>
      </c>
    </row>
    <row r="3768" spans="1:23" x14ac:dyDescent="0.25">
      <c r="A3768">
        <v>3767</v>
      </c>
      <c r="B3768">
        <v>62</v>
      </c>
      <c r="C3768" t="str" cm="1">
        <f t="array" ref="C3768">_xlfn.IFS(
  AND(B3768&gt;=18, B3768&lt;=24), "18-24",
  AND(B3768&gt;=25, B3768&lt;=34), "25-34",
  AND(B3768&gt;=35, B3768&lt;=44), "35-44",
  AND(B3768&gt;=45, B3768&lt;=54), "45-54",
  B3768&gt;=55, "55+"
)</f>
        <v>55+</v>
      </c>
      <c r="D3768" t="s">
        <v>153</v>
      </c>
      <c r="E3768" t="s">
        <v>68</v>
      </c>
      <c r="F3768" t="s">
        <v>69</v>
      </c>
      <c r="G3768">
        <v>59</v>
      </c>
      <c r="H3768" t="s">
        <v>105</v>
      </c>
      <c r="I3768" t="s">
        <v>45</v>
      </c>
      <c r="J3768" t="s">
        <v>94</v>
      </c>
      <c r="K3768" t="s">
        <v>58</v>
      </c>
      <c r="L3768">
        <v>4.9000000000000004</v>
      </c>
      <c r="M3768" t="s">
        <v>152</v>
      </c>
      <c r="N3768" t="s">
        <v>35</v>
      </c>
      <c r="O3768" t="s">
        <v>47</v>
      </c>
      <c r="P3768" t="s">
        <v>152</v>
      </c>
      <c r="Q3768" t="s">
        <v>152</v>
      </c>
      <c r="R3768">
        <v>43</v>
      </c>
      <c r="S3768" t="s">
        <v>59</v>
      </c>
      <c r="T3768" t="str">
        <f t="shared" si="116"/>
        <v>Annually</v>
      </c>
      <c r="U3768">
        <f>VLOOKUP(T3768,[1]tablescore!$B$3:$C$8, 2,FALSE)</f>
        <v>1</v>
      </c>
      <c r="V3768" t="str">
        <f t="shared" si="117"/>
        <v>Low Loyalty</v>
      </c>
      <c r="W3768" t="s">
        <v>50</v>
      </c>
    </row>
    <row r="3769" spans="1:23" x14ac:dyDescent="0.25">
      <c r="A3769">
        <v>3768</v>
      </c>
      <c r="B3769">
        <v>59</v>
      </c>
      <c r="C3769" t="str" cm="1">
        <f t="array" ref="C3769">_xlfn.IFS(
  AND(B3769&gt;=18, B3769&lt;=24), "18-24",
  AND(B3769&gt;=25, B3769&lt;=34), "25-34",
  AND(B3769&gt;=35, B3769&lt;=44), "35-44",
  AND(B3769&gt;=45, B3769&lt;=54), "45-54",
  B3769&gt;=55, "55+"
)</f>
        <v>55+</v>
      </c>
      <c r="D3769" t="s">
        <v>153</v>
      </c>
      <c r="E3769" t="s">
        <v>61</v>
      </c>
      <c r="F3769" t="s">
        <v>21</v>
      </c>
      <c r="G3769">
        <v>51</v>
      </c>
      <c r="H3769" t="s">
        <v>85</v>
      </c>
      <c r="I3769" t="s">
        <v>92</v>
      </c>
      <c r="J3769" t="s">
        <v>94</v>
      </c>
      <c r="K3769" t="s">
        <v>54</v>
      </c>
      <c r="L3769">
        <v>3.1</v>
      </c>
      <c r="M3769" t="s">
        <v>152</v>
      </c>
      <c r="N3769" t="s">
        <v>29</v>
      </c>
      <c r="O3769" t="s">
        <v>40</v>
      </c>
      <c r="P3769" t="s">
        <v>152</v>
      </c>
      <c r="Q3769" t="s">
        <v>152</v>
      </c>
      <c r="R3769">
        <v>10</v>
      </c>
      <c r="S3769" t="s">
        <v>34</v>
      </c>
      <c r="T3769" t="str">
        <f t="shared" si="116"/>
        <v>2-week</v>
      </c>
      <c r="U3769">
        <f>VLOOKUP(T3769,[1]tablescore!$B$3:$C$8, 2,FALSE)</f>
        <v>26</v>
      </c>
      <c r="V3769" t="str">
        <f t="shared" si="117"/>
        <v>Loyal</v>
      </c>
      <c r="W3769" t="s">
        <v>30</v>
      </c>
    </row>
    <row r="3770" spans="1:23" x14ac:dyDescent="0.25">
      <c r="A3770">
        <v>3769</v>
      </c>
      <c r="B3770">
        <v>50</v>
      </c>
      <c r="C3770" t="str" cm="1">
        <f t="array" ref="C3770">_xlfn.IFS(
  AND(B3770&gt;=18, B3770&lt;=24), "18-24",
  AND(B3770&gt;=25, B3770&lt;=34), "25-34",
  AND(B3770&gt;=35, B3770&lt;=44), "35-44",
  AND(B3770&gt;=45, B3770&lt;=54), "45-54",
  B3770&gt;=55, "55+"
)</f>
        <v>45-54</v>
      </c>
      <c r="D3770" t="s">
        <v>153</v>
      </c>
      <c r="E3770" t="s">
        <v>31</v>
      </c>
      <c r="F3770" t="s">
        <v>21</v>
      </c>
      <c r="G3770">
        <v>35</v>
      </c>
      <c r="H3770" t="s">
        <v>145</v>
      </c>
      <c r="I3770" t="s">
        <v>45</v>
      </c>
      <c r="J3770" t="s">
        <v>139</v>
      </c>
      <c r="K3770" t="s">
        <v>25</v>
      </c>
      <c r="L3770">
        <v>4</v>
      </c>
      <c r="M3770" t="s">
        <v>152</v>
      </c>
      <c r="N3770" t="s">
        <v>46</v>
      </c>
      <c r="O3770" t="s">
        <v>40</v>
      </c>
      <c r="P3770" t="s">
        <v>152</v>
      </c>
      <c r="Q3770" t="s">
        <v>152</v>
      </c>
      <c r="R3770">
        <v>34</v>
      </c>
      <c r="S3770" t="s">
        <v>34</v>
      </c>
      <c r="T3770" t="str">
        <f t="shared" si="116"/>
        <v>Quarterly</v>
      </c>
      <c r="U3770">
        <f>VLOOKUP(T3770,[1]tablescore!$B$3:$C$8, 2,FALSE)</f>
        <v>4</v>
      </c>
      <c r="V3770" t="str">
        <f t="shared" si="117"/>
        <v>Low Loyalty</v>
      </c>
      <c r="W3770" t="s">
        <v>60</v>
      </c>
    </row>
    <row r="3771" spans="1:23" x14ac:dyDescent="0.25">
      <c r="A3771">
        <v>3770</v>
      </c>
      <c r="B3771">
        <v>51</v>
      </c>
      <c r="C3771" t="str" cm="1">
        <f t="array" ref="C3771">_xlfn.IFS(
  AND(B3771&gt;=18, B3771&lt;=24), "18-24",
  AND(B3771&gt;=25, B3771&lt;=34), "25-34",
  AND(B3771&gt;=35, B3771&lt;=44), "35-44",
  AND(B3771&gt;=45, B3771&lt;=54), "45-54",
  B3771&gt;=55, "55+"
)</f>
        <v>45-54</v>
      </c>
      <c r="D3771" t="s">
        <v>153</v>
      </c>
      <c r="E3771" t="s">
        <v>127</v>
      </c>
      <c r="F3771" t="s">
        <v>69</v>
      </c>
      <c r="G3771">
        <v>87</v>
      </c>
      <c r="H3771" t="s">
        <v>117</v>
      </c>
      <c r="I3771" t="s">
        <v>23</v>
      </c>
      <c r="J3771" t="s">
        <v>96</v>
      </c>
      <c r="K3771" t="s">
        <v>54</v>
      </c>
      <c r="L3771">
        <v>3.6</v>
      </c>
      <c r="M3771" t="s">
        <v>152</v>
      </c>
      <c r="N3771" t="s">
        <v>35</v>
      </c>
      <c r="O3771" t="s">
        <v>55</v>
      </c>
      <c r="P3771" t="s">
        <v>152</v>
      </c>
      <c r="Q3771" t="s">
        <v>152</v>
      </c>
      <c r="R3771">
        <v>31</v>
      </c>
      <c r="S3771" t="s">
        <v>29</v>
      </c>
      <c r="T3771" t="str">
        <f t="shared" si="116"/>
        <v>Annually</v>
      </c>
      <c r="U3771">
        <f>VLOOKUP(T3771,[1]tablescore!$B$3:$C$8, 2,FALSE)</f>
        <v>1</v>
      </c>
      <c r="V3771" t="str">
        <f t="shared" si="117"/>
        <v>Low Loyalty</v>
      </c>
      <c r="W3771" t="s">
        <v>50</v>
      </c>
    </row>
    <row r="3772" spans="1:23" x14ac:dyDescent="0.25">
      <c r="A3772">
        <v>3771</v>
      </c>
      <c r="B3772">
        <v>23</v>
      </c>
      <c r="C3772" t="str" cm="1">
        <f t="array" ref="C3772">_xlfn.IFS(
  AND(B3772&gt;=18, B3772&lt;=24), "18-24",
  AND(B3772&gt;=25, B3772&lt;=34), "25-34",
  AND(B3772&gt;=35, B3772&lt;=44), "35-44",
  AND(B3772&gt;=45, B3772&lt;=54), "45-54",
  B3772&gt;=55, "55+"
)</f>
        <v>18-24</v>
      </c>
      <c r="D3772" t="s">
        <v>153</v>
      </c>
      <c r="E3772" t="s">
        <v>95</v>
      </c>
      <c r="F3772" t="s">
        <v>21</v>
      </c>
      <c r="G3772">
        <v>42</v>
      </c>
      <c r="H3772" t="s">
        <v>57</v>
      </c>
      <c r="I3772" t="s">
        <v>23</v>
      </c>
      <c r="J3772" t="s">
        <v>94</v>
      </c>
      <c r="K3772" t="s">
        <v>54</v>
      </c>
      <c r="L3772">
        <v>4</v>
      </c>
      <c r="M3772" t="s">
        <v>152</v>
      </c>
      <c r="N3772" t="s">
        <v>27</v>
      </c>
      <c r="O3772" t="s">
        <v>76</v>
      </c>
      <c r="P3772" t="s">
        <v>152</v>
      </c>
      <c r="Q3772" t="s">
        <v>152</v>
      </c>
      <c r="R3772">
        <v>34</v>
      </c>
      <c r="S3772" t="s">
        <v>34</v>
      </c>
      <c r="T3772" t="str">
        <f t="shared" si="116"/>
        <v>Daily</v>
      </c>
      <c r="U3772">
        <f>VLOOKUP(T3772,[1]tablescore!$B$3:$C$8, 2,FALSE)</f>
        <v>30</v>
      </c>
      <c r="V3772" t="str">
        <f t="shared" si="117"/>
        <v>Highly Loyal</v>
      </c>
      <c r="W3772" t="s">
        <v>41</v>
      </c>
    </row>
    <row r="3773" spans="1:23" x14ac:dyDescent="0.25">
      <c r="A3773">
        <v>3772</v>
      </c>
      <c r="B3773">
        <v>21</v>
      </c>
      <c r="C3773" t="str" cm="1">
        <f t="array" ref="C3773">_xlfn.IFS(
  AND(B3773&gt;=18, B3773&lt;=24), "18-24",
  AND(B3773&gt;=25, B3773&lt;=34), "25-34",
  AND(B3773&gt;=35, B3773&lt;=44), "35-44",
  AND(B3773&gt;=45, B3773&lt;=54), "45-54",
  B3773&gt;=55, "55+"
)</f>
        <v>18-24</v>
      </c>
      <c r="D3773" t="s">
        <v>153</v>
      </c>
      <c r="E3773" t="s">
        <v>113</v>
      </c>
      <c r="F3773" t="s">
        <v>21</v>
      </c>
      <c r="G3773">
        <v>86</v>
      </c>
      <c r="H3773" t="s">
        <v>101</v>
      </c>
      <c r="I3773" t="s">
        <v>45</v>
      </c>
      <c r="J3773" t="s">
        <v>108</v>
      </c>
      <c r="K3773" t="s">
        <v>25</v>
      </c>
      <c r="L3773">
        <v>2.6</v>
      </c>
      <c r="M3773" t="s">
        <v>152</v>
      </c>
      <c r="N3773" t="s">
        <v>34</v>
      </c>
      <c r="O3773" t="s">
        <v>28</v>
      </c>
      <c r="P3773" t="s">
        <v>152</v>
      </c>
      <c r="Q3773" t="s">
        <v>152</v>
      </c>
      <c r="R3773">
        <v>28</v>
      </c>
      <c r="S3773" t="s">
        <v>29</v>
      </c>
      <c r="T3773" t="str">
        <f t="shared" si="116"/>
        <v>2-week</v>
      </c>
      <c r="U3773">
        <f>VLOOKUP(T3773,[1]tablescore!$B$3:$C$8, 2,FALSE)</f>
        <v>26</v>
      </c>
      <c r="V3773" t="str">
        <f t="shared" si="117"/>
        <v>Loyal</v>
      </c>
      <c r="W3773" t="s">
        <v>77</v>
      </c>
    </row>
    <row r="3774" spans="1:23" x14ac:dyDescent="0.25">
      <c r="A3774">
        <v>3773</v>
      </c>
      <c r="B3774">
        <v>44</v>
      </c>
      <c r="C3774" t="str" cm="1">
        <f t="array" ref="C3774">_xlfn.IFS(
  AND(B3774&gt;=18, B3774&lt;=24), "18-24",
  AND(B3774&gt;=25, B3774&lt;=34), "25-34",
  AND(B3774&gt;=35, B3774&lt;=44), "35-44",
  AND(B3774&gt;=45, B3774&lt;=54), "45-54",
  B3774&gt;=55, "55+"
)</f>
        <v>35-44</v>
      </c>
      <c r="D3774" t="s">
        <v>153</v>
      </c>
      <c r="E3774" t="s">
        <v>95</v>
      </c>
      <c r="F3774" t="s">
        <v>21</v>
      </c>
      <c r="G3774">
        <v>26</v>
      </c>
      <c r="H3774" t="s">
        <v>83</v>
      </c>
      <c r="I3774" t="s">
        <v>23</v>
      </c>
      <c r="J3774" t="s">
        <v>139</v>
      </c>
      <c r="K3774" t="s">
        <v>58</v>
      </c>
      <c r="L3774">
        <v>3.1</v>
      </c>
      <c r="M3774" t="s">
        <v>152</v>
      </c>
      <c r="N3774" t="s">
        <v>35</v>
      </c>
      <c r="O3774" t="s">
        <v>47</v>
      </c>
      <c r="P3774" t="s">
        <v>152</v>
      </c>
      <c r="Q3774" t="s">
        <v>152</v>
      </c>
      <c r="R3774">
        <v>35</v>
      </c>
      <c r="S3774" t="s">
        <v>35</v>
      </c>
      <c r="T3774" t="str">
        <f t="shared" si="116"/>
        <v>Annually</v>
      </c>
      <c r="U3774">
        <f>VLOOKUP(T3774,[1]tablescore!$B$3:$C$8, 2,FALSE)</f>
        <v>1</v>
      </c>
      <c r="V3774" t="str">
        <f t="shared" si="117"/>
        <v>Low Loyalty</v>
      </c>
      <c r="W3774" t="s">
        <v>50</v>
      </c>
    </row>
    <row r="3775" spans="1:23" x14ac:dyDescent="0.25">
      <c r="A3775">
        <v>3774</v>
      </c>
      <c r="B3775">
        <v>25</v>
      </c>
      <c r="C3775" t="str" cm="1">
        <f t="array" ref="C3775">_xlfn.IFS(
  AND(B3775&gt;=18, B3775&lt;=24), "18-24",
  AND(B3775&gt;=25, B3775&lt;=34), "25-34",
  AND(B3775&gt;=35, B3775&lt;=44), "35-44",
  AND(B3775&gt;=45, B3775&lt;=54), "45-54",
  B3775&gt;=55, "55+"
)</f>
        <v>25-34</v>
      </c>
      <c r="D3775" t="s">
        <v>153</v>
      </c>
      <c r="E3775" t="s">
        <v>31</v>
      </c>
      <c r="F3775" t="s">
        <v>21</v>
      </c>
      <c r="G3775">
        <v>60</v>
      </c>
      <c r="H3775" t="s">
        <v>148</v>
      </c>
      <c r="I3775" t="s">
        <v>45</v>
      </c>
      <c r="J3775" t="s">
        <v>84</v>
      </c>
      <c r="K3775" t="s">
        <v>54</v>
      </c>
      <c r="L3775">
        <v>3.5</v>
      </c>
      <c r="M3775" t="s">
        <v>152</v>
      </c>
      <c r="N3775" t="s">
        <v>34</v>
      </c>
      <c r="O3775" t="s">
        <v>76</v>
      </c>
      <c r="P3775" t="s">
        <v>152</v>
      </c>
      <c r="Q3775" t="s">
        <v>152</v>
      </c>
      <c r="R3775">
        <v>41</v>
      </c>
      <c r="S3775" t="s">
        <v>35</v>
      </c>
      <c r="T3775" t="str">
        <f t="shared" si="116"/>
        <v>Quarterly</v>
      </c>
      <c r="U3775">
        <f>VLOOKUP(T3775,[1]tablescore!$B$3:$C$8, 2,FALSE)</f>
        <v>4</v>
      </c>
      <c r="V3775" t="str">
        <f t="shared" si="117"/>
        <v>Low Loyalty</v>
      </c>
      <c r="W3775" t="s">
        <v>60</v>
      </c>
    </row>
    <row r="3776" spans="1:23" x14ac:dyDescent="0.25">
      <c r="A3776">
        <v>3775</v>
      </c>
      <c r="B3776">
        <v>57</v>
      </c>
      <c r="C3776" t="str" cm="1">
        <f t="array" ref="C3776">_xlfn.IFS(
  AND(B3776&gt;=18, B3776&lt;=24), "18-24",
  AND(B3776&gt;=25, B3776&lt;=34), "25-34",
  AND(B3776&gt;=35, B3776&lt;=44), "35-44",
  AND(B3776&gt;=45, B3776&lt;=54), "45-54",
  B3776&gt;=55, "55+"
)</f>
        <v>55+</v>
      </c>
      <c r="D3776" t="s">
        <v>153</v>
      </c>
      <c r="E3776" t="s">
        <v>127</v>
      </c>
      <c r="F3776" t="s">
        <v>69</v>
      </c>
      <c r="G3776">
        <v>83</v>
      </c>
      <c r="H3776" t="s">
        <v>120</v>
      </c>
      <c r="I3776" t="s">
        <v>38</v>
      </c>
      <c r="J3776" t="s">
        <v>109</v>
      </c>
      <c r="K3776" t="s">
        <v>25</v>
      </c>
      <c r="L3776">
        <v>3.9</v>
      </c>
      <c r="M3776" t="s">
        <v>152</v>
      </c>
      <c r="N3776" t="s">
        <v>29</v>
      </c>
      <c r="O3776" t="s">
        <v>55</v>
      </c>
      <c r="P3776" t="s">
        <v>152</v>
      </c>
      <c r="Q3776" t="s">
        <v>152</v>
      </c>
      <c r="R3776">
        <v>48</v>
      </c>
      <c r="S3776" t="s">
        <v>46</v>
      </c>
      <c r="T3776" t="str">
        <f t="shared" si="116"/>
        <v>2-week</v>
      </c>
      <c r="U3776">
        <f>VLOOKUP(T3776,[1]tablescore!$B$3:$C$8, 2,FALSE)</f>
        <v>26</v>
      </c>
      <c r="V3776" t="str">
        <f t="shared" si="117"/>
        <v>Loyal</v>
      </c>
      <c r="W3776" t="s">
        <v>30</v>
      </c>
    </row>
    <row r="3777" spans="1:23" x14ac:dyDescent="0.25">
      <c r="A3777">
        <v>3776</v>
      </c>
      <c r="B3777">
        <v>41</v>
      </c>
      <c r="C3777" t="str" cm="1">
        <f t="array" ref="C3777">_xlfn.IFS(
  AND(B3777&gt;=18, B3777&lt;=24), "18-24",
  AND(B3777&gt;=25, B3777&lt;=34), "25-34",
  AND(B3777&gt;=35, B3777&lt;=44), "35-44",
  AND(B3777&gt;=45, B3777&lt;=54), "45-54",
  B3777&gt;=55, "55+"
)</f>
        <v>35-44</v>
      </c>
      <c r="D3777" t="s">
        <v>153</v>
      </c>
      <c r="E3777" t="s">
        <v>136</v>
      </c>
      <c r="F3777" t="s">
        <v>69</v>
      </c>
      <c r="G3777">
        <v>63</v>
      </c>
      <c r="H3777" t="s">
        <v>130</v>
      </c>
      <c r="I3777" t="s">
        <v>38</v>
      </c>
      <c r="J3777" t="s">
        <v>71</v>
      </c>
      <c r="K3777" t="s">
        <v>39</v>
      </c>
      <c r="L3777">
        <v>2.7</v>
      </c>
      <c r="M3777" t="s">
        <v>152</v>
      </c>
      <c r="N3777" t="s">
        <v>59</v>
      </c>
      <c r="O3777" t="s">
        <v>72</v>
      </c>
      <c r="P3777" t="s">
        <v>152</v>
      </c>
      <c r="Q3777" t="s">
        <v>152</v>
      </c>
      <c r="R3777">
        <v>45</v>
      </c>
      <c r="S3777" t="s">
        <v>35</v>
      </c>
      <c r="T3777" t="str">
        <f t="shared" si="116"/>
        <v>Quarterly</v>
      </c>
      <c r="U3777">
        <f>VLOOKUP(T3777,[1]tablescore!$B$3:$C$8, 2,FALSE)</f>
        <v>4</v>
      </c>
      <c r="V3777" t="str">
        <f t="shared" si="117"/>
        <v>Low Loyalty</v>
      </c>
      <c r="W3777" t="s">
        <v>60</v>
      </c>
    </row>
    <row r="3778" spans="1:23" x14ac:dyDescent="0.25">
      <c r="A3778">
        <v>3777</v>
      </c>
      <c r="B3778">
        <v>19</v>
      </c>
      <c r="C3778" t="str" cm="1">
        <f t="array" ref="C3778">_xlfn.IFS(
  AND(B3778&gt;=18, B3778&lt;=24), "18-24",
  AND(B3778&gt;=25, B3778&lt;=34), "25-34",
  AND(B3778&gt;=35, B3778&lt;=44), "35-44",
  AND(B3778&gt;=45, B3778&lt;=54), "45-54",
  B3778&gt;=55, "55+"
)</f>
        <v>18-24</v>
      </c>
      <c r="D3778" t="s">
        <v>153</v>
      </c>
      <c r="E3778" t="s">
        <v>51</v>
      </c>
      <c r="F3778" t="s">
        <v>43</v>
      </c>
      <c r="G3778">
        <v>25</v>
      </c>
      <c r="H3778" t="s">
        <v>120</v>
      </c>
      <c r="I3778" t="s">
        <v>23</v>
      </c>
      <c r="J3778" t="s">
        <v>79</v>
      </c>
      <c r="K3778" t="s">
        <v>39</v>
      </c>
      <c r="L3778">
        <v>4.0999999999999996</v>
      </c>
      <c r="M3778" t="s">
        <v>152</v>
      </c>
      <c r="N3778" t="s">
        <v>59</v>
      </c>
      <c r="O3778" t="s">
        <v>55</v>
      </c>
      <c r="P3778" t="s">
        <v>152</v>
      </c>
      <c r="Q3778" t="s">
        <v>152</v>
      </c>
      <c r="R3778">
        <v>10</v>
      </c>
      <c r="S3778" t="s">
        <v>27</v>
      </c>
      <c r="T3778" t="str">
        <f t="shared" si="116"/>
        <v>2-week</v>
      </c>
      <c r="U3778">
        <f>VLOOKUP(T3778,[1]tablescore!$B$3:$C$8, 2,FALSE)</f>
        <v>26</v>
      </c>
      <c r="V3778" t="str">
        <f t="shared" si="117"/>
        <v>Loyal</v>
      </c>
      <c r="W3778" t="s">
        <v>30</v>
      </c>
    </row>
    <row r="3779" spans="1:23" x14ac:dyDescent="0.25">
      <c r="A3779">
        <v>3778</v>
      </c>
      <c r="B3779">
        <v>43</v>
      </c>
      <c r="C3779" t="str" cm="1">
        <f t="array" ref="C3779">_xlfn.IFS(
  AND(B3779&gt;=18, B3779&lt;=24), "18-24",
  AND(B3779&gt;=25, B3779&lt;=34), "25-34",
  AND(B3779&gt;=35, B3779&lt;=44), "35-44",
  AND(B3779&gt;=45, B3779&lt;=54), "45-54",
  B3779&gt;=55, "55+"
)</f>
        <v>35-44</v>
      </c>
      <c r="D3779" t="s">
        <v>153</v>
      </c>
      <c r="E3779" t="s">
        <v>61</v>
      </c>
      <c r="F3779" t="s">
        <v>21</v>
      </c>
      <c r="G3779">
        <v>65</v>
      </c>
      <c r="H3779" t="s">
        <v>149</v>
      </c>
      <c r="I3779" t="s">
        <v>45</v>
      </c>
      <c r="J3779" t="s">
        <v>33</v>
      </c>
      <c r="K3779" t="s">
        <v>58</v>
      </c>
      <c r="L3779">
        <v>4.3</v>
      </c>
      <c r="M3779" t="s">
        <v>152</v>
      </c>
      <c r="N3779" t="s">
        <v>59</v>
      </c>
      <c r="O3779" t="s">
        <v>28</v>
      </c>
      <c r="P3779" t="s">
        <v>152</v>
      </c>
      <c r="Q3779" t="s">
        <v>152</v>
      </c>
      <c r="R3779">
        <v>9</v>
      </c>
      <c r="S3779" t="s">
        <v>35</v>
      </c>
      <c r="T3779" t="str">
        <f t="shared" ref="T3779:T3842" si="118">IF(TRIM(W3779)="Every 3 months","Quarterly",IF(TRIM(W3779)="Fortnightly","2-week",IF(TRIM(W3779)="Bi-Weekly","2-week",IF(TRIM(W3779)="Weekly","Daily",IF(TRIM(W3779)="Monthly","Month",TRIM(W3779))))))</f>
        <v>Daily</v>
      </c>
      <c r="U3779">
        <f>VLOOKUP(T3779,[1]tablescore!$B$3:$C$8, 2,FALSE)</f>
        <v>30</v>
      </c>
      <c r="V3779" t="str">
        <f t="shared" ref="V3779:V3842" si="119">_xlfn.IFS(U3779&gt;=30, "Highly Loyal", U3779&gt;=26, "Loyal", U3779&gt;=12, "Moderate", U3779&lt;5, "Low Loyalty")</f>
        <v>Highly Loyal</v>
      </c>
      <c r="W3779" t="s">
        <v>41</v>
      </c>
    </row>
    <row r="3780" spans="1:23" x14ac:dyDescent="0.25">
      <c r="A3780">
        <v>3779</v>
      </c>
      <c r="B3780">
        <v>25</v>
      </c>
      <c r="C3780" t="str" cm="1">
        <f t="array" ref="C3780">_xlfn.IFS(
  AND(B3780&gt;=18, B3780&lt;=24), "18-24",
  AND(B3780&gt;=25, B3780&lt;=34), "25-34",
  AND(B3780&gt;=35, B3780&lt;=44), "35-44",
  AND(B3780&gt;=45, B3780&lt;=54), "45-54",
  B3780&gt;=55, "55+"
)</f>
        <v>25-34</v>
      </c>
      <c r="D3780" t="s">
        <v>153</v>
      </c>
      <c r="E3780" t="s">
        <v>51</v>
      </c>
      <c r="F3780" t="s">
        <v>43</v>
      </c>
      <c r="G3780">
        <v>60</v>
      </c>
      <c r="H3780" t="s">
        <v>130</v>
      </c>
      <c r="I3780" t="s">
        <v>45</v>
      </c>
      <c r="J3780" t="s">
        <v>109</v>
      </c>
      <c r="K3780" t="s">
        <v>58</v>
      </c>
      <c r="L3780">
        <v>2.9</v>
      </c>
      <c r="M3780" t="s">
        <v>152</v>
      </c>
      <c r="N3780" t="s">
        <v>46</v>
      </c>
      <c r="O3780" t="s">
        <v>40</v>
      </c>
      <c r="P3780" t="s">
        <v>152</v>
      </c>
      <c r="Q3780" t="s">
        <v>152</v>
      </c>
      <c r="R3780">
        <v>30</v>
      </c>
      <c r="S3780" t="s">
        <v>59</v>
      </c>
      <c r="T3780" t="str">
        <f t="shared" si="118"/>
        <v>Annually</v>
      </c>
      <c r="U3780">
        <f>VLOOKUP(T3780,[1]tablescore!$B$3:$C$8, 2,FALSE)</f>
        <v>1</v>
      </c>
      <c r="V3780" t="str">
        <f t="shared" si="119"/>
        <v>Low Loyalty</v>
      </c>
      <c r="W3780" t="s">
        <v>50</v>
      </c>
    </row>
    <row r="3781" spans="1:23" x14ac:dyDescent="0.25">
      <c r="A3781">
        <v>3780</v>
      </c>
      <c r="B3781">
        <v>60</v>
      </c>
      <c r="C3781" t="str" cm="1">
        <f t="array" ref="C3781">_xlfn.IFS(
  AND(B3781&gt;=18, B3781&lt;=24), "18-24",
  AND(B3781&gt;=25, B3781&lt;=34), "25-34",
  AND(B3781&gt;=35, B3781&lt;=44), "35-44",
  AND(B3781&gt;=45, B3781&lt;=54), "45-54",
  B3781&gt;=55, "55+"
)</f>
        <v>55+</v>
      </c>
      <c r="D3781" t="s">
        <v>153</v>
      </c>
      <c r="E3781" t="s">
        <v>36</v>
      </c>
      <c r="F3781" t="s">
        <v>21</v>
      </c>
      <c r="G3781">
        <v>75</v>
      </c>
      <c r="H3781" t="s">
        <v>99</v>
      </c>
      <c r="I3781" t="s">
        <v>92</v>
      </c>
      <c r="J3781" t="s">
        <v>93</v>
      </c>
      <c r="K3781" t="s">
        <v>39</v>
      </c>
      <c r="L3781">
        <v>4</v>
      </c>
      <c r="M3781" t="s">
        <v>152</v>
      </c>
      <c r="N3781" t="s">
        <v>29</v>
      </c>
      <c r="O3781" t="s">
        <v>28</v>
      </c>
      <c r="P3781" t="s">
        <v>152</v>
      </c>
      <c r="Q3781" t="s">
        <v>152</v>
      </c>
      <c r="R3781">
        <v>45</v>
      </c>
      <c r="S3781" t="s">
        <v>46</v>
      </c>
      <c r="T3781" t="str">
        <f t="shared" si="118"/>
        <v>Annually</v>
      </c>
      <c r="U3781">
        <f>VLOOKUP(T3781,[1]tablescore!$B$3:$C$8, 2,FALSE)</f>
        <v>1</v>
      </c>
      <c r="V3781" t="str">
        <f t="shared" si="119"/>
        <v>Low Loyalty</v>
      </c>
      <c r="W3781" t="s">
        <v>50</v>
      </c>
    </row>
    <row r="3782" spans="1:23" x14ac:dyDescent="0.25">
      <c r="A3782">
        <v>3781</v>
      </c>
      <c r="B3782">
        <v>54</v>
      </c>
      <c r="C3782" t="str" cm="1">
        <f t="array" ref="C3782">_xlfn.IFS(
  AND(B3782&gt;=18, B3782&lt;=24), "18-24",
  AND(B3782&gt;=25, B3782&lt;=34), "25-34",
  AND(B3782&gt;=35, B3782&lt;=44), "35-44",
  AND(B3782&gt;=45, B3782&lt;=54), "45-54",
  B3782&gt;=55, "55+"
)</f>
        <v>45-54</v>
      </c>
      <c r="D3782" t="s">
        <v>153</v>
      </c>
      <c r="E3782" t="s">
        <v>51</v>
      </c>
      <c r="F3782" t="s">
        <v>43</v>
      </c>
      <c r="G3782">
        <v>57</v>
      </c>
      <c r="H3782" t="s">
        <v>91</v>
      </c>
      <c r="I3782" t="s">
        <v>23</v>
      </c>
      <c r="J3782" t="s">
        <v>139</v>
      </c>
      <c r="K3782" t="s">
        <v>58</v>
      </c>
      <c r="L3782">
        <v>4.0999999999999996</v>
      </c>
      <c r="M3782" t="s">
        <v>152</v>
      </c>
      <c r="N3782" t="s">
        <v>34</v>
      </c>
      <c r="O3782" t="s">
        <v>40</v>
      </c>
      <c r="P3782" t="s">
        <v>152</v>
      </c>
      <c r="Q3782" t="s">
        <v>152</v>
      </c>
      <c r="R3782">
        <v>41</v>
      </c>
      <c r="S3782" t="s">
        <v>29</v>
      </c>
      <c r="T3782" t="str">
        <f t="shared" si="118"/>
        <v>Quarterly</v>
      </c>
      <c r="U3782">
        <f>VLOOKUP(T3782,[1]tablescore!$B$3:$C$8, 2,FALSE)</f>
        <v>4</v>
      </c>
      <c r="V3782" t="str">
        <f t="shared" si="119"/>
        <v>Low Loyalty</v>
      </c>
      <c r="W3782" t="s">
        <v>60</v>
      </c>
    </row>
    <row r="3783" spans="1:23" x14ac:dyDescent="0.25">
      <c r="A3783">
        <v>3782</v>
      </c>
      <c r="B3783">
        <v>52</v>
      </c>
      <c r="C3783" t="str" cm="1">
        <f t="array" ref="C3783">_xlfn.IFS(
  AND(B3783&gt;=18, B3783&lt;=24), "18-24",
  AND(B3783&gt;=25, B3783&lt;=34), "25-34",
  AND(B3783&gt;=35, B3783&lt;=44), "35-44",
  AND(B3783&gt;=45, B3783&lt;=54), "45-54",
  B3783&gt;=55, "55+"
)</f>
        <v>45-54</v>
      </c>
      <c r="D3783" t="s">
        <v>153</v>
      </c>
      <c r="E3783" t="s">
        <v>132</v>
      </c>
      <c r="F3783" t="s">
        <v>43</v>
      </c>
      <c r="G3783">
        <v>99</v>
      </c>
      <c r="H3783" t="s">
        <v>122</v>
      </c>
      <c r="I3783" t="s">
        <v>45</v>
      </c>
      <c r="J3783" t="s">
        <v>71</v>
      </c>
      <c r="K3783" t="s">
        <v>25</v>
      </c>
      <c r="L3783">
        <v>3.7</v>
      </c>
      <c r="M3783" t="s">
        <v>152</v>
      </c>
      <c r="N3783" t="s">
        <v>29</v>
      </c>
      <c r="O3783" t="s">
        <v>55</v>
      </c>
      <c r="P3783" t="s">
        <v>152</v>
      </c>
      <c r="Q3783" t="s">
        <v>152</v>
      </c>
      <c r="R3783">
        <v>40</v>
      </c>
      <c r="S3783" t="s">
        <v>46</v>
      </c>
      <c r="T3783" t="str">
        <f t="shared" si="118"/>
        <v>2-week</v>
      </c>
      <c r="U3783">
        <f>VLOOKUP(T3783,[1]tablescore!$B$3:$C$8, 2,FALSE)</f>
        <v>26</v>
      </c>
      <c r="V3783" t="str">
        <f t="shared" si="119"/>
        <v>Loyal</v>
      </c>
      <c r="W3783" t="s">
        <v>30</v>
      </c>
    </row>
    <row r="3784" spans="1:23" x14ac:dyDescent="0.25">
      <c r="A3784">
        <v>3783</v>
      </c>
      <c r="B3784">
        <v>40</v>
      </c>
      <c r="C3784" t="str" cm="1">
        <f t="array" ref="C3784">_xlfn.IFS(
  AND(B3784&gt;=18, B3784&lt;=24), "18-24",
  AND(B3784&gt;=25, B3784&lt;=34), "25-34",
  AND(B3784&gt;=35, B3784&lt;=44), "35-44",
  AND(B3784&gt;=45, B3784&lt;=54), "45-54",
  B3784&gt;=55, "55+"
)</f>
        <v>35-44</v>
      </c>
      <c r="D3784" t="s">
        <v>153</v>
      </c>
      <c r="E3784" t="s">
        <v>102</v>
      </c>
      <c r="F3784" t="s">
        <v>65</v>
      </c>
      <c r="G3784">
        <v>45</v>
      </c>
      <c r="H3784" t="s">
        <v>90</v>
      </c>
      <c r="I3784" t="s">
        <v>23</v>
      </c>
      <c r="J3784" t="s">
        <v>121</v>
      </c>
      <c r="K3784" t="s">
        <v>39</v>
      </c>
      <c r="L3784">
        <v>2.8</v>
      </c>
      <c r="M3784" t="s">
        <v>152</v>
      </c>
      <c r="N3784" t="s">
        <v>35</v>
      </c>
      <c r="O3784" t="s">
        <v>40</v>
      </c>
      <c r="P3784" t="s">
        <v>152</v>
      </c>
      <c r="Q3784" t="s">
        <v>152</v>
      </c>
      <c r="R3784">
        <v>42</v>
      </c>
      <c r="S3784" t="s">
        <v>46</v>
      </c>
      <c r="T3784" t="str">
        <f t="shared" si="118"/>
        <v>2-week</v>
      </c>
      <c r="U3784">
        <f>VLOOKUP(T3784,[1]tablescore!$B$3:$C$8, 2,FALSE)</f>
        <v>26</v>
      </c>
      <c r="V3784" t="str">
        <f t="shared" si="119"/>
        <v>Loyal</v>
      </c>
      <c r="W3784" t="s">
        <v>30</v>
      </c>
    </row>
    <row r="3785" spans="1:23" x14ac:dyDescent="0.25">
      <c r="A3785">
        <v>3784</v>
      </c>
      <c r="B3785">
        <v>39</v>
      </c>
      <c r="C3785" t="str" cm="1">
        <f t="array" ref="C3785">_xlfn.IFS(
  AND(B3785&gt;=18, B3785&lt;=24), "18-24",
  AND(B3785&gt;=25, B3785&lt;=34), "25-34",
  AND(B3785&gt;=35, B3785&lt;=44), "35-44",
  AND(B3785&gt;=45, B3785&lt;=54), "45-54",
  B3785&gt;=55, "55+"
)</f>
        <v>35-44</v>
      </c>
      <c r="D3785" t="s">
        <v>153</v>
      </c>
      <c r="E3785" t="s">
        <v>127</v>
      </c>
      <c r="F3785" t="s">
        <v>69</v>
      </c>
      <c r="G3785">
        <v>66</v>
      </c>
      <c r="H3785" t="s">
        <v>32</v>
      </c>
      <c r="I3785" t="s">
        <v>92</v>
      </c>
      <c r="J3785" t="s">
        <v>121</v>
      </c>
      <c r="K3785" t="s">
        <v>54</v>
      </c>
      <c r="L3785">
        <v>3.2</v>
      </c>
      <c r="M3785" t="s">
        <v>152</v>
      </c>
      <c r="N3785" t="s">
        <v>35</v>
      </c>
      <c r="O3785" t="s">
        <v>40</v>
      </c>
      <c r="P3785" t="s">
        <v>152</v>
      </c>
      <c r="Q3785" t="s">
        <v>152</v>
      </c>
      <c r="R3785">
        <v>17</v>
      </c>
      <c r="S3785" t="s">
        <v>59</v>
      </c>
      <c r="T3785" t="str">
        <f t="shared" si="118"/>
        <v>2-week</v>
      </c>
      <c r="U3785">
        <f>VLOOKUP(T3785,[1]tablescore!$B$3:$C$8, 2,FALSE)</f>
        <v>26</v>
      </c>
      <c r="V3785" t="str">
        <f t="shared" si="119"/>
        <v>Loyal</v>
      </c>
      <c r="W3785" t="s">
        <v>30</v>
      </c>
    </row>
    <row r="3786" spans="1:23" x14ac:dyDescent="0.25">
      <c r="A3786">
        <v>3785</v>
      </c>
      <c r="B3786">
        <v>54</v>
      </c>
      <c r="C3786" t="str" cm="1">
        <f t="array" ref="C3786">_xlfn.IFS(
  AND(B3786&gt;=18, B3786&lt;=24), "18-24",
  AND(B3786&gt;=25, B3786&lt;=34), "25-34",
  AND(B3786&gt;=35, B3786&lt;=44), "35-44",
  AND(B3786&gt;=45, B3786&lt;=54), "45-54",
  B3786&gt;=55, "55+"
)</f>
        <v>45-54</v>
      </c>
      <c r="D3786" t="s">
        <v>153</v>
      </c>
      <c r="E3786" t="s">
        <v>131</v>
      </c>
      <c r="F3786" t="s">
        <v>21</v>
      </c>
      <c r="G3786">
        <v>53</v>
      </c>
      <c r="H3786" t="s">
        <v>128</v>
      </c>
      <c r="I3786" t="s">
        <v>45</v>
      </c>
      <c r="J3786" t="s">
        <v>84</v>
      </c>
      <c r="K3786" t="s">
        <v>25</v>
      </c>
      <c r="L3786">
        <v>4.5</v>
      </c>
      <c r="M3786" t="s">
        <v>152</v>
      </c>
      <c r="N3786" t="s">
        <v>35</v>
      </c>
      <c r="O3786" t="s">
        <v>47</v>
      </c>
      <c r="P3786" t="s">
        <v>152</v>
      </c>
      <c r="Q3786" t="s">
        <v>152</v>
      </c>
      <c r="R3786">
        <v>4</v>
      </c>
      <c r="S3786" t="s">
        <v>29</v>
      </c>
      <c r="T3786" t="str">
        <f t="shared" si="118"/>
        <v>Annually</v>
      </c>
      <c r="U3786">
        <f>VLOOKUP(T3786,[1]tablescore!$B$3:$C$8, 2,FALSE)</f>
        <v>1</v>
      </c>
      <c r="V3786" t="str">
        <f t="shared" si="119"/>
        <v>Low Loyalty</v>
      </c>
      <c r="W3786" t="s">
        <v>50</v>
      </c>
    </row>
    <row r="3787" spans="1:23" x14ac:dyDescent="0.25">
      <c r="A3787">
        <v>3786</v>
      </c>
      <c r="B3787">
        <v>64</v>
      </c>
      <c r="C3787" t="str" cm="1">
        <f t="array" ref="C3787">_xlfn.IFS(
  AND(B3787&gt;=18, B3787&lt;=24), "18-24",
  AND(B3787&gt;=25, B3787&lt;=34), "25-34",
  AND(B3787&gt;=35, B3787&lt;=44), "35-44",
  AND(B3787&gt;=45, B3787&lt;=54), "45-54",
  B3787&gt;=55, "55+"
)</f>
        <v>55+</v>
      </c>
      <c r="D3787" t="s">
        <v>153</v>
      </c>
      <c r="E3787" t="s">
        <v>36</v>
      </c>
      <c r="F3787" t="s">
        <v>21</v>
      </c>
      <c r="G3787">
        <v>94</v>
      </c>
      <c r="H3787" t="s">
        <v>83</v>
      </c>
      <c r="I3787" t="s">
        <v>23</v>
      </c>
      <c r="J3787" t="s">
        <v>93</v>
      </c>
      <c r="K3787" t="s">
        <v>25</v>
      </c>
      <c r="L3787">
        <v>3.8</v>
      </c>
      <c r="M3787" t="s">
        <v>152</v>
      </c>
      <c r="N3787" t="s">
        <v>59</v>
      </c>
      <c r="O3787" t="s">
        <v>55</v>
      </c>
      <c r="P3787" t="s">
        <v>152</v>
      </c>
      <c r="Q3787" t="s">
        <v>152</v>
      </c>
      <c r="R3787">
        <v>6</v>
      </c>
      <c r="S3787" t="s">
        <v>35</v>
      </c>
      <c r="T3787" t="str">
        <f t="shared" si="118"/>
        <v>Month</v>
      </c>
      <c r="U3787">
        <f>VLOOKUP(T3787,[1]tablescore!$B$3:$C$8, 2,FALSE)</f>
        <v>12</v>
      </c>
      <c r="V3787" t="str">
        <f t="shared" si="119"/>
        <v>Moderate</v>
      </c>
      <c r="W3787" t="s">
        <v>88</v>
      </c>
    </row>
    <row r="3788" spans="1:23" x14ac:dyDescent="0.25">
      <c r="A3788">
        <v>3787</v>
      </c>
      <c r="B3788">
        <v>31</v>
      </c>
      <c r="C3788" t="str" cm="1">
        <f t="array" ref="C3788">_xlfn.IFS(
  AND(B3788&gt;=18, B3788&lt;=24), "18-24",
  AND(B3788&gt;=25, B3788&lt;=34), "25-34",
  AND(B3788&gt;=35, B3788&lt;=44), "35-44",
  AND(B3788&gt;=45, B3788&lt;=54), "45-54",
  B3788&gt;=55, "55+"
)</f>
        <v>25-34</v>
      </c>
      <c r="D3788" t="s">
        <v>153</v>
      </c>
      <c r="E3788" t="s">
        <v>132</v>
      </c>
      <c r="F3788" t="s">
        <v>43</v>
      </c>
      <c r="G3788">
        <v>47</v>
      </c>
      <c r="H3788" t="s">
        <v>122</v>
      </c>
      <c r="I3788" t="s">
        <v>23</v>
      </c>
      <c r="J3788" t="s">
        <v>139</v>
      </c>
      <c r="K3788" t="s">
        <v>58</v>
      </c>
      <c r="L3788">
        <v>3.6</v>
      </c>
      <c r="M3788" t="s">
        <v>152</v>
      </c>
      <c r="N3788" t="s">
        <v>29</v>
      </c>
      <c r="O3788" t="s">
        <v>72</v>
      </c>
      <c r="P3788" t="s">
        <v>152</v>
      </c>
      <c r="Q3788" t="s">
        <v>152</v>
      </c>
      <c r="R3788">
        <v>22</v>
      </c>
      <c r="S3788" t="s">
        <v>29</v>
      </c>
      <c r="T3788" t="str">
        <f t="shared" si="118"/>
        <v>Daily</v>
      </c>
      <c r="U3788">
        <f>VLOOKUP(T3788,[1]tablescore!$B$3:$C$8, 2,FALSE)</f>
        <v>30</v>
      </c>
      <c r="V3788" t="str">
        <f t="shared" si="119"/>
        <v>Highly Loyal</v>
      </c>
      <c r="W3788" t="s">
        <v>41</v>
      </c>
    </row>
    <row r="3789" spans="1:23" x14ac:dyDescent="0.25">
      <c r="A3789">
        <v>3788</v>
      </c>
      <c r="B3789">
        <v>37</v>
      </c>
      <c r="C3789" t="str" cm="1">
        <f t="array" ref="C3789">_xlfn.IFS(
  AND(B3789&gt;=18, B3789&lt;=24), "18-24",
  AND(B3789&gt;=25, B3789&lt;=34), "25-34",
  AND(B3789&gt;=35, B3789&lt;=44), "35-44",
  AND(B3789&gt;=45, B3789&lt;=54), "45-54",
  B3789&gt;=55, "55+"
)</f>
        <v>35-44</v>
      </c>
      <c r="D3789" t="s">
        <v>153</v>
      </c>
      <c r="E3789" t="s">
        <v>20</v>
      </c>
      <c r="F3789" t="s">
        <v>21</v>
      </c>
      <c r="G3789">
        <v>80</v>
      </c>
      <c r="H3789" t="s">
        <v>85</v>
      </c>
      <c r="I3789" t="s">
        <v>45</v>
      </c>
      <c r="J3789" t="s">
        <v>71</v>
      </c>
      <c r="K3789" t="s">
        <v>58</v>
      </c>
      <c r="L3789">
        <v>3.6</v>
      </c>
      <c r="M3789" t="s">
        <v>152</v>
      </c>
      <c r="N3789" t="s">
        <v>46</v>
      </c>
      <c r="O3789" t="s">
        <v>72</v>
      </c>
      <c r="P3789" t="s">
        <v>152</v>
      </c>
      <c r="Q3789" t="s">
        <v>152</v>
      </c>
      <c r="R3789">
        <v>46</v>
      </c>
      <c r="S3789" t="s">
        <v>46</v>
      </c>
      <c r="T3789" t="str">
        <f t="shared" si="118"/>
        <v>Quarterly</v>
      </c>
      <c r="U3789">
        <f>VLOOKUP(T3789,[1]tablescore!$B$3:$C$8, 2,FALSE)</f>
        <v>4</v>
      </c>
      <c r="V3789" t="str">
        <f t="shared" si="119"/>
        <v>Low Loyalty</v>
      </c>
      <c r="W3789" t="s">
        <v>97</v>
      </c>
    </row>
    <row r="3790" spans="1:23" x14ac:dyDescent="0.25">
      <c r="A3790">
        <v>3789</v>
      </c>
      <c r="B3790">
        <v>43</v>
      </c>
      <c r="C3790" t="str" cm="1">
        <f t="array" ref="C3790">_xlfn.IFS(
  AND(B3790&gt;=18, B3790&lt;=24), "18-24",
  AND(B3790&gt;=25, B3790&lt;=34), "25-34",
  AND(B3790&gt;=35, B3790&lt;=44), "35-44",
  AND(B3790&gt;=45, B3790&lt;=54), "45-54",
  B3790&gt;=55, "55+"
)</f>
        <v>35-44</v>
      </c>
      <c r="D3790" t="s">
        <v>153</v>
      </c>
      <c r="E3790" t="s">
        <v>125</v>
      </c>
      <c r="F3790" t="s">
        <v>69</v>
      </c>
      <c r="G3790">
        <v>65</v>
      </c>
      <c r="H3790" t="s">
        <v>111</v>
      </c>
      <c r="I3790" t="s">
        <v>92</v>
      </c>
      <c r="J3790" t="s">
        <v>86</v>
      </c>
      <c r="K3790" t="s">
        <v>39</v>
      </c>
      <c r="L3790">
        <v>3.2</v>
      </c>
      <c r="M3790" t="s">
        <v>152</v>
      </c>
      <c r="N3790" t="s">
        <v>35</v>
      </c>
      <c r="O3790" t="s">
        <v>47</v>
      </c>
      <c r="P3790" t="s">
        <v>152</v>
      </c>
      <c r="Q3790" t="s">
        <v>152</v>
      </c>
      <c r="R3790">
        <v>27</v>
      </c>
      <c r="S3790" t="s">
        <v>59</v>
      </c>
      <c r="T3790" t="str">
        <f t="shared" si="118"/>
        <v>Month</v>
      </c>
      <c r="U3790">
        <f>VLOOKUP(T3790,[1]tablescore!$B$3:$C$8, 2,FALSE)</f>
        <v>12</v>
      </c>
      <c r="V3790" t="str">
        <f t="shared" si="119"/>
        <v>Moderate</v>
      </c>
      <c r="W3790" t="s">
        <v>88</v>
      </c>
    </row>
    <row r="3791" spans="1:23" x14ac:dyDescent="0.25">
      <c r="A3791">
        <v>3790</v>
      </c>
      <c r="B3791">
        <v>56</v>
      </c>
      <c r="C3791" t="str" cm="1">
        <f t="array" ref="C3791">_xlfn.IFS(
  AND(B3791&gt;=18, B3791&lt;=24), "18-24",
  AND(B3791&gt;=25, B3791&lt;=34), "25-34",
  AND(B3791&gt;=35, B3791&lt;=44), "35-44",
  AND(B3791&gt;=45, B3791&lt;=54), "45-54",
  B3791&gt;=55, "55+"
)</f>
        <v>55+</v>
      </c>
      <c r="D3791" t="s">
        <v>153</v>
      </c>
      <c r="E3791" t="s">
        <v>56</v>
      </c>
      <c r="F3791" t="s">
        <v>21</v>
      </c>
      <c r="G3791">
        <v>75</v>
      </c>
      <c r="H3791" t="s">
        <v>114</v>
      </c>
      <c r="I3791" t="s">
        <v>45</v>
      </c>
      <c r="J3791" t="s">
        <v>147</v>
      </c>
      <c r="K3791" t="s">
        <v>54</v>
      </c>
      <c r="L3791">
        <v>3.8</v>
      </c>
      <c r="M3791" t="s">
        <v>152</v>
      </c>
      <c r="N3791" t="s">
        <v>59</v>
      </c>
      <c r="O3791" t="s">
        <v>28</v>
      </c>
      <c r="P3791" t="s">
        <v>152</v>
      </c>
      <c r="Q3791" t="s">
        <v>152</v>
      </c>
      <c r="R3791">
        <v>18</v>
      </c>
      <c r="S3791" t="s">
        <v>34</v>
      </c>
      <c r="T3791" t="str">
        <f t="shared" si="118"/>
        <v>Quarterly</v>
      </c>
      <c r="U3791">
        <f>VLOOKUP(T3791,[1]tablescore!$B$3:$C$8, 2,FALSE)</f>
        <v>4</v>
      </c>
      <c r="V3791" t="str">
        <f t="shared" si="119"/>
        <v>Low Loyalty</v>
      </c>
      <c r="W3791" t="s">
        <v>97</v>
      </c>
    </row>
    <row r="3792" spans="1:23" x14ac:dyDescent="0.25">
      <c r="A3792">
        <v>3791</v>
      </c>
      <c r="B3792">
        <v>27</v>
      </c>
      <c r="C3792" t="str" cm="1">
        <f t="array" ref="C3792">_xlfn.IFS(
  AND(B3792&gt;=18, B3792&lt;=24), "18-24",
  AND(B3792&gt;=25, B3792&lt;=34), "25-34",
  AND(B3792&gt;=35, B3792&lt;=44), "35-44",
  AND(B3792&gt;=45, B3792&lt;=54), "45-54",
  B3792&gt;=55, "55+"
)</f>
        <v>25-34</v>
      </c>
      <c r="D3792" t="s">
        <v>153</v>
      </c>
      <c r="E3792" t="s">
        <v>68</v>
      </c>
      <c r="F3792" t="s">
        <v>69</v>
      </c>
      <c r="G3792">
        <v>45</v>
      </c>
      <c r="H3792" t="s">
        <v>120</v>
      </c>
      <c r="I3792" t="s">
        <v>92</v>
      </c>
      <c r="J3792" t="s">
        <v>118</v>
      </c>
      <c r="K3792" t="s">
        <v>54</v>
      </c>
      <c r="L3792">
        <v>4.4000000000000004</v>
      </c>
      <c r="M3792" t="s">
        <v>152</v>
      </c>
      <c r="N3792" t="s">
        <v>29</v>
      </c>
      <c r="O3792" t="s">
        <v>55</v>
      </c>
      <c r="P3792" t="s">
        <v>152</v>
      </c>
      <c r="Q3792" t="s">
        <v>152</v>
      </c>
      <c r="R3792">
        <v>31</v>
      </c>
      <c r="S3792" t="s">
        <v>27</v>
      </c>
      <c r="T3792" t="str">
        <f t="shared" si="118"/>
        <v>Daily</v>
      </c>
      <c r="U3792">
        <f>VLOOKUP(T3792,[1]tablescore!$B$3:$C$8, 2,FALSE)</f>
        <v>30</v>
      </c>
      <c r="V3792" t="str">
        <f t="shared" si="119"/>
        <v>Highly Loyal</v>
      </c>
      <c r="W3792" t="s">
        <v>41</v>
      </c>
    </row>
    <row r="3793" spans="1:23" x14ac:dyDescent="0.25">
      <c r="A3793">
        <v>3792</v>
      </c>
      <c r="B3793">
        <v>40</v>
      </c>
      <c r="C3793" t="str" cm="1">
        <f t="array" ref="C3793">_xlfn.IFS(
  AND(B3793&gt;=18, B3793&lt;=24), "18-24",
  AND(B3793&gt;=25, B3793&lt;=34), "25-34",
  AND(B3793&gt;=35, B3793&lt;=44), "35-44",
  AND(B3793&gt;=45, B3793&lt;=54), "45-54",
  B3793&gt;=55, "55+"
)</f>
        <v>35-44</v>
      </c>
      <c r="D3793" t="s">
        <v>153</v>
      </c>
      <c r="E3793" t="s">
        <v>89</v>
      </c>
      <c r="F3793" t="s">
        <v>69</v>
      </c>
      <c r="G3793">
        <v>51</v>
      </c>
      <c r="H3793" t="s">
        <v>105</v>
      </c>
      <c r="I3793" t="s">
        <v>45</v>
      </c>
      <c r="J3793" t="s">
        <v>24</v>
      </c>
      <c r="K3793" t="s">
        <v>39</v>
      </c>
      <c r="L3793">
        <v>3.7</v>
      </c>
      <c r="M3793" t="s">
        <v>152</v>
      </c>
      <c r="N3793" t="s">
        <v>27</v>
      </c>
      <c r="O3793" t="s">
        <v>76</v>
      </c>
      <c r="P3793" t="s">
        <v>152</v>
      </c>
      <c r="Q3793" t="s">
        <v>152</v>
      </c>
      <c r="R3793">
        <v>1</v>
      </c>
      <c r="S3793" t="s">
        <v>29</v>
      </c>
      <c r="T3793" t="str">
        <f t="shared" si="118"/>
        <v>Daily</v>
      </c>
      <c r="U3793">
        <f>VLOOKUP(T3793,[1]tablescore!$B$3:$C$8, 2,FALSE)</f>
        <v>30</v>
      </c>
      <c r="V3793" t="str">
        <f t="shared" si="119"/>
        <v>Highly Loyal</v>
      </c>
      <c r="W3793" t="s">
        <v>41</v>
      </c>
    </row>
    <row r="3794" spans="1:23" x14ac:dyDescent="0.25">
      <c r="A3794">
        <v>3793</v>
      </c>
      <c r="B3794">
        <v>43</v>
      </c>
      <c r="C3794" t="str" cm="1">
        <f t="array" ref="C3794">_xlfn.IFS(
  AND(B3794&gt;=18, B3794&lt;=24), "18-24",
  AND(B3794&gt;=25, B3794&lt;=34), "25-34",
  AND(B3794&gt;=35, B3794&lt;=44), "35-44",
  AND(B3794&gt;=45, B3794&lt;=54), "45-54",
  B3794&gt;=55, "55+"
)</f>
        <v>35-44</v>
      </c>
      <c r="D3794" t="s">
        <v>153</v>
      </c>
      <c r="E3794" t="s">
        <v>119</v>
      </c>
      <c r="F3794" t="s">
        <v>69</v>
      </c>
      <c r="G3794">
        <v>58</v>
      </c>
      <c r="H3794" t="s">
        <v>37</v>
      </c>
      <c r="I3794" t="s">
        <v>38</v>
      </c>
      <c r="J3794" t="s">
        <v>49</v>
      </c>
      <c r="K3794" t="s">
        <v>54</v>
      </c>
      <c r="L3794">
        <v>2.6</v>
      </c>
      <c r="M3794" t="s">
        <v>152</v>
      </c>
      <c r="N3794" t="s">
        <v>27</v>
      </c>
      <c r="O3794" t="s">
        <v>28</v>
      </c>
      <c r="P3794" t="s">
        <v>152</v>
      </c>
      <c r="Q3794" t="s">
        <v>152</v>
      </c>
      <c r="R3794">
        <v>2</v>
      </c>
      <c r="S3794" t="s">
        <v>46</v>
      </c>
      <c r="T3794" t="str">
        <f t="shared" si="118"/>
        <v>2-week</v>
      </c>
      <c r="U3794">
        <f>VLOOKUP(T3794,[1]tablescore!$B$3:$C$8, 2,FALSE)</f>
        <v>26</v>
      </c>
      <c r="V3794" t="str">
        <f t="shared" si="119"/>
        <v>Loyal</v>
      </c>
      <c r="W3794" t="s">
        <v>30</v>
      </c>
    </row>
    <row r="3795" spans="1:23" x14ac:dyDescent="0.25">
      <c r="A3795">
        <v>3794</v>
      </c>
      <c r="B3795">
        <v>62</v>
      </c>
      <c r="C3795" t="str" cm="1">
        <f t="array" ref="C3795">_xlfn.IFS(
  AND(B3795&gt;=18, B3795&lt;=24), "18-24",
  AND(B3795&gt;=25, B3795&lt;=34), "25-34",
  AND(B3795&gt;=35, B3795&lt;=44), "35-44",
  AND(B3795&gt;=45, B3795&lt;=54), "45-54",
  B3795&gt;=55, "55+"
)</f>
        <v>55+</v>
      </c>
      <c r="D3795" t="s">
        <v>153</v>
      </c>
      <c r="E3795" t="s">
        <v>89</v>
      </c>
      <c r="F3795" t="s">
        <v>69</v>
      </c>
      <c r="G3795">
        <v>20</v>
      </c>
      <c r="H3795" t="s">
        <v>80</v>
      </c>
      <c r="I3795" t="s">
        <v>45</v>
      </c>
      <c r="J3795" t="s">
        <v>71</v>
      </c>
      <c r="K3795" t="s">
        <v>58</v>
      </c>
      <c r="L3795">
        <v>4</v>
      </c>
      <c r="M3795" t="s">
        <v>152</v>
      </c>
      <c r="N3795" t="s">
        <v>35</v>
      </c>
      <c r="O3795" t="s">
        <v>55</v>
      </c>
      <c r="P3795" t="s">
        <v>152</v>
      </c>
      <c r="Q3795" t="s">
        <v>152</v>
      </c>
      <c r="R3795">
        <v>46</v>
      </c>
      <c r="S3795" t="s">
        <v>34</v>
      </c>
      <c r="T3795" t="str">
        <f t="shared" si="118"/>
        <v>Annually</v>
      </c>
      <c r="U3795">
        <f>VLOOKUP(T3795,[1]tablescore!$B$3:$C$8, 2,FALSE)</f>
        <v>1</v>
      </c>
      <c r="V3795" t="str">
        <f t="shared" si="119"/>
        <v>Low Loyalty</v>
      </c>
      <c r="W3795" t="s">
        <v>50</v>
      </c>
    </row>
    <row r="3796" spans="1:23" x14ac:dyDescent="0.25">
      <c r="A3796">
        <v>3795</v>
      </c>
      <c r="B3796">
        <v>44</v>
      </c>
      <c r="C3796" t="str" cm="1">
        <f t="array" ref="C3796">_xlfn.IFS(
  AND(B3796&gt;=18, B3796&lt;=24), "18-24",
  AND(B3796&gt;=25, B3796&lt;=34), "25-34",
  AND(B3796&gt;=35, B3796&lt;=44), "35-44",
  AND(B3796&gt;=45, B3796&lt;=54), "45-54",
  B3796&gt;=55, "55+"
)</f>
        <v>35-44</v>
      </c>
      <c r="D3796" t="s">
        <v>153</v>
      </c>
      <c r="E3796" t="s">
        <v>119</v>
      </c>
      <c r="F3796" t="s">
        <v>69</v>
      </c>
      <c r="G3796">
        <v>82</v>
      </c>
      <c r="H3796" t="s">
        <v>130</v>
      </c>
      <c r="I3796" t="s">
        <v>45</v>
      </c>
      <c r="J3796" t="s">
        <v>84</v>
      </c>
      <c r="K3796" t="s">
        <v>54</v>
      </c>
      <c r="L3796">
        <v>3.6</v>
      </c>
      <c r="M3796" t="s">
        <v>152</v>
      </c>
      <c r="N3796" t="s">
        <v>59</v>
      </c>
      <c r="O3796" t="s">
        <v>72</v>
      </c>
      <c r="P3796" t="s">
        <v>152</v>
      </c>
      <c r="Q3796" t="s">
        <v>152</v>
      </c>
      <c r="R3796">
        <v>27</v>
      </c>
      <c r="S3796" t="s">
        <v>29</v>
      </c>
      <c r="T3796" t="str">
        <f t="shared" si="118"/>
        <v>Daily</v>
      </c>
      <c r="U3796">
        <f>VLOOKUP(T3796,[1]tablescore!$B$3:$C$8, 2,FALSE)</f>
        <v>30</v>
      </c>
      <c r="V3796" t="str">
        <f t="shared" si="119"/>
        <v>Highly Loyal</v>
      </c>
      <c r="W3796" t="s">
        <v>41</v>
      </c>
    </row>
    <row r="3797" spans="1:23" x14ac:dyDescent="0.25">
      <c r="A3797">
        <v>3796</v>
      </c>
      <c r="B3797">
        <v>45</v>
      </c>
      <c r="C3797" t="str" cm="1">
        <f t="array" ref="C3797">_xlfn.IFS(
  AND(B3797&gt;=18, B3797&lt;=24), "18-24",
  AND(B3797&gt;=25, B3797&lt;=34), "25-34",
  AND(B3797&gt;=35, B3797&lt;=44), "35-44",
  AND(B3797&gt;=45, B3797&lt;=54), "45-54",
  B3797&gt;=55, "55+"
)</f>
        <v>45-54</v>
      </c>
      <c r="D3797" t="s">
        <v>153</v>
      </c>
      <c r="E3797" t="s">
        <v>127</v>
      </c>
      <c r="F3797" t="s">
        <v>69</v>
      </c>
      <c r="G3797">
        <v>92</v>
      </c>
      <c r="H3797" t="s">
        <v>74</v>
      </c>
      <c r="I3797" t="s">
        <v>45</v>
      </c>
      <c r="J3797" t="s">
        <v>63</v>
      </c>
      <c r="K3797" t="s">
        <v>39</v>
      </c>
      <c r="L3797">
        <v>2.5</v>
      </c>
      <c r="M3797" t="s">
        <v>152</v>
      </c>
      <c r="N3797" t="s">
        <v>34</v>
      </c>
      <c r="O3797" t="s">
        <v>28</v>
      </c>
      <c r="P3797" t="s">
        <v>152</v>
      </c>
      <c r="Q3797" t="s">
        <v>152</v>
      </c>
      <c r="R3797">
        <v>3</v>
      </c>
      <c r="S3797" t="s">
        <v>35</v>
      </c>
      <c r="T3797" t="str">
        <f t="shared" si="118"/>
        <v>Daily</v>
      </c>
      <c r="U3797">
        <f>VLOOKUP(T3797,[1]tablescore!$B$3:$C$8, 2,FALSE)</f>
        <v>30</v>
      </c>
      <c r="V3797" t="str">
        <f t="shared" si="119"/>
        <v>Highly Loyal</v>
      </c>
      <c r="W3797" t="s">
        <v>41</v>
      </c>
    </row>
    <row r="3798" spans="1:23" x14ac:dyDescent="0.25">
      <c r="A3798">
        <v>3797</v>
      </c>
      <c r="B3798">
        <v>40</v>
      </c>
      <c r="C3798" t="str" cm="1">
        <f t="array" ref="C3798">_xlfn.IFS(
  AND(B3798&gt;=18, B3798&lt;=24), "18-24",
  AND(B3798&gt;=25, B3798&lt;=34), "25-34",
  AND(B3798&gt;=35, B3798&lt;=44), "35-44",
  AND(B3798&gt;=45, B3798&lt;=54), "45-54",
  B3798&gt;=55, "55+"
)</f>
        <v>35-44</v>
      </c>
      <c r="D3798" t="s">
        <v>153</v>
      </c>
      <c r="E3798" t="s">
        <v>61</v>
      </c>
      <c r="F3798" t="s">
        <v>21</v>
      </c>
      <c r="G3798">
        <v>81</v>
      </c>
      <c r="H3798" t="s">
        <v>149</v>
      </c>
      <c r="I3798" t="s">
        <v>45</v>
      </c>
      <c r="J3798" t="s">
        <v>93</v>
      </c>
      <c r="K3798" t="s">
        <v>58</v>
      </c>
      <c r="L3798">
        <v>3.2</v>
      </c>
      <c r="M3798" t="s">
        <v>152</v>
      </c>
      <c r="N3798" t="s">
        <v>27</v>
      </c>
      <c r="O3798" t="s">
        <v>40</v>
      </c>
      <c r="P3798" t="s">
        <v>152</v>
      </c>
      <c r="Q3798" t="s">
        <v>152</v>
      </c>
      <c r="R3798">
        <v>47</v>
      </c>
      <c r="S3798" t="s">
        <v>34</v>
      </c>
      <c r="T3798" t="str">
        <f t="shared" si="118"/>
        <v>Quarterly</v>
      </c>
      <c r="U3798">
        <f>VLOOKUP(T3798,[1]tablescore!$B$3:$C$8, 2,FALSE)</f>
        <v>4</v>
      </c>
      <c r="V3798" t="str">
        <f t="shared" si="119"/>
        <v>Low Loyalty</v>
      </c>
      <c r="W3798" t="s">
        <v>60</v>
      </c>
    </row>
    <row r="3799" spans="1:23" x14ac:dyDescent="0.25">
      <c r="A3799">
        <v>3798</v>
      </c>
      <c r="B3799">
        <v>68</v>
      </c>
      <c r="C3799" t="str" cm="1">
        <f t="array" ref="C3799">_xlfn.IFS(
  AND(B3799&gt;=18, B3799&lt;=24), "18-24",
  AND(B3799&gt;=25, B3799&lt;=34), "25-34",
  AND(B3799&gt;=35, B3799&lt;=44), "35-44",
  AND(B3799&gt;=45, B3799&lt;=54), "45-54",
  B3799&gt;=55, "55+"
)</f>
        <v>55+</v>
      </c>
      <c r="D3799" t="s">
        <v>153</v>
      </c>
      <c r="E3799" t="s">
        <v>89</v>
      </c>
      <c r="F3799" t="s">
        <v>69</v>
      </c>
      <c r="G3799">
        <v>44</v>
      </c>
      <c r="H3799" t="s">
        <v>99</v>
      </c>
      <c r="I3799" t="s">
        <v>45</v>
      </c>
      <c r="J3799" t="s">
        <v>24</v>
      </c>
      <c r="K3799" t="s">
        <v>54</v>
      </c>
      <c r="L3799">
        <v>2.5</v>
      </c>
      <c r="M3799" t="s">
        <v>152</v>
      </c>
      <c r="N3799" t="s">
        <v>29</v>
      </c>
      <c r="O3799" t="s">
        <v>47</v>
      </c>
      <c r="P3799" t="s">
        <v>152</v>
      </c>
      <c r="Q3799" t="s">
        <v>152</v>
      </c>
      <c r="R3799">
        <v>20</v>
      </c>
      <c r="S3799" t="s">
        <v>35</v>
      </c>
      <c r="T3799" t="str">
        <f t="shared" si="118"/>
        <v>Quarterly</v>
      </c>
      <c r="U3799">
        <f>VLOOKUP(T3799,[1]tablescore!$B$3:$C$8, 2,FALSE)</f>
        <v>4</v>
      </c>
      <c r="V3799" t="str">
        <f t="shared" si="119"/>
        <v>Low Loyalty</v>
      </c>
      <c r="W3799" t="s">
        <v>60</v>
      </c>
    </row>
    <row r="3800" spans="1:23" x14ac:dyDescent="0.25">
      <c r="A3800">
        <v>3799</v>
      </c>
      <c r="B3800">
        <v>63</v>
      </c>
      <c r="C3800" t="str" cm="1">
        <f t="array" ref="C3800">_xlfn.IFS(
  AND(B3800&gt;=18, B3800&lt;=24), "18-24",
  AND(B3800&gt;=25, B3800&lt;=34), "25-34",
  AND(B3800&gt;=35, B3800&lt;=44), "35-44",
  AND(B3800&gt;=45, B3800&lt;=54), "45-54",
  B3800&gt;=55, "55+"
)</f>
        <v>55+</v>
      </c>
      <c r="D3800" t="s">
        <v>153</v>
      </c>
      <c r="E3800" t="s">
        <v>106</v>
      </c>
      <c r="F3800" t="s">
        <v>69</v>
      </c>
      <c r="G3800">
        <v>72</v>
      </c>
      <c r="H3800" t="s">
        <v>44</v>
      </c>
      <c r="I3800" t="s">
        <v>38</v>
      </c>
      <c r="J3800" t="s">
        <v>110</v>
      </c>
      <c r="K3800" t="s">
        <v>25</v>
      </c>
      <c r="L3800">
        <v>3.2</v>
      </c>
      <c r="M3800" t="s">
        <v>152</v>
      </c>
      <c r="N3800" t="s">
        <v>27</v>
      </c>
      <c r="O3800" t="s">
        <v>47</v>
      </c>
      <c r="P3800" t="s">
        <v>152</v>
      </c>
      <c r="Q3800" t="s">
        <v>152</v>
      </c>
      <c r="R3800">
        <v>23</v>
      </c>
      <c r="S3800" t="s">
        <v>27</v>
      </c>
      <c r="T3800" t="str">
        <f t="shared" si="118"/>
        <v>Annually</v>
      </c>
      <c r="U3800">
        <f>VLOOKUP(T3800,[1]tablescore!$B$3:$C$8, 2,FALSE)</f>
        <v>1</v>
      </c>
      <c r="V3800" t="str">
        <f t="shared" si="119"/>
        <v>Low Loyalty</v>
      </c>
      <c r="W3800" t="s">
        <v>50</v>
      </c>
    </row>
    <row r="3801" spans="1:23" x14ac:dyDescent="0.25">
      <c r="A3801">
        <v>3800</v>
      </c>
      <c r="B3801">
        <v>60</v>
      </c>
      <c r="C3801" t="str" cm="1">
        <f t="array" ref="C3801">_xlfn.IFS(
  AND(B3801&gt;=18, B3801&lt;=24), "18-24",
  AND(B3801&gt;=25, B3801&lt;=34), "25-34",
  AND(B3801&gt;=35, B3801&lt;=44), "35-44",
  AND(B3801&gt;=45, B3801&lt;=54), "45-54",
  B3801&gt;=55, "55+"
)</f>
        <v>55+</v>
      </c>
      <c r="D3801" t="s">
        <v>153</v>
      </c>
      <c r="E3801" t="s">
        <v>102</v>
      </c>
      <c r="F3801" t="s">
        <v>65</v>
      </c>
      <c r="G3801">
        <v>26</v>
      </c>
      <c r="H3801" t="s">
        <v>101</v>
      </c>
      <c r="I3801" t="s">
        <v>23</v>
      </c>
      <c r="J3801" t="s">
        <v>84</v>
      </c>
      <c r="K3801" t="s">
        <v>25</v>
      </c>
      <c r="L3801">
        <v>2.6</v>
      </c>
      <c r="M3801" t="s">
        <v>152</v>
      </c>
      <c r="N3801" t="s">
        <v>46</v>
      </c>
      <c r="O3801" t="s">
        <v>76</v>
      </c>
      <c r="P3801" t="s">
        <v>152</v>
      </c>
      <c r="Q3801" t="s">
        <v>152</v>
      </c>
      <c r="R3801">
        <v>13</v>
      </c>
      <c r="S3801" t="s">
        <v>27</v>
      </c>
      <c r="T3801" t="str">
        <f t="shared" si="118"/>
        <v>Month</v>
      </c>
      <c r="U3801">
        <f>VLOOKUP(T3801,[1]tablescore!$B$3:$C$8, 2,FALSE)</f>
        <v>12</v>
      </c>
      <c r="V3801" t="str">
        <f t="shared" si="119"/>
        <v>Moderate</v>
      </c>
      <c r="W3801" t="s">
        <v>88</v>
      </c>
    </row>
    <row r="3802" spans="1:23" x14ac:dyDescent="0.25">
      <c r="A3802">
        <v>3801</v>
      </c>
      <c r="B3802">
        <v>19</v>
      </c>
      <c r="C3802" t="str" cm="1">
        <f t="array" ref="C3802">_xlfn.IFS(
  AND(B3802&gt;=18, B3802&lt;=24), "18-24",
  AND(B3802&gt;=25, B3802&lt;=34), "25-34",
  AND(B3802&gt;=35, B3802&lt;=44), "35-44",
  AND(B3802&gt;=45, B3802&lt;=54), "45-54",
  B3802&gt;=55, "55+"
)</f>
        <v>18-24</v>
      </c>
      <c r="D3802" t="s">
        <v>153</v>
      </c>
      <c r="E3802" t="s">
        <v>31</v>
      </c>
      <c r="F3802" t="s">
        <v>21</v>
      </c>
      <c r="G3802">
        <v>26</v>
      </c>
      <c r="H3802" t="s">
        <v>145</v>
      </c>
      <c r="I3802" t="s">
        <v>45</v>
      </c>
      <c r="J3802" t="s">
        <v>49</v>
      </c>
      <c r="K3802" t="s">
        <v>58</v>
      </c>
      <c r="L3802">
        <v>4.8</v>
      </c>
      <c r="M3802" t="s">
        <v>152</v>
      </c>
      <c r="N3802" t="s">
        <v>29</v>
      </c>
      <c r="O3802" t="s">
        <v>47</v>
      </c>
      <c r="P3802" t="s">
        <v>152</v>
      </c>
      <c r="Q3802" t="s">
        <v>152</v>
      </c>
      <c r="R3802">
        <v>12</v>
      </c>
      <c r="S3802" t="s">
        <v>29</v>
      </c>
      <c r="T3802" t="str">
        <f t="shared" si="118"/>
        <v>2-week</v>
      </c>
      <c r="U3802">
        <f>VLOOKUP(T3802,[1]tablescore!$B$3:$C$8, 2,FALSE)</f>
        <v>26</v>
      </c>
      <c r="V3802" t="str">
        <f t="shared" si="119"/>
        <v>Loyal</v>
      </c>
      <c r="W3802" t="s">
        <v>77</v>
      </c>
    </row>
    <row r="3803" spans="1:23" x14ac:dyDescent="0.25">
      <c r="A3803">
        <v>3802</v>
      </c>
      <c r="B3803">
        <v>26</v>
      </c>
      <c r="C3803" t="str" cm="1">
        <f t="array" ref="C3803">_xlfn.IFS(
  AND(B3803&gt;=18, B3803&lt;=24), "18-24",
  AND(B3803&gt;=25, B3803&lt;=34), "25-34",
  AND(B3803&gt;=35, B3803&lt;=44), "35-44",
  AND(B3803&gt;=45, B3803&lt;=54), "45-54",
  B3803&gt;=55, "55+"
)</f>
        <v>25-34</v>
      </c>
      <c r="D3803" t="s">
        <v>153</v>
      </c>
      <c r="E3803" t="s">
        <v>20</v>
      </c>
      <c r="F3803" t="s">
        <v>21</v>
      </c>
      <c r="G3803">
        <v>84</v>
      </c>
      <c r="H3803" t="s">
        <v>22</v>
      </c>
      <c r="I3803" t="s">
        <v>45</v>
      </c>
      <c r="J3803" t="s">
        <v>100</v>
      </c>
      <c r="K3803" t="s">
        <v>39</v>
      </c>
      <c r="L3803">
        <v>5</v>
      </c>
      <c r="M3803" t="s">
        <v>152</v>
      </c>
      <c r="N3803" t="s">
        <v>46</v>
      </c>
      <c r="O3803" t="s">
        <v>76</v>
      </c>
      <c r="P3803" t="s">
        <v>152</v>
      </c>
      <c r="Q3803" t="s">
        <v>152</v>
      </c>
      <c r="R3803">
        <v>36</v>
      </c>
      <c r="S3803" t="s">
        <v>46</v>
      </c>
      <c r="T3803" t="str">
        <f t="shared" si="118"/>
        <v>2-week</v>
      </c>
      <c r="U3803">
        <f>VLOOKUP(T3803,[1]tablescore!$B$3:$C$8, 2,FALSE)</f>
        <v>26</v>
      </c>
      <c r="V3803" t="str">
        <f t="shared" si="119"/>
        <v>Loyal</v>
      </c>
      <c r="W3803" t="s">
        <v>30</v>
      </c>
    </row>
    <row r="3804" spans="1:23" x14ac:dyDescent="0.25">
      <c r="A3804">
        <v>3803</v>
      </c>
      <c r="B3804">
        <v>70</v>
      </c>
      <c r="C3804" t="str" cm="1">
        <f t="array" ref="C3804">_xlfn.IFS(
  AND(B3804&gt;=18, B3804&lt;=24), "18-24",
  AND(B3804&gt;=25, B3804&lt;=34), "25-34",
  AND(B3804&gt;=35, B3804&lt;=44), "35-44",
  AND(B3804&gt;=45, B3804&lt;=54), "45-54",
  B3804&gt;=55, "55+"
)</f>
        <v>55+</v>
      </c>
      <c r="D3804" t="s">
        <v>153</v>
      </c>
      <c r="E3804" t="s">
        <v>119</v>
      </c>
      <c r="F3804" t="s">
        <v>69</v>
      </c>
      <c r="G3804">
        <v>72</v>
      </c>
      <c r="H3804" t="s">
        <v>115</v>
      </c>
      <c r="I3804" t="s">
        <v>38</v>
      </c>
      <c r="J3804" t="s">
        <v>49</v>
      </c>
      <c r="K3804" t="s">
        <v>39</v>
      </c>
      <c r="L3804">
        <v>3.2</v>
      </c>
      <c r="M3804" t="s">
        <v>152</v>
      </c>
      <c r="N3804" t="s">
        <v>34</v>
      </c>
      <c r="O3804" t="s">
        <v>72</v>
      </c>
      <c r="P3804" t="s">
        <v>152</v>
      </c>
      <c r="Q3804" t="s">
        <v>152</v>
      </c>
      <c r="R3804">
        <v>1</v>
      </c>
      <c r="S3804" t="s">
        <v>34</v>
      </c>
      <c r="T3804" t="str">
        <f t="shared" si="118"/>
        <v>Month</v>
      </c>
      <c r="U3804">
        <f>VLOOKUP(T3804,[1]tablescore!$B$3:$C$8, 2,FALSE)</f>
        <v>12</v>
      </c>
      <c r="V3804" t="str">
        <f t="shared" si="119"/>
        <v>Moderate</v>
      </c>
      <c r="W3804" t="s">
        <v>88</v>
      </c>
    </row>
    <row r="3805" spans="1:23" x14ac:dyDescent="0.25">
      <c r="A3805">
        <v>3804</v>
      </c>
      <c r="B3805">
        <v>48</v>
      </c>
      <c r="C3805" t="str" cm="1">
        <f t="array" ref="C3805">_xlfn.IFS(
  AND(B3805&gt;=18, B3805&lt;=24), "18-24",
  AND(B3805&gt;=25, B3805&lt;=34), "25-34",
  AND(B3805&gt;=35, B3805&lt;=44), "35-44",
  AND(B3805&gt;=45, B3805&lt;=54), "45-54",
  B3805&gt;=55, "55+"
)</f>
        <v>45-54</v>
      </c>
      <c r="D3805" t="s">
        <v>153</v>
      </c>
      <c r="E3805" t="s">
        <v>68</v>
      </c>
      <c r="F3805" t="s">
        <v>69</v>
      </c>
      <c r="G3805">
        <v>55</v>
      </c>
      <c r="H3805" t="s">
        <v>146</v>
      </c>
      <c r="I3805" t="s">
        <v>45</v>
      </c>
      <c r="J3805" t="s">
        <v>84</v>
      </c>
      <c r="K3805" t="s">
        <v>39</v>
      </c>
      <c r="L3805">
        <v>3.6</v>
      </c>
      <c r="M3805" t="s">
        <v>152</v>
      </c>
      <c r="N3805" t="s">
        <v>27</v>
      </c>
      <c r="O3805" t="s">
        <v>55</v>
      </c>
      <c r="P3805" t="s">
        <v>152</v>
      </c>
      <c r="Q3805" t="s">
        <v>152</v>
      </c>
      <c r="R3805">
        <v>14</v>
      </c>
      <c r="S3805" t="s">
        <v>59</v>
      </c>
      <c r="T3805" t="str">
        <f t="shared" si="118"/>
        <v>Daily</v>
      </c>
      <c r="U3805">
        <f>VLOOKUP(T3805,[1]tablescore!$B$3:$C$8, 2,FALSE)</f>
        <v>30</v>
      </c>
      <c r="V3805" t="str">
        <f t="shared" si="119"/>
        <v>Highly Loyal</v>
      </c>
      <c r="W3805" t="s">
        <v>41</v>
      </c>
    </row>
    <row r="3806" spans="1:23" x14ac:dyDescent="0.25">
      <c r="A3806">
        <v>3805</v>
      </c>
      <c r="B3806">
        <v>37</v>
      </c>
      <c r="C3806" t="str" cm="1">
        <f t="array" ref="C3806">_xlfn.IFS(
  AND(B3806&gt;=18, B3806&lt;=24), "18-24",
  AND(B3806&gt;=25, B3806&lt;=34), "25-34",
  AND(B3806&gt;=35, B3806&lt;=44), "35-44",
  AND(B3806&gt;=45, B3806&lt;=54), "45-54",
  B3806&gt;=55, "55+"
)</f>
        <v>35-44</v>
      </c>
      <c r="D3806" t="s">
        <v>153</v>
      </c>
      <c r="E3806" t="s">
        <v>125</v>
      </c>
      <c r="F3806" t="s">
        <v>69</v>
      </c>
      <c r="G3806">
        <v>77</v>
      </c>
      <c r="H3806" t="s">
        <v>103</v>
      </c>
      <c r="I3806" t="s">
        <v>45</v>
      </c>
      <c r="J3806" t="s">
        <v>79</v>
      </c>
      <c r="K3806" t="s">
        <v>58</v>
      </c>
      <c r="L3806">
        <v>2.7</v>
      </c>
      <c r="M3806" t="s">
        <v>152</v>
      </c>
      <c r="N3806" t="s">
        <v>29</v>
      </c>
      <c r="O3806" t="s">
        <v>72</v>
      </c>
      <c r="P3806" t="s">
        <v>152</v>
      </c>
      <c r="Q3806" t="s">
        <v>152</v>
      </c>
      <c r="R3806">
        <v>45</v>
      </c>
      <c r="S3806" t="s">
        <v>35</v>
      </c>
      <c r="T3806" t="str">
        <f t="shared" si="118"/>
        <v>Annually</v>
      </c>
      <c r="U3806">
        <f>VLOOKUP(T3806,[1]tablescore!$B$3:$C$8, 2,FALSE)</f>
        <v>1</v>
      </c>
      <c r="V3806" t="str">
        <f t="shared" si="119"/>
        <v>Low Loyalty</v>
      </c>
      <c r="W3806" t="s">
        <v>50</v>
      </c>
    </row>
    <row r="3807" spans="1:23" x14ac:dyDescent="0.25">
      <c r="A3807">
        <v>3806</v>
      </c>
      <c r="B3807">
        <v>48</v>
      </c>
      <c r="C3807" t="str" cm="1">
        <f t="array" ref="C3807">_xlfn.IFS(
  AND(B3807&gt;=18, B3807&lt;=24), "18-24",
  AND(B3807&gt;=25, B3807&lt;=34), "25-34",
  AND(B3807&gt;=35, B3807&lt;=44), "35-44",
  AND(B3807&gt;=45, B3807&lt;=54), "45-54",
  B3807&gt;=55, "55+"
)</f>
        <v>45-54</v>
      </c>
      <c r="D3807" t="s">
        <v>153</v>
      </c>
      <c r="E3807" t="s">
        <v>119</v>
      </c>
      <c r="F3807" t="s">
        <v>69</v>
      </c>
      <c r="G3807">
        <v>57</v>
      </c>
      <c r="H3807" t="s">
        <v>137</v>
      </c>
      <c r="I3807" t="s">
        <v>45</v>
      </c>
      <c r="J3807" t="s">
        <v>96</v>
      </c>
      <c r="K3807" t="s">
        <v>58</v>
      </c>
      <c r="L3807">
        <v>3.1</v>
      </c>
      <c r="M3807" t="s">
        <v>152</v>
      </c>
      <c r="N3807" t="s">
        <v>59</v>
      </c>
      <c r="O3807" t="s">
        <v>55</v>
      </c>
      <c r="P3807" t="s">
        <v>152</v>
      </c>
      <c r="Q3807" t="s">
        <v>152</v>
      </c>
      <c r="R3807">
        <v>31</v>
      </c>
      <c r="S3807" t="s">
        <v>27</v>
      </c>
      <c r="T3807" t="str">
        <f t="shared" si="118"/>
        <v>Quarterly</v>
      </c>
      <c r="U3807">
        <f>VLOOKUP(T3807,[1]tablescore!$B$3:$C$8, 2,FALSE)</f>
        <v>4</v>
      </c>
      <c r="V3807" t="str">
        <f t="shared" si="119"/>
        <v>Low Loyalty</v>
      </c>
      <c r="W3807" t="s">
        <v>60</v>
      </c>
    </row>
    <row r="3808" spans="1:23" x14ac:dyDescent="0.25">
      <c r="A3808">
        <v>3807</v>
      </c>
      <c r="B3808">
        <v>18</v>
      </c>
      <c r="C3808" t="str" cm="1">
        <f t="array" ref="C3808">_xlfn.IFS(
  AND(B3808&gt;=18, B3808&lt;=24), "18-24",
  AND(B3808&gt;=25, B3808&lt;=34), "25-34",
  AND(B3808&gt;=35, B3808&lt;=44), "35-44",
  AND(B3808&gt;=45, B3808&lt;=54), "45-54",
  B3808&gt;=55, "55+"
)</f>
        <v>18-24</v>
      </c>
      <c r="D3808" t="s">
        <v>153</v>
      </c>
      <c r="E3808" t="s">
        <v>132</v>
      </c>
      <c r="F3808" t="s">
        <v>43</v>
      </c>
      <c r="G3808">
        <v>71</v>
      </c>
      <c r="H3808" t="s">
        <v>70</v>
      </c>
      <c r="I3808" t="s">
        <v>45</v>
      </c>
      <c r="J3808" t="s">
        <v>86</v>
      </c>
      <c r="K3808" t="s">
        <v>39</v>
      </c>
      <c r="L3808">
        <v>3</v>
      </c>
      <c r="M3808" t="s">
        <v>152</v>
      </c>
      <c r="N3808" t="s">
        <v>35</v>
      </c>
      <c r="O3808" t="s">
        <v>55</v>
      </c>
      <c r="P3808" t="s">
        <v>152</v>
      </c>
      <c r="Q3808" t="s">
        <v>152</v>
      </c>
      <c r="R3808">
        <v>41</v>
      </c>
      <c r="S3808" t="s">
        <v>46</v>
      </c>
      <c r="T3808" t="str">
        <f t="shared" si="118"/>
        <v>Daily</v>
      </c>
      <c r="U3808">
        <f>VLOOKUP(T3808,[1]tablescore!$B$3:$C$8, 2,FALSE)</f>
        <v>30</v>
      </c>
      <c r="V3808" t="str">
        <f t="shared" si="119"/>
        <v>Highly Loyal</v>
      </c>
      <c r="W3808" t="s">
        <v>41</v>
      </c>
    </row>
    <row r="3809" spans="1:23" x14ac:dyDescent="0.25">
      <c r="A3809">
        <v>3808</v>
      </c>
      <c r="B3809">
        <v>38</v>
      </c>
      <c r="C3809" t="str" cm="1">
        <f t="array" ref="C3809">_xlfn.IFS(
  AND(B3809&gt;=18, B3809&lt;=24), "18-24",
  AND(B3809&gt;=25, B3809&lt;=34), "25-34",
  AND(B3809&gt;=35, B3809&lt;=44), "35-44",
  AND(B3809&gt;=45, B3809&lt;=54), "45-54",
  B3809&gt;=55, "55+"
)</f>
        <v>35-44</v>
      </c>
      <c r="D3809" t="s">
        <v>153</v>
      </c>
      <c r="E3809" t="s">
        <v>20</v>
      </c>
      <c r="F3809" t="s">
        <v>21</v>
      </c>
      <c r="G3809">
        <v>39</v>
      </c>
      <c r="H3809" t="s">
        <v>151</v>
      </c>
      <c r="I3809" t="s">
        <v>23</v>
      </c>
      <c r="J3809" t="s">
        <v>100</v>
      </c>
      <c r="K3809" t="s">
        <v>39</v>
      </c>
      <c r="L3809">
        <v>2.9</v>
      </c>
      <c r="M3809" t="s">
        <v>152</v>
      </c>
      <c r="N3809" t="s">
        <v>46</v>
      </c>
      <c r="O3809" t="s">
        <v>47</v>
      </c>
      <c r="P3809" t="s">
        <v>152</v>
      </c>
      <c r="Q3809" t="s">
        <v>152</v>
      </c>
      <c r="R3809">
        <v>36</v>
      </c>
      <c r="S3809" t="s">
        <v>46</v>
      </c>
      <c r="T3809" t="str">
        <f t="shared" si="118"/>
        <v>Annually</v>
      </c>
      <c r="U3809">
        <f>VLOOKUP(T3809,[1]tablescore!$B$3:$C$8, 2,FALSE)</f>
        <v>1</v>
      </c>
      <c r="V3809" t="str">
        <f t="shared" si="119"/>
        <v>Low Loyalty</v>
      </c>
      <c r="W3809" t="s">
        <v>50</v>
      </c>
    </row>
    <row r="3810" spans="1:23" x14ac:dyDescent="0.25">
      <c r="A3810">
        <v>3809</v>
      </c>
      <c r="B3810">
        <v>33</v>
      </c>
      <c r="C3810" t="str" cm="1">
        <f t="array" ref="C3810">_xlfn.IFS(
  AND(B3810&gt;=18, B3810&lt;=24), "18-24",
  AND(B3810&gt;=25, B3810&lt;=34), "25-34",
  AND(B3810&gt;=35, B3810&lt;=44), "35-44",
  AND(B3810&gt;=45, B3810&lt;=54), "45-54",
  B3810&gt;=55, "55+"
)</f>
        <v>25-34</v>
      </c>
      <c r="D3810" t="s">
        <v>153</v>
      </c>
      <c r="E3810" t="s">
        <v>131</v>
      </c>
      <c r="F3810" t="s">
        <v>21</v>
      </c>
      <c r="G3810">
        <v>28</v>
      </c>
      <c r="H3810" t="s">
        <v>140</v>
      </c>
      <c r="I3810" t="s">
        <v>45</v>
      </c>
      <c r="J3810" t="s">
        <v>71</v>
      </c>
      <c r="K3810" t="s">
        <v>25</v>
      </c>
      <c r="L3810">
        <v>4.7</v>
      </c>
      <c r="M3810" t="s">
        <v>152</v>
      </c>
      <c r="N3810" t="s">
        <v>29</v>
      </c>
      <c r="O3810" t="s">
        <v>28</v>
      </c>
      <c r="P3810" t="s">
        <v>152</v>
      </c>
      <c r="Q3810" t="s">
        <v>152</v>
      </c>
      <c r="R3810">
        <v>6</v>
      </c>
      <c r="S3810" t="s">
        <v>59</v>
      </c>
      <c r="T3810" t="str">
        <f t="shared" si="118"/>
        <v>2-week</v>
      </c>
      <c r="U3810">
        <f>VLOOKUP(T3810,[1]tablescore!$B$3:$C$8, 2,FALSE)</f>
        <v>26</v>
      </c>
      <c r="V3810" t="str">
        <f t="shared" si="119"/>
        <v>Loyal</v>
      </c>
      <c r="W3810" t="s">
        <v>77</v>
      </c>
    </row>
    <row r="3811" spans="1:23" x14ac:dyDescent="0.25">
      <c r="A3811">
        <v>3810</v>
      </c>
      <c r="B3811">
        <v>57</v>
      </c>
      <c r="C3811" t="str" cm="1">
        <f t="array" ref="C3811">_xlfn.IFS(
  AND(B3811&gt;=18, B3811&lt;=24), "18-24",
  AND(B3811&gt;=25, B3811&lt;=34), "25-34",
  AND(B3811&gt;=35, B3811&lt;=44), "35-44",
  AND(B3811&gt;=45, B3811&lt;=54), "45-54",
  B3811&gt;=55, "55+"
)</f>
        <v>55+</v>
      </c>
      <c r="D3811" t="s">
        <v>153</v>
      </c>
      <c r="E3811" t="s">
        <v>73</v>
      </c>
      <c r="F3811" t="s">
        <v>43</v>
      </c>
      <c r="G3811">
        <v>33</v>
      </c>
      <c r="H3811" t="s">
        <v>85</v>
      </c>
      <c r="I3811" t="s">
        <v>38</v>
      </c>
      <c r="J3811" t="s">
        <v>33</v>
      </c>
      <c r="K3811" t="s">
        <v>25</v>
      </c>
      <c r="L3811">
        <v>3.7</v>
      </c>
      <c r="M3811" t="s">
        <v>152</v>
      </c>
      <c r="N3811" t="s">
        <v>34</v>
      </c>
      <c r="O3811" t="s">
        <v>55</v>
      </c>
      <c r="P3811" t="s">
        <v>152</v>
      </c>
      <c r="Q3811" t="s">
        <v>152</v>
      </c>
      <c r="R3811">
        <v>28</v>
      </c>
      <c r="S3811" t="s">
        <v>27</v>
      </c>
      <c r="T3811" t="str">
        <f t="shared" si="118"/>
        <v>Annually</v>
      </c>
      <c r="U3811">
        <f>VLOOKUP(T3811,[1]tablescore!$B$3:$C$8, 2,FALSE)</f>
        <v>1</v>
      </c>
      <c r="V3811" t="str">
        <f t="shared" si="119"/>
        <v>Low Loyalty</v>
      </c>
      <c r="W3811" t="s">
        <v>50</v>
      </c>
    </row>
    <row r="3812" spans="1:23" x14ac:dyDescent="0.25">
      <c r="A3812">
        <v>3811</v>
      </c>
      <c r="B3812">
        <v>46</v>
      </c>
      <c r="C3812" t="str" cm="1">
        <f t="array" ref="C3812">_xlfn.IFS(
  AND(B3812&gt;=18, B3812&lt;=24), "18-24",
  AND(B3812&gt;=25, B3812&lt;=34), "25-34",
  AND(B3812&gt;=35, B3812&lt;=44), "35-44",
  AND(B3812&gt;=45, B3812&lt;=54), "45-54",
  B3812&gt;=55, "55+"
)</f>
        <v>45-54</v>
      </c>
      <c r="D3812" t="s">
        <v>153</v>
      </c>
      <c r="E3812" t="s">
        <v>87</v>
      </c>
      <c r="F3812" t="s">
        <v>21</v>
      </c>
      <c r="G3812">
        <v>79</v>
      </c>
      <c r="H3812" t="s">
        <v>148</v>
      </c>
      <c r="I3812" t="s">
        <v>23</v>
      </c>
      <c r="J3812" t="s">
        <v>100</v>
      </c>
      <c r="K3812" t="s">
        <v>58</v>
      </c>
      <c r="L3812">
        <v>3.9</v>
      </c>
      <c r="M3812" t="s">
        <v>152</v>
      </c>
      <c r="N3812" t="s">
        <v>59</v>
      </c>
      <c r="O3812" t="s">
        <v>40</v>
      </c>
      <c r="P3812" t="s">
        <v>152</v>
      </c>
      <c r="Q3812" t="s">
        <v>152</v>
      </c>
      <c r="R3812">
        <v>29</v>
      </c>
      <c r="S3812" t="s">
        <v>29</v>
      </c>
      <c r="T3812" t="str">
        <f t="shared" si="118"/>
        <v>Month</v>
      </c>
      <c r="U3812">
        <f>VLOOKUP(T3812,[1]tablescore!$B$3:$C$8, 2,FALSE)</f>
        <v>12</v>
      </c>
      <c r="V3812" t="str">
        <f t="shared" si="119"/>
        <v>Moderate</v>
      </c>
      <c r="W3812" t="s">
        <v>88</v>
      </c>
    </row>
    <row r="3813" spans="1:23" x14ac:dyDescent="0.25">
      <c r="A3813">
        <v>3812</v>
      </c>
      <c r="B3813">
        <v>46</v>
      </c>
      <c r="C3813" t="str" cm="1">
        <f t="array" ref="C3813">_xlfn.IFS(
  AND(B3813&gt;=18, B3813&lt;=24), "18-24",
  AND(B3813&gt;=25, B3813&lt;=34), "25-34",
  AND(B3813&gt;=35, B3813&lt;=44), "35-44",
  AND(B3813&gt;=45, B3813&lt;=54), "45-54",
  B3813&gt;=55, "55+"
)</f>
        <v>45-54</v>
      </c>
      <c r="D3813" t="s">
        <v>153</v>
      </c>
      <c r="E3813" t="s">
        <v>136</v>
      </c>
      <c r="F3813" t="s">
        <v>69</v>
      </c>
      <c r="G3813">
        <v>30</v>
      </c>
      <c r="H3813" t="s">
        <v>144</v>
      </c>
      <c r="I3813" t="s">
        <v>45</v>
      </c>
      <c r="J3813" t="s">
        <v>33</v>
      </c>
      <c r="K3813" t="s">
        <v>25</v>
      </c>
      <c r="L3813">
        <v>4</v>
      </c>
      <c r="M3813" t="s">
        <v>152</v>
      </c>
      <c r="N3813" t="s">
        <v>29</v>
      </c>
      <c r="O3813" t="s">
        <v>55</v>
      </c>
      <c r="P3813" t="s">
        <v>152</v>
      </c>
      <c r="Q3813" t="s">
        <v>152</v>
      </c>
      <c r="R3813">
        <v>14</v>
      </c>
      <c r="S3813" t="s">
        <v>35</v>
      </c>
      <c r="T3813" t="str">
        <f t="shared" si="118"/>
        <v>Month</v>
      </c>
      <c r="U3813">
        <f>VLOOKUP(T3813,[1]tablescore!$B$3:$C$8, 2,FALSE)</f>
        <v>12</v>
      </c>
      <c r="V3813" t="str">
        <f t="shared" si="119"/>
        <v>Moderate</v>
      </c>
      <c r="W3813" t="s">
        <v>88</v>
      </c>
    </row>
    <row r="3814" spans="1:23" x14ac:dyDescent="0.25">
      <c r="A3814">
        <v>3813</v>
      </c>
      <c r="B3814">
        <v>50</v>
      </c>
      <c r="C3814" t="str" cm="1">
        <f t="array" ref="C3814">_xlfn.IFS(
  AND(B3814&gt;=18, B3814&lt;=24), "18-24",
  AND(B3814&gt;=25, B3814&lt;=34), "25-34",
  AND(B3814&gt;=35, B3814&lt;=44), "35-44",
  AND(B3814&gt;=45, B3814&lt;=54), "45-54",
  B3814&gt;=55, "55+"
)</f>
        <v>45-54</v>
      </c>
      <c r="D3814" t="s">
        <v>153</v>
      </c>
      <c r="E3814" t="s">
        <v>87</v>
      </c>
      <c r="F3814" t="s">
        <v>21</v>
      </c>
      <c r="G3814">
        <v>75</v>
      </c>
      <c r="H3814" t="s">
        <v>151</v>
      </c>
      <c r="I3814" t="s">
        <v>45</v>
      </c>
      <c r="J3814" t="s">
        <v>71</v>
      </c>
      <c r="K3814" t="s">
        <v>39</v>
      </c>
      <c r="L3814">
        <v>2.8</v>
      </c>
      <c r="M3814" t="s">
        <v>152</v>
      </c>
      <c r="N3814" t="s">
        <v>46</v>
      </c>
      <c r="O3814" t="s">
        <v>47</v>
      </c>
      <c r="P3814" t="s">
        <v>152</v>
      </c>
      <c r="Q3814" t="s">
        <v>152</v>
      </c>
      <c r="R3814">
        <v>7</v>
      </c>
      <c r="S3814" t="s">
        <v>34</v>
      </c>
      <c r="T3814" t="str">
        <f t="shared" si="118"/>
        <v>Quarterly</v>
      </c>
      <c r="U3814">
        <f>VLOOKUP(T3814,[1]tablescore!$B$3:$C$8, 2,FALSE)</f>
        <v>4</v>
      </c>
      <c r="V3814" t="str">
        <f t="shared" si="119"/>
        <v>Low Loyalty</v>
      </c>
      <c r="W3814" t="s">
        <v>97</v>
      </c>
    </row>
    <row r="3815" spans="1:23" x14ac:dyDescent="0.25">
      <c r="A3815">
        <v>3814</v>
      </c>
      <c r="B3815">
        <v>61</v>
      </c>
      <c r="C3815" t="str" cm="1">
        <f t="array" ref="C3815">_xlfn.IFS(
  AND(B3815&gt;=18, B3815&lt;=24), "18-24",
  AND(B3815&gt;=25, B3815&lt;=34), "25-34",
  AND(B3815&gt;=35, B3815&lt;=44), "35-44",
  AND(B3815&gt;=45, B3815&lt;=54), "45-54",
  B3815&gt;=55, "55+"
)</f>
        <v>55+</v>
      </c>
      <c r="D3815" t="s">
        <v>153</v>
      </c>
      <c r="E3815" t="s">
        <v>95</v>
      </c>
      <c r="F3815" t="s">
        <v>21</v>
      </c>
      <c r="G3815">
        <v>89</v>
      </c>
      <c r="H3815" t="s">
        <v>142</v>
      </c>
      <c r="I3815" t="s">
        <v>45</v>
      </c>
      <c r="J3815" t="s">
        <v>121</v>
      </c>
      <c r="K3815" t="s">
        <v>54</v>
      </c>
      <c r="L3815">
        <v>4.0999999999999996</v>
      </c>
      <c r="M3815" t="s">
        <v>152</v>
      </c>
      <c r="N3815" t="s">
        <v>27</v>
      </c>
      <c r="O3815" t="s">
        <v>28</v>
      </c>
      <c r="P3815" t="s">
        <v>152</v>
      </c>
      <c r="Q3815" t="s">
        <v>152</v>
      </c>
      <c r="R3815">
        <v>31</v>
      </c>
      <c r="S3815" t="s">
        <v>29</v>
      </c>
      <c r="T3815" t="str">
        <f t="shared" si="118"/>
        <v>2-week</v>
      </c>
      <c r="U3815">
        <f>VLOOKUP(T3815,[1]tablescore!$B$3:$C$8, 2,FALSE)</f>
        <v>26</v>
      </c>
      <c r="V3815" t="str">
        <f t="shared" si="119"/>
        <v>Loyal</v>
      </c>
      <c r="W3815" t="s">
        <v>77</v>
      </c>
    </row>
    <row r="3816" spans="1:23" x14ac:dyDescent="0.25">
      <c r="A3816">
        <v>3815</v>
      </c>
      <c r="B3816">
        <v>45</v>
      </c>
      <c r="C3816" t="str" cm="1">
        <f t="array" ref="C3816">_xlfn.IFS(
  AND(B3816&gt;=18, B3816&lt;=24), "18-24",
  AND(B3816&gt;=25, B3816&lt;=34), "25-34",
  AND(B3816&gt;=35, B3816&lt;=44), "35-44",
  AND(B3816&gt;=45, B3816&lt;=54), "45-54",
  B3816&gt;=55, "55+"
)</f>
        <v>45-54</v>
      </c>
      <c r="D3816" t="s">
        <v>153</v>
      </c>
      <c r="E3816" t="s">
        <v>82</v>
      </c>
      <c r="F3816" t="s">
        <v>21</v>
      </c>
      <c r="G3816">
        <v>95</v>
      </c>
      <c r="H3816" t="s">
        <v>151</v>
      </c>
      <c r="I3816" t="s">
        <v>45</v>
      </c>
      <c r="J3816" t="s">
        <v>121</v>
      </c>
      <c r="K3816" t="s">
        <v>25</v>
      </c>
      <c r="L3816">
        <v>4.2</v>
      </c>
      <c r="M3816" t="s">
        <v>152</v>
      </c>
      <c r="N3816" t="s">
        <v>27</v>
      </c>
      <c r="O3816" t="s">
        <v>40</v>
      </c>
      <c r="P3816" t="s">
        <v>152</v>
      </c>
      <c r="Q3816" t="s">
        <v>152</v>
      </c>
      <c r="R3816">
        <v>26</v>
      </c>
      <c r="S3816" t="s">
        <v>34</v>
      </c>
      <c r="T3816" t="str">
        <f t="shared" si="118"/>
        <v>Quarterly</v>
      </c>
      <c r="U3816">
        <f>VLOOKUP(T3816,[1]tablescore!$B$3:$C$8, 2,FALSE)</f>
        <v>4</v>
      </c>
      <c r="V3816" t="str">
        <f t="shared" si="119"/>
        <v>Low Loyalty</v>
      </c>
      <c r="W3816" t="s">
        <v>97</v>
      </c>
    </row>
    <row r="3817" spans="1:23" x14ac:dyDescent="0.25">
      <c r="A3817">
        <v>3816</v>
      </c>
      <c r="B3817">
        <v>32</v>
      </c>
      <c r="C3817" t="str" cm="1">
        <f t="array" ref="C3817">_xlfn.IFS(
  AND(B3817&gt;=18, B3817&lt;=24), "18-24",
  AND(B3817&gt;=25, B3817&lt;=34), "25-34",
  AND(B3817&gt;=35, B3817&lt;=44), "35-44",
  AND(B3817&gt;=45, B3817&lt;=54), "45-54",
  B3817&gt;=55, "55+"
)</f>
        <v>25-34</v>
      </c>
      <c r="D3817" t="s">
        <v>153</v>
      </c>
      <c r="E3817" t="s">
        <v>125</v>
      </c>
      <c r="F3817" t="s">
        <v>69</v>
      </c>
      <c r="G3817">
        <v>44</v>
      </c>
      <c r="H3817" t="s">
        <v>32</v>
      </c>
      <c r="I3817" t="s">
        <v>45</v>
      </c>
      <c r="J3817" t="s">
        <v>110</v>
      </c>
      <c r="K3817" t="s">
        <v>58</v>
      </c>
      <c r="L3817">
        <v>4.3</v>
      </c>
      <c r="M3817" t="s">
        <v>152</v>
      </c>
      <c r="N3817" t="s">
        <v>29</v>
      </c>
      <c r="O3817" t="s">
        <v>28</v>
      </c>
      <c r="P3817" t="s">
        <v>152</v>
      </c>
      <c r="Q3817" t="s">
        <v>152</v>
      </c>
      <c r="R3817">
        <v>12</v>
      </c>
      <c r="S3817" t="s">
        <v>29</v>
      </c>
      <c r="T3817" t="str">
        <f t="shared" si="118"/>
        <v>2-week</v>
      </c>
      <c r="U3817">
        <f>VLOOKUP(T3817,[1]tablescore!$B$3:$C$8, 2,FALSE)</f>
        <v>26</v>
      </c>
      <c r="V3817" t="str">
        <f t="shared" si="119"/>
        <v>Loyal</v>
      </c>
      <c r="W3817" t="s">
        <v>30</v>
      </c>
    </row>
    <row r="3818" spans="1:23" x14ac:dyDescent="0.25">
      <c r="A3818">
        <v>3817</v>
      </c>
      <c r="B3818">
        <v>29</v>
      </c>
      <c r="C3818" t="str" cm="1">
        <f t="array" ref="C3818">_xlfn.IFS(
  AND(B3818&gt;=18, B3818&lt;=24), "18-24",
  AND(B3818&gt;=25, B3818&lt;=34), "25-34",
  AND(B3818&gt;=35, B3818&lt;=44), "35-44",
  AND(B3818&gt;=45, B3818&lt;=54), "45-54",
  B3818&gt;=55, "55+"
)</f>
        <v>25-34</v>
      </c>
      <c r="D3818" t="s">
        <v>153</v>
      </c>
      <c r="E3818" t="s">
        <v>64</v>
      </c>
      <c r="F3818" t="s">
        <v>65</v>
      </c>
      <c r="G3818">
        <v>86</v>
      </c>
      <c r="H3818" t="s">
        <v>135</v>
      </c>
      <c r="I3818" t="s">
        <v>38</v>
      </c>
      <c r="J3818" t="s">
        <v>67</v>
      </c>
      <c r="K3818" t="s">
        <v>54</v>
      </c>
      <c r="L3818">
        <v>4.3</v>
      </c>
      <c r="M3818" t="s">
        <v>152</v>
      </c>
      <c r="N3818" t="s">
        <v>59</v>
      </c>
      <c r="O3818" t="s">
        <v>76</v>
      </c>
      <c r="P3818" t="s">
        <v>152</v>
      </c>
      <c r="Q3818" t="s">
        <v>152</v>
      </c>
      <c r="R3818">
        <v>45</v>
      </c>
      <c r="S3818" t="s">
        <v>27</v>
      </c>
      <c r="T3818" t="str">
        <f t="shared" si="118"/>
        <v>2-week</v>
      </c>
      <c r="U3818">
        <f>VLOOKUP(T3818,[1]tablescore!$B$3:$C$8, 2,FALSE)</f>
        <v>26</v>
      </c>
      <c r="V3818" t="str">
        <f t="shared" si="119"/>
        <v>Loyal</v>
      </c>
      <c r="W3818" t="s">
        <v>30</v>
      </c>
    </row>
    <row r="3819" spans="1:23" x14ac:dyDescent="0.25">
      <c r="A3819">
        <v>3818</v>
      </c>
      <c r="B3819">
        <v>66</v>
      </c>
      <c r="C3819" t="str" cm="1">
        <f t="array" ref="C3819">_xlfn.IFS(
  AND(B3819&gt;=18, B3819&lt;=24), "18-24",
  AND(B3819&gt;=25, B3819&lt;=34), "25-34",
  AND(B3819&gt;=35, B3819&lt;=44), "35-44",
  AND(B3819&gt;=45, B3819&lt;=54), "45-54",
  B3819&gt;=55, "55+"
)</f>
        <v>55+</v>
      </c>
      <c r="D3819" t="s">
        <v>153</v>
      </c>
      <c r="E3819" t="s">
        <v>119</v>
      </c>
      <c r="F3819" t="s">
        <v>69</v>
      </c>
      <c r="G3819">
        <v>91</v>
      </c>
      <c r="H3819" t="s">
        <v>70</v>
      </c>
      <c r="I3819" t="s">
        <v>45</v>
      </c>
      <c r="J3819" t="s">
        <v>147</v>
      </c>
      <c r="K3819" t="s">
        <v>58</v>
      </c>
      <c r="L3819">
        <v>2.6</v>
      </c>
      <c r="M3819" t="s">
        <v>152</v>
      </c>
      <c r="N3819" t="s">
        <v>59</v>
      </c>
      <c r="O3819" t="s">
        <v>28</v>
      </c>
      <c r="P3819" t="s">
        <v>152</v>
      </c>
      <c r="Q3819" t="s">
        <v>152</v>
      </c>
      <c r="R3819">
        <v>40</v>
      </c>
      <c r="S3819" t="s">
        <v>46</v>
      </c>
      <c r="T3819" t="str">
        <f t="shared" si="118"/>
        <v>Annually</v>
      </c>
      <c r="U3819">
        <f>VLOOKUP(T3819,[1]tablescore!$B$3:$C$8, 2,FALSE)</f>
        <v>1</v>
      </c>
      <c r="V3819" t="str">
        <f t="shared" si="119"/>
        <v>Low Loyalty</v>
      </c>
      <c r="W3819" t="s">
        <v>50</v>
      </c>
    </row>
    <row r="3820" spans="1:23" x14ac:dyDescent="0.25">
      <c r="A3820">
        <v>3819</v>
      </c>
      <c r="B3820">
        <v>70</v>
      </c>
      <c r="C3820" t="str" cm="1">
        <f t="array" ref="C3820">_xlfn.IFS(
  AND(B3820&gt;=18, B3820&lt;=24), "18-24",
  AND(B3820&gt;=25, B3820&lt;=34), "25-34",
  AND(B3820&gt;=35, B3820&lt;=44), "35-44",
  AND(B3820&gt;=45, B3820&lt;=54), "45-54",
  B3820&gt;=55, "55+"
)</f>
        <v>55+</v>
      </c>
      <c r="D3820" t="s">
        <v>153</v>
      </c>
      <c r="E3820" t="s">
        <v>51</v>
      </c>
      <c r="F3820" t="s">
        <v>43</v>
      </c>
      <c r="G3820">
        <v>41</v>
      </c>
      <c r="H3820" t="s">
        <v>48</v>
      </c>
      <c r="I3820" t="s">
        <v>92</v>
      </c>
      <c r="J3820" t="s">
        <v>129</v>
      </c>
      <c r="K3820" t="s">
        <v>25</v>
      </c>
      <c r="L3820">
        <v>3.8</v>
      </c>
      <c r="M3820" t="s">
        <v>152</v>
      </c>
      <c r="N3820" t="s">
        <v>27</v>
      </c>
      <c r="O3820" t="s">
        <v>40</v>
      </c>
      <c r="P3820" t="s">
        <v>152</v>
      </c>
      <c r="Q3820" t="s">
        <v>152</v>
      </c>
      <c r="R3820">
        <v>42</v>
      </c>
      <c r="S3820" t="s">
        <v>35</v>
      </c>
      <c r="T3820" t="str">
        <f t="shared" si="118"/>
        <v>Month</v>
      </c>
      <c r="U3820">
        <f>VLOOKUP(T3820,[1]tablescore!$B$3:$C$8, 2,FALSE)</f>
        <v>12</v>
      </c>
      <c r="V3820" t="str">
        <f t="shared" si="119"/>
        <v>Moderate</v>
      </c>
      <c r="W3820" t="s">
        <v>88</v>
      </c>
    </row>
    <row r="3821" spans="1:23" x14ac:dyDescent="0.25">
      <c r="A3821">
        <v>3820</v>
      </c>
      <c r="B3821">
        <v>36</v>
      </c>
      <c r="C3821" t="str" cm="1">
        <f t="array" ref="C3821">_xlfn.IFS(
  AND(B3821&gt;=18, B3821&lt;=24), "18-24",
  AND(B3821&gt;=25, B3821&lt;=34), "25-34",
  AND(B3821&gt;=35, B3821&lt;=44), "35-44",
  AND(B3821&gt;=45, B3821&lt;=54), "45-54",
  B3821&gt;=55, "55+"
)</f>
        <v>35-44</v>
      </c>
      <c r="D3821" t="s">
        <v>153</v>
      </c>
      <c r="E3821" t="s">
        <v>95</v>
      </c>
      <c r="F3821" t="s">
        <v>21</v>
      </c>
      <c r="G3821">
        <v>99</v>
      </c>
      <c r="H3821" t="s">
        <v>74</v>
      </c>
      <c r="I3821" t="s">
        <v>38</v>
      </c>
      <c r="J3821" t="s">
        <v>81</v>
      </c>
      <c r="K3821" t="s">
        <v>39</v>
      </c>
      <c r="L3821">
        <v>2.9</v>
      </c>
      <c r="M3821" t="s">
        <v>152</v>
      </c>
      <c r="N3821" t="s">
        <v>46</v>
      </c>
      <c r="O3821" t="s">
        <v>28</v>
      </c>
      <c r="P3821" t="s">
        <v>152</v>
      </c>
      <c r="Q3821" t="s">
        <v>152</v>
      </c>
      <c r="R3821">
        <v>45</v>
      </c>
      <c r="S3821" t="s">
        <v>35</v>
      </c>
      <c r="T3821" t="str">
        <f t="shared" si="118"/>
        <v>Quarterly</v>
      </c>
      <c r="U3821">
        <f>VLOOKUP(T3821,[1]tablescore!$B$3:$C$8, 2,FALSE)</f>
        <v>4</v>
      </c>
      <c r="V3821" t="str">
        <f t="shared" si="119"/>
        <v>Low Loyalty</v>
      </c>
      <c r="W3821" t="s">
        <v>60</v>
      </c>
    </row>
    <row r="3822" spans="1:23" x14ac:dyDescent="0.25">
      <c r="A3822">
        <v>3821</v>
      </c>
      <c r="B3822">
        <v>34</v>
      </c>
      <c r="C3822" t="str" cm="1">
        <f t="array" ref="C3822">_xlfn.IFS(
  AND(B3822&gt;=18, B3822&lt;=24), "18-24",
  AND(B3822&gt;=25, B3822&lt;=34), "25-34",
  AND(B3822&gt;=35, B3822&lt;=44), "35-44",
  AND(B3822&gt;=45, B3822&lt;=54), "45-54",
  B3822&gt;=55, "55+"
)</f>
        <v>25-34</v>
      </c>
      <c r="D3822" t="s">
        <v>153</v>
      </c>
      <c r="E3822" t="s">
        <v>136</v>
      </c>
      <c r="F3822" t="s">
        <v>69</v>
      </c>
      <c r="G3822">
        <v>65</v>
      </c>
      <c r="H3822" t="s">
        <v>83</v>
      </c>
      <c r="I3822" t="s">
        <v>45</v>
      </c>
      <c r="J3822" t="s">
        <v>75</v>
      </c>
      <c r="K3822" t="s">
        <v>25</v>
      </c>
      <c r="L3822">
        <v>5</v>
      </c>
      <c r="M3822" t="s">
        <v>152</v>
      </c>
      <c r="N3822" t="s">
        <v>27</v>
      </c>
      <c r="O3822" t="s">
        <v>55</v>
      </c>
      <c r="P3822" t="s">
        <v>152</v>
      </c>
      <c r="Q3822" t="s">
        <v>152</v>
      </c>
      <c r="R3822">
        <v>34</v>
      </c>
      <c r="S3822" t="s">
        <v>59</v>
      </c>
      <c r="T3822" t="str">
        <f t="shared" si="118"/>
        <v>Quarterly</v>
      </c>
      <c r="U3822">
        <f>VLOOKUP(T3822,[1]tablescore!$B$3:$C$8, 2,FALSE)</f>
        <v>4</v>
      </c>
      <c r="V3822" t="str">
        <f t="shared" si="119"/>
        <v>Low Loyalty</v>
      </c>
      <c r="W3822" t="s">
        <v>60</v>
      </c>
    </row>
    <row r="3823" spans="1:23" x14ac:dyDescent="0.25">
      <c r="A3823">
        <v>3822</v>
      </c>
      <c r="B3823">
        <v>20</v>
      </c>
      <c r="C3823" t="str" cm="1">
        <f t="array" ref="C3823">_xlfn.IFS(
  AND(B3823&gt;=18, B3823&lt;=24), "18-24",
  AND(B3823&gt;=25, B3823&lt;=34), "25-34",
  AND(B3823&gt;=35, B3823&lt;=44), "35-44",
  AND(B3823&gt;=45, B3823&lt;=54), "45-54",
  B3823&gt;=55, "55+"
)</f>
        <v>18-24</v>
      </c>
      <c r="D3823" t="s">
        <v>153</v>
      </c>
      <c r="E3823" t="s">
        <v>51</v>
      </c>
      <c r="F3823" t="s">
        <v>43</v>
      </c>
      <c r="G3823">
        <v>48</v>
      </c>
      <c r="H3823" t="s">
        <v>48</v>
      </c>
      <c r="I3823" t="s">
        <v>45</v>
      </c>
      <c r="J3823" t="s">
        <v>81</v>
      </c>
      <c r="K3823" t="s">
        <v>54</v>
      </c>
      <c r="L3823">
        <v>4.5999999999999996</v>
      </c>
      <c r="M3823" t="s">
        <v>152</v>
      </c>
      <c r="N3823" t="s">
        <v>46</v>
      </c>
      <c r="O3823" t="s">
        <v>40</v>
      </c>
      <c r="P3823" t="s">
        <v>152</v>
      </c>
      <c r="Q3823" t="s">
        <v>152</v>
      </c>
      <c r="R3823">
        <v>34</v>
      </c>
      <c r="S3823" t="s">
        <v>27</v>
      </c>
      <c r="T3823" t="str">
        <f t="shared" si="118"/>
        <v>Quarterly</v>
      </c>
      <c r="U3823">
        <f>VLOOKUP(T3823,[1]tablescore!$B$3:$C$8, 2,FALSE)</f>
        <v>4</v>
      </c>
      <c r="V3823" t="str">
        <f t="shared" si="119"/>
        <v>Low Loyalty</v>
      </c>
      <c r="W3823" t="s">
        <v>97</v>
      </c>
    </row>
    <row r="3824" spans="1:23" x14ac:dyDescent="0.25">
      <c r="A3824">
        <v>3823</v>
      </c>
      <c r="B3824">
        <v>70</v>
      </c>
      <c r="C3824" t="str" cm="1">
        <f t="array" ref="C3824">_xlfn.IFS(
  AND(B3824&gt;=18, B3824&lt;=24), "18-24",
  AND(B3824&gt;=25, B3824&lt;=34), "25-34",
  AND(B3824&gt;=35, B3824&lt;=44), "35-44",
  AND(B3824&gt;=45, B3824&lt;=54), "45-54",
  B3824&gt;=55, "55+"
)</f>
        <v>55+</v>
      </c>
      <c r="D3824" t="s">
        <v>153</v>
      </c>
      <c r="E3824" t="s">
        <v>125</v>
      </c>
      <c r="F3824" t="s">
        <v>69</v>
      </c>
      <c r="G3824">
        <v>41</v>
      </c>
      <c r="H3824" t="s">
        <v>111</v>
      </c>
      <c r="I3824" t="s">
        <v>38</v>
      </c>
      <c r="J3824" t="s">
        <v>81</v>
      </c>
      <c r="K3824" t="s">
        <v>39</v>
      </c>
      <c r="L3824">
        <v>3.2</v>
      </c>
      <c r="M3824" t="s">
        <v>152</v>
      </c>
      <c r="N3824" t="s">
        <v>35</v>
      </c>
      <c r="O3824" t="s">
        <v>40</v>
      </c>
      <c r="P3824" t="s">
        <v>152</v>
      </c>
      <c r="Q3824" t="s">
        <v>152</v>
      </c>
      <c r="R3824">
        <v>17</v>
      </c>
      <c r="S3824" t="s">
        <v>46</v>
      </c>
      <c r="T3824" t="str">
        <f t="shared" si="118"/>
        <v>Quarterly</v>
      </c>
      <c r="U3824">
        <f>VLOOKUP(T3824,[1]tablescore!$B$3:$C$8, 2,FALSE)</f>
        <v>4</v>
      </c>
      <c r="V3824" t="str">
        <f t="shared" si="119"/>
        <v>Low Loyalty</v>
      </c>
      <c r="W3824" t="s">
        <v>97</v>
      </c>
    </row>
    <row r="3825" spans="1:23" x14ac:dyDescent="0.25">
      <c r="A3825">
        <v>3824</v>
      </c>
      <c r="B3825">
        <v>50</v>
      </c>
      <c r="C3825" t="str" cm="1">
        <f t="array" ref="C3825">_xlfn.IFS(
  AND(B3825&gt;=18, B3825&lt;=24), "18-24",
  AND(B3825&gt;=25, B3825&lt;=34), "25-34",
  AND(B3825&gt;=35, B3825&lt;=44), "35-44",
  AND(B3825&gt;=45, B3825&lt;=54), "45-54",
  B3825&gt;=55, "55+"
)</f>
        <v>45-54</v>
      </c>
      <c r="D3825" t="s">
        <v>153</v>
      </c>
      <c r="E3825" t="s">
        <v>56</v>
      </c>
      <c r="F3825" t="s">
        <v>21</v>
      </c>
      <c r="G3825">
        <v>42</v>
      </c>
      <c r="H3825" t="s">
        <v>99</v>
      </c>
      <c r="I3825" t="s">
        <v>45</v>
      </c>
      <c r="J3825" t="s">
        <v>81</v>
      </c>
      <c r="K3825" t="s">
        <v>54</v>
      </c>
      <c r="L3825">
        <v>3</v>
      </c>
      <c r="M3825" t="s">
        <v>152</v>
      </c>
      <c r="N3825" t="s">
        <v>34</v>
      </c>
      <c r="O3825" t="s">
        <v>55</v>
      </c>
      <c r="P3825" t="s">
        <v>152</v>
      </c>
      <c r="Q3825" t="s">
        <v>152</v>
      </c>
      <c r="R3825">
        <v>27</v>
      </c>
      <c r="S3825" t="s">
        <v>34</v>
      </c>
      <c r="T3825" t="str">
        <f t="shared" si="118"/>
        <v>Daily</v>
      </c>
      <c r="U3825">
        <f>VLOOKUP(T3825,[1]tablescore!$B$3:$C$8, 2,FALSE)</f>
        <v>30</v>
      </c>
      <c r="V3825" t="str">
        <f t="shared" si="119"/>
        <v>Highly Loyal</v>
      </c>
      <c r="W3825" t="s">
        <v>41</v>
      </c>
    </row>
    <row r="3826" spans="1:23" x14ac:dyDescent="0.25">
      <c r="A3826">
        <v>3825</v>
      </c>
      <c r="B3826">
        <v>54</v>
      </c>
      <c r="C3826" t="str" cm="1">
        <f t="array" ref="C3826">_xlfn.IFS(
  AND(B3826&gt;=18, B3826&lt;=24), "18-24",
  AND(B3826&gt;=25, B3826&lt;=34), "25-34",
  AND(B3826&gt;=35, B3826&lt;=44), "35-44",
  AND(B3826&gt;=45, B3826&lt;=54), "45-54",
  B3826&gt;=55, "55+"
)</f>
        <v>45-54</v>
      </c>
      <c r="D3826" t="s">
        <v>153</v>
      </c>
      <c r="E3826" t="s">
        <v>61</v>
      </c>
      <c r="F3826" t="s">
        <v>21</v>
      </c>
      <c r="G3826">
        <v>26</v>
      </c>
      <c r="H3826" t="s">
        <v>142</v>
      </c>
      <c r="I3826" t="s">
        <v>45</v>
      </c>
      <c r="J3826" t="s">
        <v>79</v>
      </c>
      <c r="K3826" t="s">
        <v>54</v>
      </c>
      <c r="L3826">
        <v>4</v>
      </c>
      <c r="M3826" t="s">
        <v>152</v>
      </c>
      <c r="N3826" t="s">
        <v>27</v>
      </c>
      <c r="O3826" t="s">
        <v>40</v>
      </c>
      <c r="P3826" t="s">
        <v>152</v>
      </c>
      <c r="Q3826" t="s">
        <v>152</v>
      </c>
      <c r="R3826">
        <v>31</v>
      </c>
      <c r="S3826" t="s">
        <v>27</v>
      </c>
      <c r="T3826" t="str">
        <f t="shared" si="118"/>
        <v>Quarterly</v>
      </c>
      <c r="U3826">
        <f>VLOOKUP(T3826,[1]tablescore!$B$3:$C$8, 2,FALSE)</f>
        <v>4</v>
      </c>
      <c r="V3826" t="str">
        <f t="shared" si="119"/>
        <v>Low Loyalty</v>
      </c>
      <c r="W3826" t="s">
        <v>60</v>
      </c>
    </row>
    <row r="3827" spans="1:23" x14ac:dyDescent="0.25">
      <c r="A3827">
        <v>3826</v>
      </c>
      <c r="B3827">
        <v>49</v>
      </c>
      <c r="C3827" t="str" cm="1">
        <f t="array" ref="C3827">_xlfn.IFS(
  AND(B3827&gt;=18, B3827&lt;=24), "18-24",
  AND(B3827&gt;=25, B3827&lt;=34), "25-34",
  AND(B3827&gt;=35, B3827&lt;=44), "35-44",
  AND(B3827&gt;=45, B3827&lt;=54), "45-54",
  B3827&gt;=55, "55+"
)</f>
        <v>45-54</v>
      </c>
      <c r="D3827" t="s">
        <v>153</v>
      </c>
      <c r="E3827" t="s">
        <v>61</v>
      </c>
      <c r="F3827" t="s">
        <v>21</v>
      </c>
      <c r="G3827">
        <v>35</v>
      </c>
      <c r="H3827" t="s">
        <v>78</v>
      </c>
      <c r="I3827" t="s">
        <v>23</v>
      </c>
      <c r="J3827" t="s">
        <v>96</v>
      </c>
      <c r="K3827" t="s">
        <v>58</v>
      </c>
      <c r="L3827">
        <v>4.0999999999999996</v>
      </c>
      <c r="M3827" t="s">
        <v>152</v>
      </c>
      <c r="N3827" t="s">
        <v>34</v>
      </c>
      <c r="O3827" t="s">
        <v>28</v>
      </c>
      <c r="P3827" t="s">
        <v>152</v>
      </c>
      <c r="Q3827" t="s">
        <v>152</v>
      </c>
      <c r="R3827">
        <v>47</v>
      </c>
      <c r="S3827" t="s">
        <v>59</v>
      </c>
      <c r="T3827" t="str">
        <f t="shared" si="118"/>
        <v>2-week</v>
      </c>
      <c r="U3827">
        <f>VLOOKUP(T3827,[1]tablescore!$B$3:$C$8, 2,FALSE)</f>
        <v>26</v>
      </c>
      <c r="V3827" t="str">
        <f t="shared" si="119"/>
        <v>Loyal</v>
      </c>
      <c r="W3827" t="s">
        <v>30</v>
      </c>
    </row>
    <row r="3828" spans="1:23" x14ac:dyDescent="0.25">
      <c r="A3828">
        <v>3827</v>
      </c>
      <c r="B3828">
        <v>50</v>
      </c>
      <c r="C3828" t="str" cm="1">
        <f t="array" ref="C3828">_xlfn.IFS(
  AND(B3828&gt;=18, B3828&lt;=24), "18-24",
  AND(B3828&gt;=25, B3828&lt;=34), "25-34",
  AND(B3828&gt;=35, B3828&lt;=44), "35-44",
  AND(B3828&gt;=45, B3828&lt;=54), "45-54",
  B3828&gt;=55, "55+"
)</f>
        <v>45-54</v>
      </c>
      <c r="D3828" t="s">
        <v>153</v>
      </c>
      <c r="E3828" t="s">
        <v>102</v>
      </c>
      <c r="F3828" t="s">
        <v>65</v>
      </c>
      <c r="G3828">
        <v>31</v>
      </c>
      <c r="H3828" t="s">
        <v>57</v>
      </c>
      <c r="I3828" t="s">
        <v>45</v>
      </c>
      <c r="J3828" t="s">
        <v>24</v>
      </c>
      <c r="K3828" t="s">
        <v>54</v>
      </c>
      <c r="L3828">
        <v>4</v>
      </c>
      <c r="M3828" t="s">
        <v>152</v>
      </c>
      <c r="N3828" t="s">
        <v>34</v>
      </c>
      <c r="O3828" t="s">
        <v>28</v>
      </c>
      <c r="P3828" t="s">
        <v>152</v>
      </c>
      <c r="Q3828" t="s">
        <v>152</v>
      </c>
      <c r="R3828">
        <v>25</v>
      </c>
      <c r="S3828" t="s">
        <v>34</v>
      </c>
      <c r="T3828" t="str">
        <f t="shared" si="118"/>
        <v>Annually</v>
      </c>
      <c r="U3828">
        <f>VLOOKUP(T3828,[1]tablescore!$B$3:$C$8, 2,FALSE)</f>
        <v>1</v>
      </c>
      <c r="V3828" t="str">
        <f t="shared" si="119"/>
        <v>Low Loyalty</v>
      </c>
      <c r="W3828" t="s">
        <v>50</v>
      </c>
    </row>
    <row r="3829" spans="1:23" x14ac:dyDescent="0.25">
      <c r="A3829">
        <v>3828</v>
      </c>
      <c r="B3829">
        <v>62</v>
      </c>
      <c r="C3829" t="str" cm="1">
        <f t="array" ref="C3829">_xlfn.IFS(
  AND(B3829&gt;=18, B3829&lt;=24), "18-24",
  AND(B3829&gt;=25, B3829&lt;=34), "25-34",
  AND(B3829&gt;=35, B3829&lt;=44), "35-44",
  AND(B3829&gt;=45, B3829&lt;=54), "45-54",
  B3829&gt;=55, "55+"
)</f>
        <v>55+</v>
      </c>
      <c r="D3829" t="s">
        <v>153</v>
      </c>
      <c r="E3829" t="s">
        <v>106</v>
      </c>
      <c r="F3829" t="s">
        <v>69</v>
      </c>
      <c r="G3829">
        <v>73</v>
      </c>
      <c r="H3829" t="s">
        <v>57</v>
      </c>
      <c r="I3829" t="s">
        <v>45</v>
      </c>
      <c r="J3829" t="s">
        <v>108</v>
      </c>
      <c r="K3829" t="s">
        <v>54</v>
      </c>
      <c r="L3829">
        <v>4.0999999999999996</v>
      </c>
      <c r="M3829" t="s">
        <v>152</v>
      </c>
      <c r="N3829" t="s">
        <v>35</v>
      </c>
      <c r="O3829" t="s">
        <v>55</v>
      </c>
      <c r="P3829" t="s">
        <v>152</v>
      </c>
      <c r="Q3829" t="s">
        <v>152</v>
      </c>
      <c r="R3829">
        <v>47</v>
      </c>
      <c r="S3829" t="s">
        <v>35</v>
      </c>
      <c r="T3829" t="str">
        <f t="shared" si="118"/>
        <v>2-week</v>
      </c>
      <c r="U3829">
        <f>VLOOKUP(T3829,[1]tablescore!$B$3:$C$8, 2,FALSE)</f>
        <v>26</v>
      </c>
      <c r="V3829" t="str">
        <f t="shared" si="119"/>
        <v>Loyal</v>
      </c>
      <c r="W3829" t="s">
        <v>30</v>
      </c>
    </row>
    <row r="3830" spans="1:23" x14ac:dyDescent="0.25">
      <c r="A3830">
        <v>3829</v>
      </c>
      <c r="B3830">
        <v>42</v>
      </c>
      <c r="C3830" t="str" cm="1">
        <f t="array" ref="C3830">_xlfn.IFS(
  AND(B3830&gt;=18, B3830&lt;=24), "18-24",
  AND(B3830&gt;=25, B3830&lt;=34), "25-34",
  AND(B3830&gt;=35, B3830&lt;=44), "35-44",
  AND(B3830&gt;=45, B3830&lt;=54), "45-54",
  B3830&gt;=55, "55+"
)</f>
        <v>35-44</v>
      </c>
      <c r="D3830" t="s">
        <v>153</v>
      </c>
      <c r="E3830" t="s">
        <v>20</v>
      </c>
      <c r="F3830" t="s">
        <v>21</v>
      </c>
      <c r="G3830">
        <v>82</v>
      </c>
      <c r="H3830" t="s">
        <v>91</v>
      </c>
      <c r="I3830" t="s">
        <v>45</v>
      </c>
      <c r="J3830" t="s">
        <v>63</v>
      </c>
      <c r="K3830" t="s">
        <v>39</v>
      </c>
      <c r="L3830">
        <v>3.4</v>
      </c>
      <c r="M3830" t="s">
        <v>152</v>
      </c>
      <c r="N3830" t="s">
        <v>29</v>
      </c>
      <c r="O3830" t="s">
        <v>40</v>
      </c>
      <c r="P3830" t="s">
        <v>152</v>
      </c>
      <c r="Q3830" t="s">
        <v>152</v>
      </c>
      <c r="R3830">
        <v>8</v>
      </c>
      <c r="S3830" t="s">
        <v>35</v>
      </c>
      <c r="T3830" t="str">
        <f t="shared" si="118"/>
        <v>Daily</v>
      </c>
      <c r="U3830">
        <f>VLOOKUP(T3830,[1]tablescore!$B$3:$C$8, 2,FALSE)</f>
        <v>30</v>
      </c>
      <c r="V3830" t="str">
        <f t="shared" si="119"/>
        <v>Highly Loyal</v>
      </c>
      <c r="W3830" t="s">
        <v>41</v>
      </c>
    </row>
    <row r="3831" spans="1:23" x14ac:dyDescent="0.25">
      <c r="A3831">
        <v>3830</v>
      </c>
      <c r="B3831">
        <v>69</v>
      </c>
      <c r="C3831" t="str" cm="1">
        <f t="array" ref="C3831">_xlfn.IFS(
  AND(B3831&gt;=18, B3831&lt;=24), "18-24",
  AND(B3831&gt;=25, B3831&lt;=34), "25-34",
  AND(B3831&gt;=35, B3831&lt;=44), "35-44",
  AND(B3831&gt;=45, B3831&lt;=54), "45-54",
  B3831&gt;=55, "55+"
)</f>
        <v>55+</v>
      </c>
      <c r="D3831" t="s">
        <v>153</v>
      </c>
      <c r="E3831" t="s">
        <v>95</v>
      </c>
      <c r="F3831" t="s">
        <v>21</v>
      </c>
      <c r="G3831">
        <v>32</v>
      </c>
      <c r="H3831" t="s">
        <v>140</v>
      </c>
      <c r="I3831" t="s">
        <v>45</v>
      </c>
      <c r="J3831" t="s">
        <v>129</v>
      </c>
      <c r="K3831" t="s">
        <v>39</v>
      </c>
      <c r="L3831">
        <v>2.9</v>
      </c>
      <c r="M3831" t="s">
        <v>152</v>
      </c>
      <c r="N3831" t="s">
        <v>27</v>
      </c>
      <c r="O3831" t="s">
        <v>40</v>
      </c>
      <c r="P3831" t="s">
        <v>152</v>
      </c>
      <c r="Q3831" t="s">
        <v>152</v>
      </c>
      <c r="R3831">
        <v>32</v>
      </c>
      <c r="S3831" t="s">
        <v>59</v>
      </c>
      <c r="T3831" t="str">
        <f t="shared" si="118"/>
        <v>2-week</v>
      </c>
      <c r="U3831">
        <f>VLOOKUP(T3831,[1]tablescore!$B$3:$C$8, 2,FALSE)</f>
        <v>26</v>
      </c>
      <c r="V3831" t="str">
        <f t="shared" si="119"/>
        <v>Loyal</v>
      </c>
      <c r="W3831" t="s">
        <v>30</v>
      </c>
    </row>
    <row r="3832" spans="1:23" x14ac:dyDescent="0.25">
      <c r="A3832">
        <v>3831</v>
      </c>
      <c r="B3832">
        <v>22</v>
      </c>
      <c r="C3832" t="str" cm="1">
        <f t="array" ref="C3832">_xlfn.IFS(
  AND(B3832&gt;=18, B3832&lt;=24), "18-24",
  AND(B3832&gt;=25, B3832&lt;=34), "25-34",
  AND(B3832&gt;=35, B3832&lt;=44), "35-44",
  AND(B3832&gt;=45, B3832&lt;=54), "45-54",
  B3832&gt;=55, "55+"
)</f>
        <v>18-24</v>
      </c>
      <c r="D3832" t="s">
        <v>153</v>
      </c>
      <c r="E3832" t="s">
        <v>125</v>
      </c>
      <c r="F3832" t="s">
        <v>69</v>
      </c>
      <c r="G3832">
        <v>27</v>
      </c>
      <c r="H3832" t="s">
        <v>141</v>
      </c>
      <c r="I3832" t="s">
        <v>45</v>
      </c>
      <c r="J3832" t="s">
        <v>129</v>
      </c>
      <c r="K3832" t="s">
        <v>54</v>
      </c>
      <c r="L3832">
        <v>3</v>
      </c>
      <c r="M3832" t="s">
        <v>152</v>
      </c>
      <c r="N3832" t="s">
        <v>46</v>
      </c>
      <c r="O3832" t="s">
        <v>72</v>
      </c>
      <c r="P3832" t="s">
        <v>152</v>
      </c>
      <c r="Q3832" t="s">
        <v>152</v>
      </c>
      <c r="R3832">
        <v>33</v>
      </c>
      <c r="S3832" t="s">
        <v>34</v>
      </c>
      <c r="T3832" t="str">
        <f t="shared" si="118"/>
        <v>Quarterly</v>
      </c>
      <c r="U3832">
        <f>VLOOKUP(T3832,[1]tablescore!$B$3:$C$8, 2,FALSE)</f>
        <v>4</v>
      </c>
      <c r="V3832" t="str">
        <f t="shared" si="119"/>
        <v>Low Loyalty</v>
      </c>
      <c r="W3832" t="s">
        <v>97</v>
      </c>
    </row>
    <row r="3833" spans="1:23" x14ac:dyDescent="0.25">
      <c r="A3833">
        <v>3832</v>
      </c>
      <c r="B3833">
        <v>36</v>
      </c>
      <c r="C3833" t="str" cm="1">
        <f t="array" ref="C3833">_xlfn.IFS(
  AND(B3833&gt;=18, B3833&lt;=24), "18-24",
  AND(B3833&gt;=25, B3833&lt;=34), "25-34",
  AND(B3833&gt;=35, B3833&lt;=44), "35-44",
  AND(B3833&gt;=45, B3833&lt;=54), "45-54",
  B3833&gt;=55, "55+"
)</f>
        <v>35-44</v>
      </c>
      <c r="D3833" t="s">
        <v>153</v>
      </c>
      <c r="E3833" t="s">
        <v>133</v>
      </c>
      <c r="F3833" t="s">
        <v>69</v>
      </c>
      <c r="G3833">
        <v>86</v>
      </c>
      <c r="H3833" t="s">
        <v>107</v>
      </c>
      <c r="I3833" t="s">
        <v>23</v>
      </c>
      <c r="J3833" t="s">
        <v>67</v>
      </c>
      <c r="K3833" t="s">
        <v>39</v>
      </c>
      <c r="L3833">
        <v>4</v>
      </c>
      <c r="M3833" t="s">
        <v>152</v>
      </c>
      <c r="N3833" t="s">
        <v>29</v>
      </c>
      <c r="O3833" t="s">
        <v>47</v>
      </c>
      <c r="P3833" t="s">
        <v>152</v>
      </c>
      <c r="Q3833" t="s">
        <v>152</v>
      </c>
      <c r="R3833">
        <v>16</v>
      </c>
      <c r="S3833" t="s">
        <v>59</v>
      </c>
      <c r="T3833" t="str">
        <f t="shared" si="118"/>
        <v>Quarterly</v>
      </c>
      <c r="U3833">
        <f>VLOOKUP(T3833,[1]tablescore!$B$3:$C$8, 2,FALSE)</f>
        <v>4</v>
      </c>
      <c r="V3833" t="str">
        <f t="shared" si="119"/>
        <v>Low Loyalty</v>
      </c>
      <c r="W3833" t="s">
        <v>97</v>
      </c>
    </row>
    <row r="3834" spans="1:23" x14ac:dyDescent="0.25">
      <c r="A3834">
        <v>3833</v>
      </c>
      <c r="B3834">
        <v>64</v>
      </c>
      <c r="C3834" t="str" cm="1">
        <f t="array" ref="C3834">_xlfn.IFS(
  AND(B3834&gt;=18, B3834&lt;=24), "18-24",
  AND(B3834&gt;=25, B3834&lt;=34), "25-34",
  AND(B3834&gt;=35, B3834&lt;=44), "35-44",
  AND(B3834&gt;=45, B3834&lt;=54), "45-54",
  B3834&gt;=55, "55+"
)</f>
        <v>55+</v>
      </c>
      <c r="D3834" t="s">
        <v>153</v>
      </c>
      <c r="E3834" t="s">
        <v>132</v>
      </c>
      <c r="F3834" t="s">
        <v>43</v>
      </c>
      <c r="G3834">
        <v>38</v>
      </c>
      <c r="H3834" t="s">
        <v>111</v>
      </c>
      <c r="I3834" t="s">
        <v>92</v>
      </c>
      <c r="J3834" t="s">
        <v>75</v>
      </c>
      <c r="K3834" t="s">
        <v>25</v>
      </c>
      <c r="L3834">
        <v>4.8</v>
      </c>
      <c r="M3834" t="s">
        <v>152</v>
      </c>
      <c r="N3834" t="s">
        <v>46</v>
      </c>
      <c r="O3834" t="s">
        <v>72</v>
      </c>
      <c r="P3834" t="s">
        <v>152</v>
      </c>
      <c r="Q3834" t="s">
        <v>152</v>
      </c>
      <c r="R3834">
        <v>27</v>
      </c>
      <c r="S3834" t="s">
        <v>35</v>
      </c>
      <c r="T3834" t="str">
        <f t="shared" si="118"/>
        <v>Daily</v>
      </c>
      <c r="U3834">
        <f>VLOOKUP(T3834,[1]tablescore!$B$3:$C$8, 2,FALSE)</f>
        <v>30</v>
      </c>
      <c r="V3834" t="str">
        <f t="shared" si="119"/>
        <v>Highly Loyal</v>
      </c>
      <c r="W3834" t="s">
        <v>41</v>
      </c>
    </row>
    <row r="3835" spans="1:23" x14ac:dyDescent="0.25">
      <c r="A3835">
        <v>3834</v>
      </c>
      <c r="B3835">
        <v>44</v>
      </c>
      <c r="C3835" t="str" cm="1">
        <f t="array" ref="C3835">_xlfn.IFS(
  AND(B3835&gt;=18, B3835&lt;=24), "18-24",
  AND(B3835&gt;=25, B3835&lt;=34), "25-34",
  AND(B3835&gt;=35, B3835&lt;=44), "35-44",
  AND(B3835&gt;=45, B3835&lt;=54), "45-54",
  B3835&gt;=55, "55+"
)</f>
        <v>35-44</v>
      </c>
      <c r="D3835" t="s">
        <v>153</v>
      </c>
      <c r="E3835" t="s">
        <v>102</v>
      </c>
      <c r="F3835" t="s">
        <v>65</v>
      </c>
      <c r="G3835">
        <v>93</v>
      </c>
      <c r="H3835" t="s">
        <v>117</v>
      </c>
      <c r="I3835" t="s">
        <v>23</v>
      </c>
      <c r="J3835" t="s">
        <v>24</v>
      </c>
      <c r="K3835" t="s">
        <v>54</v>
      </c>
      <c r="L3835">
        <v>4.5999999999999996</v>
      </c>
      <c r="M3835" t="s">
        <v>152</v>
      </c>
      <c r="N3835" t="s">
        <v>35</v>
      </c>
      <c r="O3835" t="s">
        <v>40</v>
      </c>
      <c r="P3835" t="s">
        <v>152</v>
      </c>
      <c r="Q3835" t="s">
        <v>152</v>
      </c>
      <c r="R3835">
        <v>17</v>
      </c>
      <c r="S3835" t="s">
        <v>46</v>
      </c>
      <c r="T3835" t="str">
        <f t="shared" si="118"/>
        <v>Quarterly</v>
      </c>
      <c r="U3835">
        <f>VLOOKUP(T3835,[1]tablescore!$B$3:$C$8, 2,FALSE)</f>
        <v>4</v>
      </c>
      <c r="V3835" t="str">
        <f t="shared" si="119"/>
        <v>Low Loyalty</v>
      </c>
      <c r="W3835" t="s">
        <v>97</v>
      </c>
    </row>
    <row r="3836" spans="1:23" x14ac:dyDescent="0.25">
      <c r="A3836">
        <v>3835</v>
      </c>
      <c r="B3836">
        <v>43</v>
      </c>
      <c r="C3836" t="str" cm="1">
        <f t="array" ref="C3836">_xlfn.IFS(
  AND(B3836&gt;=18, B3836&lt;=24), "18-24",
  AND(B3836&gt;=25, B3836&lt;=34), "25-34",
  AND(B3836&gt;=35, B3836&lt;=44), "35-44",
  AND(B3836&gt;=45, B3836&lt;=54), "45-54",
  B3836&gt;=55, "55+"
)</f>
        <v>35-44</v>
      </c>
      <c r="D3836" t="s">
        <v>153</v>
      </c>
      <c r="E3836" t="s">
        <v>104</v>
      </c>
      <c r="F3836" t="s">
        <v>21</v>
      </c>
      <c r="G3836">
        <v>59</v>
      </c>
      <c r="H3836" t="s">
        <v>122</v>
      </c>
      <c r="I3836" t="s">
        <v>45</v>
      </c>
      <c r="J3836" t="s">
        <v>147</v>
      </c>
      <c r="K3836" t="s">
        <v>25</v>
      </c>
      <c r="L3836">
        <v>4.0999999999999996</v>
      </c>
      <c r="M3836" t="s">
        <v>152</v>
      </c>
      <c r="N3836" t="s">
        <v>59</v>
      </c>
      <c r="O3836" t="s">
        <v>72</v>
      </c>
      <c r="P3836" t="s">
        <v>152</v>
      </c>
      <c r="Q3836" t="s">
        <v>152</v>
      </c>
      <c r="R3836">
        <v>17</v>
      </c>
      <c r="S3836" t="s">
        <v>35</v>
      </c>
      <c r="T3836" t="str">
        <f t="shared" si="118"/>
        <v>Quarterly</v>
      </c>
      <c r="U3836">
        <f>VLOOKUP(T3836,[1]tablescore!$B$3:$C$8, 2,FALSE)</f>
        <v>4</v>
      </c>
      <c r="V3836" t="str">
        <f t="shared" si="119"/>
        <v>Low Loyalty</v>
      </c>
      <c r="W3836" t="s">
        <v>60</v>
      </c>
    </row>
    <row r="3837" spans="1:23" x14ac:dyDescent="0.25">
      <c r="A3837">
        <v>3836</v>
      </c>
      <c r="B3837">
        <v>58</v>
      </c>
      <c r="C3837" t="str" cm="1">
        <f t="array" ref="C3837">_xlfn.IFS(
  AND(B3837&gt;=18, B3837&lt;=24), "18-24",
  AND(B3837&gt;=25, B3837&lt;=34), "25-34",
  AND(B3837&gt;=35, B3837&lt;=44), "35-44",
  AND(B3837&gt;=45, B3837&lt;=54), "45-54",
  B3837&gt;=55, "55+"
)</f>
        <v>55+</v>
      </c>
      <c r="D3837" t="s">
        <v>153</v>
      </c>
      <c r="E3837" t="s">
        <v>42</v>
      </c>
      <c r="F3837" t="s">
        <v>43</v>
      </c>
      <c r="G3837">
        <v>58</v>
      </c>
      <c r="H3837" t="s">
        <v>141</v>
      </c>
      <c r="I3837" t="s">
        <v>23</v>
      </c>
      <c r="J3837" t="s">
        <v>67</v>
      </c>
      <c r="K3837" t="s">
        <v>25</v>
      </c>
      <c r="L3837">
        <v>2.6</v>
      </c>
      <c r="M3837" t="s">
        <v>152</v>
      </c>
      <c r="N3837" t="s">
        <v>27</v>
      </c>
      <c r="O3837" t="s">
        <v>28</v>
      </c>
      <c r="P3837" t="s">
        <v>152</v>
      </c>
      <c r="Q3837" t="s">
        <v>152</v>
      </c>
      <c r="R3837">
        <v>28</v>
      </c>
      <c r="S3837" t="s">
        <v>46</v>
      </c>
      <c r="T3837" t="str">
        <f t="shared" si="118"/>
        <v>2-week</v>
      </c>
      <c r="U3837">
        <f>VLOOKUP(T3837,[1]tablescore!$B$3:$C$8, 2,FALSE)</f>
        <v>26</v>
      </c>
      <c r="V3837" t="str">
        <f t="shared" si="119"/>
        <v>Loyal</v>
      </c>
      <c r="W3837" t="s">
        <v>77</v>
      </c>
    </row>
    <row r="3838" spans="1:23" x14ac:dyDescent="0.25">
      <c r="A3838">
        <v>3837</v>
      </c>
      <c r="B3838">
        <v>62</v>
      </c>
      <c r="C3838" t="str" cm="1">
        <f t="array" ref="C3838">_xlfn.IFS(
  AND(B3838&gt;=18, B3838&lt;=24), "18-24",
  AND(B3838&gt;=25, B3838&lt;=34), "25-34",
  AND(B3838&gt;=35, B3838&lt;=44), "35-44",
  AND(B3838&gt;=45, B3838&lt;=54), "45-54",
  B3838&gt;=55, "55+"
)</f>
        <v>55+</v>
      </c>
      <c r="D3838" t="s">
        <v>153</v>
      </c>
      <c r="E3838" t="s">
        <v>87</v>
      </c>
      <c r="F3838" t="s">
        <v>21</v>
      </c>
      <c r="G3838">
        <v>84</v>
      </c>
      <c r="H3838" t="s">
        <v>120</v>
      </c>
      <c r="I3838" t="s">
        <v>45</v>
      </c>
      <c r="J3838" t="s">
        <v>84</v>
      </c>
      <c r="K3838" t="s">
        <v>39</v>
      </c>
      <c r="L3838">
        <v>2.5</v>
      </c>
      <c r="M3838" t="s">
        <v>152</v>
      </c>
      <c r="N3838" t="s">
        <v>29</v>
      </c>
      <c r="O3838" t="s">
        <v>40</v>
      </c>
      <c r="P3838" t="s">
        <v>152</v>
      </c>
      <c r="Q3838" t="s">
        <v>152</v>
      </c>
      <c r="R3838">
        <v>38</v>
      </c>
      <c r="S3838" t="s">
        <v>46</v>
      </c>
      <c r="T3838" t="str">
        <f t="shared" si="118"/>
        <v>2-week</v>
      </c>
      <c r="U3838">
        <f>VLOOKUP(T3838,[1]tablescore!$B$3:$C$8, 2,FALSE)</f>
        <v>26</v>
      </c>
      <c r="V3838" t="str">
        <f t="shared" si="119"/>
        <v>Loyal</v>
      </c>
      <c r="W3838" t="s">
        <v>30</v>
      </c>
    </row>
    <row r="3839" spans="1:23" x14ac:dyDescent="0.25">
      <c r="A3839">
        <v>3838</v>
      </c>
      <c r="B3839">
        <v>45</v>
      </c>
      <c r="C3839" t="str" cm="1">
        <f t="array" ref="C3839">_xlfn.IFS(
  AND(B3839&gt;=18, B3839&lt;=24), "18-24",
  AND(B3839&gt;=25, B3839&lt;=34), "25-34",
  AND(B3839&gt;=35, B3839&lt;=44), "35-44",
  AND(B3839&gt;=45, B3839&lt;=54), "45-54",
  B3839&gt;=55, "55+"
)</f>
        <v>45-54</v>
      </c>
      <c r="D3839" t="s">
        <v>153</v>
      </c>
      <c r="E3839" t="s">
        <v>104</v>
      </c>
      <c r="F3839" t="s">
        <v>21</v>
      </c>
      <c r="G3839">
        <v>100</v>
      </c>
      <c r="H3839" t="s">
        <v>123</v>
      </c>
      <c r="I3839" t="s">
        <v>45</v>
      </c>
      <c r="J3839" t="s">
        <v>96</v>
      </c>
      <c r="K3839" t="s">
        <v>39</v>
      </c>
      <c r="L3839">
        <v>4.8</v>
      </c>
      <c r="M3839" t="s">
        <v>152</v>
      </c>
      <c r="N3839" t="s">
        <v>59</v>
      </c>
      <c r="O3839" t="s">
        <v>40</v>
      </c>
      <c r="P3839" t="s">
        <v>152</v>
      </c>
      <c r="Q3839" t="s">
        <v>152</v>
      </c>
      <c r="R3839">
        <v>33</v>
      </c>
      <c r="S3839" t="s">
        <v>34</v>
      </c>
      <c r="T3839" t="str">
        <f t="shared" si="118"/>
        <v>2-week</v>
      </c>
      <c r="U3839">
        <f>VLOOKUP(T3839,[1]tablescore!$B$3:$C$8, 2,FALSE)</f>
        <v>26</v>
      </c>
      <c r="V3839" t="str">
        <f t="shared" si="119"/>
        <v>Loyal</v>
      </c>
      <c r="W3839" t="s">
        <v>30</v>
      </c>
    </row>
    <row r="3840" spans="1:23" x14ac:dyDescent="0.25">
      <c r="A3840">
        <v>3839</v>
      </c>
      <c r="B3840">
        <v>47</v>
      </c>
      <c r="C3840" t="str" cm="1">
        <f t="array" ref="C3840">_xlfn.IFS(
  AND(B3840&gt;=18, B3840&lt;=24), "18-24",
  AND(B3840&gt;=25, B3840&lt;=34), "25-34",
  AND(B3840&gt;=35, B3840&lt;=44), "35-44",
  AND(B3840&gt;=45, B3840&lt;=54), "45-54",
  B3840&gt;=55, "55+"
)</f>
        <v>45-54</v>
      </c>
      <c r="D3840" t="s">
        <v>153</v>
      </c>
      <c r="E3840" t="s">
        <v>82</v>
      </c>
      <c r="F3840" t="s">
        <v>21</v>
      </c>
      <c r="G3840">
        <v>25</v>
      </c>
      <c r="H3840" t="s">
        <v>44</v>
      </c>
      <c r="I3840" t="s">
        <v>23</v>
      </c>
      <c r="J3840" t="s">
        <v>96</v>
      </c>
      <c r="K3840" t="s">
        <v>54</v>
      </c>
      <c r="L3840">
        <v>4.2</v>
      </c>
      <c r="M3840" t="s">
        <v>152</v>
      </c>
      <c r="N3840" t="s">
        <v>34</v>
      </c>
      <c r="O3840" t="s">
        <v>28</v>
      </c>
      <c r="P3840" t="s">
        <v>152</v>
      </c>
      <c r="Q3840" t="s">
        <v>152</v>
      </c>
      <c r="R3840">
        <v>24</v>
      </c>
      <c r="S3840" t="s">
        <v>29</v>
      </c>
      <c r="T3840" t="str">
        <f t="shared" si="118"/>
        <v>Quarterly</v>
      </c>
      <c r="U3840">
        <f>VLOOKUP(T3840,[1]tablescore!$B$3:$C$8, 2,FALSE)</f>
        <v>4</v>
      </c>
      <c r="V3840" t="str">
        <f t="shared" si="119"/>
        <v>Low Loyalty</v>
      </c>
      <c r="W3840" t="s">
        <v>97</v>
      </c>
    </row>
    <row r="3841" spans="1:23" x14ac:dyDescent="0.25">
      <c r="A3841">
        <v>3840</v>
      </c>
      <c r="B3841">
        <v>66</v>
      </c>
      <c r="C3841" t="str" cm="1">
        <f t="array" ref="C3841">_xlfn.IFS(
  AND(B3841&gt;=18, B3841&lt;=24), "18-24",
  AND(B3841&gt;=25, B3841&lt;=34), "25-34",
  AND(B3841&gt;=35, B3841&lt;=44), "35-44",
  AND(B3841&gt;=45, B3841&lt;=54), "45-54",
  B3841&gt;=55, "55+"
)</f>
        <v>55+</v>
      </c>
      <c r="D3841" t="s">
        <v>153</v>
      </c>
      <c r="E3841" t="s">
        <v>42</v>
      </c>
      <c r="F3841" t="s">
        <v>43</v>
      </c>
      <c r="G3841">
        <v>29</v>
      </c>
      <c r="H3841" t="s">
        <v>146</v>
      </c>
      <c r="I3841" t="s">
        <v>45</v>
      </c>
      <c r="J3841" t="s">
        <v>100</v>
      </c>
      <c r="K3841" t="s">
        <v>39</v>
      </c>
      <c r="L3841">
        <v>3.9</v>
      </c>
      <c r="M3841" t="s">
        <v>152</v>
      </c>
      <c r="N3841" t="s">
        <v>46</v>
      </c>
      <c r="O3841" t="s">
        <v>40</v>
      </c>
      <c r="P3841" t="s">
        <v>152</v>
      </c>
      <c r="Q3841" t="s">
        <v>152</v>
      </c>
      <c r="R3841">
        <v>14</v>
      </c>
      <c r="S3841" t="s">
        <v>29</v>
      </c>
      <c r="T3841" t="str">
        <f t="shared" si="118"/>
        <v>Quarterly</v>
      </c>
      <c r="U3841">
        <f>VLOOKUP(T3841,[1]tablescore!$B$3:$C$8, 2,FALSE)</f>
        <v>4</v>
      </c>
      <c r="V3841" t="str">
        <f t="shared" si="119"/>
        <v>Low Loyalty</v>
      </c>
      <c r="W3841" t="s">
        <v>60</v>
      </c>
    </row>
    <row r="3842" spans="1:23" x14ac:dyDescent="0.25">
      <c r="A3842">
        <v>3841</v>
      </c>
      <c r="B3842">
        <v>30</v>
      </c>
      <c r="C3842" t="str" cm="1">
        <f t="array" ref="C3842">_xlfn.IFS(
  AND(B3842&gt;=18, B3842&lt;=24), "18-24",
  AND(B3842&gt;=25, B3842&lt;=34), "25-34",
  AND(B3842&gt;=35, B3842&lt;=44), "35-44",
  AND(B3842&gt;=45, B3842&lt;=54), "45-54",
  B3842&gt;=55, "55+"
)</f>
        <v>25-34</v>
      </c>
      <c r="D3842" t="s">
        <v>153</v>
      </c>
      <c r="E3842" t="s">
        <v>36</v>
      </c>
      <c r="F3842" t="s">
        <v>21</v>
      </c>
      <c r="G3842">
        <v>42</v>
      </c>
      <c r="H3842" t="s">
        <v>144</v>
      </c>
      <c r="I3842" t="s">
        <v>45</v>
      </c>
      <c r="J3842" t="s">
        <v>49</v>
      </c>
      <c r="K3842" t="s">
        <v>39</v>
      </c>
      <c r="L3842">
        <v>3.7</v>
      </c>
      <c r="M3842" t="s">
        <v>152</v>
      </c>
      <c r="N3842" t="s">
        <v>59</v>
      </c>
      <c r="O3842" t="s">
        <v>28</v>
      </c>
      <c r="P3842" t="s">
        <v>152</v>
      </c>
      <c r="Q3842" t="s">
        <v>152</v>
      </c>
      <c r="R3842">
        <v>5</v>
      </c>
      <c r="S3842" t="s">
        <v>29</v>
      </c>
      <c r="T3842" t="str">
        <f t="shared" si="118"/>
        <v>2-week</v>
      </c>
      <c r="U3842">
        <f>VLOOKUP(T3842,[1]tablescore!$B$3:$C$8, 2,FALSE)</f>
        <v>26</v>
      </c>
      <c r="V3842" t="str">
        <f t="shared" si="119"/>
        <v>Loyal</v>
      </c>
      <c r="W3842" t="s">
        <v>30</v>
      </c>
    </row>
    <row r="3843" spans="1:23" x14ac:dyDescent="0.25">
      <c r="A3843">
        <v>3842</v>
      </c>
      <c r="B3843">
        <v>68</v>
      </c>
      <c r="C3843" t="str" cm="1">
        <f t="array" ref="C3843">_xlfn.IFS(
  AND(B3843&gt;=18, B3843&lt;=24), "18-24",
  AND(B3843&gt;=25, B3843&lt;=34), "25-34",
  AND(B3843&gt;=35, B3843&lt;=44), "35-44",
  AND(B3843&gt;=45, B3843&lt;=54), "45-54",
  B3843&gt;=55, "55+"
)</f>
        <v>55+</v>
      </c>
      <c r="D3843" t="s">
        <v>153</v>
      </c>
      <c r="E3843" t="s">
        <v>36</v>
      </c>
      <c r="F3843" t="s">
        <v>21</v>
      </c>
      <c r="G3843">
        <v>57</v>
      </c>
      <c r="H3843" t="s">
        <v>91</v>
      </c>
      <c r="I3843" t="s">
        <v>23</v>
      </c>
      <c r="J3843" t="s">
        <v>71</v>
      </c>
      <c r="K3843" t="s">
        <v>58</v>
      </c>
      <c r="L3843">
        <v>4.2</v>
      </c>
      <c r="M3843" t="s">
        <v>152</v>
      </c>
      <c r="N3843" t="s">
        <v>35</v>
      </c>
      <c r="O3843" t="s">
        <v>72</v>
      </c>
      <c r="P3843" t="s">
        <v>152</v>
      </c>
      <c r="Q3843" t="s">
        <v>152</v>
      </c>
      <c r="R3843">
        <v>8</v>
      </c>
      <c r="S3843" t="s">
        <v>34</v>
      </c>
      <c r="T3843" t="str">
        <f t="shared" ref="T3843:T3901" si="120">IF(TRIM(W3843)="Every 3 months","Quarterly",IF(TRIM(W3843)="Fortnightly","2-week",IF(TRIM(W3843)="Bi-Weekly","2-week",IF(TRIM(W3843)="Weekly","Daily",IF(TRIM(W3843)="Monthly","Month",TRIM(W3843))))))</f>
        <v>Month</v>
      </c>
      <c r="U3843">
        <f>VLOOKUP(T3843,[1]tablescore!$B$3:$C$8, 2,FALSE)</f>
        <v>12</v>
      </c>
      <c r="V3843" t="str">
        <f t="shared" ref="V3843:V3901" si="121">_xlfn.IFS(U3843&gt;=30, "Highly Loyal", U3843&gt;=26, "Loyal", U3843&gt;=12, "Moderate", U3843&lt;5, "Low Loyalty")</f>
        <v>Moderate</v>
      </c>
      <c r="W3843" t="s">
        <v>88</v>
      </c>
    </row>
    <row r="3844" spans="1:23" x14ac:dyDescent="0.25">
      <c r="A3844">
        <v>3843</v>
      </c>
      <c r="B3844">
        <v>35</v>
      </c>
      <c r="C3844" t="str" cm="1">
        <f t="array" ref="C3844">_xlfn.IFS(
  AND(B3844&gt;=18, B3844&lt;=24), "18-24",
  AND(B3844&gt;=25, B3844&lt;=34), "25-34",
  AND(B3844&gt;=35, B3844&lt;=44), "35-44",
  AND(B3844&gt;=45, B3844&lt;=54), "45-54",
  B3844&gt;=55, "55+"
)</f>
        <v>35-44</v>
      </c>
      <c r="D3844" t="s">
        <v>153</v>
      </c>
      <c r="E3844" t="s">
        <v>102</v>
      </c>
      <c r="F3844" t="s">
        <v>65</v>
      </c>
      <c r="G3844">
        <v>84</v>
      </c>
      <c r="H3844" t="s">
        <v>112</v>
      </c>
      <c r="I3844" t="s">
        <v>23</v>
      </c>
      <c r="J3844" t="s">
        <v>93</v>
      </c>
      <c r="K3844" t="s">
        <v>25</v>
      </c>
      <c r="L3844">
        <v>4.2</v>
      </c>
      <c r="M3844" t="s">
        <v>152</v>
      </c>
      <c r="N3844" t="s">
        <v>35</v>
      </c>
      <c r="O3844" t="s">
        <v>47</v>
      </c>
      <c r="P3844" t="s">
        <v>152</v>
      </c>
      <c r="Q3844" t="s">
        <v>152</v>
      </c>
      <c r="R3844">
        <v>42</v>
      </c>
      <c r="S3844" t="s">
        <v>59</v>
      </c>
      <c r="T3844" t="str">
        <f t="shared" si="120"/>
        <v>Month</v>
      </c>
      <c r="U3844">
        <f>VLOOKUP(T3844,[1]tablescore!$B$3:$C$8, 2,FALSE)</f>
        <v>12</v>
      </c>
      <c r="V3844" t="str">
        <f t="shared" si="121"/>
        <v>Moderate</v>
      </c>
      <c r="W3844" t="s">
        <v>88</v>
      </c>
    </row>
    <row r="3845" spans="1:23" x14ac:dyDescent="0.25">
      <c r="A3845">
        <v>3844</v>
      </c>
      <c r="B3845">
        <v>64</v>
      </c>
      <c r="C3845" t="str" cm="1">
        <f t="array" ref="C3845">_xlfn.IFS(
  AND(B3845&gt;=18, B3845&lt;=24), "18-24",
  AND(B3845&gt;=25, B3845&lt;=34), "25-34",
  AND(B3845&gt;=35, B3845&lt;=44), "35-44",
  AND(B3845&gt;=45, B3845&lt;=54), "45-54",
  B3845&gt;=55, "55+"
)</f>
        <v>55+</v>
      </c>
      <c r="D3845" t="s">
        <v>153</v>
      </c>
      <c r="E3845" t="s">
        <v>125</v>
      </c>
      <c r="F3845" t="s">
        <v>69</v>
      </c>
      <c r="G3845">
        <v>71</v>
      </c>
      <c r="H3845" t="s">
        <v>142</v>
      </c>
      <c r="I3845" t="s">
        <v>23</v>
      </c>
      <c r="J3845" t="s">
        <v>67</v>
      </c>
      <c r="K3845" t="s">
        <v>25</v>
      </c>
      <c r="L3845">
        <v>4</v>
      </c>
      <c r="M3845" t="s">
        <v>152</v>
      </c>
      <c r="N3845" t="s">
        <v>29</v>
      </c>
      <c r="O3845" t="s">
        <v>40</v>
      </c>
      <c r="P3845" t="s">
        <v>152</v>
      </c>
      <c r="Q3845" t="s">
        <v>152</v>
      </c>
      <c r="R3845">
        <v>48</v>
      </c>
      <c r="S3845" t="s">
        <v>29</v>
      </c>
      <c r="T3845" t="str">
        <f t="shared" si="120"/>
        <v>Quarterly</v>
      </c>
      <c r="U3845">
        <f>VLOOKUP(T3845,[1]tablescore!$B$3:$C$8, 2,FALSE)</f>
        <v>4</v>
      </c>
      <c r="V3845" t="str">
        <f t="shared" si="121"/>
        <v>Low Loyalty</v>
      </c>
      <c r="W3845" t="s">
        <v>97</v>
      </c>
    </row>
    <row r="3846" spans="1:23" x14ac:dyDescent="0.25">
      <c r="A3846">
        <v>3845</v>
      </c>
      <c r="B3846">
        <v>30</v>
      </c>
      <c r="C3846" t="str" cm="1">
        <f t="array" ref="C3846">_xlfn.IFS(
  AND(B3846&gt;=18, B3846&lt;=24), "18-24",
  AND(B3846&gt;=25, B3846&lt;=34), "25-34",
  AND(B3846&gt;=35, B3846&lt;=44), "35-44",
  AND(B3846&gt;=45, B3846&lt;=54), "45-54",
  B3846&gt;=55, "55+"
)</f>
        <v>25-34</v>
      </c>
      <c r="D3846" t="s">
        <v>153</v>
      </c>
      <c r="E3846" t="s">
        <v>61</v>
      </c>
      <c r="F3846" t="s">
        <v>21</v>
      </c>
      <c r="G3846">
        <v>87</v>
      </c>
      <c r="H3846" t="s">
        <v>57</v>
      </c>
      <c r="I3846" t="s">
        <v>38</v>
      </c>
      <c r="J3846" t="s">
        <v>109</v>
      </c>
      <c r="K3846" t="s">
        <v>58</v>
      </c>
      <c r="L3846">
        <v>5</v>
      </c>
      <c r="M3846" t="s">
        <v>152</v>
      </c>
      <c r="N3846" t="s">
        <v>27</v>
      </c>
      <c r="O3846" t="s">
        <v>47</v>
      </c>
      <c r="P3846" t="s">
        <v>152</v>
      </c>
      <c r="Q3846" t="s">
        <v>152</v>
      </c>
      <c r="R3846">
        <v>40</v>
      </c>
      <c r="S3846" t="s">
        <v>29</v>
      </c>
      <c r="T3846" t="str">
        <f t="shared" si="120"/>
        <v>Quarterly</v>
      </c>
      <c r="U3846">
        <f>VLOOKUP(T3846,[1]tablescore!$B$3:$C$8, 2,FALSE)</f>
        <v>4</v>
      </c>
      <c r="V3846" t="str">
        <f t="shared" si="121"/>
        <v>Low Loyalty</v>
      </c>
      <c r="W3846" t="s">
        <v>60</v>
      </c>
    </row>
    <row r="3847" spans="1:23" x14ac:dyDescent="0.25">
      <c r="A3847">
        <v>3846</v>
      </c>
      <c r="B3847">
        <v>58</v>
      </c>
      <c r="C3847" t="str" cm="1">
        <f t="array" ref="C3847">_xlfn.IFS(
  AND(B3847&gt;=18, B3847&lt;=24), "18-24",
  AND(B3847&gt;=25, B3847&lt;=34), "25-34",
  AND(B3847&gt;=35, B3847&lt;=44), "35-44",
  AND(B3847&gt;=45, B3847&lt;=54), "45-54",
  B3847&gt;=55, "55+"
)</f>
        <v>55+</v>
      </c>
      <c r="D3847" t="s">
        <v>153</v>
      </c>
      <c r="E3847" t="s">
        <v>31</v>
      </c>
      <c r="F3847" t="s">
        <v>21</v>
      </c>
      <c r="G3847">
        <v>52</v>
      </c>
      <c r="H3847" t="s">
        <v>99</v>
      </c>
      <c r="I3847" t="s">
        <v>45</v>
      </c>
      <c r="J3847" t="s">
        <v>96</v>
      </c>
      <c r="K3847" t="s">
        <v>25</v>
      </c>
      <c r="L3847">
        <v>4.9000000000000004</v>
      </c>
      <c r="M3847" t="s">
        <v>152</v>
      </c>
      <c r="N3847" t="s">
        <v>29</v>
      </c>
      <c r="O3847" t="s">
        <v>55</v>
      </c>
      <c r="P3847" t="s">
        <v>152</v>
      </c>
      <c r="Q3847" t="s">
        <v>152</v>
      </c>
      <c r="R3847">
        <v>46</v>
      </c>
      <c r="S3847" t="s">
        <v>29</v>
      </c>
      <c r="T3847" t="str">
        <f t="shared" si="120"/>
        <v>Annually</v>
      </c>
      <c r="U3847">
        <f>VLOOKUP(T3847,[1]tablescore!$B$3:$C$8, 2,FALSE)</f>
        <v>1</v>
      </c>
      <c r="V3847" t="str">
        <f t="shared" si="121"/>
        <v>Low Loyalty</v>
      </c>
      <c r="W3847" t="s">
        <v>50</v>
      </c>
    </row>
    <row r="3848" spans="1:23" x14ac:dyDescent="0.25">
      <c r="A3848">
        <v>3847</v>
      </c>
      <c r="B3848">
        <v>57</v>
      </c>
      <c r="C3848" t="str" cm="1">
        <f t="array" ref="C3848">_xlfn.IFS(
  AND(B3848&gt;=18, B3848&lt;=24), "18-24",
  AND(B3848&gt;=25, B3848&lt;=34), "25-34",
  AND(B3848&gt;=35, B3848&lt;=44), "35-44",
  AND(B3848&gt;=45, B3848&lt;=54), "45-54",
  B3848&gt;=55, "55+"
)</f>
        <v>55+</v>
      </c>
      <c r="D3848" t="s">
        <v>153</v>
      </c>
      <c r="E3848" t="s">
        <v>20</v>
      </c>
      <c r="F3848" t="s">
        <v>21</v>
      </c>
      <c r="G3848">
        <v>58</v>
      </c>
      <c r="H3848" t="s">
        <v>141</v>
      </c>
      <c r="I3848" t="s">
        <v>23</v>
      </c>
      <c r="J3848" t="s">
        <v>121</v>
      </c>
      <c r="K3848" t="s">
        <v>54</v>
      </c>
      <c r="L3848">
        <v>4</v>
      </c>
      <c r="M3848" t="s">
        <v>152</v>
      </c>
      <c r="N3848" t="s">
        <v>27</v>
      </c>
      <c r="O3848" t="s">
        <v>28</v>
      </c>
      <c r="P3848" t="s">
        <v>152</v>
      </c>
      <c r="Q3848" t="s">
        <v>152</v>
      </c>
      <c r="R3848">
        <v>40</v>
      </c>
      <c r="S3848" t="s">
        <v>46</v>
      </c>
      <c r="T3848" t="str">
        <f t="shared" si="120"/>
        <v>Quarterly</v>
      </c>
      <c r="U3848">
        <f>VLOOKUP(T3848,[1]tablescore!$B$3:$C$8, 2,FALSE)</f>
        <v>4</v>
      </c>
      <c r="V3848" t="str">
        <f t="shared" si="121"/>
        <v>Low Loyalty</v>
      </c>
      <c r="W3848" t="s">
        <v>97</v>
      </c>
    </row>
    <row r="3849" spans="1:23" x14ac:dyDescent="0.25">
      <c r="A3849">
        <v>3848</v>
      </c>
      <c r="B3849">
        <v>60</v>
      </c>
      <c r="C3849" t="str" cm="1">
        <f t="array" ref="C3849">_xlfn.IFS(
  AND(B3849&gt;=18, B3849&lt;=24), "18-24",
  AND(B3849&gt;=25, B3849&lt;=34), "25-34",
  AND(B3849&gt;=35, B3849&lt;=44), "35-44",
  AND(B3849&gt;=45, B3849&lt;=54), "45-54",
  B3849&gt;=55, "55+"
)</f>
        <v>55+</v>
      </c>
      <c r="D3849" t="s">
        <v>153</v>
      </c>
      <c r="E3849" t="s">
        <v>31</v>
      </c>
      <c r="F3849" t="s">
        <v>21</v>
      </c>
      <c r="G3849">
        <v>34</v>
      </c>
      <c r="H3849" t="s">
        <v>80</v>
      </c>
      <c r="I3849" t="s">
        <v>38</v>
      </c>
      <c r="J3849" t="s">
        <v>138</v>
      </c>
      <c r="K3849" t="s">
        <v>58</v>
      </c>
      <c r="L3849">
        <v>3.2</v>
      </c>
      <c r="M3849" t="s">
        <v>152</v>
      </c>
      <c r="N3849" t="s">
        <v>27</v>
      </c>
      <c r="O3849" t="s">
        <v>72</v>
      </c>
      <c r="P3849" t="s">
        <v>152</v>
      </c>
      <c r="Q3849" t="s">
        <v>152</v>
      </c>
      <c r="R3849">
        <v>31</v>
      </c>
      <c r="S3849" t="s">
        <v>46</v>
      </c>
      <c r="T3849" t="str">
        <f t="shared" si="120"/>
        <v>2-week</v>
      </c>
      <c r="U3849">
        <f>VLOOKUP(T3849,[1]tablescore!$B$3:$C$8, 2,FALSE)</f>
        <v>26</v>
      </c>
      <c r="V3849" t="str">
        <f t="shared" si="121"/>
        <v>Loyal</v>
      </c>
      <c r="W3849" t="s">
        <v>30</v>
      </c>
    </row>
    <row r="3850" spans="1:23" x14ac:dyDescent="0.25">
      <c r="A3850">
        <v>3849</v>
      </c>
      <c r="B3850">
        <v>22</v>
      </c>
      <c r="C3850" t="str" cm="1">
        <f t="array" ref="C3850">_xlfn.IFS(
  AND(B3850&gt;=18, B3850&lt;=24), "18-24",
  AND(B3850&gt;=25, B3850&lt;=34), "25-34",
  AND(B3850&gt;=35, B3850&lt;=44), "35-44",
  AND(B3850&gt;=45, B3850&lt;=54), "45-54",
  B3850&gt;=55, "55+"
)</f>
        <v>18-24</v>
      </c>
      <c r="D3850" t="s">
        <v>153</v>
      </c>
      <c r="E3850" t="s">
        <v>106</v>
      </c>
      <c r="F3850" t="s">
        <v>69</v>
      </c>
      <c r="G3850">
        <v>60</v>
      </c>
      <c r="H3850" t="s">
        <v>83</v>
      </c>
      <c r="I3850" t="s">
        <v>45</v>
      </c>
      <c r="J3850" t="s">
        <v>147</v>
      </c>
      <c r="K3850" t="s">
        <v>25</v>
      </c>
      <c r="L3850">
        <v>3</v>
      </c>
      <c r="M3850" t="s">
        <v>152</v>
      </c>
      <c r="N3850" t="s">
        <v>34</v>
      </c>
      <c r="O3850" t="s">
        <v>47</v>
      </c>
      <c r="P3850" t="s">
        <v>152</v>
      </c>
      <c r="Q3850" t="s">
        <v>152</v>
      </c>
      <c r="R3850">
        <v>39</v>
      </c>
      <c r="S3850" t="s">
        <v>35</v>
      </c>
      <c r="T3850" t="str">
        <f t="shared" si="120"/>
        <v>Quarterly</v>
      </c>
      <c r="U3850">
        <f>VLOOKUP(T3850,[1]tablescore!$B$3:$C$8, 2,FALSE)</f>
        <v>4</v>
      </c>
      <c r="V3850" t="str">
        <f t="shared" si="121"/>
        <v>Low Loyalty</v>
      </c>
      <c r="W3850" t="s">
        <v>97</v>
      </c>
    </row>
    <row r="3851" spans="1:23" x14ac:dyDescent="0.25">
      <c r="A3851">
        <v>3850</v>
      </c>
      <c r="B3851">
        <v>46</v>
      </c>
      <c r="C3851" t="str" cm="1">
        <f t="array" ref="C3851">_xlfn.IFS(
  AND(B3851&gt;=18, B3851&lt;=24), "18-24",
  AND(B3851&gt;=25, B3851&lt;=34), "25-34",
  AND(B3851&gt;=35, B3851&lt;=44), "35-44",
  AND(B3851&gt;=45, B3851&lt;=54), "45-54",
  B3851&gt;=55, "55+"
)</f>
        <v>45-54</v>
      </c>
      <c r="D3851" t="s">
        <v>153</v>
      </c>
      <c r="E3851" t="s">
        <v>104</v>
      </c>
      <c r="F3851" t="s">
        <v>21</v>
      </c>
      <c r="G3851">
        <v>68</v>
      </c>
      <c r="H3851" t="s">
        <v>103</v>
      </c>
      <c r="I3851" t="s">
        <v>38</v>
      </c>
      <c r="J3851" t="s">
        <v>109</v>
      </c>
      <c r="K3851" t="s">
        <v>25</v>
      </c>
      <c r="L3851">
        <v>2.6</v>
      </c>
      <c r="M3851" t="s">
        <v>152</v>
      </c>
      <c r="N3851" t="s">
        <v>29</v>
      </c>
      <c r="O3851" t="s">
        <v>28</v>
      </c>
      <c r="P3851" t="s">
        <v>152</v>
      </c>
      <c r="Q3851" t="s">
        <v>152</v>
      </c>
      <c r="R3851">
        <v>36</v>
      </c>
      <c r="S3851" t="s">
        <v>46</v>
      </c>
      <c r="T3851" t="str">
        <f t="shared" si="120"/>
        <v>2-week</v>
      </c>
      <c r="U3851">
        <f>VLOOKUP(T3851,[1]tablescore!$B$3:$C$8, 2,FALSE)</f>
        <v>26</v>
      </c>
      <c r="V3851" t="str">
        <f t="shared" si="121"/>
        <v>Loyal</v>
      </c>
      <c r="W3851" t="s">
        <v>30</v>
      </c>
    </row>
    <row r="3852" spans="1:23" x14ac:dyDescent="0.25">
      <c r="A3852">
        <v>3851</v>
      </c>
      <c r="B3852">
        <v>27</v>
      </c>
      <c r="C3852" t="str" cm="1">
        <f t="array" ref="C3852">_xlfn.IFS(
  AND(B3852&gt;=18, B3852&lt;=24), "18-24",
  AND(B3852&gt;=25, B3852&lt;=34), "25-34",
  AND(B3852&gt;=35, B3852&lt;=44), "35-44",
  AND(B3852&gt;=45, B3852&lt;=54), "45-54",
  B3852&gt;=55, "55+"
)</f>
        <v>25-34</v>
      </c>
      <c r="D3852" t="s">
        <v>153</v>
      </c>
      <c r="E3852" t="s">
        <v>106</v>
      </c>
      <c r="F3852" t="s">
        <v>69</v>
      </c>
      <c r="G3852">
        <v>74</v>
      </c>
      <c r="H3852" t="s">
        <v>91</v>
      </c>
      <c r="I3852" t="s">
        <v>23</v>
      </c>
      <c r="J3852" t="s">
        <v>129</v>
      </c>
      <c r="K3852" t="s">
        <v>54</v>
      </c>
      <c r="L3852">
        <v>4.4000000000000004</v>
      </c>
      <c r="M3852" t="s">
        <v>152</v>
      </c>
      <c r="N3852" t="s">
        <v>27</v>
      </c>
      <c r="O3852" t="s">
        <v>72</v>
      </c>
      <c r="P3852" t="s">
        <v>152</v>
      </c>
      <c r="Q3852" t="s">
        <v>152</v>
      </c>
      <c r="R3852">
        <v>25</v>
      </c>
      <c r="S3852" t="s">
        <v>59</v>
      </c>
      <c r="T3852" t="str">
        <f t="shared" si="120"/>
        <v>Quarterly</v>
      </c>
      <c r="U3852">
        <f>VLOOKUP(T3852,[1]tablescore!$B$3:$C$8, 2,FALSE)</f>
        <v>4</v>
      </c>
      <c r="V3852" t="str">
        <f t="shared" si="121"/>
        <v>Low Loyalty</v>
      </c>
      <c r="W3852" t="s">
        <v>97</v>
      </c>
    </row>
    <row r="3853" spans="1:23" x14ac:dyDescent="0.25">
      <c r="A3853">
        <v>3852</v>
      </c>
      <c r="B3853">
        <v>50</v>
      </c>
      <c r="C3853" t="str" cm="1">
        <f t="array" ref="C3853">_xlfn.IFS(
  AND(B3853&gt;=18, B3853&lt;=24), "18-24",
  AND(B3853&gt;=25, B3853&lt;=34), "25-34",
  AND(B3853&gt;=35, B3853&lt;=44), "35-44",
  AND(B3853&gt;=45, B3853&lt;=54), "45-54",
  B3853&gt;=55, "55+"
)</f>
        <v>45-54</v>
      </c>
      <c r="D3853" t="s">
        <v>153</v>
      </c>
      <c r="E3853" t="s">
        <v>119</v>
      </c>
      <c r="F3853" t="s">
        <v>69</v>
      </c>
      <c r="G3853">
        <v>83</v>
      </c>
      <c r="H3853" t="s">
        <v>57</v>
      </c>
      <c r="I3853" t="s">
        <v>45</v>
      </c>
      <c r="J3853" t="s">
        <v>71</v>
      </c>
      <c r="K3853" t="s">
        <v>54</v>
      </c>
      <c r="L3853">
        <v>3.9</v>
      </c>
      <c r="M3853" t="s">
        <v>152</v>
      </c>
      <c r="N3853" t="s">
        <v>27</v>
      </c>
      <c r="O3853" t="s">
        <v>40</v>
      </c>
      <c r="P3853" t="s">
        <v>152</v>
      </c>
      <c r="Q3853" t="s">
        <v>152</v>
      </c>
      <c r="R3853">
        <v>24</v>
      </c>
      <c r="S3853" t="s">
        <v>59</v>
      </c>
      <c r="T3853" t="str">
        <f t="shared" si="120"/>
        <v>Annually</v>
      </c>
      <c r="U3853">
        <f>VLOOKUP(T3853,[1]tablescore!$B$3:$C$8, 2,FALSE)</f>
        <v>1</v>
      </c>
      <c r="V3853" t="str">
        <f t="shared" si="121"/>
        <v>Low Loyalty</v>
      </c>
      <c r="W3853" t="s">
        <v>50</v>
      </c>
    </row>
    <row r="3854" spans="1:23" x14ac:dyDescent="0.25">
      <c r="A3854">
        <v>3853</v>
      </c>
      <c r="B3854">
        <v>65</v>
      </c>
      <c r="C3854" t="str" cm="1">
        <f t="array" ref="C3854">_xlfn.IFS(
  AND(B3854&gt;=18, B3854&lt;=24), "18-24",
  AND(B3854&gt;=25, B3854&lt;=34), "25-34",
  AND(B3854&gt;=35, B3854&lt;=44), "35-44",
  AND(B3854&gt;=45, B3854&lt;=54), "45-54",
  B3854&gt;=55, "55+"
)</f>
        <v>55+</v>
      </c>
      <c r="D3854" t="s">
        <v>153</v>
      </c>
      <c r="E3854" t="s">
        <v>125</v>
      </c>
      <c r="F3854" t="s">
        <v>69</v>
      </c>
      <c r="G3854">
        <v>79</v>
      </c>
      <c r="H3854" t="s">
        <v>91</v>
      </c>
      <c r="I3854" t="s">
        <v>45</v>
      </c>
      <c r="J3854" t="s">
        <v>100</v>
      </c>
      <c r="K3854" t="s">
        <v>58</v>
      </c>
      <c r="L3854">
        <v>4</v>
      </c>
      <c r="M3854" t="s">
        <v>152</v>
      </c>
      <c r="N3854" t="s">
        <v>27</v>
      </c>
      <c r="O3854" t="s">
        <v>72</v>
      </c>
      <c r="P3854" t="s">
        <v>152</v>
      </c>
      <c r="Q3854" t="s">
        <v>152</v>
      </c>
      <c r="R3854">
        <v>19</v>
      </c>
      <c r="S3854" t="s">
        <v>46</v>
      </c>
      <c r="T3854" t="str">
        <f t="shared" si="120"/>
        <v>Daily</v>
      </c>
      <c r="U3854">
        <f>VLOOKUP(T3854,[1]tablescore!$B$3:$C$8, 2,FALSE)</f>
        <v>30</v>
      </c>
      <c r="V3854" t="str">
        <f t="shared" si="121"/>
        <v>Highly Loyal</v>
      </c>
      <c r="W3854" t="s">
        <v>41</v>
      </c>
    </row>
    <row r="3855" spans="1:23" x14ac:dyDescent="0.25">
      <c r="A3855">
        <v>3854</v>
      </c>
      <c r="B3855">
        <v>61</v>
      </c>
      <c r="C3855" t="str" cm="1">
        <f t="array" ref="C3855">_xlfn.IFS(
  AND(B3855&gt;=18, B3855&lt;=24), "18-24",
  AND(B3855&gt;=25, B3855&lt;=34), "25-34",
  AND(B3855&gt;=35, B3855&lt;=44), "35-44",
  AND(B3855&gt;=45, B3855&lt;=54), "45-54",
  B3855&gt;=55, "55+"
)</f>
        <v>55+</v>
      </c>
      <c r="D3855" t="s">
        <v>153</v>
      </c>
      <c r="E3855" t="s">
        <v>89</v>
      </c>
      <c r="F3855" t="s">
        <v>69</v>
      </c>
      <c r="G3855">
        <v>76</v>
      </c>
      <c r="H3855" t="s">
        <v>122</v>
      </c>
      <c r="I3855" t="s">
        <v>45</v>
      </c>
      <c r="J3855" t="s">
        <v>93</v>
      </c>
      <c r="K3855" t="s">
        <v>58</v>
      </c>
      <c r="L3855">
        <v>4</v>
      </c>
      <c r="M3855" t="s">
        <v>152</v>
      </c>
      <c r="N3855" t="s">
        <v>34</v>
      </c>
      <c r="O3855" t="s">
        <v>76</v>
      </c>
      <c r="P3855" t="s">
        <v>152</v>
      </c>
      <c r="Q3855" t="s">
        <v>152</v>
      </c>
      <c r="R3855">
        <v>49</v>
      </c>
      <c r="S3855" t="s">
        <v>59</v>
      </c>
      <c r="T3855" t="str">
        <f t="shared" si="120"/>
        <v>2-week</v>
      </c>
      <c r="U3855">
        <f>VLOOKUP(T3855,[1]tablescore!$B$3:$C$8, 2,FALSE)</f>
        <v>26</v>
      </c>
      <c r="V3855" t="str">
        <f t="shared" si="121"/>
        <v>Loyal</v>
      </c>
      <c r="W3855" t="s">
        <v>77</v>
      </c>
    </row>
    <row r="3856" spans="1:23" x14ac:dyDescent="0.25">
      <c r="A3856">
        <v>3855</v>
      </c>
      <c r="B3856">
        <v>57</v>
      </c>
      <c r="C3856" t="str" cm="1">
        <f t="array" ref="C3856">_xlfn.IFS(
  AND(B3856&gt;=18, B3856&lt;=24), "18-24",
  AND(B3856&gt;=25, B3856&lt;=34), "25-34",
  AND(B3856&gt;=35, B3856&lt;=44), "35-44",
  AND(B3856&gt;=45, B3856&lt;=54), "45-54",
  B3856&gt;=55, "55+"
)</f>
        <v>55+</v>
      </c>
      <c r="D3856" t="s">
        <v>153</v>
      </c>
      <c r="E3856" t="s">
        <v>113</v>
      </c>
      <c r="F3856" t="s">
        <v>21</v>
      </c>
      <c r="G3856">
        <v>20</v>
      </c>
      <c r="H3856" t="s">
        <v>103</v>
      </c>
      <c r="I3856" t="s">
        <v>45</v>
      </c>
      <c r="J3856" t="s">
        <v>94</v>
      </c>
      <c r="K3856" t="s">
        <v>39</v>
      </c>
      <c r="L3856">
        <v>4.2</v>
      </c>
      <c r="M3856" t="s">
        <v>152</v>
      </c>
      <c r="N3856" t="s">
        <v>29</v>
      </c>
      <c r="O3856" t="s">
        <v>40</v>
      </c>
      <c r="P3856" t="s">
        <v>152</v>
      </c>
      <c r="Q3856" t="s">
        <v>152</v>
      </c>
      <c r="R3856">
        <v>4</v>
      </c>
      <c r="S3856" t="s">
        <v>29</v>
      </c>
      <c r="T3856" t="str">
        <f t="shared" si="120"/>
        <v>Annually</v>
      </c>
      <c r="U3856">
        <f>VLOOKUP(T3856,[1]tablescore!$B$3:$C$8, 2,FALSE)</f>
        <v>1</v>
      </c>
      <c r="V3856" t="str">
        <f t="shared" si="121"/>
        <v>Low Loyalty</v>
      </c>
      <c r="W3856" t="s">
        <v>50</v>
      </c>
    </row>
    <row r="3857" spans="1:23" x14ac:dyDescent="0.25">
      <c r="A3857">
        <v>3856</v>
      </c>
      <c r="B3857">
        <v>40</v>
      </c>
      <c r="C3857" t="str" cm="1">
        <f t="array" ref="C3857">_xlfn.IFS(
  AND(B3857&gt;=18, B3857&lt;=24), "18-24",
  AND(B3857&gt;=25, B3857&lt;=34), "25-34",
  AND(B3857&gt;=35, B3857&lt;=44), "35-44",
  AND(B3857&gt;=45, B3857&lt;=54), "45-54",
  B3857&gt;=55, "55+"
)</f>
        <v>35-44</v>
      </c>
      <c r="D3857" t="s">
        <v>153</v>
      </c>
      <c r="E3857" t="s">
        <v>56</v>
      </c>
      <c r="F3857" t="s">
        <v>21</v>
      </c>
      <c r="G3857">
        <v>61</v>
      </c>
      <c r="H3857" t="s">
        <v>115</v>
      </c>
      <c r="I3857" t="s">
        <v>92</v>
      </c>
      <c r="J3857" t="s">
        <v>93</v>
      </c>
      <c r="K3857" t="s">
        <v>54</v>
      </c>
      <c r="L3857">
        <v>4.4000000000000004</v>
      </c>
      <c r="M3857" t="s">
        <v>152</v>
      </c>
      <c r="N3857" t="s">
        <v>59</v>
      </c>
      <c r="O3857" t="s">
        <v>47</v>
      </c>
      <c r="P3857" t="s">
        <v>152</v>
      </c>
      <c r="Q3857" t="s">
        <v>152</v>
      </c>
      <c r="R3857">
        <v>36</v>
      </c>
      <c r="S3857" t="s">
        <v>35</v>
      </c>
      <c r="T3857" t="str">
        <f t="shared" si="120"/>
        <v>Quarterly</v>
      </c>
      <c r="U3857">
        <f>VLOOKUP(T3857,[1]tablescore!$B$3:$C$8, 2,FALSE)</f>
        <v>4</v>
      </c>
      <c r="V3857" t="str">
        <f t="shared" si="121"/>
        <v>Low Loyalty</v>
      </c>
      <c r="W3857" t="s">
        <v>60</v>
      </c>
    </row>
    <row r="3858" spans="1:23" x14ac:dyDescent="0.25">
      <c r="A3858">
        <v>3857</v>
      </c>
      <c r="B3858">
        <v>39</v>
      </c>
      <c r="C3858" t="str" cm="1">
        <f t="array" ref="C3858">_xlfn.IFS(
  AND(B3858&gt;=18, B3858&lt;=24), "18-24",
  AND(B3858&gt;=25, B3858&lt;=34), "25-34",
  AND(B3858&gt;=35, B3858&lt;=44), "35-44",
  AND(B3858&gt;=45, B3858&lt;=54), "45-54",
  B3858&gt;=55, "55+"
)</f>
        <v>35-44</v>
      </c>
      <c r="D3858" t="s">
        <v>153</v>
      </c>
      <c r="E3858" t="s">
        <v>42</v>
      </c>
      <c r="F3858" t="s">
        <v>43</v>
      </c>
      <c r="G3858">
        <v>78</v>
      </c>
      <c r="H3858" t="s">
        <v>128</v>
      </c>
      <c r="I3858" t="s">
        <v>38</v>
      </c>
      <c r="J3858" t="s">
        <v>110</v>
      </c>
      <c r="K3858" t="s">
        <v>54</v>
      </c>
      <c r="L3858">
        <v>2.5</v>
      </c>
      <c r="M3858" t="s">
        <v>152</v>
      </c>
      <c r="N3858" t="s">
        <v>46</v>
      </c>
      <c r="O3858" t="s">
        <v>40</v>
      </c>
      <c r="P3858" t="s">
        <v>152</v>
      </c>
      <c r="Q3858" t="s">
        <v>152</v>
      </c>
      <c r="R3858">
        <v>8</v>
      </c>
      <c r="S3858" t="s">
        <v>59</v>
      </c>
      <c r="T3858" t="str">
        <f t="shared" si="120"/>
        <v>Quarterly</v>
      </c>
      <c r="U3858">
        <f>VLOOKUP(T3858,[1]tablescore!$B$3:$C$8, 2,FALSE)</f>
        <v>4</v>
      </c>
      <c r="V3858" t="str">
        <f t="shared" si="121"/>
        <v>Low Loyalty</v>
      </c>
      <c r="W3858" t="s">
        <v>60</v>
      </c>
    </row>
    <row r="3859" spans="1:23" x14ac:dyDescent="0.25">
      <c r="A3859">
        <v>3858</v>
      </c>
      <c r="B3859">
        <v>42</v>
      </c>
      <c r="C3859" t="str" cm="1">
        <f t="array" ref="C3859">_xlfn.IFS(
  AND(B3859&gt;=18, B3859&lt;=24), "18-24",
  AND(B3859&gt;=25, B3859&lt;=34), "25-34",
  AND(B3859&gt;=35, B3859&lt;=44), "35-44",
  AND(B3859&gt;=45, B3859&lt;=54), "45-54",
  B3859&gt;=55, "55+"
)</f>
        <v>35-44</v>
      </c>
      <c r="D3859" t="s">
        <v>153</v>
      </c>
      <c r="E3859" t="s">
        <v>125</v>
      </c>
      <c r="F3859" t="s">
        <v>69</v>
      </c>
      <c r="G3859">
        <v>21</v>
      </c>
      <c r="H3859" t="s">
        <v>105</v>
      </c>
      <c r="I3859" t="s">
        <v>38</v>
      </c>
      <c r="J3859" t="s">
        <v>139</v>
      </c>
      <c r="K3859" t="s">
        <v>54</v>
      </c>
      <c r="L3859">
        <v>3.1</v>
      </c>
      <c r="M3859" t="s">
        <v>152</v>
      </c>
      <c r="N3859" t="s">
        <v>59</v>
      </c>
      <c r="O3859" t="s">
        <v>76</v>
      </c>
      <c r="P3859" t="s">
        <v>152</v>
      </c>
      <c r="Q3859" t="s">
        <v>152</v>
      </c>
      <c r="R3859">
        <v>29</v>
      </c>
      <c r="S3859" t="s">
        <v>27</v>
      </c>
      <c r="T3859" t="str">
        <f t="shared" si="120"/>
        <v>Quarterly</v>
      </c>
      <c r="U3859">
        <f>VLOOKUP(T3859,[1]tablescore!$B$3:$C$8, 2,FALSE)</f>
        <v>4</v>
      </c>
      <c r="V3859" t="str">
        <f t="shared" si="121"/>
        <v>Low Loyalty</v>
      </c>
      <c r="W3859" t="s">
        <v>97</v>
      </c>
    </row>
    <row r="3860" spans="1:23" x14ac:dyDescent="0.25">
      <c r="A3860">
        <v>3859</v>
      </c>
      <c r="B3860">
        <v>30</v>
      </c>
      <c r="C3860" t="str" cm="1">
        <f t="array" ref="C3860">_xlfn.IFS(
  AND(B3860&gt;=18, B3860&lt;=24), "18-24",
  AND(B3860&gt;=25, B3860&lt;=34), "25-34",
  AND(B3860&gt;=35, B3860&lt;=44), "35-44",
  AND(B3860&gt;=45, B3860&lt;=54), "45-54",
  B3860&gt;=55, "55+"
)</f>
        <v>25-34</v>
      </c>
      <c r="D3860" t="s">
        <v>153</v>
      </c>
      <c r="E3860" t="s">
        <v>113</v>
      </c>
      <c r="F3860" t="s">
        <v>21</v>
      </c>
      <c r="G3860">
        <v>77</v>
      </c>
      <c r="H3860" t="s">
        <v>70</v>
      </c>
      <c r="I3860" t="s">
        <v>45</v>
      </c>
      <c r="J3860" t="s">
        <v>79</v>
      </c>
      <c r="K3860" t="s">
        <v>25</v>
      </c>
      <c r="L3860">
        <v>3.5</v>
      </c>
      <c r="M3860" t="s">
        <v>152</v>
      </c>
      <c r="N3860" t="s">
        <v>46</v>
      </c>
      <c r="O3860" t="s">
        <v>76</v>
      </c>
      <c r="P3860" t="s">
        <v>152</v>
      </c>
      <c r="Q3860" t="s">
        <v>152</v>
      </c>
      <c r="R3860">
        <v>26</v>
      </c>
      <c r="S3860" t="s">
        <v>27</v>
      </c>
      <c r="T3860" t="str">
        <f t="shared" si="120"/>
        <v>Quarterly</v>
      </c>
      <c r="U3860">
        <f>VLOOKUP(T3860,[1]tablescore!$B$3:$C$8, 2,FALSE)</f>
        <v>4</v>
      </c>
      <c r="V3860" t="str">
        <f t="shared" si="121"/>
        <v>Low Loyalty</v>
      </c>
      <c r="W3860" t="s">
        <v>60</v>
      </c>
    </row>
    <row r="3861" spans="1:23" x14ac:dyDescent="0.25">
      <c r="A3861">
        <v>3860</v>
      </c>
      <c r="B3861">
        <v>65</v>
      </c>
      <c r="C3861" t="str" cm="1">
        <f t="array" ref="C3861">_xlfn.IFS(
  AND(B3861&gt;=18, B3861&lt;=24), "18-24",
  AND(B3861&gt;=25, B3861&lt;=34), "25-34",
  AND(B3861&gt;=35, B3861&lt;=44), "35-44",
  AND(B3861&gt;=45, B3861&lt;=54), "45-54",
  B3861&gt;=55, "55+"
)</f>
        <v>55+</v>
      </c>
      <c r="D3861" t="s">
        <v>153</v>
      </c>
      <c r="E3861" t="s">
        <v>61</v>
      </c>
      <c r="F3861" t="s">
        <v>21</v>
      </c>
      <c r="G3861">
        <v>88</v>
      </c>
      <c r="H3861" t="s">
        <v>91</v>
      </c>
      <c r="I3861" t="s">
        <v>38</v>
      </c>
      <c r="J3861" t="s">
        <v>138</v>
      </c>
      <c r="K3861" t="s">
        <v>58</v>
      </c>
      <c r="L3861">
        <v>3</v>
      </c>
      <c r="M3861" t="s">
        <v>152</v>
      </c>
      <c r="N3861" t="s">
        <v>27</v>
      </c>
      <c r="O3861" t="s">
        <v>72</v>
      </c>
      <c r="P3861" t="s">
        <v>152</v>
      </c>
      <c r="Q3861" t="s">
        <v>152</v>
      </c>
      <c r="R3861">
        <v>47</v>
      </c>
      <c r="S3861" t="s">
        <v>34</v>
      </c>
      <c r="T3861" t="str">
        <f t="shared" si="120"/>
        <v>2-week</v>
      </c>
      <c r="U3861">
        <f>VLOOKUP(T3861,[1]tablescore!$B$3:$C$8, 2,FALSE)</f>
        <v>26</v>
      </c>
      <c r="V3861" t="str">
        <f t="shared" si="121"/>
        <v>Loyal</v>
      </c>
      <c r="W3861" t="s">
        <v>77</v>
      </c>
    </row>
    <row r="3862" spans="1:23" x14ac:dyDescent="0.25">
      <c r="A3862">
        <v>3861</v>
      </c>
      <c r="B3862">
        <v>57</v>
      </c>
      <c r="C3862" t="str" cm="1">
        <f t="array" ref="C3862">_xlfn.IFS(
  AND(B3862&gt;=18, B3862&lt;=24), "18-24",
  AND(B3862&gt;=25, B3862&lt;=34), "25-34",
  AND(B3862&gt;=35, B3862&lt;=44), "35-44",
  AND(B3862&gt;=45, B3862&lt;=54), "45-54",
  B3862&gt;=55, "55+"
)</f>
        <v>55+</v>
      </c>
      <c r="D3862" t="s">
        <v>153</v>
      </c>
      <c r="E3862" t="s">
        <v>89</v>
      </c>
      <c r="F3862" t="s">
        <v>69</v>
      </c>
      <c r="G3862">
        <v>64</v>
      </c>
      <c r="H3862" t="s">
        <v>141</v>
      </c>
      <c r="I3862" t="s">
        <v>45</v>
      </c>
      <c r="J3862" t="s">
        <v>49</v>
      </c>
      <c r="K3862" t="s">
        <v>54</v>
      </c>
      <c r="L3862">
        <v>4.4000000000000004</v>
      </c>
      <c r="M3862" t="s">
        <v>152</v>
      </c>
      <c r="N3862" t="s">
        <v>27</v>
      </c>
      <c r="O3862" t="s">
        <v>47</v>
      </c>
      <c r="P3862" t="s">
        <v>152</v>
      </c>
      <c r="Q3862" t="s">
        <v>152</v>
      </c>
      <c r="R3862">
        <v>44</v>
      </c>
      <c r="S3862" t="s">
        <v>35</v>
      </c>
      <c r="T3862" t="str">
        <f t="shared" si="120"/>
        <v>Annually</v>
      </c>
      <c r="U3862">
        <f>VLOOKUP(T3862,[1]tablescore!$B$3:$C$8, 2,FALSE)</f>
        <v>1</v>
      </c>
      <c r="V3862" t="str">
        <f t="shared" si="121"/>
        <v>Low Loyalty</v>
      </c>
      <c r="W3862" t="s">
        <v>50</v>
      </c>
    </row>
    <row r="3863" spans="1:23" x14ac:dyDescent="0.25">
      <c r="A3863">
        <v>3862</v>
      </c>
      <c r="B3863">
        <v>64</v>
      </c>
      <c r="C3863" t="str" cm="1">
        <f t="array" ref="C3863">_xlfn.IFS(
  AND(B3863&gt;=18, B3863&lt;=24), "18-24",
  AND(B3863&gt;=25, B3863&lt;=34), "25-34",
  AND(B3863&gt;=35, B3863&lt;=44), "35-44",
  AND(B3863&gt;=45, B3863&lt;=54), "45-54",
  B3863&gt;=55, "55+"
)</f>
        <v>55+</v>
      </c>
      <c r="D3863" t="s">
        <v>153</v>
      </c>
      <c r="E3863" t="s">
        <v>102</v>
      </c>
      <c r="F3863" t="s">
        <v>65</v>
      </c>
      <c r="G3863">
        <v>57</v>
      </c>
      <c r="H3863" t="s">
        <v>52</v>
      </c>
      <c r="I3863" t="s">
        <v>45</v>
      </c>
      <c r="J3863" t="s">
        <v>139</v>
      </c>
      <c r="K3863" t="s">
        <v>39</v>
      </c>
      <c r="L3863">
        <v>4.9000000000000004</v>
      </c>
      <c r="M3863" t="s">
        <v>152</v>
      </c>
      <c r="N3863" t="s">
        <v>29</v>
      </c>
      <c r="O3863" t="s">
        <v>55</v>
      </c>
      <c r="P3863" t="s">
        <v>152</v>
      </c>
      <c r="Q3863" t="s">
        <v>152</v>
      </c>
      <c r="R3863">
        <v>49</v>
      </c>
      <c r="S3863" t="s">
        <v>27</v>
      </c>
      <c r="T3863" t="str">
        <f t="shared" si="120"/>
        <v>Month</v>
      </c>
      <c r="U3863">
        <f>VLOOKUP(T3863,[1]tablescore!$B$3:$C$8, 2,FALSE)</f>
        <v>12</v>
      </c>
      <c r="V3863" t="str">
        <f t="shared" si="121"/>
        <v>Moderate</v>
      </c>
      <c r="W3863" t="s">
        <v>88</v>
      </c>
    </row>
    <row r="3864" spans="1:23" x14ac:dyDescent="0.25">
      <c r="A3864">
        <v>3863</v>
      </c>
      <c r="B3864">
        <v>56</v>
      </c>
      <c r="C3864" t="str" cm="1">
        <f t="array" ref="C3864">_xlfn.IFS(
  AND(B3864&gt;=18, B3864&lt;=24), "18-24",
  AND(B3864&gt;=25, B3864&lt;=34), "25-34",
  AND(B3864&gt;=35, B3864&lt;=44), "35-44",
  AND(B3864&gt;=45, B3864&lt;=54), "45-54",
  B3864&gt;=55, "55+"
)</f>
        <v>55+</v>
      </c>
      <c r="D3864" t="s">
        <v>153</v>
      </c>
      <c r="E3864" t="s">
        <v>56</v>
      </c>
      <c r="F3864" t="s">
        <v>21</v>
      </c>
      <c r="G3864">
        <v>49</v>
      </c>
      <c r="H3864" t="s">
        <v>144</v>
      </c>
      <c r="I3864" t="s">
        <v>23</v>
      </c>
      <c r="J3864" t="s">
        <v>49</v>
      </c>
      <c r="K3864" t="s">
        <v>25</v>
      </c>
      <c r="L3864">
        <v>2.8</v>
      </c>
      <c r="M3864" t="s">
        <v>152</v>
      </c>
      <c r="N3864" t="s">
        <v>46</v>
      </c>
      <c r="O3864" t="s">
        <v>47</v>
      </c>
      <c r="P3864" t="s">
        <v>152</v>
      </c>
      <c r="Q3864" t="s">
        <v>152</v>
      </c>
      <c r="R3864">
        <v>9</v>
      </c>
      <c r="S3864" t="s">
        <v>29</v>
      </c>
      <c r="T3864" t="str">
        <f t="shared" si="120"/>
        <v>Month</v>
      </c>
      <c r="U3864">
        <f>VLOOKUP(T3864,[1]tablescore!$B$3:$C$8, 2,FALSE)</f>
        <v>12</v>
      </c>
      <c r="V3864" t="str">
        <f t="shared" si="121"/>
        <v>Moderate</v>
      </c>
      <c r="W3864" t="s">
        <v>88</v>
      </c>
    </row>
    <row r="3865" spans="1:23" x14ac:dyDescent="0.25">
      <c r="A3865">
        <v>3864</v>
      </c>
      <c r="B3865">
        <v>40</v>
      </c>
      <c r="C3865" t="str" cm="1">
        <f t="array" ref="C3865">_xlfn.IFS(
  AND(B3865&gt;=18, B3865&lt;=24), "18-24",
  AND(B3865&gt;=25, B3865&lt;=34), "25-34",
  AND(B3865&gt;=35, B3865&lt;=44), "35-44",
  AND(B3865&gt;=45, B3865&lt;=54), "45-54",
  B3865&gt;=55, "55+"
)</f>
        <v>35-44</v>
      </c>
      <c r="D3865" t="s">
        <v>153</v>
      </c>
      <c r="E3865" t="s">
        <v>119</v>
      </c>
      <c r="F3865" t="s">
        <v>69</v>
      </c>
      <c r="G3865">
        <v>35</v>
      </c>
      <c r="H3865" t="s">
        <v>83</v>
      </c>
      <c r="I3865" t="s">
        <v>45</v>
      </c>
      <c r="J3865" t="s">
        <v>121</v>
      </c>
      <c r="K3865" t="s">
        <v>54</v>
      </c>
      <c r="L3865">
        <v>3.3</v>
      </c>
      <c r="M3865" t="s">
        <v>152</v>
      </c>
      <c r="N3865" t="s">
        <v>29</v>
      </c>
      <c r="O3865" t="s">
        <v>40</v>
      </c>
      <c r="P3865" t="s">
        <v>152</v>
      </c>
      <c r="Q3865" t="s">
        <v>152</v>
      </c>
      <c r="R3865">
        <v>28</v>
      </c>
      <c r="S3865" t="s">
        <v>35</v>
      </c>
      <c r="T3865" t="str">
        <f t="shared" si="120"/>
        <v>2-week</v>
      </c>
      <c r="U3865">
        <f>VLOOKUP(T3865,[1]tablescore!$B$3:$C$8, 2,FALSE)</f>
        <v>26</v>
      </c>
      <c r="V3865" t="str">
        <f t="shared" si="121"/>
        <v>Loyal</v>
      </c>
      <c r="W3865" t="s">
        <v>30</v>
      </c>
    </row>
    <row r="3866" spans="1:23" x14ac:dyDescent="0.25">
      <c r="A3866">
        <v>3865</v>
      </c>
      <c r="B3866">
        <v>55</v>
      </c>
      <c r="C3866" t="str" cm="1">
        <f t="array" ref="C3866">_xlfn.IFS(
  AND(B3866&gt;=18, B3866&lt;=24), "18-24",
  AND(B3866&gt;=25, B3866&lt;=34), "25-34",
  AND(B3866&gt;=35, B3866&lt;=44), "35-44",
  AND(B3866&gt;=45, B3866&lt;=54), "45-54",
  B3866&gt;=55, "55+"
)</f>
        <v>55+</v>
      </c>
      <c r="D3866" t="s">
        <v>153</v>
      </c>
      <c r="E3866" t="s">
        <v>113</v>
      </c>
      <c r="F3866" t="s">
        <v>21</v>
      </c>
      <c r="G3866">
        <v>99</v>
      </c>
      <c r="H3866" t="s">
        <v>52</v>
      </c>
      <c r="I3866" t="s">
        <v>38</v>
      </c>
      <c r="J3866" t="s">
        <v>138</v>
      </c>
      <c r="K3866" t="s">
        <v>25</v>
      </c>
      <c r="L3866">
        <v>4.9000000000000004</v>
      </c>
      <c r="M3866" t="s">
        <v>152</v>
      </c>
      <c r="N3866" t="s">
        <v>34</v>
      </c>
      <c r="O3866" t="s">
        <v>28</v>
      </c>
      <c r="P3866" t="s">
        <v>152</v>
      </c>
      <c r="Q3866" t="s">
        <v>152</v>
      </c>
      <c r="R3866">
        <v>1</v>
      </c>
      <c r="S3866" t="s">
        <v>59</v>
      </c>
      <c r="T3866" t="str">
        <f t="shared" si="120"/>
        <v>2-week</v>
      </c>
      <c r="U3866">
        <f>VLOOKUP(T3866,[1]tablescore!$B$3:$C$8, 2,FALSE)</f>
        <v>26</v>
      </c>
      <c r="V3866" t="str">
        <f t="shared" si="121"/>
        <v>Loyal</v>
      </c>
      <c r="W3866" t="s">
        <v>30</v>
      </c>
    </row>
    <row r="3867" spans="1:23" x14ac:dyDescent="0.25">
      <c r="A3867">
        <v>3866</v>
      </c>
      <c r="B3867">
        <v>25</v>
      </c>
      <c r="C3867" t="str" cm="1">
        <f t="array" ref="C3867">_xlfn.IFS(
  AND(B3867&gt;=18, B3867&lt;=24), "18-24",
  AND(B3867&gt;=25, B3867&lt;=34), "25-34",
  AND(B3867&gt;=35, B3867&lt;=44), "35-44",
  AND(B3867&gt;=45, B3867&lt;=54), "45-54",
  B3867&gt;=55, "55+"
)</f>
        <v>25-34</v>
      </c>
      <c r="D3867" t="s">
        <v>153</v>
      </c>
      <c r="E3867" t="s">
        <v>61</v>
      </c>
      <c r="F3867" t="s">
        <v>21</v>
      </c>
      <c r="G3867">
        <v>42</v>
      </c>
      <c r="H3867" t="s">
        <v>143</v>
      </c>
      <c r="I3867" t="s">
        <v>45</v>
      </c>
      <c r="J3867" t="s">
        <v>79</v>
      </c>
      <c r="K3867" t="s">
        <v>39</v>
      </c>
      <c r="L3867">
        <v>4.2</v>
      </c>
      <c r="M3867" t="s">
        <v>152</v>
      </c>
      <c r="N3867" t="s">
        <v>35</v>
      </c>
      <c r="O3867" t="s">
        <v>76</v>
      </c>
      <c r="P3867" t="s">
        <v>152</v>
      </c>
      <c r="Q3867" t="s">
        <v>152</v>
      </c>
      <c r="R3867">
        <v>28</v>
      </c>
      <c r="S3867" t="s">
        <v>35</v>
      </c>
      <c r="T3867" t="str">
        <f t="shared" si="120"/>
        <v>Quarterly</v>
      </c>
      <c r="U3867">
        <f>VLOOKUP(T3867,[1]tablescore!$B$3:$C$8, 2,FALSE)</f>
        <v>4</v>
      </c>
      <c r="V3867" t="str">
        <f t="shared" si="121"/>
        <v>Low Loyalty</v>
      </c>
      <c r="W3867" t="s">
        <v>97</v>
      </c>
    </row>
    <row r="3868" spans="1:23" x14ac:dyDescent="0.25">
      <c r="A3868">
        <v>3867</v>
      </c>
      <c r="B3868">
        <v>58</v>
      </c>
      <c r="C3868" t="str" cm="1">
        <f t="array" ref="C3868">_xlfn.IFS(
  AND(B3868&gt;=18, B3868&lt;=24), "18-24",
  AND(B3868&gt;=25, B3868&lt;=34), "25-34",
  AND(B3868&gt;=35, B3868&lt;=44), "35-44",
  AND(B3868&gt;=45, B3868&lt;=54), "45-54",
  B3868&gt;=55, "55+"
)</f>
        <v>55+</v>
      </c>
      <c r="D3868" t="s">
        <v>153</v>
      </c>
      <c r="E3868" t="s">
        <v>125</v>
      </c>
      <c r="F3868" t="s">
        <v>69</v>
      </c>
      <c r="G3868">
        <v>32</v>
      </c>
      <c r="H3868" t="s">
        <v>120</v>
      </c>
      <c r="I3868" t="s">
        <v>45</v>
      </c>
      <c r="J3868" t="s">
        <v>118</v>
      </c>
      <c r="K3868" t="s">
        <v>25</v>
      </c>
      <c r="L3868">
        <v>3.3</v>
      </c>
      <c r="M3868" t="s">
        <v>152</v>
      </c>
      <c r="N3868" t="s">
        <v>29</v>
      </c>
      <c r="O3868" t="s">
        <v>72</v>
      </c>
      <c r="P3868" t="s">
        <v>152</v>
      </c>
      <c r="Q3868" t="s">
        <v>152</v>
      </c>
      <c r="R3868">
        <v>33</v>
      </c>
      <c r="S3868" t="s">
        <v>27</v>
      </c>
      <c r="T3868" t="str">
        <f t="shared" si="120"/>
        <v>2-week</v>
      </c>
      <c r="U3868">
        <f>VLOOKUP(T3868,[1]tablescore!$B$3:$C$8, 2,FALSE)</f>
        <v>26</v>
      </c>
      <c r="V3868" t="str">
        <f t="shared" si="121"/>
        <v>Loyal</v>
      </c>
      <c r="W3868" t="s">
        <v>30</v>
      </c>
    </row>
    <row r="3869" spans="1:23" x14ac:dyDescent="0.25">
      <c r="A3869">
        <v>3868</v>
      </c>
      <c r="B3869">
        <v>46</v>
      </c>
      <c r="C3869" t="str" cm="1">
        <f t="array" ref="C3869">_xlfn.IFS(
  AND(B3869&gt;=18, B3869&lt;=24), "18-24",
  AND(B3869&gt;=25, B3869&lt;=34), "25-34",
  AND(B3869&gt;=35, B3869&lt;=44), "35-44",
  AND(B3869&gt;=45, B3869&lt;=54), "45-54",
  B3869&gt;=55, "55+"
)</f>
        <v>45-54</v>
      </c>
      <c r="D3869" t="s">
        <v>153</v>
      </c>
      <c r="E3869" t="s">
        <v>102</v>
      </c>
      <c r="F3869" t="s">
        <v>65</v>
      </c>
      <c r="G3869">
        <v>21</v>
      </c>
      <c r="H3869" t="s">
        <v>135</v>
      </c>
      <c r="I3869" t="s">
        <v>23</v>
      </c>
      <c r="J3869" t="s">
        <v>93</v>
      </c>
      <c r="K3869" t="s">
        <v>54</v>
      </c>
      <c r="L3869">
        <v>2.7</v>
      </c>
      <c r="M3869" t="s">
        <v>152</v>
      </c>
      <c r="N3869" t="s">
        <v>35</v>
      </c>
      <c r="O3869" t="s">
        <v>55</v>
      </c>
      <c r="P3869" t="s">
        <v>152</v>
      </c>
      <c r="Q3869" t="s">
        <v>152</v>
      </c>
      <c r="R3869">
        <v>28</v>
      </c>
      <c r="S3869" t="s">
        <v>27</v>
      </c>
      <c r="T3869" t="str">
        <f t="shared" si="120"/>
        <v>Month</v>
      </c>
      <c r="U3869">
        <f>VLOOKUP(T3869,[1]tablescore!$B$3:$C$8, 2,FALSE)</f>
        <v>12</v>
      </c>
      <c r="V3869" t="str">
        <f t="shared" si="121"/>
        <v>Moderate</v>
      </c>
      <c r="W3869" t="s">
        <v>88</v>
      </c>
    </row>
    <row r="3870" spans="1:23" x14ac:dyDescent="0.25">
      <c r="A3870">
        <v>3869</v>
      </c>
      <c r="B3870">
        <v>18</v>
      </c>
      <c r="C3870" t="str" cm="1">
        <f t="array" ref="C3870">_xlfn.IFS(
  AND(B3870&gt;=18, B3870&lt;=24), "18-24",
  AND(B3870&gt;=25, B3870&lt;=34), "25-34",
  AND(B3870&gt;=35, B3870&lt;=44), "35-44",
  AND(B3870&gt;=45, B3870&lt;=54), "45-54",
  B3870&gt;=55, "55+"
)</f>
        <v>18-24</v>
      </c>
      <c r="D3870" t="s">
        <v>153</v>
      </c>
      <c r="E3870" t="s">
        <v>82</v>
      </c>
      <c r="F3870" t="s">
        <v>21</v>
      </c>
      <c r="G3870">
        <v>29</v>
      </c>
      <c r="H3870" t="s">
        <v>135</v>
      </c>
      <c r="I3870" t="s">
        <v>92</v>
      </c>
      <c r="J3870" t="s">
        <v>147</v>
      </c>
      <c r="K3870" t="s">
        <v>25</v>
      </c>
      <c r="L3870">
        <v>3.3</v>
      </c>
      <c r="M3870" t="s">
        <v>152</v>
      </c>
      <c r="N3870" t="s">
        <v>46</v>
      </c>
      <c r="O3870" t="s">
        <v>72</v>
      </c>
      <c r="P3870" t="s">
        <v>152</v>
      </c>
      <c r="Q3870" t="s">
        <v>152</v>
      </c>
      <c r="R3870">
        <v>9</v>
      </c>
      <c r="S3870" t="s">
        <v>35</v>
      </c>
      <c r="T3870" t="str">
        <f t="shared" si="120"/>
        <v>Annually</v>
      </c>
      <c r="U3870">
        <f>VLOOKUP(T3870,[1]tablescore!$B$3:$C$8, 2,FALSE)</f>
        <v>1</v>
      </c>
      <c r="V3870" t="str">
        <f t="shared" si="121"/>
        <v>Low Loyalty</v>
      </c>
      <c r="W3870" t="s">
        <v>50</v>
      </c>
    </row>
    <row r="3871" spans="1:23" x14ac:dyDescent="0.25">
      <c r="A3871">
        <v>3870</v>
      </c>
      <c r="B3871">
        <v>26</v>
      </c>
      <c r="C3871" t="str" cm="1">
        <f t="array" ref="C3871">_xlfn.IFS(
  AND(B3871&gt;=18, B3871&lt;=24), "18-24",
  AND(B3871&gt;=25, B3871&lt;=34), "25-34",
  AND(B3871&gt;=35, B3871&lt;=44), "35-44",
  AND(B3871&gt;=45, B3871&lt;=54), "45-54",
  B3871&gt;=55, "55+"
)</f>
        <v>25-34</v>
      </c>
      <c r="D3871" t="s">
        <v>153</v>
      </c>
      <c r="E3871" t="s">
        <v>64</v>
      </c>
      <c r="F3871" t="s">
        <v>65</v>
      </c>
      <c r="G3871">
        <v>64</v>
      </c>
      <c r="H3871" t="s">
        <v>117</v>
      </c>
      <c r="I3871" t="s">
        <v>23</v>
      </c>
      <c r="J3871" t="s">
        <v>109</v>
      </c>
      <c r="K3871" t="s">
        <v>39</v>
      </c>
      <c r="L3871">
        <v>3.8</v>
      </c>
      <c r="M3871" t="s">
        <v>152</v>
      </c>
      <c r="N3871" t="s">
        <v>34</v>
      </c>
      <c r="O3871" t="s">
        <v>40</v>
      </c>
      <c r="P3871" t="s">
        <v>152</v>
      </c>
      <c r="Q3871" t="s">
        <v>152</v>
      </c>
      <c r="R3871">
        <v>28</v>
      </c>
      <c r="S3871" t="s">
        <v>34</v>
      </c>
      <c r="T3871" t="str">
        <f t="shared" si="120"/>
        <v>Annually</v>
      </c>
      <c r="U3871">
        <f>VLOOKUP(T3871,[1]tablescore!$B$3:$C$8, 2,FALSE)</f>
        <v>1</v>
      </c>
      <c r="V3871" t="str">
        <f t="shared" si="121"/>
        <v>Low Loyalty</v>
      </c>
      <c r="W3871" t="s">
        <v>50</v>
      </c>
    </row>
    <row r="3872" spans="1:23" x14ac:dyDescent="0.25">
      <c r="A3872">
        <v>3871</v>
      </c>
      <c r="B3872">
        <v>61</v>
      </c>
      <c r="C3872" t="str" cm="1">
        <f t="array" ref="C3872">_xlfn.IFS(
  AND(B3872&gt;=18, B3872&lt;=24), "18-24",
  AND(B3872&gt;=25, B3872&lt;=34), "25-34",
  AND(B3872&gt;=35, B3872&lt;=44), "35-44",
  AND(B3872&gt;=45, B3872&lt;=54), "45-54",
  B3872&gt;=55, "55+"
)</f>
        <v>55+</v>
      </c>
      <c r="D3872" t="s">
        <v>153</v>
      </c>
      <c r="E3872" t="s">
        <v>42</v>
      </c>
      <c r="F3872" t="s">
        <v>43</v>
      </c>
      <c r="G3872">
        <v>46</v>
      </c>
      <c r="H3872" t="s">
        <v>124</v>
      </c>
      <c r="I3872" t="s">
        <v>23</v>
      </c>
      <c r="J3872" t="s">
        <v>93</v>
      </c>
      <c r="K3872" t="s">
        <v>58</v>
      </c>
      <c r="L3872">
        <v>3.2</v>
      </c>
      <c r="M3872" t="s">
        <v>152</v>
      </c>
      <c r="N3872" t="s">
        <v>34</v>
      </c>
      <c r="O3872" t="s">
        <v>47</v>
      </c>
      <c r="P3872" t="s">
        <v>152</v>
      </c>
      <c r="Q3872" t="s">
        <v>152</v>
      </c>
      <c r="R3872">
        <v>19</v>
      </c>
      <c r="S3872" t="s">
        <v>35</v>
      </c>
      <c r="T3872" t="str">
        <f t="shared" si="120"/>
        <v>Quarterly</v>
      </c>
      <c r="U3872">
        <f>VLOOKUP(T3872,[1]tablescore!$B$3:$C$8, 2,FALSE)</f>
        <v>4</v>
      </c>
      <c r="V3872" t="str">
        <f t="shared" si="121"/>
        <v>Low Loyalty</v>
      </c>
      <c r="W3872" t="s">
        <v>97</v>
      </c>
    </row>
    <row r="3873" spans="1:23" x14ac:dyDescent="0.25">
      <c r="A3873">
        <v>3872</v>
      </c>
      <c r="B3873">
        <v>55</v>
      </c>
      <c r="C3873" t="str" cm="1">
        <f t="array" ref="C3873">_xlfn.IFS(
  AND(B3873&gt;=18, B3873&lt;=24), "18-24",
  AND(B3873&gt;=25, B3873&lt;=34), "25-34",
  AND(B3873&gt;=35, B3873&lt;=44), "35-44",
  AND(B3873&gt;=45, B3873&lt;=54), "45-54",
  B3873&gt;=55, "55+"
)</f>
        <v>55+</v>
      </c>
      <c r="D3873" t="s">
        <v>153</v>
      </c>
      <c r="E3873" t="s">
        <v>113</v>
      </c>
      <c r="F3873" t="s">
        <v>21</v>
      </c>
      <c r="G3873">
        <v>97</v>
      </c>
      <c r="H3873" t="s">
        <v>134</v>
      </c>
      <c r="I3873" t="s">
        <v>45</v>
      </c>
      <c r="J3873" t="s">
        <v>94</v>
      </c>
      <c r="K3873" t="s">
        <v>58</v>
      </c>
      <c r="L3873">
        <v>4.0999999999999996</v>
      </c>
      <c r="M3873" t="s">
        <v>152</v>
      </c>
      <c r="N3873" t="s">
        <v>27</v>
      </c>
      <c r="O3873" t="s">
        <v>72</v>
      </c>
      <c r="P3873" t="s">
        <v>152</v>
      </c>
      <c r="Q3873" t="s">
        <v>152</v>
      </c>
      <c r="R3873">
        <v>20</v>
      </c>
      <c r="S3873" t="s">
        <v>34</v>
      </c>
      <c r="T3873" t="str">
        <f t="shared" si="120"/>
        <v>Quarterly</v>
      </c>
      <c r="U3873">
        <f>VLOOKUP(T3873,[1]tablescore!$B$3:$C$8, 2,FALSE)</f>
        <v>4</v>
      </c>
      <c r="V3873" t="str">
        <f t="shared" si="121"/>
        <v>Low Loyalty</v>
      </c>
      <c r="W3873" t="s">
        <v>97</v>
      </c>
    </row>
    <row r="3874" spans="1:23" x14ac:dyDescent="0.25">
      <c r="A3874">
        <v>3873</v>
      </c>
      <c r="B3874">
        <v>41</v>
      </c>
      <c r="C3874" t="str" cm="1">
        <f t="array" ref="C3874">_xlfn.IFS(
  AND(B3874&gt;=18, B3874&lt;=24), "18-24",
  AND(B3874&gt;=25, B3874&lt;=34), "25-34",
  AND(B3874&gt;=35, B3874&lt;=44), "35-44",
  AND(B3874&gt;=45, B3874&lt;=54), "45-54",
  B3874&gt;=55, "55+"
)</f>
        <v>35-44</v>
      </c>
      <c r="D3874" t="s">
        <v>153</v>
      </c>
      <c r="E3874" t="s">
        <v>102</v>
      </c>
      <c r="F3874" t="s">
        <v>65</v>
      </c>
      <c r="G3874">
        <v>94</v>
      </c>
      <c r="H3874" t="s">
        <v>83</v>
      </c>
      <c r="I3874" t="s">
        <v>45</v>
      </c>
      <c r="J3874" t="s">
        <v>96</v>
      </c>
      <c r="K3874" t="s">
        <v>39</v>
      </c>
      <c r="L3874">
        <v>4.3</v>
      </c>
      <c r="M3874" t="s">
        <v>152</v>
      </c>
      <c r="N3874" t="s">
        <v>35</v>
      </c>
      <c r="O3874" t="s">
        <v>55</v>
      </c>
      <c r="P3874" t="s">
        <v>152</v>
      </c>
      <c r="Q3874" t="s">
        <v>152</v>
      </c>
      <c r="R3874">
        <v>3</v>
      </c>
      <c r="S3874" t="s">
        <v>35</v>
      </c>
      <c r="T3874" t="str">
        <f t="shared" si="120"/>
        <v>Month</v>
      </c>
      <c r="U3874">
        <f>VLOOKUP(T3874,[1]tablescore!$B$3:$C$8, 2,FALSE)</f>
        <v>12</v>
      </c>
      <c r="V3874" t="str">
        <f t="shared" si="121"/>
        <v>Moderate</v>
      </c>
      <c r="W3874" t="s">
        <v>88</v>
      </c>
    </row>
    <row r="3875" spans="1:23" x14ac:dyDescent="0.25">
      <c r="A3875">
        <v>3874</v>
      </c>
      <c r="B3875">
        <v>42</v>
      </c>
      <c r="C3875" t="str" cm="1">
        <f t="array" ref="C3875">_xlfn.IFS(
  AND(B3875&gt;=18, B3875&lt;=24), "18-24",
  AND(B3875&gt;=25, B3875&lt;=34), "25-34",
  AND(B3875&gt;=35, B3875&lt;=44), "35-44",
  AND(B3875&gt;=45, B3875&lt;=54), "45-54",
  B3875&gt;=55, "55+"
)</f>
        <v>35-44</v>
      </c>
      <c r="D3875" t="s">
        <v>153</v>
      </c>
      <c r="E3875" t="s">
        <v>42</v>
      </c>
      <c r="F3875" t="s">
        <v>43</v>
      </c>
      <c r="G3875">
        <v>43</v>
      </c>
      <c r="H3875" t="s">
        <v>62</v>
      </c>
      <c r="I3875" t="s">
        <v>23</v>
      </c>
      <c r="J3875" t="s">
        <v>67</v>
      </c>
      <c r="K3875" t="s">
        <v>54</v>
      </c>
      <c r="L3875">
        <v>4</v>
      </c>
      <c r="M3875" t="s">
        <v>152</v>
      </c>
      <c r="N3875" t="s">
        <v>46</v>
      </c>
      <c r="O3875" t="s">
        <v>55</v>
      </c>
      <c r="P3875" t="s">
        <v>152</v>
      </c>
      <c r="Q3875" t="s">
        <v>152</v>
      </c>
      <c r="R3875">
        <v>22</v>
      </c>
      <c r="S3875" t="s">
        <v>27</v>
      </c>
      <c r="T3875" t="str">
        <f t="shared" si="120"/>
        <v>Daily</v>
      </c>
      <c r="U3875">
        <f>VLOOKUP(T3875,[1]tablescore!$B$3:$C$8, 2,FALSE)</f>
        <v>30</v>
      </c>
      <c r="V3875" t="str">
        <f t="shared" si="121"/>
        <v>Highly Loyal</v>
      </c>
      <c r="W3875" t="s">
        <v>41</v>
      </c>
    </row>
    <row r="3876" spans="1:23" x14ac:dyDescent="0.25">
      <c r="A3876">
        <v>3875</v>
      </c>
      <c r="B3876">
        <v>70</v>
      </c>
      <c r="C3876" t="str" cm="1">
        <f t="array" ref="C3876">_xlfn.IFS(
  AND(B3876&gt;=18, B3876&lt;=24), "18-24",
  AND(B3876&gt;=25, B3876&lt;=34), "25-34",
  AND(B3876&gt;=35, B3876&lt;=44), "35-44",
  AND(B3876&gt;=45, B3876&lt;=54), "45-54",
  B3876&gt;=55, "55+"
)</f>
        <v>55+</v>
      </c>
      <c r="D3876" t="s">
        <v>153</v>
      </c>
      <c r="E3876" t="s">
        <v>31</v>
      </c>
      <c r="F3876" t="s">
        <v>21</v>
      </c>
      <c r="G3876">
        <v>54</v>
      </c>
      <c r="H3876" t="s">
        <v>107</v>
      </c>
      <c r="I3876" t="s">
        <v>92</v>
      </c>
      <c r="J3876" t="s">
        <v>118</v>
      </c>
      <c r="K3876" t="s">
        <v>54</v>
      </c>
      <c r="L3876">
        <v>3.9</v>
      </c>
      <c r="M3876" t="s">
        <v>152</v>
      </c>
      <c r="N3876" t="s">
        <v>35</v>
      </c>
      <c r="O3876" t="s">
        <v>72</v>
      </c>
      <c r="P3876" t="s">
        <v>152</v>
      </c>
      <c r="Q3876" t="s">
        <v>152</v>
      </c>
      <c r="R3876">
        <v>33</v>
      </c>
      <c r="S3876" t="s">
        <v>27</v>
      </c>
      <c r="T3876" t="str">
        <f t="shared" si="120"/>
        <v>2-week</v>
      </c>
      <c r="U3876">
        <f>VLOOKUP(T3876,[1]tablescore!$B$3:$C$8, 2,FALSE)</f>
        <v>26</v>
      </c>
      <c r="V3876" t="str">
        <f t="shared" si="121"/>
        <v>Loyal</v>
      </c>
      <c r="W3876" t="s">
        <v>77</v>
      </c>
    </row>
    <row r="3877" spans="1:23" x14ac:dyDescent="0.25">
      <c r="A3877">
        <v>3876</v>
      </c>
      <c r="B3877">
        <v>63</v>
      </c>
      <c r="C3877" t="str" cm="1">
        <f t="array" ref="C3877">_xlfn.IFS(
  AND(B3877&gt;=18, B3877&lt;=24), "18-24",
  AND(B3877&gt;=25, B3877&lt;=34), "25-34",
  AND(B3877&gt;=35, B3877&lt;=44), "35-44",
  AND(B3877&gt;=45, B3877&lt;=54), "45-54",
  B3877&gt;=55, "55+"
)</f>
        <v>55+</v>
      </c>
      <c r="D3877" t="s">
        <v>153</v>
      </c>
      <c r="E3877" t="s">
        <v>125</v>
      </c>
      <c r="F3877" t="s">
        <v>69</v>
      </c>
      <c r="G3877">
        <v>51</v>
      </c>
      <c r="H3877" t="s">
        <v>83</v>
      </c>
      <c r="I3877" t="s">
        <v>45</v>
      </c>
      <c r="J3877" t="s">
        <v>71</v>
      </c>
      <c r="K3877" t="s">
        <v>25</v>
      </c>
      <c r="L3877">
        <v>3.3</v>
      </c>
      <c r="M3877" t="s">
        <v>152</v>
      </c>
      <c r="N3877" t="s">
        <v>29</v>
      </c>
      <c r="O3877" t="s">
        <v>72</v>
      </c>
      <c r="P3877" t="s">
        <v>152</v>
      </c>
      <c r="Q3877" t="s">
        <v>152</v>
      </c>
      <c r="R3877">
        <v>21</v>
      </c>
      <c r="S3877" t="s">
        <v>27</v>
      </c>
      <c r="T3877" t="str">
        <f t="shared" si="120"/>
        <v>Annually</v>
      </c>
      <c r="U3877">
        <f>VLOOKUP(T3877,[1]tablescore!$B$3:$C$8, 2,FALSE)</f>
        <v>1</v>
      </c>
      <c r="V3877" t="str">
        <f t="shared" si="121"/>
        <v>Low Loyalty</v>
      </c>
      <c r="W3877" t="s">
        <v>50</v>
      </c>
    </row>
    <row r="3878" spans="1:23" x14ac:dyDescent="0.25">
      <c r="A3878">
        <v>3877</v>
      </c>
      <c r="B3878">
        <v>60</v>
      </c>
      <c r="C3878" t="str" cm="1">
        <f t="array" ref="C3878">_xlfn.IFS(
  AND(B3878&gt;=18, B3878&lt;=24), "18-24",
  AND(B3878&gt;=25, B3878&lt;=34), "25-34",
  AND(B3878&gt;=35, B3878&lt;=44), "35-44",
  AND(B3878&gt;=45, B3878&lt;=54), "45-54",
  B3878&gt;=55, "55+"
)</f>
        <v>55+</v>
      </c>
      <c r="D3878" t="s">
        <v>153</v>
      </c>
      <c r="E3878" t="s">
        <v>73</v>
      </c>
      <c r="F3878" t="s">
        <v>43</v>
      </c>
      <c r="G3878">
        <v>85</v>
      </c>
      <c r="H3878" t="s">
        <v>148</v>
      </c>
      <c r="I3878" t="s">
        <v>38</v>
      </c>
      <c r="J3878" t="s">
        <v>109</v>
      </c>
      <c r="K3878" t="s">
        <v>58</v>
      </c>
      <c r="L3878">
        <v>2.6</v>
      </c>
      <c r="M3878" t="s">
        <v>152</v>
      </c>
      <c r="N3878" t="s">
        <v>34</v>
      </c>
      <c r="O3878" t="s">
        <v>72</v>
      </c>
      <c r="P3878" t="s">
        <v>152</v>
      </c>
      <c r="Q3878" t="s">
        <v>152</v>
      </c>
      <c r="R3878">
        <v>7</v>
      </c>
      <c r="S3878" t="s">
        <v>35</v>
      </c>
      <c r="T3878" t="str">
        <f t="shared" si="120"/>
        <v>Annually</v>
      </c>
      <c r="U3878">
        <f>VLOOKUP(T3878,[1]tablescore!$B$3:$C$8, 2,FALSE)</f>
        <v>1</v>
      </c>
      <c r="V3878" t="str">
        <f t="shared" si="121"/>
        <v>Low Loyalty</v>
      </c>
      <c r="W3878" t="s">
        <v>50</v>
      </c>
    </row>
    <row r="3879" spans="1:23" x14ac:dyDescent="0.25">
      <c r="A3879">
        <v>3878</v>
      </c>
      <c r="B3879">
        <v>28</v>
      </c>
      <c r="C3879" t="str" cm="1">
        <f t="array" ref="C3879">_xlfn.IFS(
  AND(B3879&gt;=18, B3879&lt;=24), "18-24",
  AND(B3879&gt;=25, B3879&lt;=34), "25-34",
  AND(B3879&gt;=35, B3879&lt;=44), "35-44",
  AND(B3879&gt;=45, B3879&lt;=54), "45-54",
  B3879&gt;=55, "55+"
)</f>
        <v>25-34</v>
      </c>
      <c r="D3879" t="s">
        <v>153</v>
      </c>
      <c r="E3879" t="s">
        <v>104</v>
      </c>
      <c r="F3879" t="s">
        <v>21</v>
      </c>
      <c r="G3879">
        <v>96</v>
      </c>
      <c r="H3879" t="s">
        <v>107</v>
      </c>
      <c r="I3879" t="s">
        <v>45</v>
      </c>
      <c r="J3879" t="s">
        <v>79</v>
      </c>
      <c r="K3879" t="s">
        <v>39</v>
      </c>
      <c r="L3879">
        <v>4.2</v>
      </c>
      <c r="M3879" t="s">
        <v>152</v>
      </c>
      <c r="N3879" t="s">
        <v>29</v>
      </c>
      <c r="O3879" t="s">
        <v>47</v>
      </c>
      <c r="P3879" t="s">
        <v>152</v>
      </c>
      <c r="Q3879" t="s">
        <v>152</v>
      </c>
      <c r="R3879">
        <v>46</v>
      </c>
      <c r="S3879" t="s">
        <v>59</v>
      </c>
      <c r="T3879" t="str">
        <f t="shared" si="120"/>
        <v>Month</v>
      </c>
      <c r="U3879">
        <f>VLOOKUP(T3879,[1]tablescore!$B$3:$C$8, 2,FALSE)</f>
        <v>12</v>
      </c>
      <c r="V3879" t="str">
        <f t="shared" si="121"/>
        <v>Moderate</v>
      </c>
      <c r="W3879" t="s">
        <v>88</v>
      </c>
    </row>
    <row r="3880" spans="1:23" x14ac:dyDescent="0.25">
      <c r="A3880">
        <v>3879</v>
      </c>
      <c r="B3880">
        <v>60</v>
      </c>
      <c r="C3880" t="str" cm="1">
        <f t="array" ref="C3880">_xlfn.IFS(
  AND(B3880&gt;=18, B3880&lt;=24), "18-24",
  AND(B3880&gt;=25, B3880&lt;=34), "25-34",
  AND(B3880&gt;=35, B3880&lt;=44), "35-44",
  AND(B3880&gt;=45, B3880&lt;=54), "45-54",
  B3880&gt;=55, "55+"
)</f>
        <v>55+</v>
      </c>
      <c r="D3880" t="s">
        <v>153</v>
      </c>
      <c r="E3880" t="s">
        <v>125</v>
      </c>
      <c r="F3880" t="s">
        <v>69</v>
      </c>
      <c r="G3880">
        <v>42</v>
      </c>
      <c r="H3880" t="s">
        <v>126</v>
      </c>
      <c r="I3880" t="s">
        <v>45</v>
      </c>
      <c r="J3880" t="s">
        <v>71</v>
      </c>
      <c r="K3880" t="s">
        <v>54</v>
      </c>
      <c r="L3880">
        <v>3.4</v>
      </c>
      <c r="M3880" t="s">
        <v>152</v>
      </c>
      <c r="N3880" t="s">
        <v>29</v>
      </c>
      <c r="O3880" t="s">
        <v>72</v>
      </c>
      <c r="P3880" t="s">
        <v>152</v>
      </c>
      <c r="Q3880" t="s">
        <v>152</v>
      </c>
      <c r="R3880">
        <v>24</v>
      </c>
      <c r="S3880" t="s">
        <v>27</v>
      </c>
      <c r="T3880" t="str">
        <f t="shared" si="120"/>
        <v>Annually</v>
      </c>
      <c r="U3880">
        <f>VLOOKUP(T3880,[1]tablescore!$B$3:$C$8, 2,FALSE)</f>
        <v>1</v>
      </c>
      <c r="V3880" t="str">
        <f t="shared" si="121"/>
        <v>Low Loyalty</v>
      </c>
      <c r="W3880" t="s">
        <v>50</v>
      </c>
    </row>
    <row r="3881" spans="1:23" x14ac:dyDescent="0.25">
      <c r="A3881">
        <v>3880</v>
      </c>
      <c r="B3881">
        <v>26</v>
      </c>
      <c r="C3881" t="str" cm="1">
        <f t="array" ref="C3881">_xlfn.IFS(
  AND(B3881&gt;=18, B3881&lt;=24), "18-24",
  AND(B3881&gt;=25, B3881&lt;=34), "25-34",
  AND(B3881&gt;=35, B3881&lt;=44), "35-44",
  AND(B3881&gt;=45, B3881&lt;=54), "45-54",
  B3881&gt;=55, "55+"
)</f>
        <v>25-34</v>
      </c>
      <c r="D3881" t="s">
        <v>153</v>
      </c>
      <c r="E3881" t="s">
        <v>87</v>
      </c>
      <c r="F3881" t="s">
        <v>21</v>
      </c>
      <c r="G3881">
        <v>63</v>
      </c>
      <c r="H3881" t="s">
        <v>103</v>
      </c>
      <c r="I3881" t="s">
        <v>23</v>
      </c>
      <c r="J3881" t="s">
        <v>33</v>
      </c>
      <c r="K3881" t="s">
        <v>25</v>
      </c>
      <c r="L3881">
        <v>4.0999999999999996</v>
      </c>
      <c r="M3881" t="s">
        <v>152</v>
      </c>
      <c r="N3881" t="s">
        <v>35</v>
      </c>
      <c r="O3881" t="s">
        <v>40</v>
      </c>
      <c r="P3881" t="s">
        <v>152</v>
      </c>
      <c r="Q3881" t="s">
        <v>152</v>
      </c>
      <c r="R3881">
        <v>6</v>
      </c>
      <c r="S3881" t="s">
        <v>59</v>
      </c>
      <c r="T3881" t="str">
        <f t="shared" si="120"/>
        <v>Quarterly</v>
      </c>
      <c r="U3881">
        <f>VLOOKUP(T3881,[1]tablescore!$B$3:$C$8, 2,FALSE)</f>
        <v>4</v>
      </c>
      <c r="V3881" t="str">
        <f t="shared" si="121"/>
        <v>Low Loyalty</v>
      </c>
      <c r="W3881" t="s">
        <v>60</v>
      </c>
    </row>
    <row r="3882" spans="1:23" x14ac:dyDescent="0.25">
      <c r="A3882">
        <v>3881</v>
      </c>
      <c r="B3882">
        <v>42</v>
      </c>
      <c r="C3882" t="str" cm="1">
        <f t="array" ref="C3882">_xlfn.IFS(
  AND(B3882&gt;=18, B3882&lt;=24), "18-24",
  AND(B3882&gt;=25, B3882&lt;=34), "25-34",
  AND(B3882&gt;=35, B3882&lt;=44), "35-44",
  AND(B3882&gt;=45, B3882&lt;=54), "45-54",
  B3882&gt;=55, "55+"
)</f>
        <v>35-44</v>
      </c>
      <c r="D3882" t="s">
        <v>153</v>
      </c>
      <c r="E3882" t="s">
        <v>56</v>
      </c>
      <c r="F3882" t="s">
        <v>21</v>
      </c>
      <c r="G3882">
        <v>20</v>
      </c>
      <c r="H3882" t="s">
        <v>37</v>
      </c>
      <c r="I3882" t="s">
        <v>45</v>
      </c>
      <c r="J3882" t="s">
        <v>108</v>
      </c>
      <c r="K3882" t="s">
        <v>25</v>
      </c>
      <c r="L3882">
        <v>3.9</v>
      </c>
      <c r="M3882" t="s">
        <v>152</v>
      </c>
      <c r="N3882" t="s">
        <v>27</v>
      </c>
      <c r="O3882" t="s">
        <v>40</v>
      </c>
      <c r="P3882" t="s">
        <v>152</v>
      </c>
      <c r="Q3882" t="s">
        <v>152</v>
      </c>
      <c r="R3882">
        <v>40</v>
      </c>
      <c r="S3882" t="s">
        <v>46</v>
      </c>
      <c r="T3882" t="str">
        <f t="shared" si="120"/>
        <v>Month</v>
      </c>
      <c r="U3882">
        <f>VLOOKUP(T3882,[1]tablescore!$B$3:$C$8, 2,FALSE)</f>
        <v>12</v>
      </c>
      <c r="V3882" t="str">
        <f t="shared" si="121"/>
        <v>Moderate</v>
      </c>
      <c r="W3882" t="s">
        <v>88</v>
      </c>
    </row>
    <row r="3883" spans="1:23" x14ac:dyDescent="0.25">
      <c r="A3883">
        <v>3882</v>
      </c>
      <c r="B3883">
        <v>56</v>
      </c>
      <c r="C3883" t="str" cm="1">
        <f t="array" ref="C3883">_xlfn.IFS(
  AND(B3883&gt;=18, B3883&lt;=24), "18-24",
  AND(B3883&gt;=25, B3883&lt;=34), "25-34",
  AND(B3883&gt;=35, B3883&lt;=44), "35-44",
  AND(B3883&gt;=45, B3883&lt;=54), "45-54",
  B3883&gt;=55, "55+"
)</f>
        <v>55+</v>
      </c>
      <c r="D3883" t="s">
        <v>153</v>
      </c>
      <c r="E3883" t="s">
        <v>119</v>
      </c>
      <c r="F3883" t="s">
        <v>69</v>
      </c>
      <c r="G3883">
        <v>25</v>
      </c>
      <c r="H3883" t="s">
        <v>142</v>
      </c>
      <c r="I3883" t="s">
        <v>23</v>
      </c>
      <c r="J3883" t="s">
        <v>67</v>
      </c>
      <c r="K3883" t="s">
        <v>39</v>
      </c>
      <c r="L3883">
        <v>2.8</v>
      </c>
      <c r="M3883" t="s">
        <v>152</v>
      </c>
      <c r="N3883" t="s">
        <v>46</v>
      </c>
      <c r="O3883" t="s">
        <v>72</v>
      </c>
      <c r="P3883" t="s">
        <v>152</v>
      </c>
      <c r="Q3883" t="s">
        <v>152</v>
      </c>
      <c r="R3883">
        <v>17</v>
      </c>
      <c r="S3883" t="s">
        <v>59</v>
      </c>
      <c r="T3883" t="str">
        <f t="shared" si="120"/>
        <v>Daily</v>
      </c>
      <c r="U3883">
        <f>VLOOKUP(T3883,[1]tablescore!$B$3:$C$8, 2,FALSE)</f>
        <v>30</v>
      </c>
      <c r="V3883" t="str">
        <f t="shared" si="121"/>
        <v>Highly Loyal</v>
      </c>
      <c r="W3883" t="s">
        <v>41</v>
      </c>
    </row>
    <row r="3884" spans="1:23" x14ac:dyDescent="0.25">
      <c r="A3884">
        <v>3883</v>
      </c>
      <c r="B3884">
        <v>35</v>
      </c>
      <c r="C3884" t="str" cm="1">
        <f t="array" ref="C3884">_xlfn.IFS(
  AND(B3884&gt;=18, B3884&lt;=24), "18-24",
  AND(B3884&gt;=25, B3884&lt;=34), "25-34",
  AND(B3884&gt;=35, B3884&lt;=44), "35-44",
  AND(B3884&gt;=45, B3884&lt;=54), "45-54",
  B3884&gt;=55, "55+"
)</f>
        <v>35-44</v>
      </c>
      <c r="D3884" t="s">
        <v>153</v>
      </c>
      <c r="E3884" t="s">
        <v>95</v>
      </c>
      <c r="F3884" t="s">
        <v>21</v>
      </c>
      <c r="G3884">
        <v>95</v>
      </c>
      <c r="H3884" t="s">
        <v>114</v>
      </c>
      <c r="I3884" t="s">
        <v>23</v>
      </c>
      <c r="J3884" t="s">
        <v>138</v>
      </c>
      <c r="K3884" t="s">
        <v>58</v>
      </c>
      <c r="L3884">
        <v>2.6</v>
      </c>
      <c r="M3884" t="s">
        <v>152</v>
      </c>
      <c r="N3884" t="s">
        <v>27</v>
      </c>
      <c r="O3884" t="s">
        <v>40</v>
      </c>
      <c r="P3884" t="s">
        <v>152</v>
      </c>
      <c r="Q3884" t="s">
        <v>152</v>
      </c>
      <c r="R3884">
        <v>24</v>
      </c>
      <c r="S3884" t="s">
        <v>35</v>
      </c>
      <c r="T3884" t="str">
        <f t="shared" si="120"/>
        <v>2-week</v>
      </c>
      <c r="U3884">
        <f>VLOOKUP(T3884,[1]tablescore!$B$3:$C$8, 2,FALSE)</f>
        <v>26</v>
      </c>
      <c r="V3884" t="str">
        <f t="shared" si="121"/>
        <v>Loyal</v>
      </c>
      <c r="W3884" t="s">
        <v>30</v>
      </c>
    </row>
    <row r="3885" spans="1:23" x14ac:dyDescent="0.25">
      <c r="A3885">
        <v>3884</v>
      </c>
      <c r="B3885">
        <v>34</v>
      </c>
      <c r="C3885" t="str" cm="1">
        <f t="array" ref="C3885">_xlfn.IFS(
  AND(B3885&gt;=18, B3885&lt;=24), "18-24",
  AND(B3885&gt;=25, B3885&lt;=34), "25-34",
  AND(B3885&gt;=35, B3885&lt;=44), "35-44",
  AND(B3885&gt;=45, B3885&lt;=54), "45-54",
  B3885&gt;=55, "55+"
)</f>
        <v>25-34</v>
      </c>
      <c r="D3885" t="s">
        <v>153</v>
      </c>
      <c r="E3885" t="s">
        <v>125</v>
      </c>
      <c r="F3885" t="s">
        <v>69</v>
      </c>
      <c r="G3885">
        <v>38</v>
      </c>
      <c r="H3885" t="s">
        <v>114</v>
      </c>
      <c r="I3885" t="s">
        <v>92</v>
      </c>
      <c r="J3885" t="s">
        <v>75</v>
      </c>
      <c r="K3885" t="s">
        <v>58</v>
      </c>
      <c r="L3885">
        <v>4</v>
      </c>
      <c r="M3885" t="s">
        <v>152</v>
      </c>
      <c r="N3885" t="s">
        <v>34</v>
      </c>
      <c r="O3885" t="s">
        <v>47</v>
      </c>
      <c r="P3885" t="s">
        <v>152</v>
      </c>
      <c r="Q3885" t="s">
        <v>152</v>
      </c>
      <c r="R3885">
        <v>22</v>
      </c>
      <c r="S3885" t="s">
        <v>35</v>
      </c>
      <c r="T3885" t="str">
        <f t="shared" si="120"/>
        <v>2-week</v>
      </c>
      <c r="U3885">
        <f>VLOOKUP(T3885,[1]tablescore!$B$3:$C$8, 2,FALSE)</f>
        <v>26</v>
      </c>
      <c r="V3885" t="str">
        <f t="shared" si="121"/>
        <v>Loyal</v>
      </c>
      <c r="W3885" t="s">
        <v>30</v>
      </c>
    </row>
    <row r="3886" spans="1:23" x14ac:dyDescent="0.25">
      <c r="A3886">
        <v>3885</v>
      </c>
      <c r="B3886">
        <v>47</v>
      </c>
      <c r="C3886" t="str" cm="1">
        <f t="array" ref="C3886">_xlfn.IFS(
  AND(B3886&gt;=18, B3886&lt;=24), "18-24",
  AND(B3886&gt;=25, B3886&lt;=34), "25-34",
  AND(B3886&gt;=35, B3886&lt;=44), "35-44",
  AND(B3886&gt;=45, B3886&lt;=54), "45-54",
  B3886&gt;=55, "55+"
)</f>
        <v>45-54</v>
      </c>
      <c r="D3886" t="s">
        <v>153</v>
      </c>
      <c r="E3886" t="s">
        <v>42</v>
      </c>
      <c r="F3886" t="s">
        <v>43</v>
      </c>
      <c r="G3886">
        <v>29</v>
      </c>
      <c r="H3886" t="s">
        <v>135</v>
      </c>
      <c r="I3886" t="s">
        <v>45</v>
      </c>
      <c r="J3886" t="s">
        <v>110</v>
      </c>
      <c r="K3886" t="s">
        <v>58</v>
      </c>
      <c r="L3886">
        <v>4.9000000000000004</v>
      </c>
      <c r="M3886" t="s">
        <v>152</v>
      </c>
      <c r="N3886" t="s">
        <v>59</v>
      </c>
      <c r="O3886" t="s">
        <v>28</v>
      </c>
      <c r="P3886" t="s">
        <v>152</v>
      </c>
      <c r="Q3886" t="s">
        <v>152</v>
      </c>
      <c r="R3886">
        <v>3</v>
      </c>
      <c r="S3886" t="s">
        <v>46</v>
      </c>
      <c r="T3886" t="str">
        <f t="shared" si="120"/>
        <v>Daily</v>
      </c>
      <c r="U3886">
        <f>VLOOKUP(T3886,[1]tablescore!$B$3:$C$8, 2,FALSE)</f>
        <v>30</v>
      </c>
      <c r="V3886" t="str">
        <f t="shared" si="121"/>
        <v>Highly Loyal</v>
      </c>
      <c r="W3886" t="s">
        <v>41</v>
      </c>
    </row>
    <row r="3887" spans="1:23" x14ac:dyDescent="0.25">
      <c r="A3887">
        <v>3886</v>
      </c>
      <c r="B3887">
        <v>49</v>
      </c>
      <c r="C3887" t="str" cm="1">
        <f t="array" ref="C3887">_xlfn.IFS(
  AND(B3887&gt;=18, B3887&lt;=24), "18-24",
  AND(B3887&gt;=25, B3887&lt;=34), "25-34",
  AND(B3887&gt;=35, B3887&lt;=44), "35-44",
  AND(B3887&gt;=45, B3887&lt;=54), "45-54",
  B3887&gt;=55, "55+"
)</f>
        <v>45-54</v>
      </c>
      <c r="D3887" t="s">
        <v>153</v>
      </c>
      <c r="E3887" t="s">
        <v>131</v>
      </c>
      <c r="F3887" t="s">
        <v>21</v>
      </c>
      <c r="G3887">
        <v>64</v>
      </c>
      <c r="H3887" t="s">
        <v>123</v>
      </c>
      <c r="I3887" t="s">
        <v>23</v>
      </c>
      <c r="J3887" t="s">
        <v>75</v>
      </c>
      <c r="K3887" t="s">
        <v>25</v>
      </c>
      <c r="L3887">
        <v>3.2</v>
      </c>
      <c r="M3887" t="s">
        <v>152</v>
      </c>
      <c r="N3887" t="s">
        <v>29</v>
      </c>
      <c r="O3887" t="s">
        <v>40</v>
      </c>
      <c r="P3887" t="s">
        <v>152</v>
      </c>
      <c r="Q3887" t="s">
        <v>152</v>
      </c>
      <c r="R3887">
        <v>39</v>
      </c>
      <c r="S3887" t="s">
        <v>35</v>
      </c>
      <c r="T3887" t="str">
        <f t="shared" si="120"/>
        <v>Quarterly</v>
      </c>
      <c r="U3887">
        <f>VLOOKUP(T3887,[1]tablescore!$B$3:$C$8, 2,FALSE)</f>
        <v>4</v>
      </c>
      <c r="V3887" t="str">
        <f t="shared" si="121"/>
        <v>Low Loyalty</v>
      </c>
      <c r="W3887" t="s">
        <v>60</v>
      </c>
    </row>
    <row r="3888" spans="1:23" x14ac:dyDescent="0.25">
      <c r="A3888">
        <v>3887</v>
      </c>
      <c r="B3888">
        <v>37</v>
      </c>
      <c r="C3888" t="str" cm="1">
        <f t="array" ref="C3888">_xlfn.IFS(
  AND(B3888&gt;=18, B3888&lt;=24), "18-24",
  AND(B3888&gt;=25, B3888&lt;=34), "25-34",
  AND(B3888&gt;=35, B3888&lt;=44), "35-44",
  AND(B3888&gt;=45, B3888&lt;=54), "45-54",
  B3888&gt;=55, "55+"
)</f>
        <v>35-44</v>
      </c>
      <c r="D3888" t="s">
        <v>153</v>
      </c>
      <c r="E3888" t="s">
        <v>106</v>
      </c>
      <c r="F3888" t="s">
        <v>69</v>
      </c>
      <c r="G3888">
        <v>92</v>
      </c>
      <c r="H3888" t="s">
        <v>150</v>
      </c>
      <c r="I3888" t="s">
        <v>38</v>
      </c>
      <c r="J3888" t="s">
        <v>110</v>
      </c>
      <c r="K3888" t="s">
        <v>54</v>
      </c>
      <c r="L3888">
        <v>3.9</v>
      </c>
      <c r="M3888" t="s">
        <v>152</v>
      </c>
      <c r="N3888" t="s">
        <v>34</v>
      </c>
      <c r="O3888" t="s">
        <v>28</v>
      </c>
      <c r="P3888" t="s">
        <v>152</v>
      </c>
      <c r="Q3888" t="s">
        <v>152</v>
      </c>
      <c r="R3888">
        <v>40</v>
      </c>
      <c r="S3888" t="s">
        <v>59</v>
      </c>
      <c r="T3888" t="str">
        <f t="shared" si="120"/>
        <v>Quarterly</v>
      </c>
      <c r="U3888">
        <f>VLOOKUP(T3888,[1]tablescore!$B$3:$C$8, 2,FALSE)</f>
        <v>4</v>
      </c>
      <c r="V3888" t="str">
        <f t="shared" si="121"/>
        <v>Low Loyalty</v>
      </c>
      <c r="W3888" t="s">
        <v>60</v>
      </c>
    </row>
    <row r="3889" spans="1:23" x14ac:dyDescent="0.25">
      <c r="A3889">
        <v>3888</v>
      </c>
      <c r="B3889">
        <v>40</v>
      </c>
      <c r="C3889" t="str" cm="1">
        <f t="array" ref="C3889">_xlfn.IFS(
  AND(B3889&gt;=18, B3889&lt;=24), "18-24",
  AND(B3889&gt;=25, B3889&lt;=34), "25-34",
  AND(B3889&gt;=35, B3889&lt;=44), "35-44",
  AND(B3889&gt;=45, B3889&lt;=54), "45-54",
  B3889&gt;=55, "55+"
)</f>
        <v>35-44</v>
      </c>
      <c r="D3889" t="s">
        <v>153</v>
      </c>
      <c r="E3889" t="s">
        <v>56</v>
      </c>
      <c r="F3889" t="s">
        <v>21</v>
      </c>
      <c r="G3889">
        <v>34</v>
      </c>
      <c r="H3889" t="s">
        <v>111</v>
      </c>
      <c r="I3889" t="s">
        <v>45</v>
      </c>
      <c r="J3889" t="s">
        <v>63</v>
      </c>
      <c r="K3889" t="s">
        <v>39</v>
      </c>
      <c r="L3889">
        <v>2.7</v>
      </c>
      <c r="M3889" t="s">
        <v>152</v>
      </c>
      <c r="N3889" t="s">
        <v>46</v>
      </c>
      <c r="O3889" t="s">
        <v>28</v>
      </c>
      <c r="P3889" t="s">
        <v>152</v>
      </c>
      <c r="Q3889" t="s">
        <v>152</v>
      </c>
      <c r="R3889">
        <v>1</v>
      </c>
      <c r="S3889" t="s">
        <v>27</v>
      </c>
      <c r="T3889" t="str">
        <f t="shared" si="120"/>
        <v>Quarterly</v>
      </c>
      <c r="U3889">
        <f>VLOOKUP(T3889,[1]tablescore!$B$3:$C$8, 2,FALSE)</f>
        <v>4</v>
      </c>
      <c r="V3889" t="str">
        <f t="shared" si="121"/>
        <v>Low Loyalty</v>
      </c>
      <c r="W3889" t="s">
        <v>60</v>
      </c>
    </row>
    <row r="3890" spans="1:23" x14ac:dyDescent="0.25">
      <c r="A3890">
        <v>3889</v>
      </c>
      <c r="B3890">
        <v>45</v>
      </c>
      <c r="C3890" t="str" cm="1">
        <f t="array" ref="C3890">_xlfn.IFS(
  AND(B3890&gt;=18, B3890&lt;=24), "18-24",
  AND(B3890&gt;=25, B3890&lt;=34), "25-34",
  AND(B3890&gt;=35, B3890&lt;=44), "35-44",
  AND(B3890&gt;=45, B3890&lt;=54), "45-54",
  B3890&gt;=55, "55+"
)</f>
        <v>45-54</v>
      </c>
      <c r="D3890" t="s">
        <v>153</v>
      </c>
      <c r="E3890" t="s">
        <v>51</v>
      </c>
      <c r="F3890" t="s">
        <v>43</v>
      </c>
      <c r="G3890">
        <v>69</v>
      </c>
      <c r="H3890" t="s">
        <v>128</v>
      </c>
      <c r="I3890" t="s">
        <v>45</v>
      </c>
      <c r="J3890" t="s">
        <v>84</v>
      </c>
      <c r="K3890" t="s">
        <v>39</v>
      </c>
      <c r="L3890">
        <v>3.4</v>
      </c>
      <c r="M3890" t="s">
        <v>152</v>
      </c>
      <c r="N3890" t="s">
        <v>34</v>
      </c>
      <c r="O3890" t="s">
        <v>55</v>
      </c>
      <c r="P3890" t="s">
        <v>152</v>
      </c>
      <c r="Q3890" t="s">
        <v>152</v>
      </c>
      <c r="R3890">
        <v>14</v>
      </c>
      <c r="S3890" t="s">
        <v>29</v>
      </c>
      <c r="T3890" t="str">
        <f t="shared" si="120"/>
        <v>2-week</v>
      </c>
      <c r="U3890">
        <f>VLOOKUP(T3890,[1]tablescore!$B$3:$C$8, 2,FALSE)</f>
        <v>26</v>
      </c>
      <c r="V3890" t="str">
        <f t="shared" si="121"/>
        <v>Loyal</v>
      </c>
      <c r="W3890" t="s">
        <v>77</v>
      </c>
    </row>
    <row r="3891" spans="1:23" x14ac:dyDescent="0.25">
      <c r="A3891">
        <v>3890</v>
      </c>
      <c r="B3891">
        <v>57</v>
      </c>
      <c r="C3891" t="str" cm="1">
        <f t="array" ref="C3891">_xlfn.IFS(
  AND(B3891&gt;=18, B3891&lt;=24), "18-24",
  AND(B3891&gt;=25, B3891&lt;=34), "25-34",
  AND(B3891&gt;=35, B3891&lt;=44), "35-44",
  AND(B3891&gt;=45, B3891&lt;=54), "45-54",
  B3891&gt;=55, "55+"
)</f>
        <v>55+</v>
      </c>
      <c r="D3891" t="s">
        <v>153</v>
      </c>
      <c r="E3891" t="s">
        <v>82</v>
      </c>
      <c r="F3891" t="s">
        <v>21</v>
      </c>
      <c r="G3891">
        <v>65</v>
      </c>
      <c r="H3891" t="s">
        <v>120</v>
      </c>
      <c r="I3891" t="s">
        <v>38</v>
      </c>
      <c r="J3891" t="s">
        <v>139</v>
      </c>
      <c r="K3891" t="s">
        <v>39</v>
      </c>
      <c r="L3891">
        <v>3.5</v>
      </c>
      <c r="M3891" t="s">
        <v>152</v>
      </c>
      <c r="N3891" t="s">
        <v>59</v>
      </c>
      <c r="O3891" t="s">
        <v>28</v>
      </c>
      <c r="P3891" t="s">
        <v>152</v>
      </c>
      <c r="Q3891" t="s">
        <v>152</v>
      </c>
      <c r="R3891">
        <v>49</v>
      </c>
      <c r="S3891" t="s">
        <v>34</v>
      </c>
      <c r="T3891" t="str">
        <f t="shared" si="120"/>
        <v>Annually</v>
      </c>
      <c r="U3891">
        <f>VLOOKUP(T3891,[1]tablescore!$B$3:$C$8, 2,FALSE)</f>
        <v>1</v>
      </c>
      <c r="V3891" t="str">
        <f t="shared" si="121"/>
        <v>Low Loyalty</v>
      </c>
      <c r="W3891" t="s">
        <v>50</v>
      </c>
    </row>
    <row r="3892" spans="1:23" x14ac:dyDescent="0.25">
      <c r="A3892">
        <v>3891</v>
      </c>
      <c r="B3892">
        <v>35</v>
      </c>
      <c r="C3892" t="str" cm="1">
        <f t="array" ref="C3892">_xlfn.IFS(
  AND(B3892&gt;=18, B3892&lt;=24), "18-24",
  AND(B3892&gt;=25, B3892&lt;=34), "25-34",
  AND(B3892&gt;=35, B3892&lt;=44), "35-44",
  AND(B3892&gt;=45, B3892&lt;=54), "45-54",
  B3892&gt;=55, "55+"
)</f>
        <v>35-44</v>
      </c>
      <c r="D3892" t="s">
        <v>153</v>
      </c>
      <c r="E3892" t="s">
        <v>56</v>
      </c>
      <c r="F3892" t="s">
        <v>21</v>
      </c>
      <c r="G3892">
        <v>81</v>
      </c>
      <c r="H3892" t="s">
        <v>143</v>
      </c>
      <c r="I3892" t="s">
        <v>92</v>
      </c>
      <c r="J3892" t="s">
        <v>96</v>
      </c>
      <c r="K3892" t="s">
        <v>25</v>
      </c>
      <c r="L3892">
        <v>2.6</v>
      </c>
      <c r="M3892" t="s">
        <v>152</v>
      </c>
      <c r="N3892" t="s">
        <v>27</v>
      </c>
      <c r="O3892" t="s">
        <v>55</v>
      </c>
      <c r="P3892" t="s">
        <v>152</v>
      </c>
      <c r="Q3892" t="s">
        <v>152</v>
      </c>
      <c r="R3892">
        <v>33</v>
      </c>
      <c r="S3892" t="s">
        <v>59</v>
      </c>
      <c r="T3892" t="str">
        <f t="shared" si="120"/>
        <v>Annually</v>
      </c>
      <c r="U3892">
        <f>VLOOKUP(T3892,[1]tablescore!$B$3:$C$8, 2,FALSE)</f>
        <v>1</v>
      </c>
      <c r="V3892" t="str">
        <f t="shared" si="121"/>
        <v>Low Loyalty</v>
      </c>
      <c r="W3892" t="s">
        <v>50</v>
      </c>
    </row>
    <row r="3893" spans="1:23" x14ac:dyDescent="0.25">
      <c r="A3893">
        <v>3892</v>
      </c>
      <c r="B3893">
        <v>36</v>
      </c>
      <c r="C3893" t="str" cm="1">
        <f t="array" ref="C3893">_xlfn.IFS(
  AND(B3893&gt;=18, B3893&lt;=24), "18-24",
  AND(B3893&gt;=25, B3893&lt;=34), "25-34",
  AND(B3893&gt;=35, B3893&lt;=44), "35-44",
  AND(B3893&gt;=45, B3893&lt;=54), "45-54",
  B3893&gt;=55, "55+"
)</f>
        <v>35-44</v>
      </c>
      <c r="D3893" t="s">
        <v>153</v>
      </c>
      <c r="E3893" t="s">
        <v>82</v>
      </c>
      <c r="F3893" t="s">
        <v>21</v>
      </c>
      <c r="G3893">
        <v>30</v>
      </c>
      <c r="H3893" t="s">
        <v>112</v>
      </c>
      <c r="I3893" t="s">
        <v>23</v>
      </c>
      <c r="J3893" t="s">
        <v>100</v>
      </c>
      <c r="K3893" t="s">
        <v>25</v>
      </c>
      <c r="L3893">
        <v>4.7</v>
      </c>
      <c r="M3893" t="s">
        <v>152</v>
      </c>
      <c r="N3893" t="s">
        <v>35</v>
      </c>
      <c r="O3893" t="s">
        <v>40</v>
      </c>
      <c r="P3893" t="s">
        <v>152</v>
      </c>
      <c r="Q3893" t="s">
        <v>152</v>
      </c>
      <c r="R3893">
        <v>6</v>
      </c>
      <c r="S3893" t="s">
        <v>34</v>
      </c>
      <c r="T3893" t="str">
        <f t="shared" si="120"/>
        <v>Quarterly</v>
      </c>
      <c r="U3893">
        <f>VLOOKUP(T3893,[1]tablescore!$B$3:$C$8, 2,FALSE)</f>
        <v>4</v>
      </c>
      <c r="V3893" t="str">
        <f t="shared" si="121"/>
        <v>Low Loyalty</v>
      </c>
      <c r="W3893" t="s">
        <v>60</v>
      </c>
    </row>
    <row r="3894" spans="1:23" x14ac:dyDescent="0.25">
      <c r="A3894">
        <v>3893</v>
      </c>
      <c r="B3894">
        <v>35</v>
      </c>
      <c r="C3894" t="str" cm="1">
        <f t="array" ref="C3894">_xlfn.IFS(
  AND(B3894&gt;=18, B3894&lt;=24), "18-24",
  AND(B3894&gt;=25, B3894&lt;=34), "25-34",
  AND(B3894&gt;=35, B3894&lt;=44), "35-44",
  AND(B3894&gt;=45, B3894&lt;=54), "45-54",
  B3894&gt;=55, "55+"
)</f>
        <v>35-44</v>
      </c>
      <c r="D3894" t="s">
        <v>153</v>
      </c>
      <c r="E3894" t="s">
        <v>106</v>
      </c>
      <c r="F3894" t="s">
        <v>69</v>
      </c>
      <c r="G3894">
        <v>86</v>
      </c>
      <c r="H3894" t="s">
        <v>151</v>
      </c>
      <c r="I3894" t="s">
        <v>23</v>
      </c>
      <c r="J3894" t="s">
        <v>129</v>
      </c>
      <c r="K3894" t="s">
        <v>54</v>
      </c>
      <c r="L3894">
        <v>3.5</v>
      </c>
      <c r="M3894" t="s">
        <v>152</v>
      </c>
      <c r="N3894" t="s">
        <v>34</v>
      </c>
      <c r="O3894" t="s">
        <v>55</v>
      </c>
      <c r="P3894" t="s">
        <v>152</v>
      </c>
      <c r="Q3894" t="s">
        <v>152</v>
      </c>
      <c r="R3894">
        <v>5</v>
      </c>
      <c r="S3894" t="s">
        <v>46</v>
      </c>
      <c r="T3894" t="str">
        <f t="shared" si="120"/>
        <v>2-week</v>
      </c>
      <c r="U3894">
        <f>VLOOKUP(T3894,[1]tablescore!$B$3:$C$8, 2,FALSE)</f>
        <v>26</v>
      </c>
      <c r="V3894" t="str">
        <f t="shared" si="121"/>
        <v>Loyal</v>
      </c>
      <c r="W3894" t="s">
        <v>30</v>
      </c>
    </row>
    <row r="3895" spans="1:23" x14ac:dyDescent="0.25">
      <c r="A3895">
        <v>3894</v>
      </c>
      <c r="B3895">
        <v>21</v>
      </c>
      <c r="C3895" t="str" cm="1">
        <f t="array" ref="C3895">_xlfn.IFS(
  AND(B3895&gt;=18, B3895&lt;=24), "18-24",
  AND(B3895&gt;=25, B3895&lt;=34), "25-34",
  AND(B3895&gt;=35, B3895&lt;=44), "35-44",
  AND(B3895&gt;=45, B3895&lt;=54), "45-54",
  B3895&gt;=55, "55+"
)</f>
        <v>18-24</v>
      </c>
      <c r="D3895" t="s">
        <v>153</v>
      </c>
      <c r="E3895" t="s">
        <v>125</v>
      </c>
      <c r="F3895" t="s">
        <v>69</v>
      </c>
      <c r="G3895">
        <v>64</v>
      </c>
      <c r="H3895" t="s">
        <v>37</v>
      </c>
      <c r="I3895" t="s">
        <v>23</v>
      </c>
      <c r="J3895" t="s">
        <v>53</v>
      </c>
      <c r="K3895" t="s">
        <v>58</v>
      </c>
      <c r="L3895">
        <v>3.3</v>
      </c>
      <c r="M3895" t="s">
        <v>152</v>
      </c>
      <c r="N3895" t="s">
        <v>34</v>
      </c>
      <c r="O3895" t="s">
        <v>76</v>
      </c>
      <c r="P3895" t="s">
        <v>152</v>
      </c>
      <c r="Q3895" t="s">
        <v>152</v>
      </c>
      <c r="R3895">
        <v>29</v>
      </c>
      <c r="S3895" t="s">
        <v>34</v>
      </c>
      <c r="T3895" t="str">
        <f t="shared" si="120"/>
        <v>2-week</v>
      </c>
      <c r="U3895">
        <f>VLOOKUP(T3895,[1]tablescore!$B$3:$C$8, 2,FALSE)</f>
        <v>26</v>
      </c>
      <c r="V3895" t="str">
        <f t="shared" si="121"/>
        <v>Loyal</v>
      </c>
      <c r="W3895" t="s">
        <v>77</v>
      </c>
    </row>
    <row r="3896" spans="1:23" x14ac:dyDescent="0.25">
      <c r="A3896">
        <v>3895</v>
      </c>
      <c r="B3896">
        <v>66</v>
      </c>
      <c r="C3896" t="str" cm="1">
        <f t="array" ref="C3896">_xlfn.IFS(
  AND(B3896&gt;=18, B3896&lt;=24), "18-24",
  AND(B3896&gt;=25, B3896&lt;=34), "25-34",
  AND(B3896&gt;=35, B3896&lt;=44), "35-44",
  AND(B3896&gt;=45, B3896&lt;=54), "45-54",
  B3896&gt;=55, "55+"
)</f>
        <v>55+</v>
      </c>
      <c r="D3896" t="s">
        <v>153</v>
      </c>
      <c r="E3896" t="s">
        <v>87</v>
      </c>
      <c r="F3896" t="s">
        <v>21</v>
      </c>
      <c r="G3896">
        <v>78</v>
      </c>
      <c r="H3896" t="s">
        <v>146</v>
      </c>
      <c r="I3896" t="s">
        <v>23</v>
      </c>
      <c r="J3896" t="s">
        <v>53</v>
      </c>
      <c r="K3896" t="s">
        <v>39</v>
      </c>
      <c r="L3896">
        <v>3.9</v>
      </c>
      <c r="M3896" t="s">
        <v>152</v>
      </c>
      <c r="N3896" t="s">
        <v>35</v>
      </c>
      <c r="O3896" t="s">
        <v>72</v>
      </c>
      <c r="P3896" t="s">
        <v>152</v>
      </c>
      <c r="Q3896" t="s">
        <v>152</v>
      </c>
      <c r="R3896">
        <v>44</v>
      </c>
      <c r="S3896" t="s">
        <v>27</v>
      </c>
      <c r="T3896" t="str">
        <f t="shared" si="120"/>
        <v>Quarterly</v>
      </c>
      <c r="U3896">
        <f>VLOOKUP(T3896,[1]tablescore!$B$3:$C$8, 2,FALSE)</f>
        <v>4</v>
      </c>
      <c r="V3896" t="str">
        <f t="shared" si="121"/>
        <v>Low Loyalty</v>
      </c>
      <c r="W3896" t="s">
        <v>97</v>
      </c>
    </row>
    <row r="3897" spans="1:23" x14ac:dyDescent="0.25">
      <c r="A3897">
        <v>3896</v>
      </c>
      <c r="B3897">
        <v>40</v>
      </c>
      <c r="C3897" t="str" cm="1">
        <f t="array" ref="C3897">_xlfn.IFS(
  AND(B3897&gt;=18, B3897&lt;=24), "18-24",
  AND(B3897&gt;=25, B3897&lt;=34), "25-34",
  AND(B3897&gt;=35, B3897&lt;=44), "35-44",
  AND(B3897&gt;=45, B3897&lt;=54), "45-54",
  B3897&gt;=55, "55+"
)</f>
        <v>35-44</v>
      </c>
      <c r="D3897" t="s">
        <v>153</v>
      </c>
      <c r="E3897" t="s">
        <v>104</v>
      </c>
      <c r="F3897" t="s">
        <v>21</v>
      </c>
      <c r="G3897">
        <v>28</v>
      </c>
      <c r="H3897" t="s">
        <v>128</v>
      </c>
      <c r="I3897" t="s">
        <v>23</v>
      </c>
      <c r="J3897" t="s">
        <v>49</v>
      </c>
      <c r="K3897" t="s">
        <v>54</v>
      </c>
      <c r="L3897">
        <v>4.2</v>
      </c>
      <c r="M3897" t="s">
        <v>152</v>
      </c>
      <c r="N3897" t="s">
        <v>35</v>
      </c>
      <c r="O3897" t="s">
        <v>72</v>
      </c>
      <c r="P3897" t="s">
        <v>152</v>
      </c>
      <c r="Q3897" t="s">
        <v>152</v>
      </c>
      <c r="R3897">
        <v>32</v>
      </c>
      <c r="S3897" t="s">
        <v>29</v>
      </c>
      <c r="T3897" t="str">
        <f t="shared" si="120"/>
        <v>Daily</v>
      </c>
      <c r="U3897">
        <f>VLOOKUP(T3897,[1]tablescore!$B$3:$C$8, 2,FALSE)</f>
        <v>30</v>
      </c>
      <c r="V3897" t="str">
        <f t="shared" si="121"/>
        <v>Highly Loyal</v>
      </c>
      <c r="W3897" t="s">
        <v>41</v>
      </c>
    </row>
    <row r="3898" spans="1:23" x14ac:dyDescent="0.25">
      <c r="A3898">
        <v>3897</v>
      </c>
      <c r="B3898">
        <v>52</v>
      </c>
      <c r="C3898" t="str" cm="1">
        <f t="array" ref="C3898">_xlfn.IFS(
  AND(B3898&gt;=18, B3898&lt;=24), "18-24",
  AND(B3898&gt;=25, B3898&lt;=34), "25-34",
  AND(B3898&gt;=35, B3898&lt;=44), "35-44",
  AND(B3898&gt;=45, B3898&lt;=54), "45-54",
  B3898&gt;=55, "55+"
)</f>
        <v>45-54</v>
      </c>
      <c r="D3898" t="s">
        <v>153</v>
      </c>
      <c r="E3898" t="s">
        <v>133</v>
      </c>
      <c r="F3898" t="s">
        <v>69</v>
      </c>
      <c r="G3898">
        <v>49</v>
      </c>
      <c r="H3898" t="s">
        <v>150</v>
      </c>
      <c r="I3898" t="s">
        <v>23</v>
      </c>
      <c r="J3898" t="s">
        <v>53</v>
      </c>
      <c r="K3898" t="s">
        <v>39</v>
      </c>
      <c r="L3898">
        <v>4.5</v>
      </c>
      <c r="M3898" t="s">
        <v>152</v>
      </c>
      <c r="N3898" t="s">
        <v>46</v>
      </c>
      <c r="O3898" t="s">
        <v>76</v>
      </c>
      <c r="P3898" t="s">
        <v>152</v>
      </c>
      <c r="Q3898" t="s">
        <v>152</v>
      </c>
      <c r="R3898">
        <v>41</v>
      </c>
      <c r="S3898" t="s">
        <v>34</v>
      </c>
      <c r="T3898" t="str">
        <f t="shared" si="120"/>
        <v>2-week</v>
      </c>
      <c r="U3898">
        <f>VLOOKUP(T3898,[1]tablescore!$B$3:$C$8, 2,FALSE)</f>
        <v>26</v>
      </c>
      <c r="V3898" t="str">
        <f t="shared" si="121"/>
        <v>Loyal</v>
      </c>
      <c r="W3898" t="s">
        <v>77</v>
      </c>
    </row>
    <row r="3899" spans="1:23" x14ac:dyDescent="0.25">
      <c r="A3899">
        <v>3898</v>
      </c>
      <c r="B3899">
        <v>46</v>
      </c>
      <c r="C3899" t="str" cm="1">
        <f t="array" ref="C3899">_xlfn.IFS(
  AND(B3899&gt;=18, B3899&lt;=24), "18-24",
  AND(B3899&gt;=25, B3899&lt;=34), "25-34",
  AND(B3899&gt;=35, B3899&lt;=44), "35-44",
  AND(B3899&gt;=45, B3899&lt;=54), "45-54",
  B3899&gt;=55, "55+"
)</f>
        <v>45-54</v>
      </c>
      <c r="D3899" t="s">
        <v>153</v>
      </c>
      <c r="E3899" t="s">
        <v>136</v>
      </c>
      <c r="F3899" t="s">
        <v>69</v>
      </c>
      <c r="G3899">
        <v>33</v>
      </c>
      <c r="H3899" t="s">
        <v>137</v>
      </c>
      <c r="I3899" t="s">
        <v>23</v>
      </c>
      <c r="J3899" t="s">
        <v>96</v>
      </c>
      <c r="K3899" t="s">
        <v>39</v>
      </c>
      <c r="L3899">
        <v>2.9</v>
      </c>
      <c r="M3899" t="s">
        <v>152</v>
      </c>
      <c r="N3899" t="s">
        <v>27</v>
      </c>
      <c r="O3899" t="s">
        <v>55</v>
      </c>
      <c r="P3899" t="s">
        <v>152</v>
      </c>
      <c r="Q3899" t="s">
        <v>152</v>
      </c>
      <c r="R3899">
        <v>24</v>
      </c>
      <c r="S3899" t="s">
        <v>29</v>
      </c>
      <c r="T3899" t="str">
        <f t="shared" si="120"/>
        <v>Quarterly</v>
      </c>
      <c r="U3899">
        <f>VLOOKUP(T3899,[1]tablescore!$B$3:$C$8, 2,FALSE)</f>
        <v>4</v>
      </c>
      <c r="V3899" t="str">
        <f t="shared" si="121"/>
        <v>Low Loyalty</v>
      </c>
      <c r="W3899" t="s">
        <v>60</v>
      </c>
    </row>
    <row r="3900" spans="1:23" x14ac:dyDescent="0.25">
      <c r="A3900">
        <v>3899</v>
      </c>
      <c r="B3900">
        <v>44</v>
      </c>
      <c r="C3900" t="str" cm="1">
        <f t="array" ref="C3900">_xlfn.IFS(
  AND(B3900&gt;=18, B3900&lt;=24), "18-24",
  AND(B3900&gt;=25, B3900&lt;=34), "25-34",
  AND(B3900&gt;=35, B3900&lt;=44), "35-44",
  AND(B3900&gt;=45, B3900&lt;=54), "45-54",
  B3900&gt;=55, "55+"
)</f>
        <v>35-44</v>
      </c>
      <c r="D3900" t="s">
        <v>153</v>
      </c>
      <c r="E3900" t="s">
        <v>73</v>
      </c>
      <c r="F3900" t="s">
        <v>43</v>
      </c>
      <c r="G3900">
        <v>77</v>
      </c>
      <c r="H3900" t="s">
        <v>134</v>
      </c>
      <c r="I3900" t="s">
        <v>38</v>
      </c>
      <c r="J3900" t="s">
        <v>110</v>
      </c>
      <c r="K3900" t="s">
        <v>54</v>
      </c>
      <c r="L3900">
        <v>3.8</v>
      </c>
      <c r="M3900" t="s">
        <v>152</v>
      </c>
      <c r="N3900" t="s">
        <v>46</v>
      </c>
      <c r="O3900" t="s">
        <v>28</v>
      </c>
      <c r="P3900" t="s">
        <v>152</v>
      </c>
      <c r="Q3900" t="s">
        <v>152</v>
      </c>
      <c r="R3900">
        <v>24</v>
      </c>
      <c r="S3900" t="s">
        <v>29</v>
      </c>
      <c r="T3900" t="str">
        <f t="shared" si="120"/>
        <v>Daily</v>
      </c>
      <c r="U3900">
        <f>VLOOKUP(T3900,[1]tablescore!$B$3:$C$8, 2,FALSE)</f>
        <v>30</v>
      </c>
      <c r="V3900" t="str">
        <f t="shared" si="121"/>
        <v>Highly Loyal</v>
      </c>
      <c r="W3900" t="s">
        <v>41</v>
      </c>
    </row>
    <row r="3901" spans="1:23" x14ac:dyDescent="0.25">
      <c r="A3901">
        <v>3900</v>
      </c>
      <c r="B3901">
        <v>52</v>
      </c>
      <c r="C3901" t="str" cm="1">
        <f t="array" ref="C3901">_xlfn.IFS(
  AND(B3901&gt;=18, B3901&lt;=24), "18-24",
  AND(B3901&gt;=25, B3901&lt;=34), "25-34",
  AND(B3901&gt;=35, B3901&lt;=44), "35-44",
  AND(B3901&gt;=45, B3901&lt;=54), "45-54",
  B3901&gt;=55, "55+"
)</f>
        <v>45-54</v>
      </c>
      <c r="D3901" t="s">
        <v>153</v>
      </c>
      <c r="E3901" t="s">
        <v>68</v>
      </c>
      <c r="F3901" t="s">
        <v>69</v>
      </c>
      <c r="G3901">
        <v>81</v>
      </c>
      <c r="H3901" t="s">
        <v>99</v>
      </c>
      <c r="I3901" t="s">
        <v>45</v>
      </c>
      <c r="J3901" t="s">
        <v>118</v>
      </c>
      <c r="K3901" t="s">
        <v>39</v>
      </c>
      <c r="L3901">
        <v>3.1</v>
      </c>
      <c r="M3901" t="s">
        <v>152</v>
      </c>
      <c r="N3901" t="s">
        <v>34</v>
      </c>
      <c r="O3901" t="s">
        <v>76</v>
      </c>
      <c r="P3901" t="s">
        <v>152</v>
      </c>
      <c r="Q3901" t="s">
        <v>152</v>
      </c>
      <c r="R3901">
        <v>33</v>
      </c>
      <c r="S3901" t="s">
        <v>29</v>
      </c>
      <c r="T3901" t="str">
        <f t="shared" si="120"/>
        <v>Quarterly</v>
      </c>
      <c r="U3901">
        <f>VLOOKUP(T3901,[1]tablescore!$B$3:$C$8, 2,FALSE)</f>
        <v>4</v>
      </c>
      <c r="V3901" t="str">
        <f t="shared" si="121"/>
        <v>Low Loyalty</v>
      </c>
      <c r="W390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8A47-E050-44F6-B61E-8900F622A760}">
  <dimension ref="B2:C7"/>
  <sheetViews>
    <sheetView zoomScale="94" workbookViewId="0">
      <selection activeCell="B6" sqref="B6"/>
    </sheetView>
  </sheetViews>
  <sheetFormatPr defaultRowHeight="15" x14ac:dyDescent="0.25"/>
  <cols>
    <col min="2" max="2" width="13.7109375" customWidth="1"/>
    <col min="3" max="3" width="14.85546875" customWidth="1"/>
  </cols>
  <sheetData>
    <row r="2" spans="2:3" x14ac:dyDescent="0.25">
      <c r="B2" t="s">
        <v>157</v>
      </c>
      <c r="C2" t="s">
        <v>158</v>
      </c>
    </row>
    <row r="3" spans="2:3" x14ac:dyDescent="0.25">
      <c r="B3" s="1" t="s">
        <v>50</v>
      </c>
      <c r="C3" s="1">
        <v>1</v>
      </c>
    </row>
    <row r="4" spans="2:3" x14ac:dyDescent="0.25">
      <c r="B4" s="1" t="s">
        <v>60</v>
      </c>
      <c r="C4" s="1">
        <v>4</v>
      </c>
    </row>
    <row r="5" spans="2:3" x14ac:dyDescent="0.25">
      <c r="B5" s="1" t="s">
        <v>159</v>
      </c>
      <c r="C5" s="1">
        <v>12</v>
      </c>
    </row>
    <row r="6" spans="2:3" x14ac:dyDescent="0.25">
      <c r="B6" s="1" t="s">
        <v>161</v>
      </c>
      <c r="C6" s="1">
        <v>26</v>
      </c>
    </row>
    <row r="7" spans="2:3" x14ac:dyDescent="0.25">
      <c r="B7" s="1" t="s">
        <v>160</v>
      </c>
      <c r="C7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Shopping Trend visual</vt:lpstr>
      <vt:lpstr>table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SIRANEV A/L G.MURALI</dc:creator>
  <cp:lastModifiedBy>SIRANEV A/L G.MURALI</cp:lastModifiedBy>
  <dcterms:created xsi:type="dcterms:W3CDTF">2025-04-23T13:52:51Z</dcterms:created>
  <dcterms:modified xsi:type="dcterms:W3CDTF">2025-04-24T07:56:42Z</dcterms:modified>
</cp:coreProperties>
</file>